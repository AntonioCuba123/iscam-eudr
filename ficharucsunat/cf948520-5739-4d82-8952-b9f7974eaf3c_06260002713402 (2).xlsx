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externalReferences>
    <externalReference r:id="rId5"/>
  </externalReference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B145">
      <text>
        <t xml:space="preserve">Acompañamiento NO POI</t>
      </text>
    </comment>
    <comment authorId="0" ref="CB241">
      <text>
        <t xml:space="preserve">NO POI</t>
      </text>
    </comment>
  </commentList>
</comments>
</file>

<file path=xl/sharedStrings.xml><?xml version="1.0" encoding="utf-8"?>
<sst xmlns="http://schemas.openxmlformats.org/spreadsheetml/2006/main" count="7448" uniqueCount="2005">
  <si>
    <t>AÑOS INTERVENCIÓN</t>
  </si>
  <si>
    <t>BENEFICIARIOS</t>
  </si>
  <si>
    <t>VENTAS HISTORIAL</t>
  </si>
  <si>
    <t>VENTAS PORTIPO DE COMPROMABNTE (OBTENIDO SISPAC 2023 DEL REPORTE MATRIZ GENERAL DE VENTAS)</t>
  </si>
  <si>
    <t>VENTAS POR TIPO DE COMPROMABNTE año 2024</t>
  </si>
  <si>
    <t>VENTAS POR TIPO DE COMPROMABNTE año 2025 -12.01.26)</t>
  </si>
  <si>
    <r>
      <rPr>
        <rFont val="Calibri"/>
        <b/>
        <color/>
        <sz val="11.0"/>
      </rPr>
      <t xml:space="preserve">2025 </t>
    </r>
    <r>
      <rPr>
        <rFont val="Calibri"/>
        <b/>
        <color rgb="FFFF0000"/>
        <sz val="11.0"/>
      </rPr>
      <t>(Ciierre de Agosto 2025)</t>
    </r>
  </si>
  <si>
    <r>
      <rPr>
        <rFont val="Calibri"/>
        <b/>
        <color/>
        <sz val="11.0"/>
      </rPr>
      <t>2025</t>
    </r>
    <r>
      <rPr>
        <rFont val="Calibri"/>
        <b/>
        <color rgb="FFFF0000"/>
        <sz val="11.0"/>
      </rPr>
      <t xml:space="preserve"> (cierre agosto 2025)</t>
    </r>
  </si>
  <si>
    <r>
      <rPr>
        <rFont val="Calibri"/>
        <b/>
        <sz val="11.0"/>
      </rPr>
      <t>2025</t>
    </r>
    <r>
      <rPr>
        <rFont val="Calibri"/>
        <b/>
        <color/>
        <sz val="11.0"/>
      </rPr>
      <t xml:space="preserve"> (Cierre de 12.01.26)</t>
    </r>
  </si>
  <si>
    <t>2023 detallado por tipo comprobante</t>
  </si>
  <si>
    <t>Nombre de la Organización</t>
  </si>
  <si>
    <t>PRODUCTO DOM</t>
  </si>
  <si>
    <t xml:space="preserve">PRODUCTO 1 </t>
  </si>
  <si>
    <t>SEDE</t>
  </si>
  <si>
    <t>Ubigeo</t>
  </si>
  <si>
    <t>DEPARTAMENTO</t>
  </si>
  <si>
    <t xml:space="preserve">Provincia </t>
  </si>
  <si>
    <t xml:space="preserve">Distrito </t>
  </si>
  <si>
    <t>2018</t>
  </si>
  <si>
    <t>2019</t>
  </si>
  <si>
    <t>2020</t>
  </si>
  <si>
    <t>2021</t>
  </si>
  <si>
    <t>2022</t>
  </si>
  <si>
    <t>2023</t>
  </si>
  <si>
    <t>2024</t>
  </si>
  <si>
    <t>2025</t>
  </si>
  <si>
    <t>SERVICIO</t>
  </si>
  <si>
    <t>AÑOS DE INTERVENCION</t>
  </si>
  <si>
    <t>AÑOS DE INTERVENCIÓN DESDE 2018 AL 2024</t>
  </si>
  <si>
    <t>INTERVENCIÓN 2019 al 2025</t>
  </si>
  <si>
    <t>INTERVENCIÓN 2020 al 2026</t>
  </si>
  <si>
    <t>TOTAL
BENF 2018</t>
  </si>
  <si>
    <t>BENF
MASC 2019</t>
  </si>
  <si>
    <t>BENF
FEM 2019</t>
  </si>
  <si>
    <t>TOTAL
BENF 2019</t>
  </si>
  <si>
    <t>BENF
MASC 2020</t>
  </si>
  <si>
    <t>BENF 
FEM 2020</t>
  </si>
  <si>
    <t>TOTAL
BENF 2020</t>
  </si>
  <si>
    <t>BENF
MASC 2021</t>
  </si>
  <si>
    <t>BENF
FEM 2021</t>
  </si>
  <si>
    <t>TOTAL
BENF 2021</t>
  </si>
  <si>
    <t>BENF
MASC 2022</t>
  </si>
  <si>
    <t>BENF
FEM 2022</t>
  </si>
  <si>
    <t>TOTAL
BENF 2022</t>
  </si>
  <si>
    <t>BENF
MASC 2023</t>
  </si>
  <si>
    <t>BENF
FEM 2023</t>
  </si>
  <si>
    <t>TOTAL
BENF 2023</t>
  </si>
  <si>
    <t>BENF
MASC 2024</t>
  </si>
  <si>
    <t>BENF
FEM 2024</t>
  </si>
  <si>
    <t>TOTAL
BENF 2024</t>
  </si>
  <si>
    <t>BENF
MASC 2025</t>
  </si>
  <si>
    <t>BENF
FEM 2025</t>
  </si>
  <si>
    <t>TOTAL
BENF 2025</t>
  </si>
  <si>
    <t>BENEFICIADOS ULTIMO AÑO</t>
  </si>
  <si>
    <t>ASISTENCIA TÉCNICA 2020</t>
  </si>
  <si>
    <t>TALLERES 2020</t>
  </si>
  <si>
    <t>ASISTENCIA TÉCNICA 2021</t>
  </si>
  <si>
    <t>TALLERES 2021</t>
  </si>
  <si>
    <t>ASISTENCIA TÉCNICA 2022</t>
  </si>
  <si>
    <t>TALLERES 2022</t>
  </si>
  <si>
    <t>ASISTENCIA TÉCNICA 2023</t>
  </si>
  <si>
    <t>TALLERES 2023</t>
  </si>
  <si>
    <t>ASISTENCIA TÉCNICA 2024</t>
  </si>
  <si>
    <t>TALLERES 2024</t>
  </si>
  <si>
    <t>ASISTENCIA TÉCNICA 2025</t>
  </si>
  <si>
    <t>TALLERES 2025</t>
  </si>
  <si>
    <t>VENTAS TOTALES 2018</t>
  </si>
  <si>
    <t>VENTAS NACIONALES 2019</t>
  </si>
  <si>
    <t>VENTAS INTERNACIONALES 2019</t>
  </si>
  <si>
    <t>VENTAS TOTALES 2019</t>
  </si>
  <si>
    <t>INCREMENTOS VENTAS EN 2019</t>
  </si>
  <si>
    <t>INCREMENTOS VENTAS EN 20192</t>
  </si>
  <si>
    <t>VENTAS NACIONALES 2020</t>
  </si>
  <si>
    <t>VENTAS INTERNACIONALES 2020</t>
  </si>
  <si>
    <t>VENTAS TOTALES 2020</t>
  </si>
  <si>
    <t>INCREMENTOS VENTAS EN 2020</t>
  </si>
  <si>
    <t>DIFERENCIA VENTA
2020-2019</t>
  </si>
  <si>
    <t>VENTAS NACIONALES 2021</t>
  </si>
  <si>
    <t>VENTAS INTERNACIONALES 2021</t>
  </si>
  <si>
    <t>VENTAS TOTALES 2021</t>
  </si>
  <si>
    <t>INCREMENTOS VENTAS EN 20201</t>
  </si>
  <si>
    <t>DIFERENCIA VENTA
2021-2020</t>
  </si>
  <si>
    <t>V. EJEC  NACIONALES 2022</t>
  </si>
  <si>
    <t>V. EJEC EXPORTACION 2022</t>
  </si>
  <si>
    <t>VENTAS TOTALES 2022</t>
  </si>
  <si>
    <t>INCREMENTOS VENTAS EN 22022</t>
  </si>
  <si>
    <t>DIFERENCIA VENTAS
2022-2021</t>
  </si>
  <si>
    <t>V. EJEC  NACIONALES 2023</t>
  </si>
  <si>
    <t>V. EJEC EXPORTACION 2023</t>
  </si>
  <si>
    <t>VENTAS TOTALES 2023</t>
  </si>
  <si>
    <t>INCREMENTOS VENTAS EN 2023</t>
  </si>
  <si>
    <t>DIFERENCIA VENTAS
2023-2022</t>
  </si>
  <si>
    <t>V. EJEC  NACIONALES 2024</t>
  </si>
  <si>
    <t>V. EJEC EXPORTACION 2024</t>
  </si>
  <si>
    <t>VENTAS TOTALES 20224</t>
  </si>
  <si>
    <t>INCREMENTOS VENTAS EN 2024</t>
  </si>
  <si>
    <t>DIFERENCIA VENTAS 
2024-2023</t>
  </si>
  <si>
    <t>TOTAL VENTAS 2018 AL 2025</t>
  </si>
  <si>
    <t>V. EJEC  NACIONALES 2025</t>
  </si>
  <si>
    <t>V. EJEC EXPORTACION 2025</t>
  </si>
  <si>
    <t>VENTAS TOTALES 2025</t>
  </si>
  <si>
    <t>INCREMENTOS VENTAS EN 2025</t>
  </si>
  <si>
    <t>DIFERENCIA VENTAS 
2025-2024</t>
  </si>
  <si>
    <t>Boleta de Venta 2023</t>
  </si>
  <si>
    <t>Declaracion Jurada 2023</t>
  </si>
  <si>
    <t>Documento de Entrega Cooperativo (DEC) 2023</t>
  </si>
  <si>
    <t>Factura 2023</t>
  </si>
  <si>
    <t>Guia de Remision 2023</t>
  </si>
  <si>
    <t>Liquidacion de Compra 2023</t>
  </si>
  <si>
    <t>Total Ventas 2023 (De comprobantes) (*)</t>
  </si>
  <si>
    <t>Boleta de Venta 2024</t>
  </si>
  <si>
    <t>Declaración Jurada 2024</t>
  </si>
  <si>
    <t>Factura 2024</t>
  </si>
  <si>
    <t>Guía de Remisión 2024</t>
  </si>
  <si>
    <t>Liquidación de Compra 2024</t>
  </si>
  <si>
    <t>Total general 2024</t>
  </si>
  <si>
    <t>Boleta de Venta 2025</t>
  </si>
  <si>
    <t>Declaración Jurada 2025</t>
  </si>
  <si>
    <t>Factura 2025</t>
  </si>
  <si>
    <t>Guía de Remisión 2025</t>
  </si>
  <si>
    <t>Liquidación de Compra 2025</t>
  </si>
  <si>
    <t>Total general 2025</t>
  </si>
  <si>
    <t>RUC</t>
  </si>
  <si>
    <t>NOMBRE SUNAT</t>
  </si>
  <si>
    <t>Tipo de Organización*  (Asociación/Cooperativa/CCNN, Comunidad Campesina y otros.)</t>
  </si>
  <si>
    <t>COOPERATIVA AGRARIA CAFETALERA MONTAÑA AZUL LTDA. - COOPACMA</t>
  </si>
  <si>
    <t>CAFÉ</t>
  </si>
  <si>
    <t>AMAZONAS</t>
  </si>
  <si>
    <t>010706</t>
  </si>
  <si>
    <t>UTCUBAMBA</t>
  </si>
  <si>
    <t>LONYA GRANDE</t>
  </si>
  <si>
    <t>PAC</t>
  </si>
  <si>
    <t>02 Cooperativa</t>
  </si>
  <si>
    <t>ASOCIACIÓN DE PRODUCTORES DE CAFÉ ORGANICO Y CAFES ESPECIALES -APROCOYCE AMAZONAS</t>
  </si>
  <si>
    <t>010601</t>
  </si>
  <si>
    <t>RODRIGUEZ DE MENDOZA</t>
  </si>
  <si>
    <t>SAN NICOLAS</t>
  </si>
  <si>
    <t>ASOCIACION DE PRODUCTORES DE CAFES ORGANICOS Y CAFES ESPECIALES DE AMAZONAS</t>
  </si>
  <si>
    <t>01 Asociación</t>
  </si>
  <si>
    <t>ASOCIACIÓN DE PRODUCTORES Y EXPORTADORES DE CAFÉ RODRIGUEZ DE MENDOZA-APROEXPORT</t>
  </si>
  <si>
    <t>ASOCIACION DE PRODUCTORES Y EXPORTADORES DE CAFE RODRIGUEZ DE MENDOZA</t>
  </si>
  <si>
    <t>COOPERATIVA AGRARIA CAFETALERA ALTA MONTAÑA</t>
  </si>
  <si>
    <t>010604</t>
  </si>
  <si>
    <t>HUAMBO</t>
  </si>
  <si>
    <t>ASOCIACION DE PRODUCTORES AGROPECUARIOS LA FLOR DE CAFÉ</t>
  </si>
  <si>
    <t>COOPERATIVA DE SERVICIOS MULTIPLES - APROCAM</t>
  </si>
  <si>
    <t>CACAO</t>
  </si>
  <si>
    <t>010201</t>
  </si>
  <si>
    <t>BAGUA</t>
  </si>
  <si>
    <t>COOPERATIVA AGRARIA APROCAM</t>
  </si>
  <si>
    <t>COOPERATIVA CENTRAL DE PRODUCTORES AGROPECUARIOS DE AMAZONAS - CEPROAA</t>
  </si>
  <si>
    <t>010702</t>
  </si>
  <si>
    <t>CAJARURO</t>
  </si>
  <si>
    <t>COOPERATIVA AGRARIA CENTRAL DE PRODUCTORES DE AMAZONAS</t>
  </si>
  <si>
    <t>ASOCIACION DE PRODUCTORES AGROPECUARIOS LUIS SOLIBARRIA</t>
  </si>
  <si>
    <t>010701</t>
  </si>
  <si>
    <t>BAGUA GRANDE</t>
  </si>
  <si>
    <t xml:space="preserve">20479856258
</t>
  </si>
  <si>
    <t>COOPERATIVA AGRARIA CAFETALERA BAGUA GRANDE LTDA</t>
  </si>
  <si>
    <t>COOPERATIVA AGRARIA CAFETALERA BAGUA GRANDE LIMITADA</t>
  </si>
  <si>
    <t>ASOCIACION DE PRODUCTORES AGROPECUARIOS VALLE VERDE DE RODRIGUEZ DE MENDOZA</t>
  </si>
  <si>
    <t>20479856258 </t>
  </si>
  <si>
    <t>COOPERATIVA AGRARIA CAFETALERA PRODUCTORA COMERCIAL EXPORTADORA CAFE ANDES AMAZONICOS LTDA</t>
  </si>
  <si>
    <t>COOPERATIVA DE SERVICIOS MULTIPLES JUAN MARCO EL PALTO</t>
  </si>
  <si>
    <t>COOPERATIVA AGRARIA JUAN MARCO EL PALTO</t>
  </si>
  <si>
    <t>SEDIR-SERVICIO PARA EL DESARROLLO INTEGRAL RURAL</t>
  </si>
  <si>
    <t>PALTA</t>
  </si>
  <si>
    <t>ANCASH</t>
  </si>
  <si>
    <t>021805</t>
  </si>
  <si>
    <t>SANTA</t>
  </si>
  <si>
    <t>MORO</t>
  </si>
  <si>
    <t>SERVICIO PARA EL DESARROLLO INTEGRAL RURAL</t>
  </si>
  <si>
    <t>ASOCIACION DE PRODUCTORES DE MANZANO ORGANICO DE PARIACOTO</t>
  </si>
  <si>
    <t>MANZANA</t>
  </si>
  <si>
    <t>020110</t>
  </si>
  <si>
    <t>HUARAZ</t>
  </si>
  <si>
    <t>PARIACOTO</t>
  </si>
  <si>
    <t>ASOCIACIÓN DE PRODUCTORES DE MANZANO ORGANICO DEL DISTRITO DE PARIACOTO</t>
  </si>
  <si>
    <t>ASOCIACION DE PRODUCTORES ECOLOGICOS AGRARIOS DEL DISTRITO DE QUICHES</t>
  </si>
  <si>
    <t>ROMERO</t>
  </si>
  <si>
    <t>021901</t>
  </si>
  <si>
    <t>SIHUAS</t>
  </si>
  <si>
    <t>ASOCIACION DE PRODUCTORES ECOLOGICOS AGRARIOS DEL DISTRITO DE QUICHES PROVINCIA DE SIHUAS-ANCASH</t>
  </si>
  <si>
    <t>ASOCIACION DE PRODUCTORES Y COMERCIANTES DE TARA DE PUCHKA</t>
  </si>
  <si>
    <t>TARA</t>
  </si>
  <si>
    <t>021016</t>
  </si>
  <si>
    <t>HUARI</t>
  </si>
  <si>
    <t>UCO</t>
  </si>
  <si>
    <t>GRUPO ASOCIADO PRODUCTORES DE CARAZ</t>
  </si>
  <si>
    <t>FLORES</t>
  </si>
  <si>
    <t>021201</t>
  </si>
  <si>
    <t>HUAYLAS</t>
  </si>
  <si>
    <t>CARAZ</t>
  </si>
  <si>
    <t>SIN RUC</t>
  </si>
  <si>
    <t>ND</t>
  </si>
  <si>
    <t>COOPERATIVA DE PRODUCTORES AGROECOLOGICOS LA PERLA DE LOS ANDES-CALLEJON DE HUAYLAS ANCASH</t>
  </si>
  <si>
    <t>TARWI</t>
  </si>
  <si>
    <t>ASOCIACIÓN DE SEMILLARISTAS DE MAIZ CHOCLO VIRGEN DE LAS MERCEDES DEL DISTRITO DE CHINGAS</t>
  </si>
  <si>
    <t>MAÍZ</t>
  </si>
  <si>
    <t>MAÍZ BLANCO GIGANTE</t>
  </si>
  <si>
    <t>020304</t>
  </si>
  <si>
    <t>ANTONIO RAYMONDI</t>
  </si>
  <si>
    <t>CHINGAS</t>
  </si>
  <si>
    <t>ASOCIACION DE SEMILLARISTAS DE MAIZ CHOCLO VIRGEN DE LA MERCEDES DEL DISTRITO DE CHINGAS</t>
  </si>
  <si>
    <t>ASOCIACION DE PRODUCTORES DE PALTOS MORO</t>
  </si>
  <si>
    <t>ASOCIACION DE PRODUCTORES DE PALTOS MORO - APROPALMO</t>
  </si>
  <si>
    <t>COOPERATIVA AGRARIA VALLE FORTALEZA-COAVAF</t>
  </si>
  <si>
    <t>DURAZNO</t>
  </si>
  <si>
    <t>020503</t>
  </si>
  <si>
    <t>BOLOGNESI</t>
  </si>
  <si>
    <t>COOPERATIVA AGRARIA VALLE FORTALEZA - COAVAFF</t>
  </si>
  <si>
    <t>ASOCIACION DE PRODUCTORES AGROECOLOGICOS DE PARIACOTO PROMOVIENDO VIDA SALUDABLE - APAPROVIS</t>
  </si>
  <si>
    <t>COOPERATIVA AGRARIA PURIFOR</t>
  </si>
  <si>
    <t>020507</t>
  </si>
  <si>
    <t>COLQUIOC</t>
  </si>
  <si>
    <t>COOPERATIVA AGRARIA PURIFOR - COOP PURIFOR</t>
  </si>
  <si>
    <t>COOPERATIVA AGRARIA ANDINA DE SANTA CRUZ LTDA.</t>
  </si>
  <si>
    <t>KIWICHA</t>
  </si>
  <si>
    <t>021208</t>
  </si>
  <si>
    <t>SANTA CRUZ</t>
  </si>
  <si>
    <t>COOPERATIVA AGRARIA KIWICHA WAYI LTDA</t>
  </si>
  <si>
    <t xml:space="preserve">
KIWICHA</t>
  </si>
  <si>
    <t>ASOCIACION PRODUCTORES AGROPECUARIOS SANTA ROSA DE KIMAN AYLLU</t>
  </si>
  <si>
    <t>021210</t>
  </si>
  <si>
    <t>YURACMARCA</t>
  </si>
  <si>
    <t>COOPERATIVA AGRARIA COYAPAPI</t>
  </si>
  <si>
    <t>ASOCIACIÓN DE FRUTICULTORES DEL VALLE PAMPAS- AFRUVAP</t>
  </si>
  <si>
    <t>APURIMAC</t>
  </si>
  <si>
    <t>030601</t>
  </si>
  <si>
    <t>CHINCHEROS</t>
  </si>
  <si>
    <t>ASOCIACION DE FRUTICULTORES DEL VALLE PAMPAS- AFRUVAP</t>
  </si>
  <si>
    <t>ASOCIACIÓN DE PRODUCTORES AGROPECUARIOS ORGANICOS VALLE PAMPAS - APAOVAP</t>
  </si>
  <si>
    <t>030604</t>
  </si>
  <si>
    <t>HUACCANA</t>
  </si>
  <si>
    <t xml:space="preserve">ASOCIACION DE PRODUCTORES AGROPECUARIOS ORGANICOS VALLE PAMPAS - APAOVAP
</t>
  </si>
  <si>
    <t>COOPERATIVA AGROINDUSTRIAL MACHUPICCHU LTDA</t>
  </si>
  <si>
    <t>QUINUA Y OTROS GRANOS</t>
  </si>
  <si>
    <t>QUINUA</t>
  </si>
  <si>
    <t>030213</t>
  </si>
  <si>
    <t>ANDAHUAYLAS</t>
  </si>
  <si>
    <t>SAN JERONIMO</t>
  </si>
  <si>
    <t>COOPERATIVA AGRARIA MACHUPICCHU LTDA - CAGMA LTDA</t>
  </si>
  <si>
    <t>COOPERATIVA AGROINDUSTRIAL TIERRA ANDINA LTDA</t>
  </si>
  <si>
    <t>030201</t>
  </si>
  <si>
    <t>COOPERATIVA AGROINDUSTRIAL TIERRA ANDINA APURIMAC LTDA - CATAA LTDA</t>
  </si>
  <si>
    <t>ASOCIACIÓN DE MUJERES PRODUCTORAS DE TALLARINES DE CASA SANTO DOMINGO</t>
  </si>
  <si>
    <t>030101</t>
  </si>
  <si>
    <t>ABANCAY</t>
  </si>
  <si>
    <t>ASOCIACION DE MUJERES PRODUCTORAS SANTO DOMINGO TALLARIN DE CASA</t>
  </si>
  <si>
    <t>ASOCIACIÓN DE PRODUCTORES TAMBO INCA</t>
  </si>
  <si>
    <t>FIBRA DE ALPACA</t>
  </si>
  <si>
    <t>030406</t>
  </si>
  <si>
    <t>AYMARAES</t>
  </si>
  <si>
    <t>COTARUSE</t>
  </si>
  <si>
    <t>ASOCIACION DE PRODUCTORES DE ALPACAS TAMBOINCA</t>
  </si>
  <si>
    <t>COOPERATIVA AGRARIA DE SERVICIOS MÚLTIPLES TESORO CHANKA DE KISHUARA - COOPAGROS - KISHUARA</t>
  </si>
  <si>
    <t>PAPA</t>
  </si>
  <si>
    <t>030207</t>
  </si>
  <si>
    <t>KISHUARA</t>
  </si>
  <si>
    <t>COOPERATIVA AGRARIA DE SERVICIOS MULTIPLES TESORO CHANKA DE KISHUARA - COOPAGROS - KISHUARA</t>
  </si>
  <si>
    <t>COOPERATIVA AGRARIA CAFETALERA VALLE DE INCAHUASI</t>
  </si>
  <si>
    <t>ASOCIACION DE PRODUCTORES AGROPECUARIOS PAMPAS CALLEBAMBA</t>
  </si>
  <si>
    <t>ASOCIACION DE PRODUCTORES AGROPECUARIOS PAMPAS-CALLEBAMBA</t>
  </si>
  <si>
    <t>ASOCIACIÓN DE PRODUCTORES AGROPECUARIOS QUISAGUI - RIO BLANCO</t>
  </si>
  <si>
    <t>ASOCIACION DE PRODUCTORES AGROPECUARIOS QUISAGUI - RIO BLANCO</t>
  </si>
  <si>
    <t>ASOCIACIóN DE FRUTICULTORES DE LA MICROCUENCA DE ONGOY LOS AYNIS-AFRUMCO</t>
  </si>
  <si>
    <t>030606</t>
  </si>
  <si>
    <t>ONGOY</t>
  </si>
  <si>
    <t>ASOCIACION DE FRUTICULTORES DE LA MICROCUENCA DE ONGOY LOS AYNIS - AFRUMCO</t>
  </si>
  <si>
    <t>COOPERATIVA DE SERVICIOS MULTIPLES SUR ANDINOS-COOPSUR</t>
  </si>
  <si>
    <t>COOPERATIVA AGRARIA DE SERVICIOS MULTIPLES SUR ANDINO - COOPSUR</t>
  </si>
  <si>
    <t>ASOCIACION DE PRODUCTORES FLOR DE PAPA DE CHULLCUSA ALTA</t>
  </si>
  <si>
    <t>PAPA NATIVA</t>
  </si>
  <si>
    <t>ASOCIACION DE PRODUCTORES FLOR DE PAPA DE CHULLCUISA ALTA - ASOCIACION FLOR DE PAPA</t>
  </si>
  <si>
    <t>ASOCIACION PRODUCTORES AGROPECUARIOS MARCO VILCA ARGAMA ALTA</t>
  </si>
  <si>
    <t>030209</t>
  </si>
  <si>
    <t>PACUCHA</t>
  </si>
  <si>
    <t>20602684335 </t>
  </si>
  <si>
    <t>COOPERATIVA DE SERVICIO MULTIPLES CAMPO VERDE DE JOSE MARIA ARGUEDAS</t>
  </si>
  <si>
    <t>030220</t>
  </si>
  <si>
    <t>JOSE MARIA ARGUEDAS</t>
  </si>
  <si>
    <t>COOPERATIVA AGRARIA DE SERVICIOS MULTIPLES CAMPO VERDE DE JOSE MARIA ARGUEDAS - CASMUCAV</t>
  </si>
  <si>
    <t>ASOCIACION DE PRODUCTORES AGROPECUARIOS SUMACC INTI DE HUANCABAMBA - APASIHA</t>
  </si>
  <si>
    <t>CENTRAL DE COMUNIDADES CAMPESINAS DE RANRACANCHA</t>
  </si>
  <si>
    <t>030608</t>
  </si>
  <si>
    <t>RANRACANCHA</t>
  </si>
  <si>
    <t>COOPERATIVA AGRARIA BIO-ORGÁNICA CONDESUYOS - COOPABIC</t>
  </si>
  <si>
    <t>DERIVADOS LACTEOS</t>
  </si>
  <si>
    <t>QUESOS MADURADOS</t>
  </si>
  <si>
    <t>AREQUIPA</t>
  </si>
  <si>
    <t>040605</t>
  </si>
  <si>
    <t>CONDESUYOS</t>
  </si>
  <si>
    <t>IRAY</t>
  </si>
  <si>
    <t>COOPERATIVA AGRARIA BIO-ORGANICA CONDESUYOS - COOPABIC</t>
  </si>
  <si>
    <t>COOPERATIVA AGRARIA DE PRODUCTOS BIO ORGÁNICOS Y GRANOS ANDINOS DE VIRACO - COOPRORGANIC</t>
  </si>
  <si>
    <t>040414</t>
  </si>
  <si>
    <t>CASTILLA</t>
  </si>
  <si>
    <t>VIRACO</t>
  </si>
  <si>
    <t>COOPERATIVA AGRARIA DE PRODUCTOS BIO ORGANICOS Y GRANOS ANDINOS DE VIRACO - COOPRORGANIC</t>
  </si>
  <si>
    <t>040601</t>
  </si>
  <si>
    <t>CHUQUIBAMBA</t>
  </si>
  <si>
    <t>EMPRESA AGROINDUSTRIAL Y SERVICIOS GENERALES</t>
  </si>
  <si>
    <t>040520</t>
  </si>
  <si>
    <t>CAYLLOMA</t>
  </si>
  <si>
    <t>MAJES</t>
  </si>
  <si>
    <t>EMPRESA AGROINDUSTRIAL Y SERVICIOS GENERALES EL PARAISO S.A.</t>
  </si>
  <si>
    <t>07 Otros</t>
  </si>
  <si>
    <t>PRODUCTOS LACTEOS AREQUIPA S.A.</t>
  </si>
  <si>
    <t>ASOCIACION DE CRIADORES DE ALPACAS DEL DISTRITO DE SIBAYO - ASCADIS</t>
  </si>
  <si>
    <t>040515</t>
  </si>
  <si>
    <t>SIBAYO</t>
  </si>
  <si>
    <t>ASOCIACIÓN DE CRIADORES DE ALPACAS DEL DISTRITO DE SIBAYO ASCADIS</t>
  </si>
  <si>
    <t>ASOCIACION DE PRODUCTORES DE LECHE - ASPROLECHE</t>
  </si>
  <si>
    <t>ASOCIACION DE PRODUCTORES GANADEROS, LECHEROS Y AGRICULTORA ECOLOGICA DE CUYAY - CHUQUIBAMBA</t>
  </si>
  <si>
    <t>COOPERATIVA DE SERVICIOS ESPECIALES ALPAQUEROS LOS WATAYPONCHOS DE CAYLLOMA COSECAY</t>
  </si>
  <si>
    <t>040505</t>
  </si>
  <si>
    <t>COOPERATIVA DE SERVICIOS ESPECIALES ALPAQUEROS LOS WATAY PONCHOS DE CAYLLOMA - COSECAY</t>
  </si>
  <si>
    <t>COOPERATIVA DE SERVICIOS ESPECIALES YURAC QORI</t>
  </si>
  <si>
    <t>040517</t>
  </si>
  <si>
    <t>TISCO</t>
  </si>
  <si>
    <t>COOPERATIVA DE SERVICIOS ESPECIALES YURAC QORI TISCO</t>
  </si>
  <si>
    <t>CORPORACIÓN ASOCIATIVA LA JOYA</t>
  </si>
  <si>
    <t>040108</t>
  </si>
  <si>
    <t>LA JOYA</t>
  </si>
  <si>
    <t>CORPORACION ASOCIATIVA LA JOYA</t>
  </si>
  <si>
    <t>ASOCIACION DE PRODUCTORES DE AGRO INDUSTRIAL SIGUAS MAJES - PRASIMEX</t>
  </si>
  <si>
    <t>ASOCIACION DE PRODUCTORES AGROINDUSTRIALES SIGUAS MAJES - PRASIMEX</t>
  </si>
  <si>
    <t>ASOCIACION DE PRODUCTORES AGROPECUARIOS DE AGROEXPORTACION E-4 IRRIGACION MAJES-AREQUIPA</t>
  </si>
  <si>
    <t>ASOCIACION DE PRODUCTORES AGROPECUARIOS Y DERIVADOS LACTEOS DE ORCOPAMPA - ORCOLAC</t>
  </si>
  <si>
    <t>040409</t>
  </si>
  <si>
    <t>ORCOPAMPA</t>
  </si>
  <si>
    <t>20603296576 </t>
  </si>
  <si>
    <t>ASOCIACION ALPACAS Y LLAMAS REGISTRADAS DE PAQUENTA</t>
  </si>
  <si>
    <t>20606701846 </t>
  </si>
  <si>
    <t>COOPERATIVA AGRARIA DE PRODUCTOS ECOLOGICOS DE PAMPACOLCA - COAPEP</t>
  </si>
  <si>
    <t>040410</t>
  </si>
  <si>
    <t>PAMPACOLCA</t>
  </si>
  <si>
    <t>ASOCIACION CENTRO DE ACOPIO DE LECHE SEÑOR DE LOS MILAGROS</t>
  </si>
  <si>
    <t>ASOC.C.DE ACOPIO D.LECHE SR.D.L.MILAGROS</t>
  </si>
  <si>
    <t>COORDINADORA NACIONAL DE PRODUCTORES DE PAPA DEL PERU- CORPAPA</t>
  </si>
  <si>
    <t>AYACUCHO</t>
  </si>
  <si>
    <t>050105</t>
  </si>
  <si>
    <t>HUAMANGA</t>
  </si>
  <si>
    <t>CHIARA</t>
  </si>
  <si>
    <t>ASOCIACIÓN DE PRODUCTORES AGRO INDUSTRIALES EMPRENDEDORES DE PUYUSCA - INCUYO ( APAEPI )</t>
  </si>
  <si>
    <t>050706</t>
  </si>
  <si>
    <t>PARINACOCHAS</t>
  </si>
  <si>
    <t>PUYUSCA</t>
  </si>
  <si>
    <t>ASOCIACION DE PRODUCTORES AGROINDUSTRIALES EMPRENDEDORES DE PUYUSCA - INCUYO</t>
  </si>
  <si>
    <t>ASOCIACION DE PRODUCTORES DE QUINUA Y GRANOS ANDINOS DE LA REGION AYACUCHO - APOQUA</t>
  </si>
  <si>
    <t>050113</t>
  </si>
  <si>
    <t>TAMBILLO</t>
  </si>
  <si>
    <t>ASOCIACION DE PRODUCTORES DE QUINUA Y GRANOS ANDINOS DE LA REGION AYACUCHO</t>
  </si>
  <si>
    <t>ASOCIACION DE PRODUCTORES AGROINDUSTRIALES ORGANICOS DE PERU</t>
  </si>
  <si>
    <t>051001</t>
  </si>
  <si>
    <t>VICTOR FAJARDO</t>
  </si>
  <si>
    <t>HUANCAPI</t>
  </si>
  <si>
    <t>ASOCIACION DE PRODUCTORES AGROINDUSTRIALES ORGANICOS DE PERU ASPAGRO</t>
  </si>
  <si>
    <t>ASOCIACION DE PRODUCTORES AGROPECUARIOS Y FORESTALES NUEVA URBANIZACIÓN DE HUALLATA</t>
  </si>
  <si>
    <t>050201</t>
  </si>
  <si>
    <t>CANGALLO</t>
  </si>
  <si>
    <t>ASOCIACION DE PRODUCTORES AGROPECUARIOS Y FORESTALES NUEVA URBANIZACION DE HUALLATA</t>
  </si>
  <si>
    <t>ASOCIACION DE PRODUCTORES AGROPECUARIOS INTI RAYMI</t>
  </si>
  <si>
    <t>051101</t>
  </si>
  <si>
    <t>VILCAS HUAMAN</t>
  </si>
  <si>
    <t>ASOCIACION DE PRODUCTORES AGRICOLAS Y GANADEROS INTI RAYMI</t>
  </si>
  <si>
    <t>COOPERATIVA AGRARIA LOS PRODUCTORES LOS MOROCHUCOS - CANGALLO</t>
  </si>
  <si>
    <t>050203</t>
  </si>
  <si>
    <t>LOS MOROCHUCOS</t>
  </si>
  <si>
    <t>COOPERATIVA AGRARIA DE PRODUCTORES LOS MOROCHUCOS - CANGALLO</t>
  </si>
  <si>
    <t>COOPERATIVA AGRARIA DE PRODUCTORES ORGANICOS DE LA SIERRA</t>
  </si>
  <si>
    <t>050106</t>
  </si>
  <si>
    <t>OCROS</t>
  </si>
  <si>
    <t>ASOCIACION DE PRODUCTORES DE PALTA VALLE TOROBAMBA</t>
  </si>
  <si>
    <t>050501</t>
  </si>
  <si>
    <t>LA MAR</t>
  </si>
  <si>
    <t>SAN MIGUEL</t>
  </si>
  <si>
    <t>ASOCIACION CIVIL DE MANTENIMIENTO VIAL Y DESARROLLO AGROPECUARIO CALVARIO</t>
  </si>
  <si>
    <t>AGRO ASOCIACIÓN Y SERVICIOS TINKUY</t>
  </si>
  <si>
    <t>050408</t>
  </si>
  <si>
    <t>HUANTA</t>
  </si>
  <si>
    <t>LLOCHEGUA</t>
  </si>
  <si>
    <t>AGRO ASOCIACION Y SERVICIOS TINKUY</t>
  </si>
  <si>
    <t>COOPERATIVA AGRARIA CAFETALERA VALLE RIO APURIMAC -CACVRA</t>
  </si>
  <si>
    <t>050503</t>
  </si>
  <si>
    <t>AYNA</t>
  </si>
  <si>
    <t>COOP AGRARIA CAFET VALLE RIO APURIMAC</t>
  </si>
  <si>
    <t>ASOCIACION DE PRODUCTORES AGROPECUARIOS UNIDOS AL DESARROLLO DE SANTA ROSA</t>
  </si>
  <si>
    <t>050507</t>
  </si>
  <si>
    <t>SANTA ROSA</t>
  </si>
  <si>
    <t>COOPERATIVA AGRARIA CAFETALERA EL QUINACHO LTDA N° 78</t>
  </si>
  <si>
    <t>050407</t>
  </si>
  <si>
    <t>SIVIA</t>
  </si>
  <si>
    <t>CALIDAD</t>
  </si>
  <si>
    <t>COOPERATIVA AGRARIA EL QUINACHO LTDA. N° 078</t>
  </si>
  <si>
    <t>ASOCIACIÓN DE PRODUCTORES Y SERVICIOS MÚLTIPLES SAN NICOLAS - APASMU - NINABAMBA - SAN MIGUEL</t>
  </si>
  <si>
    <t>ASOC DE PRODUCTORES AGROPECUARIOS Y SERVICIOS MÚLTIPLES SAN NICOLÁS-APASMU NINABAMBA-SAN MIGUEL</t>
  </si>
  <si>
    <t>COOPERATIVA AGRARIA FRUTOS DEL ANDE</t>
  </si>
  <si>
    <t>050101</t>
  </si>
  <si>
    <t>COOPERATIVA AGRARIA DE PRODUCTORES DEL DISTRITO DE TAMBILLO</t>
  </si>
  <si>
    <t>COOPERATIVA AGRARIA DE PRODUCTORES TIKANKA CHIARA-AYACUCHO</t>
  </si>
  <si>
    <t>COOPERATIVA DE USUARIOS AGROINDUSTRIAL DE PRODUCTORES INTI RAYMI</t>
  </si>
  <si>
    <t>20604495483 </t>
  </si>
  <si>
    <t>ASOCIACION NUEVA ESPERANZA DE ALLPACHACA</t>
  </si>
  <si>
    <t>20494923832 </t>
  </si>
  <si>
    <t>ASOCIACION NUEVA ESPERANZA ALLPACHACA</t>
  </si>
  <si>
    <t>ASOCIACION DE GANADEROS Y PRODUCTORES LACTEOS MUSUQ ALLPACHAKA</t>
  </si>
  <si>
    <t>COOPERATIVA AGRARIA QUEROHUAMBOS</t>
  </si>
  <si>
    <t>CAJAMARCA</t>
  </si>
  <si>
    <t>060409</t>
  </si>
  <si>
    <t>CHOTA</t>
  </si>
  <si>
    <t>HUAMBOS</t>
  </si>
  <si>
    <t>DERIVADOS LÁCTEOS BARRETO SRL</t>
  </si>
  <si>
    <t>060401</t>
  </si>
  <si>
    <t>DERIVADOS LACTEOS BARRETO S.R.L.</t>
  </si>
  <si>
    <t>COOPERATIVA AGRARIA RENACER ANDINO</t>
  </si>
  <si>
    <t>061307</t>
  </si>
  <si>
    <t>PULAN</t>
  </si>
  <si>
    <t xml:space="preserve"> COOPERATIVA AGRARIA RENACER ANDINO</t>
  </si>
  <si>
    <t>COOPERATIVA AGRARIA RUTAS DEL INCA</t>
  </si>
  <si>
    <t>060415</t>
  </si>
  <si>
    <t>QUEROCOTO</t>
  </si>
  <si>
    <t>COOPERATIVA DE SERVICIOS MÚLTIPLES ECOFOREST</t>
  </si>
  <si>
    <t>060801</t>
  </si>
  <si>
    <t>JAEN</t>
  </si>
  <si>
    <t>COOPERATIVA AGRARIA ECOFOREST</t>
  </si>
  <si>
    <t>COOPERATIVA AGRARIA LOS AMBIENTALISTAS LTDA</t>
  </si>
  <si>
    <t>060613</t>
  </si>
  <si>
    <t>CUTERVO</t>
  </si>
  <si>
    <t>SANTO TOMAS</t>
  </si>
  <si>
    <t>ASOCIACION DE PRODUCTORES CAFETALEROS ANDINOS SIERRA VERDE</t>
  </si>
  <si>
    <t>ASOCIACIÓN AGROINDUSTRIAL DE MUJERES PRODUCTORAS DE CACAO Y CAFÉ DEL VRAEM-OTARI´S</t>
  </si>
  <si>
    <t>CACAO EN GRANO</t>
  </si>
  <si>
    <t>080910</t>
  </si>
  <si>
    <t>CUSCO</t>
  </si>
  <si>
    <t>LA CONVENCION</t>
  </si>
  <si>
    <t>PICHARI</t>
  </si>
  <si>
    <t>ASOCIACION AGROINDUSTRIAL DE MUJERES PRODUCTORAS DE CACAO Y CAFE DEL VRAEM-OTARI´S</t>
  </si>
  <si>
    <t>ASOC. DE PRODUC. AGROP. AGROIND. FORESTALES Y SERV. MULT. LA FLOR DE LA GRANADILLA - ALTO PERE</t>
  </si>
  <si>
    <t>GRANADILLA</t>
  </si>
  <si>
    <t>ASOC DE PRODUC AGROP, AGROIN, FORESTALES Y SERV MULT LA FLOR DE LA GRANADILLA- ALTO PERU</t>
  </si>
  <si>
    <t>ASOCIACIÓN DE PRODUCTORES DE GRANADILLA PACHARUMI</t>
  </si>
  <si>
    <t>060803</t>
  </si>
  <si>
    <t>CHONTALI</t>
  </si>
  <si>
    <t>ASOCIACION DE PRODUCTORES AGROPECUARIOS PACHARUMII</t>
  </si>
  <si>
    <t>COOPERATIVA DE PRODUCTORES AGROPECUARIOS HUALGAYOC</t>
  </si>
  <si>
    <t>060703</t>
  </si>
  <si>
    <t>HUALGAYOC</t>
  </si>
  <si>
    <t>COOPERATIVA AGRARIA JALCA VERDE</t>
  </si>
  <si>
    <t>HONGO COMESTIBLE</t>
  </si>
  <si>
    <t>HONGOS 
COMESTIBLES</t>
  </si>
  <si>
    <t>060105</t>
  </si>
  <si>
    <t>ENCAÑADA</t>
  </si>
  <si>
    <t>COOPERATIVA AGRARIA COOPAGRO LTDA - COOPERATIVA COOPAGRO</t>
  </si>
  <si>
    <t>COOPERATIVA DE SERVICIOS ESPECIALES REDES DE PRODUCTORES DE CUYES DEL CRISNEJAS - COOPREDESCUY</t>
  </si>
  <si>
    <t>CUY</t>
  </si>
  <si>
    <t>060203</t>
  </si>
  <si>
    <t>CAJABAMBA</t>
  </si>
  <si>
    <t>CONDEBAMBA</t>
  </si>
  <si>
    <t>COOPERATIVA DE SERVICIOS ESPECIALES REDES DE PRODUCTORES DE CUYES DEL CRISNEJAS</t>
  </si>
  <si>
    <t>COOPERATIVA AGRARIA DE CULTIVOS ANDINOS CAJAMARCA - COANDINOS</t>
  </si>
  <si>
    <t>060101</t>
  </si>
  <si>
    <t>COOPERATIVA AGRARIA DE CULTIVOS ANDINOS CAJAMARCA</t>
  </si>
  <si>
    <t>ASOCIACIÓN DE PRODUCTORES DE LECHE Y VACUNO KUNTURKANKI</t>
  </si>
  <si>
    <t>080503</t>
  </si>
  <si>
    <t>CANAS</t>
  </si>
  <si>
    <t>KUNTURKANKI</t>
  </si>
  <si>
    <t>ASOCIACIÓN PRODUCTORES DE GANADO VACUNO Y LECHE KUNTURKANKI</t>
  </si>
  <si>
    <t>ASOCIACIÓN DE CRIADORES DE VACUNO DE LECHE AUSANLAC OCONGATE QUISPICANCHIS</t>
  </si>
  <si>
    <t>081210</t>
  </si>
  <si>
    <t>QUISPICANCHI</t>
  </si>
  <si>
    <t>OCONGATE</t>
  </si>
  <si>
    <t>ASOCIACION DE PRODUCTORES DE LACTEOS DE CCOLCCA AUSANLAC</t>
  </si>
  <si>
    <t>COOPERATIVA AGRARIA DE PRODUCCIÓN ORGÁNICA SEÑOR DE HUANCA.</t>
  </si>
  <si>
    <t xml:space="preserve">KIWICHA </t>
  </si>
  <si>
    <t>080406</t>
  </si>
  <si>
    <t>CALCA</t>
  </si>
  <si>
    <t>SAN SALVADOR</t>
  </si>
  <si>
    <t>COOPERATIVA AGRARIA DE PRODUCCION ORGANICA SEÑOR DE HUANCA SAN SALVADOR - CAPOSH</t>
  </si>
  <si>
    <t>ASOCIACION DE PRODUCTORES AGROPECUARIOS DE PARAISO CENTRAL</t>
  </si>
  <si>
    <t>ASOCIACIÓN DE MUJERES PRODUCTORAS ARTESANAS CACAO JENTARI - AMPROA CACAO JENTARI</t>
  </si>
  <si>
    <t>JUNIN</t>
  </si>
  <si>
    <t>120607</t>
  </si>
  <si>
    <t>SATIPO</t>
  </si>
  <si>
    <t>RIO NEGRO</t>
  </si>
  <si>
    <t>ASOCIACION DE MUJERES PRODUCTORAS ARTESANAS CACAO JENTARI - AMPROA CACAO JENTARI</t>
  </si>
  <si>
    <t>ASOCIACION DE PRODUCTORES AGRARIOS DE CACAO (APAC) ECHALAC PERU DE MANGURIARI</t>
  </si>
  <si>
    <t>080902</t>
  </si>
  <si>
    <t>ECHARATE</t>
  </si>
  <si>
    <t>ASOCIACION DE PRODUCTORES AGRARIOS DE CACAO (APAC) ECHALACPERU DE MANGURIARI</t>
  </si>
  <si>
    <t>ASOCIACION DE PRODUCTORES AGROPECUARIOS ORGÁNICOS DE OMAYA</t>
  </si>
  <si>
    <t>PIÑA</t>
  </si>
  <si>
    <t>ASOCIACION DE PRODUCTORES AGROPECUARIOS ORGANICOS DE OMAYA</t>
  </si>
  <si>
    <t>ASOCIACION DE PRODUCTORES FRUTICOLAS Y PALTOS DEL VALLE DE LIMATAMBO</t>
  </si>
  <si>
    <t>080306</t>
  </si>
  <si>
    <t>ANTA</t>
  </si>
  <si>
    <t>LIMATAMBO</t>
  </si>
  <si>
    <t>COOPERATIVA AGRARIA DE PRODUCCIÓN ORGANICA SEÑOR DE HUANCA</t>
  </si>
  <si>
    <t>COOPERATIVA AGROINDUSTRIAL VALLE SAGRADO LTDA - AGROVAS</t>
  </si>
  <si>
    <t>080401</t>
  </si>
  <si>
    <t>ASOCIACION DE PRODUCTORES AGROPECUARIOS MI CULLAHUATA</t>
  </si>
  <si>
    <t>080708</t>
  </si>
  <si>
    <t>CHUMBIVILCAS</t>
  </si>
  <si>
    <t>VELILLE</t>
  </si>
  <si>
    <t>ASOCIACIÓN DE PRODUCTORES AGROPECUARIOS MI CULLAHUATA - VELILLE</t>
  </si>
  <si>
    <t>ASOCIACION DE ARTESANOS TRES ALPAQUITAS</t>
  </si>
  <si>
    <t>081209</t>
  </si>
  <si>
    <t>MARCAPATA</t>
  </si>
  <si>
    <t>ASOCIACION DE ARTESANOS TRES ALPAQUITAS H&amp;F</t>
  </si>
  <si>
    <t>COOPERATIVA AGRARIA ALPAQUERA DEL SUR LIMITADA - COOPAALSUR LTDA - COOPAALSUR LTDA</t>
  </si>
  <si>
    <t>COOPERATIVA AGRARIA CAFETALERA ALTO URUBAMBA LTDA NÓ 239.</t>
  </si>
  <si>
    <t>080901</t>
  </si>
  <si>
    <t>SANTA ANA</t>
  </si>
  <si>
    <t>COOPERATIVA AGRARIA CAFETALERA ALTO URUBAMBA LTDA N° 239</t>
  </si>
  <si>
    <t>COOPERATIVA AGRARIA CAFETALERA MARANURA LTDA 129</t>
  </si>
  <si>
    <t>080904</t>
  </si>
  <si>
    <t>MARANURA</t>
  </si>
  <si>
    <t xml:space="preserve">COOP AGRARIA CAFETALERA MARANURA LTDA129
</t>
  </si>
  <si>
    <t>COOPERATIVA AGRARIA CAFETALERA JOSE OLAYA LTDA N° 252</t>
  </si>
  <si>
    <t>COOP AGRARIA CAFETALERA MARANURA LTDA129</t>
  </si>
  <si>
    <t>COMUNIDAD CAMPESINA SONCO MARCA Y OTRAS COMUNIDADES</t>
  </si>
  <si>
    <t>081205</t>
  </si>
  <si>
    <t>CCATCA</t>
  </si>
  <si>
    <t>05 Comunidades Campesinas</t>
  </si>
  <si>
    <t>COOPERATIVA AGRARIA DE AGRICULTORES HUYRO - CCCH</t>
  </si>
  <si>
    <t>TE</t>
  </si>
  <si>
    <t>080903</t>
  </si>
  <si>
    <t>HUAYOPATA</t>
  </si>
  <si>
    <t>COOPERATIVA AGRARIA DE AGRICULTORES HUYRO</t>
  </si>
  <si>
    <t>ASOCIACION DE FRUTICULTORES DEL DISTRITO DE YANATILE ASOFRUT YANATILE</t>
  </si>
  <si>
    <t>NARANJA</t>
  </si>
  <si>
    <t>080408</t>
  </si>
  <si>
    <t>YANATILE</t>
  </si>
  <si>
    <t>ASOCIACION DE CRIADORES ANDINOS Y PRODUCTORES MULTIPLES DIAMANTES DEL NEVADO SALCANTAY DE PHINAYA - ADIANES</t>
  </si>
  <si>
    <t>080605</t>
  </si>
  <si>
    <t>CANCHIS</t>
  </si>
  <si>
    <t>PITUMARCA</t>
  </si>
  <si>
    <t>COOPERATIVA AGRARIA ADIANES DE PHINAYA CUSCO - PERU</t>
  </si>
  <si>
    <t>ASOCIACIÓN DE PRODUCTORES AGROPECUARIOS TUPAC AMARU - TUNGASUCA</t>
  </si>
  <si>
    <t>080508</t>
  </si>
  <si>
    <t>TUPAC AMARU</t>
  </si>
  <si>
    <t>ASOCIACIÓN AGROPECUARIO ARTESANAL E INDUSTRIAL WIÑAY LLANKAQ RACCHI AYLLO</t>
  </si>
  <si>
    <t>HABA</t>
  </si>
  <si>
    <t>081303</t>
  </si>
  <si>
    <t>URUBAMBA</t>
  </si>
  <si>
    <t>HUAYLLABAMBA</t>
  </si>
  <si>
    <t>COOPERATIVA AGRARIA AMAYBAMBA PISTIPATA</t>
  </si>
  <si>
    <t>COOPERATIVA AGRARIA DE USUARIOS AMAYBAMBA PISTIPATA LTDA. N°34</t>
  </si>
  <si>
    <t>ASOCIACION DE PRODUCTORES DE LECHE Y DERIVADOS LACTEOS MICAELA BASTIDAS</t>
  </si>
  <si>
    <t>080506</t>
  </si>
  <si>
    <t>PAMPAMARCA</t>
  </si>
  <si>
    <t>ASOCIACION DE PRODUCTORES AGROPECUARIOS DE CITRICOS SAN ANTONIO DE PAMPA CONCEPCION ECHARATI, APACISA</t>
  </si>
  <si>
    <t>ASOCIACION DE PRODUCTORES AGROPECUARIOS DE CITRICOS SAN ANTONIO DE PAMPA CONCEPCION ECHARATI-APACISA</t>
  </si>
  <si>
    <t>ASOCIACIÓN DE PRODUCTORES AGROPECUARIOS LAS CATARATAS DE ILLAPANI DE LA ZONAL DE PALMA REAL, DISTRITO DE ECHARATI, LA CONVENCIÓN CUSCO” (APACIP)</t>
  </si>
  <si>
    <t>LIMÓN</t>
  </si>
  <si>
    <t>ASOCIACION DE PRODUCTORES AGROPECUARIOS LAS CATARATAS DE ILLAPANI</t>
  </si>
  <si>
    <t>COOPERATIVA AGROINDUSTRIAL DE CULTIVOS ANDINOS ORGÓNICOS DE ANTA</t>
  </si>
  <si>
    <t>080301</t>
  </si>
  <si>
    <t>COOPAINCA - ANTA</t>
  </si>
  <si>
    <t>COOPERATIVA AGROINDUSTRIAL DE COMUNIDADES CAMPESINAS DE CHUMBIVILCAS</t>
  </si>
  <si>
    <t>080701</t>
  </si>
  <si>
    <t>COOPERATIVA SERVICIOS ESPECIALES DE LAS COMUNIDADES CAMPESINAS DE CHUMBIVILCAS LTDA - COOSE - CCCH</t>
  </si>
  <si>
    <t>COMUNIDAD CAMPESINA DE SANTA BARBARA</t>
  </si>
  <si>
    <t>HUANCAVELICA</t>
  </si>
  <si>
    <t>090101</t>
  </si>
  <si>
    <t>ASOCIACION DE PRODUCTORES AGROECOLOGICOS UYSUS</t>
  </si>
  <si>
    <t>090706</t>
  </si>
  <si>
    <t>TAYACAJA</t>
  </si>
  <si>
    <t>DANIEL HERNANDEZ</t>
  </si>
  <si>
    <t>COOPERATIVA AGRARIA AGROPIA LTDA</t>
  </si>
  <si>
    <t>090711</t>
  </si>
  <si>
    <t>PAZOS</t>
  </si>
  <si>
    <t>COOPERATIVA AGRARIA DE PRODUCTORES ORGÁNICOS DE PALTA DEL VALLE LAMBRAS VRAEM-COPPAL VRAEM</t>
  </si>
  <si>
    <t>090707</t>
  </si>
  <si>
    <t>HUACHOCOLPA</t>
  </si>
  <si>
    <t>ASOCIACIÓN AGROPECUARIA JATUN ÑAN - CCARHUANCHO</t>
  </si>
  <si>
    <t>090607</t>
  </si>
  <si>
    <t>HUAYTARA</t>
  </si>
  <si>
    <t>PILPICHACA</t>
  </si>
  <si>
    <t>ASOCIACION AGROPECUARIA JATUN ÑAN-CCARHUANCHO</t>
  </si>
  <si>
    <t>ASOCIACION DE PRODUCTORES AGROPECUARIOS SARACOCHA</t>
  </si>
  <si>
    <t>ASOCIACION DE PRODUCTORES ALPAQUEROS Y ARTESANOS SANTA ROSA APAASAR</t>
  </si>
  <si>
    <t>090106</t>
  </si>
  <si>
    <t>ASOCIACIÓN UNIÓN POMAVILCA</t>
  </si>
  <si>
    <t>090201</t>
  </si>
  <si>
    <t>ACOBAMBA</t>
  </si>
  <si>
    <t>ASOCIACION UNION POMAVILCA</t>
  </si>
  <si>
    <t>ASOCIACIӎ DE PRODUCTORES DE AGUAS TERMALES DE PUMARANRA</t>
  </si>
  <si>
    <t xml:space="preserve">ASOCIACION DE PRODUCTORES AGROPECUARIOS DE AGUAS TERMALES DE PUMARANRA
</t>
  </si>
  <si>
    <t>COMUNIDAD DE CCARHUANCHO</t>
  </si>
  <si>
    <t>COMUNIDAD INDIGENA DE CCARHUANCHO</t>
  </si>
  <si>
    <t>COOPERATIVA DE SERVICIOS ESPECIALES DE ALPAQUEROS LOS ANDES DE HUANCAVELICA - COOPAH</t>
  </si>
  <si>
    <t>COOPERATIVA AGRARIA CAFETALERA DIVISORIA LTDA</t>
  </si>
  <si>
    <t>HUANUCO</t>
  </si>
  <si>
    <t>100605</t>
  </si>
  <si>
    <t>LEONCIO PRADO</t>
  </si>
  <si>
    <t>LUYANDO</t>
  </si>
  <si>
    <t>PRODUCTORES ASOCIADOS DE PAPA AMARILLA TUMBAY "PAPATY"</t>
  </si>
  <si>
    <t>AGUAYMANTO</t>
  </si>
  <si>
    <t>100204</t>
  </si>
  <si>
    <t>AMBO</t>
  </si>
  <si>
    <t>CONCHAMARCA</t>
  </si>
  <si>
    <t>COOPERATIVA AGRARIA VALLE DEL MONZON CAV MONZON</t>
  </si>
  <si>
    <t>100507</t>
  </si>
  <si>
    <t>HUAMALIES</t>
  </si>
  <si>
    <t>MONZON</t>
  </si>
  <si>
    <t>ASOCIACION DE PRODUCTORES AGROPECUARIOS DE SHUCUSHYACU FLOR DE CACAO.</t>
  </si>
  <si>
    <t>LORETO</t>
  </si>
  <si>
    <t>160211</t>
  </si>
  <si>
    <t>ALTO AMAZONAS</t>
  </si>
  <si>
    <t>TENIENTE CESAR LOPEZ ROJAS</t>
  </si>
  <si>
    <t>ASOCIACION DE PRODUCTORES AGROPECUARIOS DE SHUCUSHYACU FLOR DE CACAO</t>
  </si>
  <si>
    <t>COOPERATIVA AGRARIA CAFETALERA MILAGROS - MONZON</t>
  </si>
  <si>
    <t>100311</t>
  </si>
  <si>
    <t>DOS DE MAYO</t>
  </si>
  <si>
    <t>MARIAS</t>
  </si>
  <si>
    <t>ASOCIACIÓN DE PRODUCTORES CACAO ECOLÓGICO DE KIMBIRI - APROCEK</t>
  </si>
  <si>
    <t>080907</t>
  </si>
  <si>
    <t>KIMBIRI</t>
  </si>
  <si>
    <t>ASOCIACION DE PRODUCTORES DE CACAO ECOLOGICO DE KIMBIRI - APROCEK</t>
  </si>
  <si>
    <t>ASOCIACION DE PRODUCTORES DE BANANO ORGANICO PENDENCIA</t>
  </si>
  <si>
    <t>PLÁTANO</t>
  </si>
  <si>
    <t>100602</t>
  </si>
  <si>
    <t>DANIEL ALOMIA ROBLES</t>
  </si>
  <si>
    <t>COOPERATIVA AGROINDUSTRIAL APROBAP</t>
  </si>
  <si>
    <t>COOPERATIVA AGROINDUSTRIAL APCCA</t>
  </si>
  <si>
    <t>100610</t>
  </si>
  <si>
    <t>SANTO DOMINGO DE ANDA</t>
  </si>
  <si>
    <t>COOPERATIVA AGROINDUSTRIAL Y DE SERVICIOS DEL CENTRO POBLADO DE BELLA BAJO MONZON</t>
  </si>
  <si>
    <t>100606</t>
  </si>
  <si>
    <t>MARIANO DAMASO BERAUN</t>
  </si>
  <si>
    <t>COOPERATIVA AGRARIA DEL CENTRO POBLADO DE BELLA BAJO MONZON</t>
  </si>
  <si>
    <t>ASOCIACION AGROECOLOGICO HUANGANAPAMPA</t>
  </si>
  <si>
    <t>100608</t>
  </si>
  <si>
    <t>CASTILLO GRANDE</t>
  </si>
  <si>
    <t>ASOCIACION DE PRODUCTORES AGROPECUARIOS Y FORESTALES EL ALVA DE BARTOLOME-CUCHARA</t>
  </si>
  <si>
    <t>100601</t>
  </si>
  <si>
    <t>RUPA-RUPA</t>
  </si>
  <si>
    <t xml:space="preserve">ASOCIACION DE PRODUCTORES AGROPECUARIOS Y FORESTALES EL ALVA DE BARTOLOME-CUCHARA
</t>
  </si>
  <si>
    <t>COOPERATIVA AGROINDUSTRIAL PARAISO DEL CENTRO POBLADO DE PARAISO LIMITADA</t>
  </si>
  <si>
    <t>100702</t>
  </si>
  <si>
    <t>MARAÑON</t>
  </si>
  <si>
    <t>CHOLON</t>
  </si>
  <si>
    <t>COOPERATIVA AGRARIA PARAISO</t>
  </si>
  <si>
    <t>ASOCIACIÓN DE PRODUCTORES AGROPECUARIOS PARAíSO DE HORTENSIAS</t>
  </si>
  <si>
    <t>100103</t>
  </si>
  <si>
    <t>CHINCHAO</t>
  </si>
  <si>
    <t>20529126523 </t>
  </si>
  <si>
    <t>ASOCIACION DE PRODUCTORES AGROPECUARIOS PARAISO DE HORTENSIAS</t>
  </si>
  <si>
    <t>ASOCIACIÓN DE PRODUCTORES AGROFORESTALES ANCOMARCA</t>
  </si>
  <si>
    <t>100803</t>
  </si>
  <si>
    <t>PACHITEA</t>
  </si>
  <si>
    <t>MOLINO</t>
  </si>
  <si>
    <t>ASOCIACION DE PRODUCTORES AGROFORESTALES ANCOMARCA</t>
  </si>
  <si>
    <t>ASOCIACIÓN AGRARIA LOS PIONEROS DE LA COMUNIDAD CAMPESINA DE HUALLMISH</t>
  </si>
  <si>
    <t>100104</t>
  </si>
  <si>
    <t>CHURUBAMBA</t>
  </si>
  <si>
    <t>20602025170 </t>
  </si>
  <si>
    <t>ASOCIACION AGRARIA LOS PIONEROS DE LA COMUNIDAD CAMPESINA DE HUALLMISH</t>
  </si>
  <si>
    <t>COOPERATIVA AGRARIA AUCAYACU</t>
  </si>
  <si>
    <t>100604</t>
  </si>
  <si>
    <t>JOSE CRESPO Y CASTILLO</t>
  </si>
  <si>
    <t>ASOCIACION DE PRODUCTORES AGROPECUARIOS CHAGRAPOCHMUÑA</t>
  </si>
  <si>
    <t>100801</t>
  </si>
  <si>
    <t>PANAO</t>
  </si>
  <si>
    <t>ASOCIACION DE PRODUCTORES AGROECOLOGICOS DEL HUALLAGA</t>
  </si>
  <si>
    <t>ASOCIACIÓN DE PRODUCTORES DE CAFES ESPECIALES MOUNTAIN COFFEE</t>
  </si>
  <si>
    <t xml:space="preserve">CAFÉ </t>
  </si>
  <si>
    <t>120606</t>
  </si>
  <si>
    <t>PANGOA</t>
  </si>
  <si>
    <t>ASOCIACION DE PRODUCTORES DE CAFES ESPECIALES MOUNTAIN COFFE</t>
  </si>
  <si>
    <t>ASOCIACIÓN DE PRODUCTORES CENTRO COFFEE</t>
  </si>
  <si>
    <t>120303</t>
  </si>
  <si>
    <t>CHANCHAMAYO</t>
  </si>
  <si>
    <t>PICHANAQUI</t>
  </si>
  <si>
    <t>INVER Y NEGOCIACIONES H&amp;R</t>
  </si>
  <si>
    <t>120402</t>
  </si>
  <si>
    <t>JAUJA</t>
  </si>
  <si>
    <t>ACOLLA</t>
  </si>
  <si>
    <t>NEGOCIOS E INVERSIONES HIROMI &amp; HECTOR S.A.C.</t>
  </si>
  <si>
    <t>ASOCIACIÓN DE PRODUCTORES CACAO VRAE</t>
  </si>
  <si>
    <t>ASOCIACION DE PRODUCTORES CACAO VRAE</t>
  </si>
  <si>
    <t>COOPERATIVA COMUNAL SAN PEDRO DE CAJAS</t>
  </si>
  <si>
    <t>120708</t>
  </si>
  <si>
    <t>TARMA</t>
  </si>
  <si>
    <t>SAN PEDRO DE CAJAS</t>
  </si>
  <si>
    <t>ASOCIACION DE PRODUCTORES AGROPECUARIOS BOJACI DEL DISTRITO DE SINCOS</t>
  </si>
  <si>
    <t>120431</t>
  </si>
  <si>
    <t>SINCOS</t>
  </si>
  <si>
    <t>COOPERATIVA AGROPECUARIA DE SERVICIOS VALLE DEL CUNAS LIMITADA</t>
  </si>
  <si>
    <t>MACA</t>
  </si>
  <si>
    <t>120214</t>
  </si>
  <si>
    <t>CONCEPCION</t>
  </si>
  <si>
    <t>SAN JOSE DE QUERO</t>
  </si>
  <si>
    <t>COOPERATIVA AGROPECUARIA DE SERVICIOS VALLE DEL CUNAS LIMITADA (CAS VALLE DEL CUNAS LTDA)</t>
  </si>
  <si>
    <t>ASOCIACION DE PRODUCTORES LACTEOS VIDA ABUNDANTE INGENIO</t>
  </si>
  <si>
    <t>120122</t>
  </si>
  <si>
    <t>HUANCAYO</t>
  </si>
  <si>
    <t>INGENIO</t>
  </si>
  <si>
    <t>ASOCIACIÓN DE PRODUCTORES ECOLÓGICOS DE LAS ZONAS ALTOANDINAS DE JUNÍN - APEZAJ</t>
  </si>
  <si>
    <t>120114</t>
  </si>
  <si>
    <t>EL TAMBO</t>
  </si>
  <si>
    <t>ASOCIACION DE PRODUCTORES AGROPECUARIOS ECOLOGICOS DE LAS ZONAS ALTO ANDINAS DE JUNIN</t>
  </si>
  <si>
    <t>ASOCIACIÓN DE PRODUCTORES "PIÑAS EL SAMAÑU"</t>
  </si>
  <si>
    <t>COOPERATIVA AGRO ECOLOGICA INDUSTRIAL MAZAMARI</t>
  </si>
  <si>
    <t>120604</t>
  </si>
  <si>
    <t>MAZAMARI</t>
  </si>
  <si>
    <t>COOPERATIVA AGROECOLOGICO INDUSTRIAL MAZAMARI LTDA</t>
  </si>
  <si>
    <t>CENTRAL DE ORGANIZACIONES PRODUCTORAS DE CITRICOS DE LA PROVINCIA DE SATIPO</t>
  </si>
  <si>
    <t>120601</t>
  </si>
  <si>
    <t>ASOCIACIÓN DE MULTIPRODUCTORES LA PROSPERIDAD DEL VALLE DE PICHANAKI</t>
  </si>
  <si>
    <t>JENGIBRE (KION)</t>
  </si>
  <si>
    <t>KION</t>
  </si>
  <si>
    <t>120302</t>
  </si>
  <si>
    <t>PERENE</t>
  </si>
  <si>
    <t>ASOCIACION MULTI PRODUCTORES LA PROSPERIDAD DE VALLE PICHANAKI - APROVE PICHANAKI</t>
  </si>
  <si>
    <t>ASOCIACION DE PRODUCTORES SOSTENIBLES EL AYNI</t>
  </si>
  <si>
    <t>COOPERATIVA AGRARIA KAFFE SATIPO</t>
  </si>
  <si>
    <t>COOPERATIVA AGRARIA KAFFEE SATIPO</t>
  </si>
  <si>
    <t>COOPERATIVA AGRARIA CAFETALERA ECOLOGICO ALTO PALOMAR</t>
  </si>
  <si>
    <t>120304</t>
  </si>
  <si>
    <t>SAN LUIS DE SHUARO</t>
  </si>
  <si>
    <t>ASOCIACIÓN DE PRODUCTORES ORGANICOS VALLE PERENE PERU</t>
  </si>
  <si>
    <t>APROVAPERU</t>
  </si>
  <si>
    <t>ASOCIACIÓN AGROECOLOGICA AVANCC</t>
  </si>
  <si>
    <t>GUANABANA</t>
  </si>
  <si>
    <t>ASOCIACION AGROECOLOGICA AVANCC</t>
  </si>
  <si>
    <t>ASOCIACIÓN DE PRODUCTORES CACAOTEROS DEL DISTRITO DE HUARANGO</t>
  </si>
  <si>
    <t>060903</t>
  </si>
  <si>
    <t>SAN IGNACIO</t>
  </si>
  <si>
    <t>HUARANGO</t>
  </si>
  <si>
    <t>ASOCIACION DE PRODUCTORES CACAOTEROS DEL DISTRITO DE HUARANGO</t>
  </si>
  <si>
    <t>ASOCIACIÓN DE PRODUCTORES AGROSOSTENIBLES VILLA ECOLOGICA PERU</t>
  </si>
  <si>
    <t>ASOCIACION DE PRODUCTORES AGROSOSTENIBLES VILLA ECOLOGICA PERU</t>
  </si>
  <si>
    <t>COOPERATIVA AGROINDUSTRIAL FRUITS PICHANAKI</t>
  </si>
  <si>
    <t>JENGIBRE</t>
  </si>
  <si>
    <t>COOPERATIVA AGRARIA INDUSTRIAL FRUITS PICHANAKI</t>
  </si>
  <si>
    <t>COOPERATIVA AGROINDUSTRIAL SONOMORO</t>
  </si>
  <si>
    <t>120608</t>
  </si>
  <si>
    <t>RIO TAMBO</t>
  </si>
  <si>
    <t>20486668335 </t>
  </si>
  <si>
    <t>COOPERATIVA AGROINDUSTRIAL SONOMORO LTDA</t>
  </si>
  <si>
    <t>ASOCIACION DE PRODUCTORES DE CACAO CCAPAQKILLA</t>
  </si>
  <si>
    <t>COOPERATIVA AGRARIA CAFETALERA SATIPO</t>
  </si>
  <si>
    <t>20129529530 </t>
  </si>
  <si>
    <t>COOP AGRARIA CAFETALERA SATIPO LTDA</t>
  </si>
  <si>
    <t>COOPERATIVA AGROINDUSTRIAL DE LA GRAN NACIÓN ASHANINKA</t>
  </si>
  <si>
    <t>20606485281 </t>
  </si>
  <si>
    <t>COOPERATIVA AGROINDUSTRIAL DE LA GRAN NACION ASHANINKA</t>
  </si>
  <si>
    <t>RED DE ASOCIACIONES DE MUJERES PRODUCTORAS Y EMPRENDENDORAS DE LA PROVINCIA DE JAUJA</t>
  </si>
  <si>
    <t>120404</t>
  </si>
  <si>
    <t>ATAURA</t>
  </si>
  <si>
    <t>COOPERATIVA AGRARIA MUJER ANDINA</t>
  </si>
  <si>
    <t>120201</t>
  </si>
  <si>
    <t>COORDINADORA DE PRODUCTORES DE CUYES VALLE DEL MANTARO PROCUY MANTARO</t>
  </si>
  <si>
    <t>20600727363 </t>
  </si>
  <si>
    <t>ASOCIACION DE PRODUCTORES AGROPECUARIOS - VALLE DEL MANTARO TINKUS</t>
  </si>
  <si>
    <t>20605430458 </t>
  </si>
  <si>
    <t>ASOCIACION DE PRODUCTORES AGROPECUARIOS "VALLE DEL MANTARO TINKUS"</t>
  </si>
  <si>
    <t>COMITE DE GESTION DE PROYECTOS DE HUASAHUASI Y CASERIOS</t>
  </si>
  <si>
    <t>120704</t>
  </si>
  <si>
    <t>HUASAHUASI</t>
  </si>
  <si>
    <t>COMITÉ DE GESTIÓN DE PROYECTOS DE HUASAHUASI Y CASERÍOS - COMITÉ DE GESTIÓN HUASAHUASI</t>
  </si>
  <si>
    <t>COOPERATIVA AGROINDUSTRIAL ECOLOGICA DEL VALLE PAURAN</t>
  </si>
  <si>
    <t>120135</t>
  </si>
  <si>
    <t>SANTO DOMINGO DE ACOBAMBA</t>
  </si>
  <si>
    <t>COOPERATIVA AGRARIA ECOINDUSTRIAL DEL VALLE PAURAN</t>
  </si>
  <si>
    <t>ASOCIACIÓN DE AGRICULTORES KERGUERANOS</t>
  </si>
  <si>
    <t>LAMBAYEQUE</t>
  </si>
  <si>
    <t>140310</t>
  </si>
  <si>
    <t>SALAS</t>
  </si>
  <si>
    <t>ASOCIACION DE AGRICULTORES KERGUERANOS</t>
  </si>
  <si>
    <t>ASOCIACIÓN DE PRODUCTORES AGROPECUARIOS TUPAC AMARU DE CHIÑAMA (ASPROAGRO)</t>
  </si>
  <si>
    <t>140202</t>
  </si>
  <si>
    <t>FERREÑAFE</t>
  </si>
  <si>
    <t>CAÑARIS</t>
  </si>
  <si>
    <t>ASOCIACION DE PRODUCTORES AGROPECUARIOS TUPAC AMARU DE CHIÑAMA</t>
  </si>
  <si>
    <t>ASOCIACIÓN DE PEQUEÑOS AGRICULTORES PARA LA PRODUCCIÓN ECOLÓGICA SAN MATEO DE PENACHI</t>
  </si>
  <si>
    <t>ASOCIACION DE PEQUEÑOS AGRICULTORES PARA LA PRODUCCION ECOLOGICA SAN MATEO DE PENACHI</t>
  </si>
  <si>
    <t>ASOCIACION PRODUCTORES AGROPECUARIOS CERRO NEGRO</t>
  </si>
  <si>
    <t>HONGOS COMESTIBLES</t>
  </si>
  <si>
    <t>140203</t>
  </si>
  <si>
    <t>INCAHUASI</t>
  </si>
  <si>
    <t>20487589242 </t>
  </si>
  <si>
    <t>COOPERATIVA AGROECOLOGICA GRANO ANDINO DISTRITO DE SARTIMBAMBA COOP GRANO ANDINO</t>
  </si>
  <si>
    <t>LA LIBERTAD</t>
  </si>
  <si>
    <t>130908</t>
  </si>
  <si>
    <t>SANCHEZ CARRION</t>
  </si>
  <si>
    <t>SARTIMBAMBA</t>
  </si>
  <si>
    <t>COOPERATIVA AGRARIA ECOLOGICA MARKAHUAMACHUCO</t>
  </si>
  <si>
    <t>130901</t>
  </si>
  <si>
    <t>HUAMACHUCO</t>
  </si>
  <si>
    <t>COOPERATIVA AGRARIA ALTO ANDINA CHUGAY</t>
  </si>
  <si>
    <t>130902</t>
  </si>
  <si>
    <t>CHUGAY</t>
  </si>
  <si>
    <t xml:space="preserve"> COOPERATIVA AGRARIA ALTO ANDINA CHUGAY</t>
  </si>
  <si>
    <t>CONSORCIO DE ASOCIACIONES DE PRODUCTORES DE LA PROVINCIA DE SANCHEZ CARRION</t>
  </si>
  <si>
    <t>CONSORCIO DE PRODUCTORES ORGANICOS DEL ANDE LIBERTEÑO</t>
  </si>
  <si>
    <t>ASOCIACION DE PEQUENOS PRODUCTORES AGROPECUARIOS PERLA DEL PARAISO</t>
  </si>
  <si>
    <t>130602</t>
  </si>
  <si>
    <t>OTUZCO</t>
  </si>
  <si>
    <t>AGALLPAMPA</t>
  </si>
  <si>
    <t>ASOCIACION DE PEQUEÑOS PRODUCTORES AGROPECUARIOS PERLA DEL PARAISO</t>
  </si>
  <si>
    <t>ASOCIACION DE PRODUCTORES AGROPECUARIOS SIERRA NATURAL ANDINA</t>
  </si>
  <si>
    <t>ASOCIACION DE PRODUCTORES AGROPECUARIOS AGROINDUSTRIALES - CIPEN</t>
  </si>
  <si>
    <t>ASOCIACIÓN DE PRODUCTORES LUCUMAY</t>
  </si>
  <si>
    <t>CHIRIMOYA</t>
  </si>
  <si>
    <t>LIMA</t>
  </si>
  <si>
    <t>150703</t>
  </si>
  <si>
    <t>HUAROCHIRI</t>
  </si>
  <si>
    <t>CALLAHUANCA</t>
  </si>
  <si>
    <t>ASOCIACION DE PRODUCTORES DE CHIRIMOYA LUCUMAY</t>
  </si>
  <si>
    <t>ASOCIACIÓNES PRODUCTORES AGROPECUARIOS Y DESTILADOS NUEVO HORIZONTE HUALLANCHI- APROAGRHU Y PRODUCTORES AGROPECUARIOS SEMBRANDO EL FUTURO EN SANTIAGO DE TUNA DE LA REGION LIMA</t>
  </si>
  <si>
    <t>TUNA</t>
  </si>
  <si>
    <t>150709</t>
  </si>
  <si>
    <t>ASOCIACION DE PRODUCTORES AGROPECUARIOS Y DESTILADOS NUEVO HORIZONTE HUALLANCHI - APROAGRHU</t>
  </si>
  <si>
    <t>ASOCIACION DE PRODUCTORES DE TUNA Y COCHINILLA- APROTYC</t>
  </si>
  <si>
    <t>ASOCIACION DE PRODUCTORES DE TUNA Y COCHINILLA-APROTYC</t>
  </si>
  <si>
    <t>ASOCIACION DE PRODUCTORES DE CAMU CAMU DE LA CUENCA DEL AMAZONAS, NAPO Y TIGRE - APROCCANT</t>
  </si>
  <si>
    <t>CAMU CAMU</t>
  </si>
  <si>
    <t>160108</t>
  </si>
  <si>
    <t>MAYNAS</t>
  </si>
  <si>
    <t>PUNCHANA</t>
  </si>
  <si>
    <t>ASOCIACION DE PRODUCTORES DE CAMU CAMU DE LAS CUENCAS AMAZONAS NAPO Y TIGRE</t>
  </si>
  <si>
    <t>COOPERATIVA AGRARIA INTEGRAL LUZ DE LA ESPERANZA</t>
  </si>
  <si>
    <t>160101</t>
  </si>
  <si>
    <t>IQUITOS</t>
  </si>
  <si>
    <t>ASOCIACION DE MANEJO DE BOSQUES NATURALES ESPERANZA</t>
  </si>
  <si>
    <t>AGUAJE</t>
  </si>
  <si>
    <t>160302</t>
  </si>
  <si>
    <t>PARINARI</t>
  </si>
  <si>
    <t>ORGANIZACIÓN DE MANEJO ORMARENA - NAUTA</t>
  </si>
  <si>
    <t>160301</t>
  </si>
  <si>
    <t>NAUTA</t>
  </si>
  <si>
    <t>ORGANIZACION DE MANEJO DE RECURSOS NATURALES BUENOS AIRES</t>
  </si>
  <si>
    <t>COOPERATIVA PERLA DEL HUALLAGA</t>
  </si>
  <si>
    <t>160201</t>
  </si>
  <si>
    <t>YURIMAGUAS</t>
  </si>
  <si>
    <t>COOPERATIVA AGROINDUSTRIAL PERLA DEL HUALLAGA LTDA - CAPH LTDA.</t>
  </si>
  <si>
    <t>160401</t>
  </si>
  <si>
    <t>MARISCAL RAMON CASTILLA</t>
  </si>
  <si>
    <t>RAMON CASTILLA</t>
  </si>
  <si>
    <t>20600029887 </t>
  </si>
  <si>
    <t>ASOCIACION DE PRODUCTORES AGRARIOS LOS TRIUNFADORES</t>
  </si>
  <si>
    <t>ASOCIACIÓN DE AGRICULTORES AGROPECUARIOS DE LA COMUNIDAD _x0080_EL PROGRESO_x0080_</t>
  </si>
  <si>
    <t>COPOAZÚ</t>
  </si>
  <si>
    <t>MADRE DE DIOS</t>
  </si>
  <si>
    <t>170102</t>
  </si>
  <si>
    <t>TAMBOPATA</t>
  </si>
  <si>
    <t>INAMBARI</t>
  </si>
  <si>
    <t>ASOCIACION DE AGRICULTORES AGROPECUARIOS DE LA COMUNIDAD EL PROGRESO</t>
  </si>
  <si>
    <t>ASOCIACION DE PRODUCTORES DE CACAO ECOLOGICO DE DISTRITO DE QUELLOUNO</t>
  </si>
  <si>
    <t>080906</t>
  </si>
  <si>
    <t>QUELLOUNO</t>
  </si>
  <si>
    <t>RECOLECTORES ORGANICOS DE LA NUEZ AMAZONÍCA DEL PERU - RONAP</t>
  </si>
  <si>
    <t>CASTAÑA</t>
  </si>
  <si>
    <t>170101</t>
  </si>
  <si>
    <t>RECOLECTORES ORGANICOS DE LA NUEZ AMAZONICA DEL PERU</t>
  </si>
  <si>
    <t>COOPERATIVA AGROINDUSTRIAL DE LA INTER OCEÁNICA LIMITADA</t>
  </si>
  <si>
    <t>COOPERATIVA AGRARIA DE LA INTER OCEANICA LIMITADA</t>
  </si>
  <si>
    <t>COOPERATIVA AGRARIA DE SERVICIOS MÚLTIPLES TAMBOPATA CANDAMO - COOPASER - TAMBOPATA CANDAMO</t>
  </si>
  <si>
    <t>COOPERATIVA AGRARIA DE SERVICIOS MULTIPLES TAMBOPATA CANDAMO - COOPASER - TAMBOPATA CANDAMO</t>
  </si>
  <si>
    <t>COOPERATIVA AGROBOSQUE</t>
  </si>
  <si>
    <t>COOPERATIVA AGROINDUSTRIAL DE LA INTER OCEANICA LIMITADA</t>
  </si>
  <si>
    <t>ASOCIACIÓN DE CASTAÑEROS DE LA RESERVA DE TAMBOPATA LOS PIONEROS - ASCART</t>
  </si>
  <si>
    <t xml:space="preserve"> ASOCIACION DE CASTAÑEROS DE LA RESERVA DE TAMBOPATA LOS PIONEROS - ASCART</t>
  </si>
  <si>
    <t>ASOCIACION DE CASTAÑEROS DE ALEGRIA - ASCA</t>
  </si>
  <si>
    <t>ASOCIACIÓN FORESTAL INDIGENA MADRE DE DIOS - AFIMAD</t>
  </si>
  <si>
    <t>ASOCIACION FORESTAL INDIGENA MADRE DE DIOS - AFIMAD</t>
  </si>
  <si>
    <t>ASOCIACION DE PALMICULTORES SAN JUAN</t>
  </si>
  <si>
    <t>COMUNIDAD NATIVA TRES ISLAS</t>
  </si>
  <si>
    <t>ASOCIACIÓN DE AGRICULTORES AGROPECUARIOS DE LA COMUNIDAD EL PROGRESO</t>
  </si>
  <si>
    <t>ASOCIACION COMUNIDAD AGRARIA ARCA PACAHUARA</t>
  </si>
  <si>
    <t>170302</t>
  </si>
  <si>
    <t>TAHUAMANU</t>
  </si>
  <si>
    <t>IBERIA</t>
  </si>
  <si>
    <t>COOPERATIVA AGRARIA DE SERVICIOS MÚLTIPLES SUR ORIENTE - COOPSSUR ORIENTE</t>
  </si>
  <si>
    <t>COOPERATIVA AGRARIA DE SERVICIOS MULTIPLES SUR ORIENTE - COOPSSUR ORIENTE</t>
  </si>
  <si>
    <t>ASOCIACIÓN DE PALMICULTORES SAN JUAN</t>
  </si>
  <si>
    <t>ASOCIACIÓN DE PRODUCTORES EL PIÑAL DE UNION PROGRESO</t>
  </si>
  <si>
    <t>ASOCIACION DE PRODUCTORES EL PIÑAL DE UNION PROGRESO</t>
  </si>
  <si>
    <t>ASOCIACIÓN DE PRODUCTORES AGROFORESTALES Y CONSERVACIÓN NUEVA AMAZONÍA - APAYCNA</t>
  </si>
  <si>
    <t>ASOCIACION DE PRODUCTORES AGROFORESTALES Y CONSERVACION NUEVA AMAZONIA - APAYCNA</t>
  </si>
  <si>
    <t>ASOCIACIÓN DE PRODUCTORES AGROPECUARIOS BUENOS AIRES KM.2 PACARAN</t>
  </si>
  <si>
    <t>170303</t>
  </si>
  <si>
    <t>ASOCIACION DE PRODUCTORES AGROPECUARIOS BUENOS AIRES KM. 2 PACARAN</t>
  </si>
  <si>
    <t>CORPORACIÓN LA BODEGUILLA S.A.C.</t>
  </si>
  <si>
    <t>MOQUEGUA-TACNA</t>
  </si>
  <si>
    <t>180101</t>
  </si>
  <si>
    <t>MOQUEGUA</t>
  </si>
  <si>
    <t>MARISCAL NIETO</t>
  </si>
  <si>
    <t>CORPORACION LA BODEGUILLA S.A.C.</t>
  </si>
  <si>
    <t>ASOCIACION DE PRODUCTORES DE PALTA DE MOQUEGUA PARA EXPORTACION</t>
  </si>
  <si>
    <t>ASOCIACION DE PRODUCTORES DE PALTA DE MOQUEGUA PARA EXPORTACION - APPALMEX</t>
  </si>
  <si>
    <t>COMUNIDAD CAMPESINA DE ARUNTAYA</t>
  </si>
  <si>
    <t>180105</t>
  </si>
  <si>
    <t>SAN CRISTOBAL</t>
  </si>
  <si>
    <t>COMUNIDAD CAMPESINA SAN LORENZO DE CHOJATA</t>
  </si>
  <si>
    <t>ORÉGANO</t>
  </si>
  <si>
    <t>180202</t>
  </si>
  <si>
    <t>GENERAL SANCHEZ CERRO</t>
  </si>
  <si>
    <t>CHOJATA</t>
  </si>
  <si>
    <t>ASOCIACIÓN DE PRODUCTORES PARA LA AGROEXPORTACIÓN DE PUQUINA</t>
  </si>
  <si>
    <t>180208</t>
  </si>
  <si>
    <t>PUQUINA</t>
  </si>
  <si>
    <t>ASOCIACION DE PRODUCTORES PARA LA AGROEXPORTACION DE PUQUINA</t>
  </si>
  <si>
    <t>ASOCIACION DE VITIVINICULTORES DE MOQUEGUA</t>
  </si>
  <si>
    <t>UVA</t>
  </si>
  <si>
    <t>ASOCIACION DE VITIVINICULTORES DE MOQUEGUA 'AVIMO'</t>
  </si>
  <si>
    <t>ASOCIACION PRODUCTORES PALTA HASS EL PORVENIR HUARACANE</t>
  </si>
  <si>
    <t>INVERSIONES PERUALP S.A</t>
  </si>
  <si>
    <t>PASCO</t>
  </si>
  <si>
    <t>190301</t>
  </si>
  <si>
    <t>OXAPAMPA</t>
  </si>
  <si>
    <t>INVERSIONES PERUALP S.A.</t>
  </si>
  <si>
    <t>ASOCIACION AGROGANADERA ECOLOGICA DEL ALTO CACAZU-VILLA RICA</t>
  </si>
  <si>
    <t>190307</t>
  </si>
  <si>
    <t>VILLA RICA</t>
  </si>
  <si>
    <t>ASOCIACION AGRO GANADERO ECOLOGICO DEL ALTO CACAZU - VILLA RICA</t>
  </si>
  <si>
    <t>COOPERATIVA COMUNAL SAN ANTONIO DE RANCAS LTDA.</t>
  </si>
  <si>
    <t>190109</t>
  </si>
  <si>
    <t>SIMON BOLIVAR</t>
  </si>
  <si>
    <t>COOPERATIVA COMUNAL SAN ANTONIO DE RANCAS LTDA. 289</t>
  </si>
  <si>
    <t>COOPERATIVA AGRARIA ASHANINKA DEL VALLE PICHIS (CAGRAVAPI)</t>
  </si>
  <si>
    <t>190306</t>
  </si>
  <si>
    <t>PUERTO BERMUDEZ</t>
  </si>
  <si>
    <t>COOPERATIVA AGRARIA ASHANINKA DEL VALLE PICHIS</t>
  </si>
  <si>
    <t>ASOCIACION DE PEQUEÑOS PRODUCTORES AGROECOLOGICOS LAGUNA RAYA (APPALAR)</t>
  </si>
  <si>
    <t>190304</t>
  </si>
  <si>
    <t>PALCAZU</t>
  </si>
  <si>
    <t>ASOCIACION DE PEQUEÑOS PRODUCTORES AGROECOLOGICOS LAGUNA RAYA</t>
  </si>
  <si>
    <t>COOPERATIVA AGRARIA CAFETALERA CEPRO YANESHA-CAC CEPRIO YANESHA</t>
  </si>
  <si>
    <t>COOPERATIVA AGRARIA CAFETALERA CEPRO YANESHA</t>
  </si>
  <si>
    <t>COOPERATIVA AGRARIA CAFETALERA DE LA NACIӎ YANESHA</t>
  </si>
  <si>
    <t>COOPERATIVA AGRARIA CAFETALERA DE LA NACION YANESHA</t>
  </si>
  <si>
    <t>CORPORACIÓN AGROPECUARIA YANACHAGA CHEMILLEN DE OXAPAMPA - CAYCOXA</t>
  </si>
  <si>
    <t>CORPORACION AGROPECUARIA YANACHAGA CHEMILLEN DE OXAPAMPA - CAYCOXA</t>
  </si>
  <si>
    <t>COOPERATIVA AGRARIA INDUSTRIAL APASC SANCORE-PALCAZU LTDA</t>
  </si>
  <si>
    <t>ASOCIACION DE PRODUCTORES SIERRA MORENA DE SANTA ANA DE PUCUNAN</t>
  </si>
  <si>
    <t>190206</t>
  </si>
  <si>
    <t>DANIEL ALCIDES CARRION</t>
  </si>
  <si>
    <t>SANTA ANA DE TUSI</t>
  </si>
  <si>
    <t>ASOCIACION DE PRODUCTORES SIERRA MORENA DE SANTA ANA DE PUCUNAN - HERMANOS SANCHEZ C.</t>
  </si>
  <si>
    <t>ASOCIACIÓN DE PRODUCTORES DE ROCOTO Y PRODUCTOS AGRICOLAS DE OXAPAMPA "APRPAO"</t>
  </si>
  <si>
    <t>CAPSICUMS</t>
  </si>
  <si>
    <t>ASOCIACION DE PRODUCTORES DE ROCOTO Y PRODUCTOS AGRICOLAS DE OXAPAMPA</t>
  </si>
  <si>
    <t>ORGANIZACION CENTRAL DE PRODUCTORES DE GRANADILLAS ESPECIALES DE LA PROVINCIA DE OXAPAMPA-PASCO</t>
  </si>
  <si>
    <t xml:space="preserve">ORGANIZACION CENTRAL DE PRODUCTORES DE GRANADILLAS ESPECIALES DE LA PROVINCIA DE OXAPAMPA-PASCO
</t>
  </si>
  <si>
    <t>COOPERATIVA COMUNAL SAN PEDRO DE RACCO LTDA</t>
  </si>
  <si>
    <t>COOPERATIVA COMUNAL SAN PEDRO DE RACCO</t>
  </si>
  <si>
    <t>COOPERATIVA COMUNAL DE VICCO LTDA</t>
  </si>
  <si>
    <t>190112</t>
  </si>
  <si>
    <t>VICCO</t>
  </si>
  <si>
    <t>20129772043 </t>
  </si>
  <si>
    <t>COOPERATIVA COMUNAL VICCO LTDA</t>
  </si>
  <si>
    <t>COOPERATIVA COMUNAL DE HUAYLLAY LTDA 16</t>
  </si>
  <si>
    <t>190104</t>
  </si>
  <si>
    <t>HUAYLLAY</t>
  </si>
  <si>
    <t>COOPERATIVA COMUNAL HUAYLLAY LTDA 16</t>
  </si>
  <si>
    <t>COOPERATIVA AGROINDUSTRIAL VILLA RICA GOLDEN COFFEE LTDA</t>
  </si>
  <si>
    <t>COOPERATIVA AGRARIA VILLA RICA GOLDEN COFFEE LTDA.</t>
  </si>
  <si>
    <t>COOPERATIVA ECOLOGICA DE MUJERES CAFETALERAS VILLA RICA</t>
  </si>
  <si>
    <t>COOPERATIVA AGRARIA ECOLOGICA DE MUJERES CAFETALERAS VILLA RICA</t>
  </si>
  <si>
    <t>COMUNIDADES NATIVAS RECOLECTORES DE CASTAÑA DE LA RESERVA COMUNAL AMARAKAERI- ECA-RCA</t>
  </si>
  <si>
    <t>EJECUTOR DE CONTRATO DE ADMINISTRACION DE LA RESERVA COMUNAL AMARAKAERI - ECA AMARAKAERI</t>
  </si>
  <si>
    <t>ASOCIACION DE PRODUCTORES AGROPECUARIOS DE LA PROVINCIA DE MORROPON</t>
  </si>
  <si>
    <t>FRIJOL CAUPI</t>
  </si>
  <si>
    <t>PIURA</t>
  </si>
  <si>
    <t>200405</t>
  </si>
  <si>
    <t>MORROPON</t>
  </si>
  <si>
    <t>COOPERATIVA AGRARIA ECOLOGICA Y SOLIDARIA PIURA</t>
  </si>
  <si>
    <t>PANELA</t>
  </si>
  <si>
    <t>200205</t>
  </si>
  <si>
    <t>AYABACA</t>
  </si>
  <si>
    <t>MONTERO</t>
  </si>
  <si>
    <t>COOPERATIVA AGRARIA ECOLÓGICA Y SOLIDARIA PIURA - CAES PIURA</t>
  </si>
  <si>
    <t>ASOCIACION DE PRODUCTORES AGROPECUARIOS ARTESANALES E INDUSTRIALES SAN FRANCISCO DE LOMA LARGA</t>
  </si>
  <si>
    <t>200306</t>
  </si>
  <si>
    <t>HUANCABAMBA</t>
  </si>
  <si>
    <t>SAN MIGUEL DE EL FAIQUE</t>
  </si>
  <si>
    <t>COOPERATIVA AGROPECUARIA MARCELINO VASQUEZ HUAMAN - COOPAMAVAHU</t>
  </si>
  <si>
    <t>200302</t>
  </si>
  <si>
    <t>CANCHAQUE</t>
  </si>
  <si>
    <t>OPA PAPAYO - LA LAGUNA</t>
  </si>
  <si>
    <t>200305</t>
  </si>
  <si>
    <t>LALAQUIZ</t>
  </si>
  <si>
    <t>ASOCIACIÓN DE PRODUCTORES DE CACAO KEMITO ENE</t>
  </si>
  <si>
    <t>COOPERATIVA AGRARIA KEMITO ENE LTDA. - KEMITO ENE</t>
  </si>
  <si>
    <t>ORGANIZACION ZONAL SAN MIGUEL DE EL FAIQUE</t>
  </si>
  <si>
    <t>ORGANIZACION ZONAL SAN MIGUEL DEL FAIQUE</t>
  </si>
  <si>
    <t>ASOCIACIÓN DE PEQUEÑOS PRODUCTORES AGROPECUARIOS SAN MIGUEL ARCANGEL</t>
  </si>
  <si>
    <t>Sin RUC</t>
  </si>
  <si>
    <t>APPAGROP COLLANAYU</t>
  </si>
  <si>
    <t>200410</t>
  </si>
  <si>
    <t>YAMANGO</t>
  </si>
  <si>
    <t>MANI</t>
  </si>
  <si>
    <t>200203</t>
  </si>
  <si>
    <t>JILILI</t>
  </si>
  <si>
    <t>COOPERATIVA CAFETALERA JOSE GABRIEL CONDORCANQUI</t>
  </si>
  <si>
    <t>COOP AGRARIA CAFET JOSE GABRIEL CONDORCA</t>
  </si>
  <si>
    <t>INDUSTRIAS AGROALIMENTOS EL ESTABLO S.C.R.L.</t>
  </si>
  <si>
    <t>PUNO</t>
  </si>
  <si>
    <t>210701</t>
  </si>
  <si>
    <t>LAMPA</t>
  </si>
  <si>
    <t>INDUSTRIAS AGROALIMENTOS EL ESTABLO SOCIEDAD COMERCIAL DE RESPONSABILIDAD LIMITADA</t>
  </si>
  <si>
    <t>CORPORACIÓN GANADERA RAMIREZ S.A.C.</t>
  </si>
  <si>
    <t>211101</t>
  </si>
  <si>
    <t>SAN ROMAN</t>
  </si>
  <si>
    <t>JULIACA</t>
  </si>
  <si>
    <t>CORPORACION GANADERA RAMIREZ SOCIEDAD ANONIMA CERRADA</t>
  </si>
  <si>
    <t>BIOINDUSTRIAS LACTEAS ESTRELLITA &amp; BELE S.C.R.L.</t>
  </si>
  <si>
    <t>210704</t>
  </si>
  <si>
    <t>NICASIO</t>
  </si>
  <si>
    <t>BIOINDUSTRIAS LACTEAS ESTRELLITA &amp; BELEN EMPRESA INDIVIDUAL DE RESPONSABILIDAD LIMITADA</t>
  </si>
  <si>
    <t>COPAISEG SAN ROMAN LTDA</t>
  </si>
  <si>
    <t>211102</t>
  </si>
  <si>
    <t>CABANA</t>
  </si>
  <si>
    <t>CENTRAL DE COOPERATIVAS QUECHUAS Y AYMARAS</t>
  </si>
  <si>
    <t>210101</t>
  </si>
  <si>
    <t>COOPERATIVA AGRARIA MAIKU MARKA-ACORA</t>
  </si>
  <si>
    <t>COOPERATIVA AGRARIA INDUSTRIALIZADA CABANA LTDA</t>
  </si>
  <si>
    <t>CONSORCIO ALPAQUERO PERU EXPORT</t>
  </si>
  <si>
    <t>COOPERATIVA DE SERVICIOS ESPECIALES ALPAQUERAS - PUNO (CECOALP)</t>
  </si>
  <si>
    <t>CENTRAL DE COOPERATIVAS DE SERVICIOS ESPECIALES ALPAQUERAS DE PUNO LTDA. - CECOALP</t>
  </si>
  <si>
    <t>SOCIEDAD PERUANA DE CRIADORES DE ALPACAS Y LLAMAS DE MACUSANI SPAR MACUSANI</t>
  </si>
  <si>
    <t>210301</t>
  </si>
  <si>
    <t>CARABAYA</t>
  </si>
  <si>
    <t>MACUSANI</t>
  </si>
  <si>
    <t>SOCIEDAD PERUANA DE CRIADORES DE ALPACAS Y LLAMAS DE MACUSANI</t>
  </si>
  <si>
    <t>ASOCIACION DE PRODUCTORES DE PAPAYA ANDINA ORGANICA DE LA PROVINCIA DE SANDIA</t>
  </si>
  <si>
    <t>PAPAYITA ANDINA</t>
  </si>
  <si>
    <t>211201</t>
  </si>
  <si>
    <t>SANDIA</t>
  </si>
  <si>
    <t>ASOCIACION DE PRODUCTORES DE PAPAYA ANDINA ORGÁNICA DE LA PROVINCIA DE SANDIA</t>
  </si>
  <si>
    <t>ASOCIACIÓN DE PRODUCTORES AGROPECUARIOS DE LA PLANTA SAN FRANCISCO SINTIMAYO</t>
  </si>
  <si>
    <t>210708</t>
  </si>
  <si>
    <t>PUCARA</t>
  </si>
  <si>
    <t>ASOCIACION DE PRODUCTORES AGROPECUARIOS DE LA PLANTA SAN FRANCISCO SINTIMAYO</t>
  </si>
  <si>
    <t>COOPERATIVA AGRARIA CAFETALERA SAN IGNACIO LTDA.</t>
  </si>
  <si>
    <t>CENTRAL DE COOPERATIVAS AGRARIAS CAFETERAS DE VALLE DE SANDIA LTDA</t>
  </si>
  <si>
    <t>211207</t>
  </si>
  <si>
    <t>SAN JUAN DEL ORO</t>
  </si>
  <si>
    <t>CENT.DE COOP.AGR. CAF.VALLES SANDIA LTDA</t>
  </si>
  <si>
    <t>ASOCIACION DE PRODUCTORES DE PIÑA DEL VALLE DE SAN GABAN</t>
  </si>
  <si>
    <t>210309</t>
  </si>
  <si>
    <t>SAN GABAN</t>
  </si>
  <si>
    <t>ASOCIACION DE CRIADORES DE ALPACAS, LLAMAS Y VICUÑAS NEVADOS COJATA</t>
  </si>
  <si>
    <t>210107</t>
  </si>
  <si>
    <t>COATA</t>
  </si>
  <si>
    <t>ASOCIACION DE ACOPIO Y PRODUCTORES DE GANADO - TRAPICHE</t>
  </si>
  <si>
    <t>211002</t>
  </si>
  <si>
    <t>SAN ANTONIO DE PUTINA</t>
  </si>
  <si>
    <t>ANANEA</t>
  </si>
  <si>
    <t>ASOCIACIÓN DE PRODUCTORES AGROPECUARIOS HUAYLLANI APU TORRINI AYAVIRI</t>
  </si>
  <si>
    <t>210801</t>
  </si>
  <si>
    <t>MELGAR</t>
  </si>
  <si>
    <t>AYAVIRI</t>
  </si>
  <si>
    <t>ASOCIACION DE PRODUCTORES AGROPECUARIOS HUAYLLANI APU TORRINI AYAVIRI</t>
  </si>
  <si>
    <t>ASOCIACION DE PEQUEÑOS PRODUCTORES AGROPECUARIOS "25 DE DICIEMBRE"</t>
  </si>
  <si>
    <t>ASOCIACION DE MUJERES EMPRENDEDORAS DE NUEVO PROGRESO</t>
  </si>
  <si>
    <t>SAN MARTIN</t>
  </si>
  <si>
    <t>221002</t>
  </si>
  <si>
    <t>TOCACHE</t>
  </si>
  <si>
    <t>NUEVO PROGRESO</t>
  </si>
  <si>
    <t>COOPERATIVA AGROINDUSTRIAL UCHIZA LTDA</t>
  </si>
  <si>
    <t>221005</t>
  </si>
  <si>
    <t>UCHIZA</t>
  </si>
  <si>
    <t>COOPERATIVA DE SERVICIOS MULTIPLES ADISA NARANJOS</t>
  </si>
  <si>
    <t>220805</t>
  </si>
  <si>
    <t>RIOJA</t>
  </si>
  <si>
    <t>PARDO MIGUEL</t>
  </si>
  <si>
    <t>COOPERATIVA AGRARIA NUEVO AMANECER LTDA.</t>
  </si>
  <si>
    <t>220503</t>
  </si>
  <si>
    <t>LAMAS</t>
  </si>
  <si>
    <t>BARRANQUITA</t>
  </si>
  <si>
    <t>ASOCIACIÓN DE PRODUCTORES DE CACAO ORGANICO PUSHARO MANU</t>
  </si>
  <si>
    <t>170201</t>
  </si>
  <si>
    <t>MANU</t>
  </si>
  <si>
    <t>ASOCIACIÓN DE PRODUCTORES DE CACAO ORGÁNICO PUSHARO MANU</t>
  </si>
  <si>
    <t>COOPERATIVA AGRARIA DE SERVICIOS MULTIPLES CAFE DONCEL</t>
  </si>
  <si>
    <t>220105</t>
  </si>
  <si>
    <t>MOYOBAMBA</t>
  </si>
  <si>
    <t>SORITOR</t>
  </si>
  <si>
    <t>COOPERATIVA AGROINDUSTRIAL DEL PALMITO APROPAL L TDA</t>
  </si>
  <si>
    <t>PALMITO</t>
  </si>
  <si>
    <t>220504</t>
  </si>
  <si>
    <t>CAYNARACHI</t>
  </si>
  <si>
    <t>COOPERATIVA AGRARIA DEL PALMITO APROPAL</t>
  </si>
  <si>
    <t>ASOCIACIÓN DE PRODUCTORES DE CACAO SAN FRANCISCO MADRE DE DIOS - ASPROC-SF-MDD</t>
  </si>
  <si>
    <t>170103</t>
  </si>
  <si>
    <t>LAS PIEDRAS</t>
  </si>
  <si>
    <t>ASOCIACION DE PRODUCTORES DE CACAO SAN FRANCISCO MADRE DE DIOS</t>
  </si>
  <si>
    <t>COOPERATIVA AGROINDUSTRIAL DE CITRICULTORES - JUANJUI LTDA.</t>
  </si>
  <si>
    <t>220601</t>
  </si>
  <si>
    <t>MARISCAL CACERES</t>
  </si>
  <si>
    <t>JUANJUI</t>
  </si>
  <si>
    <t>ASOCIACION DE PRODUCTORES AGROPECUARIOS RIO MAYO SHANAO</t>
  </si>
  <si>
    <t>220701</t>
  </si>
  <si>
    <t>PICOTA</t>
  </si>
  <si>
    <t xml:space="preserve">ASOCIACION DE PRODUCTORES AGROPECUARIOS RIO MAYO SHANAO
</t>
  </si>
  <si>
    <t>COOPERATIVA DE SERVICIO MULTIPLES CAPEMA</t>
  </si>
  <si>
    <t>220804</t>
  </si>
  <si>
    <t>NUEVA CAJAMARCA</t>
  </si>
  <si>
    <t>"COOPERATIVA DE SERVICIOS MULTIPLES CAPEMA"</t>
  </si>
  <si>
    <t>ASOCIACION DE PRODUCTORES ECOLOGICOS DE CACAO MEDIO URUBAMBA IVOCHOTE - APECMU</t>
  </si>
  <si>
    <t>ASOCIACION DE PRODUCTORES ECOLOGICOS DE CACAO MEDIO URUBAMBA - IVOCHOTE</t>
  </si>
  <si>
    <t>COOPERATIVA DE SERVICIOS MULTIPLES FRUTOS DE SELVA</t>
  </si>
  <si>
    <t>220101</t>
  </si>
  <si>
    <t xml:space="preserve">ASOCIACION DE MUJERES ORGANIZADAS CHOCO WARMIS </t>
  </si>
  <si>
    <t>220301</t>
  </si>
  <si>
    <t>EL DORADO</t>
  </si>
  <si>
    <t>SAN JOSE DE SISA</t>
  </si>
  <si>
    <t>20572111131 </t>
  </si>
  <si>
    <t>ASOCIACION DE MUJERES ORGANIZADAS CHOCO WARMIS</t>
  </si>
  <si>
    <t>ASOCIACIÓN DE PRODUCTORES AMAZONAS - ALTO MAYO</t>
  </si>
  <si>
    <t>FONGAL TACNA</t>
  </si>
  <si>
    <t>230101</t>
  </si>
  <si>
    <t>TACNA</t>
  </si>
  <si>
    <t>ASOCIACIÓN DE FRUTICULTORES Y AGROINDUSTRIALES DEL VALLE DE CINTO - LOCUMBA</t>
  </si>
  <si>
    <t>230301</t>
  </si>
  <si>
    <t>JORGE BASADRE</t>
  </si>
  <si>
    <t>LOCUMBA</t>
  </si>
  <si>
    <t>ASOCIACION DE FRUTICULTORES Y AGROINDUSTRIALES DEL VALLE CINTO LOCUMBA</t>
  </si>
  <si>
    <t>ASOCIACIÓN DE PRODUCTORES AGROINDUSTRIALES DE CORAGUAYA</t>
  </si>
  <si>
    <t>230302</t>
  </si>
  <si>
    <t>ILABAYA</t>
  </si>
  <si>
    <t>ASOCIACION DE PRODUCTORES AGROINDUSTRIALES CORAGUAYA</t>
  </si>
  <si>
    <t>ASOCIACIÓN UNIÓN FORESTAL DE TARA DE PAMPA SITANA</t>
  </si>
  <si>
    <t>ASOCIACION UNION FORESTAL DE TARA - ASOC. UNION FORESTAL DE TARA</t>
  </si>
  <si>
    <t>ASOCIACIÓN DE PRODUCTORES DE ORÉGANO MURALLA</t>
  </si>
  <si>
    <t>230205</t>
  </si>
  <si>
    <t>CANDARAVE</t>
  </si>
  <si>
    <t>HUANUARA</t>
  </si>
  <si>
    <t>ASOCIACION DE PRODUCTORES DE OREGANO MURALLA</t>
  </si>
  <si>
    <t>ASOCIACION DE PRODUCTORES AGRARIOS DE SUSAPAYA</t>
  </si>
  <si>
    <t>230406</t>
  </si>
  <si>
    <t>TARATA</t>
  </si>
  <si>
    <t>SUSAPAYA</t>
  </si>
  <si>
    <t>ASOCIACION DE MUJERES AGROPECUARIAS ARTESANALES Y TURISTICA GRANJA DE CUYES VIRGEN DE LA ASUNTA DE CURIBAYA</t>
  </si>
  <si>
    <t>230204</t>
  </si>
  <si>
    <t>CURIBAYA</t>
  </si>
  <si>
    <t>ASOC. DE MUJERES AGROPECUARIAS ARTESANALES Y TURISTICA GRANJA DE CUYES VIRGEN LA ASUNTA DE CURIBAYA</t>
  </si>
  <si>
    <t>ASOCIACION AGROINDUSTRIAL DE PLANTAS AROMATICAS ECOANDES</t>
  </si>
  <si>
    <t>230206</t>
  </si>
  <si>
    <t>QUILAHUANI</t>
  </si>
  <si>
    <t>COOPERATIVA AGRARIA ALLIMA CACAO LTDA.</t>
  </si>
  <si>
    <t>220904</t>
  </si>
  <si>
    <t>CHAZUTA</t>
  </si>
  <si>
    <t>ASOCIACIÓN DE PRODUCTORES ECOLÓGICOS DEL CASERíO SAN CRISTÓBAL DE AGUA BLANCA (APECAB)</t>
  </si>
  <si>
    <t>UCAYALI</t>
  </si>
  <si>
    <t>250102</t>
  </si>
  <si>
    <t>CORONEL PORTILLO</t>
  </si>
  <si>
    <t>CAMPOVERDE</t>
  </si>
  <si>
    <t>ASOCIACIÓN DE PRODUCTORES ECOLÓGICOS DEL CASERÍO SAN CRISTÓBAL DE AGUA BLANCA</t>
  </si>
  <si>
    <t>COOPERATIVA AGRARIA CAFETALERA CORDILLERA AZUL</t>
  </si>
  <si>
    <t>250301</t>
  </si>
  <si>
    <t>PADRE ABAD</t>
  </si>
  <si>
    <t>COOPERATIVA AGRARIA CAFETALERA COORDILLERA AZUL DE UCAYALI LTDA</t>
  </si>
  <si>
    <t>COOPERATIVA AGROINDUSTRIAL YARINACOCHA</t>
  </si>
  <si>
    <t>250105</t>
  </si>
  <si>
    <t>YARINACOCHA</t>
  </si>
  <si>
    <t>ASOCIACIÓN DE AGRICULTORES PLATANEROS DE PADRE ABAD</t>
  </si>
  <si>
    <t>ASOCIACION DE AGRICULTORES PLATANEROS DE PADRE ABAD</t>
  </si>
  <si>
    <t>ASOCIACION DE PRODUCTORES DE PALMITO DE AGUAYTIA</t>
  </si>
  <si>
    <t>ASOCIACION DE PRODUCTORES ECOLOGICOS EL PIMENTAL</t>
  </si>
  <si>
    <t>COOPERATIVA AGRARIA CACAOTERA PUERTO INCA</t>
  </si>
  <si>
    <t>100901</t>
  </si>
  <si>
    <t>PUERTO INCA</t>
  </si>
  <si>
    <t>COOPERATIVA AGRARIA ASCAH</t>
  </si>
  <si>
    <t>COOPERATIVA AGRARIA INDUSTRIAL MONTE ALEGRE REGION UCAYALI</t>
  </si>
  <si>
    <t>250304</t>
  </si>
  <si>
    <t>NESHUYA</t>
  </si>
  <si>
    <t>COOPERATIVA AGRARIA INDUSTRIAL MONTE ALEGRE - REGION UCAYALI (CAIMARU)</t>
  </si>
  <si>
    <t>COMITE CENTRAL CON DESARROLLO AL FUTURO DE CURIMANA</t>
  </si>
  <si>
    <t>250303</t>
  </si>
  <si>
    <t>CURIMANA</t>
  </si>
  <si>
    <t>COOPERATIVA AGRARIA CACAOTERA SAN ALEJANDRO - CACSA</t>
  </si>
  <si>
    <t>250302</t>
  </si>
  <si>
    <t>IRAZOLA</t>
  </si>
  <si>
    <t>COOPERATIVA AGRARIA CACAOTERA SAN ALEJANDRO LTDA</t>
  </si>
  <si>
    <t>COOPERATIVA ECOLOGICA AGROINDUSTRIAL DE CURIMANA LTDA.</t>
  </si>
  <si>
    <t>COOPERATIVA AGRARIA ECOLOGICA AGROINDUSTRIAL DE CURIMANA LTDA..</t>
  </si>
  <si>
    <t>ASOCIACION DE PRODUCTORES AGRARIOS STA. ELENA</t>
  </si>
  <si>
    <t>250104</t>
  </si>
  <si>
    <t>MASISEA</t>
  </si>
  <si>
    <t>ASOCIACION DE PRODUCTORES AGRARIOS SANTA ELENA</t>
  </si>
  <si>
    <t>CENTRO UNICO DE AGRICULTORES PLATANEROS DE PADRE ABAD</t>
  </si>
  <si>
    <t>CENTRO UNICO DE AGRICULTORES PLATANEROS DE LA PROVINCIA DE PADRE ABAD</t>
  </si>
  <si>
    <t>ASOCIACIÓN DE MUJERES EMPRENDEDORAS FLOR DE BOQUERON</t>
  </si>
  <si>
    <t>ASOCIACION DE MUJERES EMPRENDEDORAS FLOR DE BOQUERON</t>
  </si>
  <si>
    <t>ASOCIACION DE AGRICULTORES DEL CENTRO POBLADO SAN JOSE DE YARINACOCHA</t>
  </si>
  <si>
    <t>ASOCIACION DE MUJERES CHOCOLATERAS CHOCOLATE CORAZON DE NOLBERTH ALTO URUYA</t>
  </si>
  <si>
    <t>ASOCIACION AGROINDUSTRIAS PROGRESO</t>
  </si>
  <si>
    <t>ASOCIACION DE PRODUCTORES AGROPECUARIOS Y PLANTAS AROMATICAS SAN JUNE</t>
  </si>
  <si>
    <t>180106</t>
  </si>
  <si>
    <t>TORATA</t>
  </si>
  <si>
    <t>ASOCIACION DE PRODUCTORES LA FRUTA DEL DRAGON - CHURUJA</t>
  </si>
  <si>
    <t>PITAHAYA</t>
  </si>
  <si>
    <t>010303</t>
  </si>
  <si>
    <t>BONGARA</t>
  </si>
  <si>
    <t>CHURUJA</t>
  </si>
  <si>
    <t>ASOCIACIÓN DE PRODUCTORES LA FRUTA DEL DRAGÓN-CHURUJA</t>
  </si>
  <si>
    <t>ASOCIACION PRODUCTIVA AGROECOLOGICA DE MENDOZA</t>
  </si>
  <si>
    <t>010609</t>
  </si>
  <si>
    <t>OMIA</t>
  </si>
  <si>
    <t>ASOCIACION DE PRODUCTORES AGROPECUARIOS HUASCARAN DEL DISTRITO DE RANRAHIRCA, PROVINCIA DE YUNGAY</t>
  </si>
  <si>
    <t>022006</t>
  </si>
  <si>
    <t>YUNGAY</t>
  </si>
  <si>
    <t>RANRAHIRCA</t>
  </si>
  <si>
    <t>ASOCIACION DE PRODUCTORES Y EXPORTADORES FUNDO LUISA VICTORIA ASPREXFLV</t>
  </si>
  <si>
    <t>MANGO</t>
  </si>
  <si>
    <t>COOPERATIVA AGRARIA DE SERVICIO MULTIPLES APURIMAQ Ltda.</t>
  </si>
  <si>
    <t>COOPERATIVA AGRARIA DE SERVICIOS MULTIPLES APU RIMAQ LTDA-COOP. APU RIMAQ LTDA</t>
  </si>
  <si>
    <t>ASOCIACION DE PRODUCTORES AGROPECUARIOS LA VICTORIA OSCCOLLO COCHARCAS</t>
  </si>
  <si>
    <t>SOCIEDAD PERUANA DE CRIADORES DE ALPACAS Y LLAMAS REGISTRADAS DE LA REGION APURIMAC</t>
  </si>
  <si>
    <t>SOCIEDAD PERUANA DE CRIADORES DE ALPACAS Y LLAMAS REGISTRADAS DE LA REGION DE APURIMAC</t>
  </si>
  <si>
    <t>ASOCIACION CENTRAL DE PRODUCTORES LACTEOS DEL DISTRITO DE YARABAMBA</t>
  </si>
  <si>
    <t>040127</t>
  </si>
  <si>
    <t>YARABAMBA</t>
  </si>
  <si>
    <t>COOPERATIVA DE SERVICIOS MULTIPLES EL MISTI DE LA RESERVA NACIONAL DE SALINAS Y AGUADA BLANCA - MISTI R.N.S.A.B</t>
  </si>
  <si>
    <t>040514</t>
  </si>
  <si>
    <t>SAN ANTONIO DE CHUCA</t>
  </si>
  <si>
    <t>MISTI R.N.S.A.B.</t>
  </si>
  <si>
    <t>ASOCIACION DE CRIADORES AGROPECUARIOS MULTIPLES AGUA DULCE UMAJALA - ACRAMADU</t>
  </si>
  <si>
    <t>040510</t>
  </si>
  <si>
    <t>LARI</t>
  </si>
  <si>
    <t>ASOCIACION DE PRODUCTORES AGROPECUARIOS ECOLOGICOS CRUZ DE PLATA TUTI-COLCA - AGROECOTUTI - COLCA</t>
  </si>
  <si>
    <t>040518</t>
  </si>
  <si>
    <t>TUTI</t>
  </si>
  <si>
    <t>MAÍZ MORADO</t>
  </si>
  <si>
    <t>ASOCIACION LA JOYA AGRO EXPORT</t>
  </si>
  <si>
    <t>ASOCIACION CULTIAGRO EXPORT LA JOYA NUEVA GENERACION</t>
  </si>
  <si>
    <t>ASOCIACIÓN DE AGRICULTORES EXPORTADORES MAJES CON FUTURO</t>
  </si>
  <si>
    <t>ASOCIACION NUEVO AMANECER DEL CASERIO DE PURUAY BAJO</t>
  </si>
  <si>
    <t>ASOCIACION NUEVO AMANECER CASERIO PURUAY BAJO</t>
  </si>
  <si>
    <t>ASOCIACION DE PRODUCTORES AGROPECUARIOS LOS EMPRENDEDORES DEL NORTE</t>
  </si>
  <si>
    <t>060601</t>
  </si>
  <si>
    <t>"ASOCIACION DE PRODUCTORES AGROPECUARIOS LOS EMPRENDEDORES DEL NORTE"</t>
  </si>
  <si>
    <t>ASOCIACION DE PRODUCTORES AGROPECUARIOS E INDUSTRIALES DE APALIN - AGROAPA</t>
  </si>
  <si>
    <t>060108</t>
  </si>
  <si>
    <t>LOS BAÑOS DEL INCA</t>
  </si>
  <si>
    <t>COOP. AG. SOCIEDAD AGRICOLA DE INTERES SOCIAL JOSE CARLOS MARIATEGUI LTDA.N°16 SUNCHUBAMBA Y ANEXOS</t>
  </si>
  <si>
    <t>060104</t>
  </si>
  <si>
    <t>COSPAN</t>
  </si>
  <si>
    <t>ASOCIACION DE PRODUCTORES AGROPECUARIOS E INDUSTRIALES DEL DISTRITO DE MATARA</t>
  </si>
  <si>
    <t>060110</t>
  </si>
  <si>
    <t>MATARA</t>
  </si>
  <si>
    <t>ASOCIACION DE PRODUCTORES AGRICOLAS VILLA HERMOSA - CHUQUIBAMBA</t>
  </si>
  <si>
    <t>060202</t>
  </si>
  <si>
    <t>CACHACHI</t>
  </si>
  <si>
    <t>ASOCIACION DE PRODUCTORES AGROPECUARIOS-ISCOCUCHO - APROAGRI</t>
  </si>
  <si>
    <t>061101</t>
  </si>
  <si>
    <t>ASOCIACION DE PRODUCTORES AGROPECUARIOS LOS EMPRENDEDORES DE CAJABAMBA - APALEC</t>
  </si>
  <si>
    <t>060501</t>
  </si>
  <si>
    <t>CONTUMAZA</t>
  </si>
  <si>
    <t>COMUNIDAD ANDINA DE UMUTU</t>
  </si>
  <si>
    <t>ASOCIACION DE PRODUCTORES LACTEOS DE CUATRO LAGUNAS POMACANCHI</t>
  </si>
  <si>
    <t>080201</t>
  </si>
  <si>
    <t>ACOMAYO</t>
  </si>
  <si>
    <t>COMUNIDAD CAMPESINA DE CCATACAMARA</t>
  </si>
  <si>
    <t>ASOCIACION DE PRODUCTORES AGROPECUARIOS AGROECOLOGICOS BARRIAL Y YANATILE</t>
  </si>
  <si>
    <t>ASOCIACION DE PRODUCTORES AGROPECUARIOS DE CAMPANAYOC</t>
  </si>
  <si>
    <t>ASOCIACION DE PRODUCTORES AGROPECUARIOS CAMPANAYOC</t>
  </si>
  <si>
    <t>ASOCIACION DE FRUTICULTORES DE QUESQUENTO</t>
  </si>
  <si>
    <t>ASOCIACION DE FRUCTICULTORES DE QUESQUENTO</t>
  </si>
  <si>
    <t>ASOCIACION CENTRAL DE PRODUCTORES Y CRIADORES DE ALPACAS Y LLAMAS OCONGATE - SPAR OCONGATE</t>
  </si>
  <si>
    <t>ASOCIACIÓN CENTRAL PRODUCTORES Y CRIADORES DE ALPACAS Y LLAMAS OCONGATE CUSCO-APROCALLOC</t>
  </si>
  <si>
    <t>ASOCIACION PERUANA DE PRODUCTORES DE ALPACAS Y LLAMAS SPAR - PALLPATA</t>
  </si>
  <si>
    <t>080801</t>
  </si>
  <si>
    <t>ESPINAR</t>
  </si>
  <si>
    <t>ASOCIACION PERUANA DE PRODUCTORES DE ALPACAS Y LLAMAS SPAR - DISTRITAL DE PALLPATA</t>
  </si>
  <si>
    <t>ASOCIACIÓN DE PRODUCTORES AGROPECUARIOS DE CAMAYOC</t>
  </si>
  <si>
    <t>090401</t>
  </si>
  <si>
    <t>CASTROVIRREYNA</t>
  </si>
  <si>
    <t>ASOCIACION DE PRODUCTORES AGROPECUARIOS DE CAMAYOC</t>
  </si>
  <si>
    <t>ASOCIACIÓN DE PRODUCTORES AGROPECUARIOS Y AGROINDUSTRIALES NUEVA ESPERANZA DE CIUTAY</t>
  </si>
  <si>
    <t>ASOCIACION DE PRODUCTORES AGROPECUARIOS Y AGROINDUSTRIALES NUEVA ESPERANZA DE CIUTAY</t>
  </si>
  <si>
    <t>ASOCIACIÓN NUEVO TRIUNFO DE QUINUAPATA</t>
  </si>
  <si>
    <t>090601</t>
  </si>
  <si>
    <t>ASOCIACION NUEVO TRIUNFO DE QUINUAPATA</t>
  </si>
  <si>
    <t>ASOCIACIÓN DE PRODUCTORES AGROPECUARIOS AYLLU ROMERO - ASPROAGRO ROMERO</t>
  </si>
  <si>
    <t>ASOCIACION DE MUJERES ALLIN LLAMKAY</t>
  </si>
  <si>
    <t>ASOCIACIÓN DE MUJERES PRODUCTORAS DE FLOR BLANCA</t>
  </si>
  <si>
    <t>ASOCIACION DE MUJERES PRODUCTORAS DE FLOR BLANCA</t>
  </si>
  <si>
    <t>ASOCIACIÓN DE PRODUCTORES LAGUNA LA BOA</t>
  </si>
  <si>
    <t>ASOCIACION DE PRODUCTORES LAGUNA LA BOA</t>
  </si>
  <si>
    <t>FEDERACION AGROPECUARIA DEL DISTRITO DE UMARI</t>
  </si>
  <si>
    <t>100804</t>
  </si>
  <si>
    <t>UMARI</t>
  </si>
  <si>
    <t>ASOCIACION DE PRODUCTORES AGROPECUARIOS Y ARTESANALES YAWARCOCHA</t>
  </si>
  <si>
    <t>100201</t>
  </si>
  <si>
    <t>ASOCIACION DE PRODUCTORES AGROPECUARIOS DEL VALLE DE VISTA ALEGRE - PARIAHUANCA</t>
  </si>
  <si>
    <t>120101</t>
  </si>
  <si>
    <t>ASOCIACION DE PRODUCTORES AGROPECUARIOS FORESTAL Y ECOLOGICO WANKA SUR</t>
  </si>
  <si>
    <t>ASOCIACIÓN DE PRODUCTORES AGROINDUSTRIALES Y SERVICIOS MÃŠLTIPLES HUAYNA PICCHU VRAE</t>
  </si>
  <si>
    <t>120301</t>
  </si>
  <si>
    <t>ASOCIACIÓN DE PRODUCTORES AGROINDUSTRIALES Y SERVICIOS MÚLTIPLES HUAYNA PICCHU VRAE</t>
  </si>
  <si>
    <t>COOPERATIVA AGROINDUSTRIAL KIVINAKI</t>
  </si>
  <si>
    <t>COOPERATIVA AGRARIA KIVINAKI</t>
  </si>
  <si>
    <t>ASOCIACION DE PRODUCTORES AGROINDUSTRIALES SANTA ROSA</t>
  </si>
  <si>
    <t>130601</t>
  </si>
  <si>
    <t>ASOCIACION DE PRODUCTORES AGROECOLOGICOS E INDUSTRIALES SUPER CAMPO</t>
  </si>
  <si>
    <t>130906</t>
  </si>
  <si>
    <t>SANAGORAN</t>
  </si>
  <si>
    <t>ASOCIACION DE AGRICULTORES Y PRODUCTORES UIKANA SAMUNAS</t>
  </si>
  <si>
    <t>YUCA</t>
  </si>
  <si>
    <t>COOPERATIVA AGRARIA ACHUAR SHAKAIM LTDA</t>
  </si>
  <si>
    <t>160701</t>
  </si>
  <si>
    <t>DATEM DEL MARAÑON</t>
  </si>
  <si>
    <t>BARRANCA</t>
  </si>
  <si>
    <t>ASOCIACIÓN DE PRODUCTORES Y MANEJO DE AGUAJE ASPROMAG</t>
  </si>
  <si>
    <t>160705</t>
  </si>
  <si>
    <t>PASTAZA</t>
  </si>
  <si>
    <t>ASOCIACION DE PRODUCTORES Y MANEJO DE AGUAJE</t>
  </si>
  <si>
    <t>COMUNIDAD NATIVA HUITOTOS DE FORTALEZA</t>
  </si>
  <si>
    <t>160107</t>
  </si>
  <si>
    <t>NAPO</t>
  </si>
  <si>
    <t>COMUNIDAD NATIVA DE HUITOTOS DE FORTALEZA</t>
  </si>
  <si>
    <t>ASOCIACION DE PEQUEÑOS PRODUCTORES AGROPECUARIOS ULLMA</t>
  </si>
  <si>
    <t>200301</t>
  </si>
  <si>
    <t>OPA MARAY-ULLMA SAN LORENZO</t>
  </si>
  <si>
    <t>COOPERATIVA DE SERVICIOS ESPECIALES DE CRIADORES DE CAMELIDOS ANDINOS DE LA COMUNIDAD CAMPESINA DE LAGUNILLAS</t>
  </si>
  <si>
    <t>COOPERATIVA DE SERVICIOS ESPECIALES DE CRIADORES DE CAMELIDOS ANDINOS DE LA COMUNIDAD CAMPESINA LAGU</t>
  </si>
  <si>
    <t>COOPERATIVA DE SERVICIOS SAN SANTIAGO - ACORA</t>
  </si>
  <si>
    <t>ASOCIACIÓN DE PRODUCTORES SELVA NORORIENTAL</t>
  </si>
  <si>
    <t>COOPERATIVA AGRARIA DE FAMILIAS CAMPESINAS EMPRENDEDORAS Y RESILIENTES DEL PERU - CAFCER</t>
  </si>
  <si>
    <t>220501</t>
  </si>
  <si>
    <t>COOPERATIVA AGRARIA DE FAMILIAS CAMPESINAS EMPRENDEDORAS Y RESILIENTES DEL PERÚ - CAFCER</t>
  </si>
  <si>
    <t>COOPERATIVA AGRARIA ALTO MAYO NUEVA CAJAMARCA.</t>
  </si>
  <si>
    <t>ARROZ</t>
  </si>
  <si>
    <t>220801</t>
  </si>
  <si>
    <t>COOPERATIVA AGRARIA ALTO MAYO NUEVA CAJAMARCA</t>
  </si>
  <si>
    <t>ASOCIACIÓN DE PRODUCTORES DE FLORES NATIVAS, AGROINDUSTRIALES, PISCICOLA Y MEDIO AMBIENTE UCAYALI - APFLONAPU</t>
  </si>
  <si>
    <t>ASOCIACION DE PRODUCTORES DE FLORES NATIVAS, AGROINDUSTRIALES, PISCICOLA Y MEDIO AMBIENTE - UCAYALI</t>
  </si>
  <si>
    <t>ASOCIACIÓN PARA LA CONSERVACION Y PRESERVACION DE LA BIODIVERSIDAD CHAUCA</t>
  </si>
  <si>
    <t>UÑA DE GATO</t>
  </si>
  <si>
    <t>250107</t>
  </si>
  <si>
    <t>MANANTAY</t>
  </si>
  <si>
    <t>ASOCIACION PARA LA CONSERVACION Y PRESERVACION DE LA BIODIVERSIDAD CHAUCA</t>
  </si>
  <si>
    <t>ASOCIACION DE PRODUCTORES FRUTICOLA HUAQUISH PARARIN</t>
  </si>
  <si>
    <t>021708</t>
  </si>
  <si>
    <t>RECUAY</t>
  </si>
  <si>
    <t>PARARIN</t>
  </si>
  <si>
    <t xml:space="preserve"> ASOCIACION DE PRODUCTORES FRUTICOLA HUAQUISH PARARIN</t>
  </si>
  <si>
    <t>ASOCIACION DE PRODUCTORES PALTO MARCAHUASI-MOLLEPATA</t>
  </si>
  <si>
    <t>080307</t>
  </si>
  <si>
    <t>MOLLEPATA</t>
  </si>
  <si>
    <t>ASOCIACION DE PRODUCTORES FRUTICOLAS HUAQUISH POCOR - APROFUT HUAQUISH POCOR</t>
  </si>
  <si>
    <t>COOPERATIVA AGROINDUSTRIAL NEBLINA DE CARPISH LIMITADA</t>
  </si>
  <si>
    <t>ASOCIACIÓN EMPRENDEDOR DE LOS ANDES</t>
  </si>
  <si>
    <t>230404</t>
  </si>
  <si>
    <t>ESTIQUE-PAMPA</t>
  </si>
  <si>
    <t>ASOCIACION EMPRENDEDOR DE LOS ANDES</t>
  </si>
  <si>
    <t>ASOCIACION DE PRODUCTORES AGROPECUARIOS SAN RAFAEL DE PIPISH CHALLANA - CHINCHAO</t>
  </si>
  <si>
    <t>ASOCIACIÓN DE PRODUCTORES AGROPECUARIOS HUALLAHUALLANI - CURIBAYA</t>
  </si>
  <si>
    <t>ZAPALLO</t>
  </si>
  <si>
    <t>ASOCIACION DE PRODUCTORES AGROPECUARIOS HUALLAHUALLANI-CURIBAYA</t>
  </si>
  <si>
    <t>ASOCIACION DE PEQUEÑOS PRODUCTORES AGROPECUARIOS SAN LORENZO DE LALAQUIZ</t>
  </si>
  <si>
    <t>200101</t>
  </si>
  <si>
    <t>COOPERATIVA AGRARIA CAFETALERA LAGUNA DE LOS CÓNDORES</t>
  </si>
  <si>
    <t>010509</t>
  </si>
  <si>
    <t>LUYA</t>
  </si>
  <si>
    <t>COOPERATIVA AGRARIA CAFETALERA OCUMAL</t>
  </si>
  <si>
    <t>010513</t>
  </si>
  <si>
    <t>OCUMAL</t>
  </si>
  <si>
    <t>COOPERATIVA AGRARIA ECOLOGICA CAFETALERA DE LONYA GRANDE</t>
  </si>
  <si>
    <t>ASOCIACIÓN DE PRODUCTORES AGROPECUARIOS DON ANDRES - AMAZONAS</t>
  </si>
  <si>
    <t>010502</t>
  </si>
  <si>
    <t>CAMPORREDONDO</t>
  </si>
  <si>
    <t>ASOCIACION DE PRODUCTORES AGROPECUARIOS DON ANDRES-AMAZONAS</t>
  </si>
  <si>
    <t>COOPERATIVA AGRARIA YAKATHEO DEL AMAZONAS COOPAYAKAT</t>
  </si>
  <si>
    <t>010205</t>
  </si>
  <si>
    <t>IMAZA</t>
  </si>
  <si>
    <t>COOPERATIVA INDIGENA AWAJUN WAMPIS AGRARIA TUNTANAIN LTDA</t>
  </si>
  <si>
    <t>010401</t>
  </si>
  <si>
    <t>CONDORCANQUI</t>
  </si>
  <si>
    <t>NIEVA</t>
  </si>
  <si>
    <t>COOPERATIVA INDIGENA AWAJUN WAMPIS AGRARIA TUNTANAIN LTDA.</t>
  </si>
  <si>
    <t>COOPERATIVA AGRARIA PITAHAYA AMAZONAS</t>
  </si>
  <si>
    <t>COOPERATIVA AGRARIA WARMI TARPUY</t>
  </si>
  <si>
    <t>ASOCIACION DE PRODUCTORES ALPAQUEROS PISCICULTORES Y ARTESANOS DEL DISTRITO DE CAYLLOMA</t>
  </si>
  <si>
    <t>ASOCIACION AGROPECUARIA LLOQICHAYOCC</t>
  </si>
  <si>
    <t>COOPERATIVA DE PRODUCCION Y SERVICIOS ESPECIALES DE LOS PRODUCTORES DE CUYES DE HUANTA-COOPROCUY HUA</t>
  </si>
  <si>
    <t>050404</t>
  </si>
  <si>
    <t>IGUAIN</t>
  </si>
  <si>
    <t>ASOCIACION DE PRODUCTORES VALLE SUMAQ ESMERALDA</t>
  </si>
  <si>
    <t>050401</t>
  </si>
  <si>
    <t>ASOCIACION DE PRODUCTORES AGROPECUARIOS VALLE IRIBAMBA</t>
  </si>
  <si>
    <t>050405</t>
  </si>
  <si>
    <t>LURICOCHA</t>
  </si>
  <si>
    <t>ASOCIACION AGROPECUARIA ATALAMBRA-LURICOCHA-HUANTA</t>
  </si>
  <si>
    <t>ASOCIACION DE PRODUCTORES AGROPECUARIOS TECNIFICADOS Y MULTISERVICIOS ARIZONA - APROATECMA</t>
  </si>
  <si>
    <t>050114</t>
  </si>
  <si>
    <t>VINCHOS</t>
  </si>
  <si>
    <t>ASOCIACION DE PRODUCTORES AGROPECUARIOS UNION TAULLINO</t>
  </si>
  <si>
    <t>050302</t>
  </si>
  <si>
    <t>HUANCA SANCOS</t>
  </si>
  <si>
    <t>CARAPO</t>
  </si>
  <si>
    <t>ASOCIACION AGROPECUARIOS - MANCHIRI</t>
  </si>
  <si>
    <t>ASOCIACION AGROPECUARIA VIRGEN INMACULADA CONCEPCION DE ACOS VINCHOS - HUAMANGA</t>
  </si>
  <si>
    <t>050103</t>
  </si>
  <si>
    <t>ACOS VINCHOS</t>
  </si>
  <si>
    <t>ASOCIACIÓN DE PRODUCTORES AGROPECUARIOS LOS ANDENES EN LA CUMBRE DE LA TIERRA</t>
  </si>
  <si>
    <t>QUESOS</t>
  </si>
  <si>
    <t>061204</t>
  </si>
  <si>
    <t>SAN PABLO</t>
  </si>
  <si>
    <t>TUMBADEN</t>
  </si>
  <si>
    <t>ASOCIACION DE PRODUCTORES AGROPECUARIOS LOS ANDENES EN LA CUMBRE DE LA TIERRA</t>
  </si>
  <si>
    <t>ASOCIACION DE PRODUCTORES AGROPERU MANDOVA</t>
  </si>
  <si>
    <t>ASOCIACION DE PRODUCTORES CAFETALEROS AGROECOLOGICOS SAN JUAN</t>
  </si>
  <si>
    <t>060901</t>
  </si>
  <si>
    <t>ASOCIACIÓN DE PRODUCTORES DE CUY - EL OLIVO / APROCUYOL</t>
  </si>
  <si>
    <t>ASOCIACION DE PRODUCTORES AGROPECUARIOS NUEVO MILENIO DE CHUQUIBAMBA - APANMIC</t>
  </si>
  <si>
    <t>ASOCIACION DE PRODUCTORES AGROPECUARIOS SHICOMUMI ICHOCAN</t>
  </si>
  <si>
    <t>061001</t>
  </si>
  <si>
    <t>SAN MARCOS</t>
  </si>
  <si>
    <t>PEDRO GALVEZ</t>
  </si>
  <si>
    <t>COOPERATIVA AGRARIA CAFETALERA CCOCHAPAMPA LTDA.</t>
  </si>
  <si>
    <t>COOPERATIVA AGRARIA CAFETALERA MATEO PUMACAHUA LTDA NRO 185</t>
  </si>
  <si>
    <t>COOPERATIVA AGRARIA CAFETALERA MATEO PUMACAHUA LTDA N° 185</t>
  </si>
  <si>
    <t>CENTRAL DE COOPERATIVAS AGRARIAS CAFETALERAS COCLA LTDA. NRO 281</t>
  </si>
  <si>
    <t>CENTRAL DE COOPERATIVAS AGRARIAS CAFETALERAS COCLA LTDA. N° 281</t>
  </si>
  <si>
    <t>COOPERATIVA AGRARIA CAFETALERA AGUILAYOC LTDA NRO 084</t>
  </si>
  <si>
    <t>COOPERATIVA AGRARIA CAFETALERA AGUILAYOC LTDA. 084</t>
  </si>
  <si>
    <t>ASOCIACION DE PRODUCTORES AGROPECUARIOS VALLESITO - CHAHUARES</t>
  </si>
  <si>
    <t>ASOCIACIÓN DE PRODUCTORES AGROPECUARIOS VALLESITO - CHAHUARES</t>
  </si>
  <si>
    <t>ASOCIACION DE PRODUCTORES AGROPECUARIOS PONGO MAYNIQUE DE LA COMUNIDAD DE CHINGUIRIATO</t>
  </si>
  <si>
    <t>COOPERATIVA AGRARIA DE CACAO AROMATICO COLPA DE LOROS</t>
  </si>
  <si>
    <t>ASOCIACION DE PRODUCTORES AGROPECUARIOS QUYLLURNIY DE ABRA CIGAKIATO</t>
  </si>
  <si>
    <t>ASOCIACION DE PRODUCTORES AGROPECUARIOS Y VECINOS COLINDANTES DE LA PLANTA COMPRESORA KAMANI ABRA</t>
  </si>
  <si>
    <t>COOPERATIVA AGRARIA DE CACAOTEROS TECNIFICADOS DE PADRE ABAD</t>
  </si>
  <si>
    <t>ASOCIACION DE PRODUCTORES AGROPECUARIOS LOS NOGALES DE ALTO ITARIATO</t>
  </si>
  <si>
    <t>ASOCIACION DE PRODUCTORES AGROPECUARIOS LOS NOGALES ALTO ITARIATO</t>
  </si>
  <si>
    <t>ASOCIACION DE PRODUCTORES AGROPECUARIOS RICCHARY DE TINTINIQUIATO</t>
  </si>
  <si>
    <t>ASOCIACION DE PRODUCTORES AGROPECUARIOS RIQ´CHARI DE TINTINIQUIATO</t>
  </si>
  <si>
    <t>COOPERATIVA AGRARIA DE CACAOTEROS-CURIMANA</t>
  </si>
  <si>
    <t xml:space="preserve">ASOCIACION DE AGRICULTORES DE CACAO Y REFORESTADORES DE CURIMANA - AGRICARE CURIMANA
</t>
  </si>
  <si>
    <t>ASOCIACION DE PRODUCTORES AGROPECUARIOS MADRE SELVA LACCO YAVERO</t>
  </si>
  <si>
    <t>ASOCIACION DE PRODUCTORES AGROPECUARIOS MADRE SELVA - LACCO YAVERO</t>
  </si>
  <si>
    <t>COOPERATIVA AGRARIA DE PRODUCTORES DE BANANO, CACAO ORGANICO Y OTROS CULTIVOS AGRARIOS LTDA</t>
  </si>
  <si>
    <t>200402</t>
  </si>
  <si>
    <t>BUENOS AIRES</t>
  </si>
  <si>
    <t>ASOCIACION DE CRIADORES DE ALPACAS Y LLAMAS SPAR PITUMARCA</t>
  </si>
  <si>
    <t>ASOCIACION DE CRIADORES DE ALPACA Y LLAMAS SPAR PITUMARCA</t>
  </si>
  <si>
    <t>SOCIEDAD PERUANA DE CRIADORES DE ALPACAS Y LLAMAS REGISTRADAS - SPAR CONDOROMA</t>
  </si>
  <si>
    <t>080802</t>
  </si>
  <si>
    <t>CONDOROMA</t>
  </si>
  <si>
    <t>ASOCIACION DE MODULOS DE MEJORAMIENTO GENETICO DE CAMELIDOS SUDAMERICANOS DE CONDOROMA</t>
  </si>
  <si>
    <t>ASOCIACION DE PRODUCTORES AGRICOLAS SUMAC SARA DEL DISTRITO DE LUCRE</t>
  </si>
  <si>
    <t>MAÍZ BLANCO</t>
  </si>
  <si>
    <t>081208</t>
  </si>
  <si>
    <t>LUCRE</t>
  </si>
  <si>
    <t>ASOCIACION DE PRODUCTORES AGROPECUARIOS DE AGRICULTORES DE MAIZ DE HUARO</t>
  </si>
  <si>
    <t>MAÍZ CHULLPI</t>
  </si>
  <si>
    <t>081207</t>
  </si>
  <si>
    <t>HUARO</t>
  </si>
  <si>
    <t>ASOCIACION DE AGRICULTORES DE QQUEROHUASI</t>
  </si>
  <si>
    <t>081202</t>
  </si>
  <si>
    <t>ANDAHUAYLILLAS</t>
  </si>
  <si>
    <t>ASOCIACION DE PRODUCTORES AGROPECUARIOS SURCOS ANDINOS</t>
  </si>
  <si>
    <t>ASOCIACION DE PRODUCTORES AGROPECUARIOS MUSOQ ALLPA DE PICHOS</t>
  </si>
  <si>
    <t>090709</t>
  </si>
  <si>
    <t>HUARIBAMBA</t>
  </si>
  <si>
    <t>ASOCIACION LAS TUYAS DE CARAMPA</t>
  </si>
  <si>
    <t>ASOCIACIÓN DE PRODUCTORES LOS SEMBRADORES DE HUARIBAMBA</t>
  </si>
  <si>
    <t>ASOCIACIÓN DE PRODUCTORES AGROPECUARIOS DEL CASERIO DE PANAOCOCHA</t>
  </si>
  <si>
    <t>ASOCIACION DE PRODUCTORES AGROPECUARIOS DEL CASERIO DE PANAOCOCHA</t>
  </si>
  <si>
    <t>ASOCIACIÓN AGROPECUARIA COMUNAL USHUMAYO DEL DISTRITO DE UMARI</t>
  </si>
  <si>
    <t>ASOCIACION AGROPECUARIA COMUNAL USHUMAYO DEL DISTRIRO UMARI ASACUDU</t>
  </si>
  <si>
    <t>ASOCIACIÓN AGROPECUARIA COMUNAL MIRANDO HACIA EL FUTURO DEL CASERIO DE CUCHO DEL DISTRITO DE UMARI</t>
  </si>
  <si>
    <t>ASOCIACIÓN DE PRODUCTORES AGROPECUARIOS DEL CASERIO DE CHACHASPATA</t>
  </si>
  <si>
    <t>ASOCIACIÓN DE PRODUCTORES AGROPECUARIOS DEL CASERÍO DE CHACHASPATA</t>
  </si>
  <si>
    <t>ASOCIACIÓN AGROPECUARIA COMUNAL DE HUANIN DEL DISTRITO DE UMARI</t>
  </si>
  <si>
    <t>ASOCIACION AGROPECUARIA COMUNAL DE HUANIN DEL DISTRITO DE UMARI</t>
  </si>
  <si>
    <t>ASOCIACION AGROPECUARIA COMUNAL DEL PUEBLO DE RACO DEL DISTRITO DE UMARI ASACRADU</t>
  </si>
  <si>
    <t>ASOCIACION AGROPECUARIA COMUNAL DEL PUEBLO DE RACO DEL DISTRITO DE UMARI</t>
  </si>
  <si>
    <t>ASOCIACIÓN COMUNAL AGROPECUARIA DEL CASERIO DE NIÑA COCHA</t>
  </si>
  <si>
    <t>ASOCIACIÓN AGROPECUARIA COMUNAL DE GOYAR PUNTA DEL DISTRITO DE UMARI ASACGOPDU</t>
  </si>
  <si>
    <t>ASOCIACION AGROPECUARIO COMUNAL DE GOYAR PUNTA DEL DISTRITO DE UMARI</t>
  </si>
  <si>
    <t>COOPERATIVA AGRARIA DE PRODUCTORES DE PALTA HASS DEL ANEXO DE RONDAYACU - DISTRITO DE MONOBAMBA</t>
  </si>
  <si>
    <t>120419</t>
  </si>
  <si>
    <t>MONOBAMBA</t>
  </si>
  <si>
    <t>COOPERATIVA AGRARIA DE PRODUCTORES DE PALTA HASS, DEL ANEXO DE RONDAYACU, DISTRITO DE MONOBAMBA</t>
  </si>
  <si>
    <t>COOPERATIVA AGRARIA PROCUY MANTARO</t>
  </si>
  <si>
    <t>COOPERATIVA AGRARIA PROCUY MANTARO LTDA</t>
  </si>
  <si>
    <t>COOPERATIVA AGRARIA DE PRODUCTORES ECOLOGICOS LOS CHANKAS VALLE DEL RIO PERENE</t>
  </si>
  <si>
    <t>COOPERATIVA AGRARIA LAND PERU</t>
  </si>
  <si>
    <t>COOPERATIVA AGRARIA LAND PERÚ</t>
  </si>
  <si>
    <t>COOPERATIVA ASHANINKA KEMITO SANKORI</t>
  </si>
  <si>
    <t>COOPERATIVA AGRARIA ASHANINKA KEMITO SANKORI LTDA</t>
  </si>
  <si>
    <t>COOPERATIVA AGRARIA AGROINDUSTRIAL AGROECOLOGICA DE BELEN, SAN ANTONIO, CAMANTARO Y RIO DE JANEIRO PERU - COOP BESACARI PERU</t>
  </si>
  <si>
    <t>120603</t>
  </si>
  <si>
    <t>LLAYLLA</t>
  </si>
  <si>
    <t>COOP BESACARI - PERU</t>
  </si>
  <si>
    <t>COOPERATIVA AGRARIA SANGARENI</t>
  </si>
  <si>
    <t>COOPERATIVA AGRARIA NUEVA ESPERANZA DE RANCHOPAMPA - PATALA</t>
  </si>
  <si>
    <t>120126</t>
  </si>
  <si>
    <t>ASOCIACION DE PRODUCTORES AGROPECUARIOS MI HUAYLILLAS DEL DISTRITO DE CURGOS, PROVINCIA SANCHEZ CARR</t>
  </si>
  <si>
    <t>CURGOS</t>
  </si>
  <si>
    <t>COOPERATIVA AGRARIA LOS GANADEROS DE MARCABAL</t>
  </si>
  <si>
    <t>130905</t>
  </si>
  <si>
    <t>MARCABAL</t>
  </si>
  <si>
    <t>COOPERATIVA AGRARIA DE PRODUCTORES LA VICTORIA CACHICADAN - COAPROLAVIC</t>
  </si>
  <si>
    <t>131003</t>
  </si>
  <si>
    <t>SANTIAGO DE CHUCO</t>
  </si>
  <si>
    <t>CACHICADAN</t>
  </si>
  <si>
    <t>ASOCIACION DE PRODUCTORES REPRESA TAPASH</t>
  </si>
  <si>
    <t>131005</t>
  </si>
  <si>
    <t>ASOCIACIÓN DE PRODUCTORES ANDINOS SOLIDARIOS - KAÑARIS - ASPAS</t>
  </si>
  <si>
    <t>ASOCIACION DE PRODUCTORES ANDINOS SOLIDARIOS-KAÑARIS</t>
  </si>
  <si>
    <t>ASOCIACIÓN DE MUJERES CAFICULTORAS DE CHINYAMA CAÑARIS</t>
  </si>
  <si>
    <t>ASOCIACION DE MUJERES CAFICULTORAS DE CHINYAMA</t>
  </si>
  <si>
    <t>COOPERATIVA AGRARIA CRUZ DE YANAHUANCA</t>
  </si>
  <si>
    <t>ASOCIACION DE PEQUEÑOS PRODUCTORES AGROPECUARIOS PENACHI KERGUER</t>
  </si>
  <si>
    <t>ASOCIACION DE PEQUEÑOS PRODUCTORES AGROPECUARIOS PENACHI-KERGUER</t>
  </si>
  <si>
    <t>ASOCIACION AROMA DE MUJER LLAQUE</t>
  </si>
  <si>
    <t>ASOCIACION DE PRODUCTORES DE ARROZ DEL VALLE DEL SHANUSI - APAVASH</t>
  </si>
  <si>
    <t>ASOCIACION DE PRODUCTORES DE ARROZ DEL VALLE DEL SHANUSI</t>
  </si>
  <si>
    <t>COOPERATIVA AGROINDUSTRIAL PERLA DEL HUALLAGA LTDA - CAPH LTDA</t>
  </si>
  <si>
    <t>ASOCIACION AGROINDUSTRIAL COMUNIDADES UNIDAS DEL NAPO - ACUN</t>
  </si>
  <si>
    <t>160106</t>
  </si>
  <si>
    <t>MAZAN</t>
  </si>
  <si>
    <t>ASOCIACION AGROINDUSTRIAL COMUNIDADES UNIDAS DEL NAPO</t>
  </si>
  <si>
    <t>COMUNIDAD NATIVA SHIPETIARI</t>
  </si>
  <si>
    <t>COPAIBA</t>
  </si>
  <si>
    <t>ASOCIACIÓN CENTRAL DE PIÑEROS AGROTECNIFICADOS DE MADRE DE DIOS</t>
  </si>
  <si>
    <t>170104</t>
  </si>
  <si>
    <t>LABERINTO</t>
  </si>
  <si>
    <t>ASOCIACION CENTRAL DE PIÑEROS AGRO TECNIFICADOS DE MADRE DE DIOS</t>
  </si>
  <si>
    <t>ASOCIACIÓN DE PEQUEÑOS PRODUCTORES AGROPECUARIOS Y FORESTALES ORGANICOS ITAHUANIA - MANU</t>
  </si>
  <si>
    <t>FORESTAL ORGANICO ITAHUANI MANU</t>
  </si>
  <si>
    <t>ASOCIACIÓN DE PLATANEROS AGROPECUARIOS DE INAMBARI</t>
  </si>
  <si>
    <t>ASOCIACION DE PLATANEROS AGROPECUARIOS DE INAMBARI</t>
  </si>
  <si>
    <t>ASOCIACIÓN DE RECOLECTORES DE CASTAÑA ORGÁNICA DE MADRE DE DIOS - ARCOMAD</t>
  </si>
  <si>
    <t>ASOCIACION DE RECOLECTORES DE CASTAÑA ORGANICA DE MADRE DE DIOS - ARCOMAD</t>
  </si>
  <si>
    <t>COOPERATIVA AGRARIA DE SERVICIOS MUJERES TECNOLOGAS CACAOTERAS DE LA PROVINCIA DE HUALLAGA LTDA</t>
  </si>
  <si>
    <t>220401</t>
  </si>
  <si>
    <t>HUALLAGA</t>
  </si>
  <si>
    <t>SAPOSOA</t>
  </si>
  <si>
    <t>COMUNIDAD CAMPESINA DE CHINCHE TINGO</t>
  </si>
  <si>
    <t>190201</t>
  </si>
  <si>
    <t>YANAHUANCA</t>
  </si>
  <si>
    <t>COMUNIDAD CAMPESINA SAN ANTONIO DE RANCAS</t>
  </si>
  <si>
    <t>ASOCIACION DE PRODUCTORES AGROPECUARIOS NUEVA ALTERNATIVA PRODUCTIVA Y PROTECCION AMBIENTAL</t>
  </si>
  <si>
    <t>COOPERATIVA AGRARIA DE FRUTICULTORES DE SANDIA</t>
  </si>
  <si>
    <t>FUENTE DE ACOPIO DE FIBRA DE ALPACA SURI DE ORO CAPASO</t>
  </si>
  <si>
    <t>210502</t>
  </si>
  <si>
    <t>EL COLLAO</t>
  </si>
  <si>
    <t>CAPASO</t>
  </si>
  <si>
    <t>ASOCIACION DE PRODUCTORES AGROPECURARIOS Y LACTEOS DEL DISTRITO DE PLATERIA</t>
  </si>
  <si>
    <t>210112</t>
  </si>
  <si>
    <t>PLATERIA</t>
  </si>
  <si>
    <t>ASOCIACION DE PRODUCTORES AGROPECUARIOS Y LACTEOS DEL DISTRITO DE PLATERIA</t>
  </si>
  <si>
    <t>COOPERATIVA DE PRODUCCIÓN ECO AYMARA ACORA</t>
  </si>
  <si>
    <t>210102</t>
  </si>
  <si>
    <t>ACORA</t>
  </si>
  <si>
    <t>COOPERATIVA DE PRODUCCION ECO AYMARA-ACORA</t>
  </si>
  <si>
    <t>ASOCIACION DE PRODUCTORES AGROPECUARIOS DON LORENZO DEL DISTRITO DE SAMAN</t>
  </si>
  <si>
    <t>210210</t>
  </si>
  <si>
    <t>AZANGARO</t>
  </si>
  <si>
    <t>SAMAN</t>
  </si>
  <si>
    <t>ASOCIACION DE PRODUCTORES AGROPECUARIOS PIEDRA BLANCA DE CHALLAPAMPA</t>
  </si>
  <si>
    <t>211303</t>
  </si>
  <si>
    <t>YUNGUYO</t>
  </si>
  <si>
    <t>COPANI</t>
  </si>
  <si>
    <t>COOPERATIVA AGRARIA SAN CRISTOBAL DE COALLACA - CABANILLAS</t>
  </si>
  <si>
    <t>211103</t>
  </si>
  <si>
    <t>CABANILLAS</t>
  </si>
  <si>
    <t>COOPERATIVA AGRARIA QORI QUINUA TARACO LTDA</t>
  </si>
  <si>
    <t>210607</t>
  </si>
  <si>
    <t>HUANCANE</t>
  </si>
  <si>
    <t>TARACO</t>
  </si>
  <si>
    <t>COOPERATIVA AGRARIA KURI VALLE DEL SISA LTDA.</t>
  </si>
  <si>
    <t>COOPERATIVA AGRARIA KURI VALLE DEL SISA LTDA</t>
  </si>
  <si>
    <t>ASOCIACIÓN CENTRAL DE PRODUCTORES AGROPECUARIOS Y ECOLÓGICO DE YUYAPICHIS</t>
  </si>
  <si>
    <t>100905</t>
  </si>
  <si>
    <t>YUYAPICHIS</t>
  </si>
  <si>
    <t>ASOCIACION CENTRAL DE PRODUCTORES AGROPECUARIOS Y ECOLOGICO DE YUYAPICHIS</t>
  </si>
  <si>
    <t>COOPERATIVA AGRARIA BANAQUI CURIMANA</t>
  </si>
  <si>
    <t>COOPERATIVA AGRARIA ECOLÓGICA CACAOTERA VALLE RIO ENE - COOPAVRE</t>
  </si>
  <si>
    <t>COOPERATIVA AGRARIA ECOLOGICA CACAOTERA VALLE RIO ENE - COOPAVRE</t>
  </si>
  <si>
    <t>COOPERATIVA AGRARIA SAN JUAN BAUTISTA</t>
  </si>
  <si>
    <t>COOPERATIVA AGRO INDUSTRIAL APCTVASH</t>
  </si>
  <si>
    <t>COOPERATIVA AGRARIA REVERENDO PADRE GERARDO COTE-UCAYALI COOPAGRA RPGC-UCAYALI</t>
  </si>
  <si>
    <t>CUENCAS DEL HUALLAGA ASOCIACION DE PRODUCTORES AGROPECUARIOS</t>
  </si>
  <si>
    <t>EMPRESA INDUSTRIAL ORO VERDE SOCIEDAD ANONIMA CERRADA</t>
  </si>
  <si>
    <t>ASOCIACIÓN ABISEO SAN MARTIN - ASABISAM</t>
  </si>
  <si>
    <t>ASOCIACIÓN DE MUJERES LAS 0S DE LUYA</t>
  </si>
  <si>
    <t>CAFE VERDE</t>
  </si>
  <si>
    <t>010514</t>
  </si>
  <si>
    <t>PISUQUIA</t>
  </si>
  <si>
    <t>ASOCIACIÓN DE MUJERES LAS FLORES DE LUYA</t>
  </si>
  <si>
    <t>ASOCIACIÓN DE PRODUCTORES AGROPECUARIOS MANOS A TRABAJAR PISCOBAMBA BAJA DEL DISTRITO DE OCOBAMBA</t>
  </si>
  <si>
    <t>030605</t>
  </si>
  <si>
    <t>OCOBAMBA</t>
  </si>
  <si>
    <t>ASOCIACION DE PRODUCTORES AGROPECUARIOS MANOS A TRABAJAR PISCOBAMBA BAJA DEL DISTRITO DE OCOBAMBA</t>
  </si>
  <si>
    <t>ASOCIACIÓN DE PRODUCTORES DE CHANCCAYMARCA</t>
  </si>
  <si>
    <t>ASOCIACION DE PRODUCTORES DE CHANCCAYMARCA</t>
  </si>
  <si>
    <t>ASOCIACION DE PRODUCTORES AGROPECUARIOS ORO VERDE DE SOTCCOMAYO</t>
  </si>
  <si>
    <t>COOPERATIVA AGRARIA INTERANDINO</t>
  </si>
  <si>
    <t>030103</t>
  </si>
  <si>
    <t>CIRCA</t>
  </si>
  <si>
    <t>ASOCIACION CENTRO DE ACOPIO DE LECHE LUIS PASTEUR</t>
  </si>
  <si>
    <t>YOGURT</t>
  </si>
  <si>
    <t>CENTRO DE ACOPIO DE LECHE LUIS PASTEUR</t>
  </si>
  <si>
    <t>ASOCIACION DE PRODUCTORES LACTEOS LA TUTEÑITA-COLCA-PERU</t>
  </si>
  <si>
    <t>QUESOS MADURADO</t>
  </si>
  <si>
    <t>ASOCIACION DE PRODUCTORES AGROPECUARIOS CORPAM</t>
  </si>
  <si>
    <t>COOPERATIVA AGRARIA EMPRENDEDORAS Y DEFENSORAS FRUTOS DEL VALLE - FRUVA</t>
  </si>
  <si>
    <t>CUY VIVO</t>
  </si>
  <si>
    <t>COOPERATIVA AGRARIA EMPRENDEDORAS Y DEFENSORAS FRUTOS DEL VALLE</t>
  </si>
  <si>
    <t>COOPERATIVA AGRARIA VALLE DEL CUCHARA LTDA</t>
  </si>
  <si>
    <t>ASOCIACION DE PRODUCTORES AGROPECUARIOS ECOLÓGICOS SAN ANTONIO HEROINAS TOLEDO</t>
  </si>
  <si>
    <t>120207</t>
  </si>
  <si>
    <t>HEROINAS TOLEDO</t>
  </si>
  <si>
    <t>ASOCIACION DE PRODUCTORES AGROPECUARIOS ECOLOGICOS SAN ANTONIO HEROINAS TOLEDO</t>
  </si>
  <si>
    <t>COOPERATIVA AGRARIA TIAMBRA VALLE HUASAHUASI</t>
  </si>
  <si>
    <t>SEMILLA DE PAPA</t>
  </si>
  <si>
    <t>"COOPERATIVA AGRARIA TIAMBRA VALLE HUASAHUASI"</t>
  </si>
  <si>
    <t>COOPERATIVA AGRARIA CAFETALERA RIO TAMBO LIMITADA</t>
  </si>
  <si>
    <t>COOPERATIVA AGRARIA INTERCULTURAL CAFÉ PUI PUI LTDA</t>
  </si>
  <si>
    <t>MARACUYA</t>
  </si>
  <si>
    <t>COOPERATIVA AGRARIA INTERCULTURAL CAFE PUI PUI LTDA</t>
  </si>
  <si>
    <t>COOPERATIVA AGRARIA SOSTENIBLE AGROPERU LTDA</t>
  </si>
  <si>
    <t>COOPERATIVA AGRARIA SOSTENIBLE AGROPERU LTDA - CAS AGROPERU LTDA</t>
  </si>
  <si>
    <t>ASOCIACION DE PRODUCTORES AGROPECUARIOS CAPIRUSHARI DE MAZAMARI - APCM</t>
  </si>
  <si>
    <t>ASOCIACION DE PRODUCTORES AGROPECUARIOS CAPIRUSHARI DE MAZAMARI - APACM</t>
  </si>
  <si>
    <t>RED EMPRESARIAL MOQUEGUA PALTA HASS</t>
  </si>
  <si>
    <t>ASOCIACION DE PRODUCTORES OLIVICOLAS DE ILO - APROLIVO ILO</t>
  </si>
  <si>
    <t>CENTRAL DE PRODUCTORES AGROPECUARIOS SAN CRISTOBAL DE QUIPARACRA - PASCO</t>
  </si>
  <si>
    <t>190102</t>
  </si>
  <si>
    <t>HUACHON</t>
  </si>
  <si>
    <t>CONSEJO REGULADOR DE LA DENOMINACION DE ORIGEN CAFE VILLA RICA - C.R.D.O. CAFE VILLA RICA</t>
  </si>
  <si>
    <t>CENTRAL DE PRODUCTORES AGROPECUARIOS DEL VALLE AGRICOLA DE PAUCARTAMBO - PASCO</t>
  </si>
  <si>
    <t>190107</t>
  </si>
  <si>
    <t>PAUCARTAMBO</t>
  </si>
  <si>
    <t>COMITÉ CENTRAL DE PRODUCTORES AGROPECUARIOS SAN ALEJANDRO - COCEPASA</t>
  </si>
  <si>
    <t xml:space="preserve"> COMITE CENTRAL DE PRODUCTORES AGROPECUARIOS DE SAN ALEJANDRO</t>
  </si>
  <si>
    <t>COOPERATIVA AGRARIA INNOVACION CACAO Y CAFÉ DEL VRAEM</t>
  </si>
  <si>
    <t>COOPERATIVA AGRARIA INNOVACION CACAO Y CAFE DEL VRAEM</t>
  </si>
  <si>
    <t>COOPERATIVA AGRARIA ALEXANDER VON HUMBOLDT LTDA</t>
  </si>
  <si>
    <t>250305</t>
  </si>
  <si>
    <t>ALEXANDER VON HUMBOLDT</t>
  </si>
  <si>
    <t>COOPERATIVA AGRARIA ECOLÓGICA CANIARI AMAZÓNICA CAECAM</t>
  </si>
  <si>
    <t>COOPERATIVA AGRARIA ECOLOGICA CANIARI AMAZONICA CAECAM</t>
  </si>
  <si>
    <t>ASOCIACION DE AGRICULTORES AGROPECUARIOS SAN ISIDRO-ICHOC HUAYLAS-CARAZ</t>
  </si>
  <si>
    <t>ASOCIACIÓN LOS EMPRENDEDORES DE LAGUNA //ASOCIACION DE PRODUCTORES OCCIDENTAL DE QUERAL</t>
  </si>
  <si>
    <t>FRESA</t>
  </si>
  <si>
    <t>ASOCIACION DE PRODUCTORES OCCIDENTAL DE QUERAL</t>
  </si>
  <si>
    <t>ASOCIACIÓN DE AGROPECUARIOS LLANGANUCO</t>
  </si>
  <si>
    <t>022001</t>
  </si>
  <si>
    <t>ASOCIACION DE AGROPECUARIOS LLANGANUCO</t>
  </si>
  <si>
    <t>COOPERATIVA AGRARIA HUAYHUASH</t>
  </si>
  <si>
    <t>020509</t>
  </si>
  <si>
    <t>HUASTA</t>
  </si>
  <si>
    <t>ASOCIACION DE PRODUCTORES AGROPECUARIOS CONTUCNA NUEVA GENERACION APACNG</t>
  </si>
  <si>
    <t>CUY PARA CONSUMO</t>
  </si>
  <si>
    <t>030218</t>
  </si>
  <si>
    <t>TURPO</t>
  </si>
  <si>
    <t>ASOCIACION DE PRODUCTORES VIRGEN DE CONCEPCION - APVC</t>
  </si>
  <si>
    <t>ASOCIACION DE PRODUCTORES AGROPECUARIOS DE PALTAYPATA ABANCAY</t>
  </si>
  <si>
    <t>COOPERATIVA AGRARIA TOTORAL</t>
  </si>
  <si>
    <t>ASOCIACION PRODUCTORES AGROPECUARIOS DE PALTO VALLE VERDE PINCOS MATAPUQUIO</t>
  </si>
  <si>
    <t>ASOCIACION DE PRODUCTORES AGROINDUSTRIALES HACIENDA SAN JOSE DE LA VILLA DE YARABAMBA</t>
  </si>
  <si>
    <t>ASOCIACION DE PRODUCTORES AGROPECUARIOS PIEDRA TROMPA</t>
  </si>
  <si>
    <t>QUESOS FRESCO</t>
  </si>
  <si>
    <t>061103</t>
  </si>
  <si>
    <t>CALQUIS</t>
  </si>
  <si>
    <t>\ASOCIACIÓN DE PRODUCTORES AGROPECUARIOS CHASKAS DE HUANCALLAMA\-\APACHAHUA\</t>
  </si>
  <si>
    <t>090409</t>
  </si>
  <si>
    <t>MOLLEPAMPA</t>
  </si>
  <si>
    <t>"ASOCIACIÓN DE PRODUCTORES AGROPECUARIOS CHASKAS DE HUANCALLAMA"-"APACHAHUA"</t>
  </si>
  <si>
    <t>ASOCIACION AGROPECUARIA HIJOS DE TICRAPO</t>
  </si>
  <si>
    <t>090413</t>
  </si>
  <si>
    <t>TICRAPO</t>
  </si>
  <si>
    <t>ASOCIACION DE PRODUCTORES AGROPECUARIOS EL PALTO FRONDOSO</t>
  </si>
  <si>
    <t>ASOCIACION DE PRODUCTORES AGROPECUARIOS AGROINDUSTRIALES VALLE DEL PARAISO DE TICRAPO</t>
  </si>
  <si>
    <t>COOPERATIVA AGRARIA DEL DESARROLLO ARTESANAL DE FIBRA DE ALPACA DE PICHCCAHUASI</t>
  </si>
  <si>
    <t>COOPERATIVA AGRARIA ARTESANAL ORO ANDINO DE PARIA - CAAOPAR</t>
  </si>
  <si>
    <t>ASOCIACIÓN DE PRODUCTORES AGROPECUARIOS SIN FRONTERAS DE VILLA GLORIA</t>
  </si>
  <si>
    <t>ASOCIACIÒN AGROPECUARIA FUTUROS DE HUAIRAG DEL DISTRITO DE UMARI</t>
  </si>
  <si>
    <t>COOPERATIVA AGRARIA ECOLOGICO ROSAS PAMPA LTDA - CAECO ROSAS PAMPA LTDA</t>
  </si>
  <si>
    <t>COOPERATIVA AGRARIA SONOMORO DEL VRAEM LTDA</t>
  </si>
  <si>
    <t>ASOCIACION DE PRODUCTORES AGROECOLOGICO AGROPECUARIO MULTISERVICIOS ALTA SIERRA CASACOTO - TAPO</t>
  </si>
  <si>
    <t>120709</t>
  </si>
  <si>
    <t>TAPO</t>
  </si>
  <si>
    <t>ASOCIACIÓN DE PRODUCTORES AGROECOLOGICO AGROPECUARIO MULTISERVICIOS ALTA SIERRA CASACOTO - TAPO</t>
  </si>
  <si>
    <t>ASOCIACION DE PRODUCTORES AGROPECUARIOS Y FORESTALES COBARRIANOS DE SINCOS - APAFCOS</t>
  </si>
  <si>
    <t>LECHE</t>
  </si>
  <si>
    <t>ASOCIACION DE PRODUCTORES SOSTENIBLES AWAJUN DEL MARAÑON - APROSAM</t>
  </si>
  <si>
    <t>ACEITE DE AGUAJE</t>
  </si>
  <si>
    <t>160703</t>
  </si>
  <si>
    <t>MANSERICHE</t>
  </si>
  <si>
    <t>ASOCIACION DE PRODUCTORES SOSTENIBLES AWAJUN DEL MARAÑON</t>
  </si>
  <si>
    <t>ASOCIACION AGROINDUSTRIAL ALLPA WIRAPAK</t>
  </si>
  <si>
    <t>HARINA DE PLÁTANO</t>
  </si>
  <si>
    <t>ASOCIACION DE PRODUCTORES PRODUCTIVOS MISHKI MUYU DEL MEDIO TIGRE</t>
  </si>
  <si>
    <t>UNGURAHUI</t>
  </si>
  <si>
    <t>160303</t>
  </si>
  <si>
    <t>TIGRE</t>
  </si>
  <si>
    <t>LAS PUINAHUINAS S.A.C.</t>
  </si>
  <si>
    <t>160506</t>
  </si>
  <si>
    <t>REQUENA</t>
  </si>
  <si>
    <t>PUINAHUA</t>
  </si>
  <si>
    <t>ASOCIACION DE PRODUCTORES AGROPECUARIOS ÑAUPAQMAN PURISUN DE YALAGUA</t>
  </si>
  <si>
    <t>CUY REPRODUCTOR</t>
  </si>
  <si>
    <t>180210</t>
  </si>
  <si>
    <t>UBINAS</t>
  </si>
  <si>
    <t>ASOCIACION DE EMPRENDEDORES VIRGEN NATIVIDAD DE EXCHAJE</t>
  </si>
  <si>
    <t>180211</t>
  </si>
  <si>
    <t>YUNGA</t>
  </si>
  <si>
    <t>ASOCIACION DE MUJERES EMPRENDEDORAS DE LA COMUNIDAD CAMPESINA DE EXCHAJE</t>
  </si>
  <si>
    <t>ASOCIACION DE PRODUCTORES FRUTICOLAS QUIACA</t>
  </si>
  <si>
    <t>211206</t>
  </si>
  <si>
    <t>QUIACA</t>
  </si>
  <si>
    <t>COOPERATIVA AGRARIA ALTO ANDINO CULTA-ACORA</t>
  </si>
  <si>
    <t>ASOCIACION DE PRODUCTORES AGROINDUSTRIALES VIRGEN DE COPACABANA VIZCACHANI - VILQUE</t>
  </si>
  <si>
    <t>QUESOS PARIA</t>
  </si>
  <si>
    <t>210109</t>
  </si>
  <si>
    <t>MAÑAZO</t>
  </si>
  <si>
    <t>ASOCIACION DE PRODUCTORES AGROPECUARIOS Y AGROINDUSTRIALES VIZCACHANI</t>
  </si>
  <si>
    <t>COOPERATIVA AGRARIA GANADERA DE CAMELIDOS SUDAMERICANOS 24 DE SETIEMBRE DE CONDURIRI</t>
  </si>
  <si>
    <t>210505</t>
  </si>
  <si>
    <t>CONDURIRI</t>
  </si>
  <si>
    <t>ASOCIACION DE PRODUCTORES AGROPECUARIOS ARTESANIA Y ACUICULTURA SANTA RITA</t>
  </si>
  <si>
    <t>COOPERATIVA AGROINDUSTRIAL DE PRODUCTORES AGROPECUARIOS CABANA LIMITADA</t>
  </si>
  <si>
    <t>ASOCIACION MULTIPLE DE CRIADORES DE CAMELIDOS SUDAMERICANOS Y ARTESANOS BABY ALPACAS</t>
  </si>
  <si>
    <t>210602</t>
  </si>
  <si>
    <t>COJATA</t>
  </si>
  <si>
    <t>SOCIEDAD PERUANA DE CRIADORES DE ALPACAS Y LLAMAS DE PARATIA</t>
  </si>
  <si>
    <t>COOPERATIVA AGROINDUSTRIAL DE BAMBÚ DE LA REGION AMAZONAS</t>
  </si>
  <si>
    <t>BAMBÚ</t>
  </si>
  <si>
    <t>BAMBÚ ROLLIZO O CAÑA SIN PRESERVAR</t>
  </si>
  <si>
    <t>010202</t>
  </si>
  <si>
    <t>ARAMANGO</t>
  </si>
  <si>
    <t>COOPERATIVA AGROINDUSTRIAL DE BAMBU DE LA REGION AMAZONAS</t>
  </si>
  <si>
    <t>ASOCIACIÓN DE PRODUCTORES DE BAMBÚ RÍO MARAÑÓN</t>
  </si>
  <si>
    <t>BAMBÚ ROLLIZO O CAÑA PRESERVADA</t>
  </si>
  <si>
    <t>ASOCIACION DE PRODUCTORES DE BAMBU RIO MARAÑON</t>
  </si>
  <si>
    <t>ASOCIACION AGROPECUARIA DE MOLINOPAMPA</t>
  </si>
  <si>
    <t>010114</t>
  </si>
  <si>
    <t>CHACHAPOYAS</t>
  </si>
  <si>
    <t>MOLINOPAMPA</t>
  </si>
  <si>
    <t>ASOCIACION PRODUCTORES AGROPECUARIOS SANTO TOMAS</t>
  </si>
  <si>
    <t>010521</t>
  </si>
  <si>
    <t>ASOCIACION DE PRODUCTORES AGROPECUARIOS SANTO TOMAS</t>
  </si>
  <si>
    <t>COOPERATIVA AGRARIA DE PRODUCCION ORGÁNICA DE USUARIOS CHANKILLO - COOPAGROCHANKILLO</t>
  </si>
  <si>
    <t>020801</t>
  </si>
  <si>
    <t>CASMA</t>
  </si>
  <si>
    <t>COOPERATIVA AGRARIA DE PRODUCCION ORGANICA DE USUARIOS CHANKILLO COOPAGROCHANKILLO</t>
  </si>
  <si>
    <t>ASOCIACION DE PRODUCTORES DE MANGO Y PALTA - SANTIAGO DE HUIÑA - VALLE HUARMEY</t>
  </si>
  <si>
    <t>021101</t>
  </si>
  <si>
    <t>HUARMEY</t>
  </si>
  <si>
    <t>ASOCIACIÓN DE AGRICULTORES POZO ESPAÑOL - CULEBRAS</t>
  </si>
  <si>
    <t>021103</t>
  </si>
  <si>
    <t>CULEBRAS</t>
  </si>
  <si>
    <t>ASOCIACION DE AGRICULTORES POZO ESPAÑOL - CULEBRAS</t>
  </si>
  <si>
    <t>ASOCIACIÓN DE PRODUCTORES DE GRANOS ANDINOS APURIMAQ</t>
  </si>
  <si>
    <t>ASOCIACIÓN AGROPECUARIA DE CHALLHUALLA</t>
  </si>
  <si>
    <t>CARCASA DE CUY</t>
  </si>
  <si>
    <t>050611</t>
  </si>
  <si>
    <t>LUCANAS</t>
  </si>
  <si>
    <t>ASOCIACION AGROPECUARIA DE CHALLHUALLA</t>
  </si>
  <si>
    <t>ASOCIACIÓN AGROPECUARIA TURÍSMO INDUSTRIAL "CCORI WAYRA CHINA" DEL CASERIO DE IRHUACA</t>
  </si>
  <si>
    <t>050605</t>
  </si>
  <si>
    <t>CHAVIÑA</t>
  </si>
  <si>
    <t>ASOCIACIÓN AGROPECUARIA TURÍSTICO INDUSTRIAL "CCORI WAYRA CHINA" DEL CASERIO DE IRHUACA</t>
  </si>
  <si>
    <t>ASOCIACIÓN DE PRODUCTORES AGROPECUARIOS Y SERVICIOS TURISTICOS YURAQ WASI</t>
  </si>
  <si>
    <t>ASOCIACION DE PRODUCTORES AGROPECUARIOS Y SERVICIOS TURISTICOS YURAQ - WASI</t>
  </si>
  <si>
    <t>ASOCIACION DE PRODUCTORES AGROPECUARIOS INCACHAQUI - ISCOCUCHO</t>
  </si>
  <si>
    <t>ASOCIACION DE PRODUCTORES AGROPECUARIOS INCACHAQUI-ISCOCUCHO</t>
  </si>
  <si>
    <t>COOPERATIVA AGRARIA CAFETALERA CASIL LTD</t>
  </si>
  <si>
    <t>COOPERATIVA AGRARIA TROPICAL ECOLÓGICA DE KIMBIRI</t>
  </si>
  <si>
    <t>CAFE PERGAMINO</t>
  </si>
  <si>
    <t>COOPERATIVA AGRARIA TROPICAL ECOLOGICA DE KIMBIRI</t>
  </si>
  <si>
    <t>COOPERATIVA AGROINDUSTRIAL CAFETALERA CACAOTERA MONZON LTDA</t>
  </si>
  <si>
    <t>COOPERATIVA AGROINDUSTRIAL CAFETALERA CACOTERA MONZON LTDA</t>
  </si>
  <si>
    <t>ASOCIACIÓN SUMAC AUSANGATE OCONGATE</t>
  </si>
  <si>
    <t>QUESO SEMI MADURO</t>
  </si>
  <si>
    <t>ASOCIACION DE PRODUCTORES DE DERIVADOS LACTEOS SUMAC AUSANGATE DEL DISTRITO DE OCONGATE</t>
  </si>
  <si>
    <t>ASOCIACION DE PRODUCTORES DE CITRICOS DE PIGUIATO</t>
  </si>
  <si>
    <t>ASOCIACIÓN DE PRODUCTORES AGROPECUARIOS UNIÓN CHANQUIL</t>
  </si>
  <si>
    <t>090208</t>
  </si>
  <si>
    <t>ROSARIO</t>
  </si>
  <si>
    <t>ASOCIACION DE PRODUCTORES AGROPECUARIOS UNION CHANQUIL</t>
  </si>
  <si>
    <t>COOPERATIVA CENTRAL CACAO DE AROMA DE TOCACHE LTDA</t>
  </si>
  <si>
    <t>221001</t>
  </si>
  <si>
    <t>20572190251 </t>
  </si>
  <si>
    <t>CENTRAL DE COOPERATIVAS AGRARIAS CACAO AROMA DE TOCACHE LTDA. (CECAT)</t>
  </si>
  <si>
    <t>COOPERATIVA AGRIA TROPICAL PRODUCTS</t>
  </si>
  <si>
    <t>COOPERATIVA AGRARIA TROPICALS PRODUCTS</t>
  </si>
  <si>
    <t>COOPERATIVA AGRARIA INDUSTRIAL VALLE VERDE SELVA CENTRAL</t>
  </si>
  <si>
    <t>ASOCIACION DE PRODUCTORES AGROPECUARIOS, GANADEROS, CHAQUILBAMBA, LA LECHERIA</t>
  </si>
  <si>
    <t>ASOCIACION DE PRODUCTORES AGROPECUARIOS DEL DISTRITO DE GUADALUPE, CHEPEN Y ANEXOS</t>
  </si>
  <si>
    <t>MIEL DE ABEJA Y DERIVADOS</t>
  </si>
  <si>
    <t>MIEL APIS MELÍFERAS</t>
  </si>
  <si>
    <t>130702</t>
  </si>
  <si>
    <t>PACASMAYO</t>
  </si>
  <si>
    <t>GUADALUPE</t>
  </si>
  <si>
    <t>ASOCIACION DE PRODUCTORES AGROPECUARIOS Y APICULTORES MARCABALINOS</t>
  </si>
  <si>
    <t>ASOCIACION DE APICULTORES NECTAR DE VIDA DEL VALLE CHICAMA</t>
  </si>
  <si>
    <t>130205</t>
  </si>
  <si>
    <t>ASCOPE</t>
  </si>
  <si>
    <t>PAIJAN</t>
  </si>
  <si>
    <t xml:space="preserve"> ASOCIACION DE APICULTORES NECTAR DE VIDA DEL VALLE CHICAMA</t>
  </si>
  <si>
    <t>COOPERATIVA DE PRODUCTORES DE CACAO FINO Y DE AROMA</t>
  </si>
  <si>
    <t>ASOCIACIÓN DE PRODUCTORES DE CAMU CAMU DE VILLA LAGUNAS</t>
  </si>
  <si>
    <t>160206</t>
  </si>
  <si>
    <t>LAGUNAS</t>
  </si>
  <si>
    <t>ASOCIACION DE PRODUCTORES DE CAMU CAMU DE VILLA LAGUNAS</t>
  </si>
  <si>
    <t>ASOCIACION DE PRODUCTORES DE PUERTO PERU - APPP</t>
  </si>
  <si>
    <t>FARIÑA</t>
  </si>
  <si>
    <t xml:space="preserve">ASOCIACION DE PRODUCTORES DE PUERTO PERU - APPP
</t>
  </si>
  <si>
    <t>ASOCIACION ECOLOGICA Y DE PRODUCTORES AGROPECUARIOS SAN JOSE OBRERO</t>
  </si>
  <si>
    <t>ASOCIACION JUNTOS POR UN SUEÑO VERDE</t>
  </si>
  <si>
    <t>180107</t>
  </si>
  <si>
    <t>SAN ANTONIO</t>
  </si>
  <si>
    <t>ASOCIACION SUMAQ URPIKUNA DE COALAQUE</t>
  </si>
  <si>
    <t>ASOCIACION DE PRODUCTORES AGROPECUARIOS INDUSTRIALES Y CADENAS PRODUCTIVAS JAHUAY LA RINCONADA QUERAPI</t>
  </si>
  <si>
    <t>ASOC. DE PRODUCTORES AGROPECUARIOS INDUSTRIALES Y CADENAS PRODUCTIVAS JAHUAY LA RINCONADA QUERAPI</t>
  </si>
  <si>
    <t>ASOCIACION DE PRODUCTOS OLIVICOLAS DE ILO</t>
  </si>
  <si>
    <t>OLIVO</t>
  </si>
  <si>
    <t>ACEITUNA</t>
  </si>
  <si>
    <t>180302</t>
  </si>
  <si>
    <t>ILO</t>
  </si>
  <si>
    <t>EL ALGARROBAL</t>
  </si>
  <si>
    <t>COOPERATIVA AGRARIA APPROCAP LTDA</t>
  </si>
  <si>
    <t>200407</t>
  </si>
  <si>
    <t>SAN JUAN DE BIGOTE</t>
  </si>
  <si>
    <t>COOPERATIVA AGRARIA INDUSTRIAL SAN GABAN LTDA.</t>
  </si>
  <si>
    <t>ASOCIACIÓN AGROEXPORTADORA DE LA REGIÓN SAN MARTÍN</t>
  </si>
  <si>
    <t>SAN MARTiN</t>
  </si>
  <si>
    <t>ASOCIACIÓN DE PRODUCTORES CERRO BLANCO</t>
  </si>
  <si>
    <t>220104</t>
  </si>
  <si>
    <t>JEPELACIO</t>
  </si>
  <si>
    <t>COOPERATIVA AGRARIA VALLE GRANDE</t>
  </si>
  <si>
    <t>GRUPO ORO MUNDO SOCIEDAD COMERCIAL DE RESPONSABILIDAD LIMITADA - GRUP. OROMUN S.R.L.</t>
  </si>
  <si>
    <t>230403</t>
  </si>
  <si>
    <t>ESTIQUE</t>
  </si>
  <si>
    <t>COOPERATIVA AGRARIA DE USUARIOS ASPRAOSRA LTDA</t>
  </si>
  <si>
    <t>BANANO</t>
  </si>
  <si>
    <t>ASOCIACIÓN TAJIMAT</t>
  </si>
  <si>
    <t>AWAJUN</t>
  </si>
  <si>
    <t>ASOCIACIÓN BOSQUE DE LAS NUWAS</t>
  </si>
  <si>
    <t>VAINILLA</t>
  </si>
  <si>
    <t>COOPERATIVA AGRARIA DE SERVICIOS MÚLTIPLES CORDILLERA AZUL</t>
  </si>
  <si>
    <t>BELLAVISTA</t>
  </si>
  <si>
    <t>COOPERATIVA AGRARIA DE SERVICIOS MULTIPLES CORDILLERA AZUL - CORDILLERA AZUL COOP</t>
  </si>
  <si>
    <t>COOPERATIVA AGRARIA VALLE DEL BIAVO LTDA</t>
  </si>
  <si>
    <t>ASOCIACIÓN DE PRODUCTORES AGROPECUARIOS CORAZÓN DE LA SELVA</t>
  </si>
  <si>
    <t>CALZADA</t>
  </si>
  <si>
    <t>ASOCIACIÓN DE PRODUCTORES AGROPECUARIOS CORAZON DE LA SELVA - APROAGROCOSEL</t>
  </si>
  <si>
    <t>COOPERATIVA AGRARIA COOPSAA LTDA</t>
  </si>
  <si>
    <t>ARROZ PILADO</t>
  </si>
  <si>
    <t>COOPERATIVA AGRARIA COOPSAA LTDA.</t>
  </si>
  <si>
    <t>AGROPECUARIO FORESTAL E INDUSTRIAL VALLE NUEVO - AFI VALLE NUEVO</t>
  </si>
  <si>
    <t>TARA EN VAINA</t>
  </si>
  <si>
    <t>LA YARADA LOS PALOS</t>
  </si>
  <si>
    <t>ASOCIACIÓN DE PRODUCTORES DE ORÉGANO VERDE AMANECER CHALLAVIENTO</t>
  </si>
  <si>
    <t>CEBOLLA</t>
  </si>
  <si>
    <t>CORONEL GREGORIO ALBARRACÍN</t>
  </si>
  <si>
    <t>ASOCIACION DE PRODUCTORES DE OREGANO VERDE AMANECER CHALLAVIENTO</t>
  </si>
  <si>
    <t>ASOCIACIÓN DE PRODUCTORES AGROPECUARIOS 10 DE AGOSTO ANCOCALA</t>
  </si>
  <si>
    <t>ASOCIACION DE PRODUCTORES AGROPECUARIOS 10 DE AGOSTO DE ANCOCALA</t>
  </si>
  <si>
    <t>ASOCIACION DE PRODUCTORES MULTIPLES AGRARIOS DEL DISTRITO DE INCLAN</t>
  </si>
  <si>
    <t>INCLAN</t>
  </si>
  <si>
    <t>COOPERATIVA AGRARIA EL SEMBRADOR</t>
  </si>
  <si>
    <t>VIRU</t>
  </si>
  <si>
    <t>COOPERATIVA AGRARIA ARTESANAL CCORI PACCO DE INGAHUASI - PILPICHACA</t>
  </si>
  <si>
    <t>NUMBERI S.A.C.</t>
  </si>
  <si>
    <t>COOPERATIVA AGRARIA YALPA LIMITADA</t>
  </si>
  <si>
    <t>ASOCIACIÓN DE PRODUCTORES AGROPECUARIOS NUEVO PORVENIR-QUILCATE</t>
  </si>
  <si>
    <t>061104</t>
  </si>
  <si>
    <t>CATILLUC</t>
  </si>
  <si>
    <t/>
  </si>
  <si>
    <t xml:space="preserve"> ASOCIACIÓN DE PRODUCTORES AGROPECUARIOS LOS EMPRENDEDORES DE CHANCHILOMA</t>
  </si>
  <si>
    <t>060701</t>
  </si>
  <si>
    <t>BAMBAMARCA</t>
  </si>
  <si>
    <t>ASOCIACIÓN DE PRODUCTORES AGROPECUARIOS Y SERVICIOS MULTIPLES PIÑATORO</t>
  </si>
  <si>
    <t>090703</t>
  </si>
  <si>
    <t>ACRAQUIA</t>
  </si>
  <si>
    <t>ASOCIACIÓN DE PRODUCTORES AGROPECUARIOS 100% PAMPINOS -TAYACAJA</t>
  </si>
  <si>
    <t>ASOCIACIÓN DE PRODUCTORES AGROPECUARIO LANDEO DE PARCO-DISTRITO DE MOYA</t>
  </si>
  <si>
    <t>090112</t>
  </si>
  <si>
    <t>MOYA</t>
  </si>
  <si>
    <t>ASOCIACIÓN DE AGROPECUARIOS DEL VALLE PEDREGAL</t>
  </si>
  <si>
    <t>MARACUYÁ</t>
  </si>
  <si>
    <t>130106</t>
  </si>
  <si>
    <t>TRUJILLO</t>
  </si>
  <si>
    <t>LAREDO</t>
  </si>
  <si>
    <t>ASOCIACIÓN DE MUJERES SANTA ELVIRA</t>
  </si>
  <si>
    <t>131202</t>
  </si>
  <si>
    <t>CHAO</t>
  </si>
  <si>
    <t xml:space="preserve"> COOPERATIVA AGRARIA APREMAC</t>
  </si>
  <si>
    <t>APAGRO PERU VALLE SAN LORENZO</t>
  </si>
  <si>
    <t>200114</t>
  </si>
  <si>
    <t>TAMBO GRANDE</t>
  </si>
  <si>
    <t>ASOCIACIÓN DE CABREROS DE CAÑAS MARCAVELICA LOS AMOTAPES</t>
  </si>
  <si>
    <t>QUESO DE CABRA</t>
  </si>
  <si>
    <t>200605</t>
  </si>
  <si>
    <t>SULLANA</t>
  </si>
  <si>
    <t>MARCAVELICA</t>
  </si>
  <si>
    <t>COOPERATIVA AGRARIA DE PRODUCTORES DE BANANO, CACAO ORGANICO Y OTROS CULTIVOS
AGRARIOS LTDA</t>
  </si>
  <si>
    <t>COOPERATIVA AGRARIA ACUICOLA CAMPOVIDA H I II IV</t>
  </si>
  <si>
    <t>ASOCIACIÓN LAS DELICIAS DEL QUIROZ</t>
  </si>
  <si>
    <t>200210</t>
  </si>
  <si>
    <t>SUYO</t>
  </si>
  <si>
    <t xml:space="preserve"> ASOCIACION DE MUJERES MI SANTA CLARA</t>
  </si>
  <si>
    <t>DERIVADOS LÁCTEOS</t>
  </si>
  <si>
    <t>140205</t>
  </si>
  <si>
    <t>PITIPO</t>
  </si>
  <si>
    <t>ASOCIACION DE PRODUCTORES AGROPECUARIOS ELIN - LAS NORIAS - OLMOS</t>
  </si>
  <si>
    <t>140308</t>
  </si>
  <si>
    <t>OLMOS</t>
  </si>
  <si>
    <t>ASOCIACION APUKAY COSTA DE OLMOS</t>
  </si>
  <si>
    <t>COOPERATIVA AGRARIA DE FRUTOS ORGANICOS DEL VALLE VIEJO DE OLMOS PARA EL MUNDO</t>
  </si>
  <si>
    <t>ASOCIACION AGRICOLA DE YUNGUY</t>
  </si>
  <si>
    <t>150606</t>
  </si>
  <si>
    <t>HUARAL</t>
  </si>
  <si>
    <t>IHUARI</t>
  </si>
  <si>
    <t>ASOCIACION DE FRUTICULTORES MUZGA PRODUCTO ORGANICO</t>
  </si>
  <si>
    <t>150808</t>
  </si>
  <si>
    <t>HUAURA</t>
  </si>
  <si>
    <t>PACCHO</t>
  </si>
  <si>
    <t>ASOCIACION DE CAPRICULTORES DEL CHILLON</t>
  </si>
  <si>
    <t>150407</t>
  </si>
  <si>
    <t>CANTA</t>
  </si>
  <si>
    <t>SANTA ROSA DE QUIVES</t>
  </si>
  <si>
    <t>AGROPEC SUYAY S.A.C.</t>
  </si>
  <si>
    <t>150601</t>
  </si>
  <si>
    <t>ASOCIACION DE PRODUCTORES DE PALTOS AFINES MERCEDES ALTA \APROPAL - MA</t>
  </si>
  <si>
    <t>150204</t>
  </si>
  <si>
    <t>SUPE</t>
  </si>
  <si>
    <t>ASOCIACION DE GANADEROS EL FUTURO DE LASCAMAYO - TAMBON</t>
  </si>
  <si>
    <t>150802</t>
  </si>
  <si>
    <t>AMBAR</t>
  </si>
  <si>
    <t>COMUNIDAD NATIVA SAN JOSE PARINARI</t>
  </si>
  <si>
    <t>COOPERATIVA AGRARIA BAJO AMAZONAS LTDA</t>
  </si>
  <si>
    <t>160404</t>
  </si>
  <si>
    <t>ASOCIACIÓN DE PRODUCTORES AGRARIOS DE ZARUMILLA TUMBES</t>
  </si>
  <si>
    <t>TUMBES</t>
  </si>
  <si>
    <t>240304</t>
  </si>
  <si>
    <t>ZARUMILLA</t>
  </si>
  <si>
    <t>PAPAYAL</t>
  </si>
  <si>
    <t>ASOCIACION DISTRITAL DE APICULTORES MATAPALO</t>
  </si>
  <si>
    <t>MIEL ABEJA MELÍFERAS</t>
  </si>
  <si>
    <t>240303</t>
  </si>
  <si>
    <t>MATAPALO</t>
  </si>
  <si>
    <t>ASOCIACION DISTRITAL DE PRODUCTORES LIMONEROS DE PAPAYAL</t>
  </si>
  <si>
    <t>240301</t>
  </si>
  <si>
    <t>ASOCIACION DE PRODUCTORES DE LIMON MATAPALO</t>
  </si>
  <si>
    <t>ASOCIACION FRONTERITA BANANA</t>
  </si>
  <si>
    <t>240302</t>
  </si>
  <si>
    <t>AGUAS VERDES</t>
  </si>
  <si>
    <t>ASOCIACION DE PRODUCTORES AGROPECUARIOS ITAMAR</t>
  </si>
  <si>
    <t>021801</t>
  </si>
  <si>
    <t>CHIMBOTE</t>
  </si>
  <si>
    <t>COOPERATIVA AGRARIA DE USUARIOS DE PEQUEÑOS PRODUCTORES DEL PERU</t>
  </si>
  <si>
    <t>ASOCIACION DE AGRICULTORES DE CASMA</t>
  </si>
  <si>
    <t>ASOCIACION DE PRODUCTORES AGROPECUARIOS 03 DE MAYO DE LLACUASH - ASPALL</t>
  </si>
  <si>
    <t>ASOCIACION DE PRODUCTORES AGROECOLOGICOS LA PERLA TURISTICA DE ARAMANGO</t>
  </si>
  <si>
    <t>ASOCIACION AGROPECUARIA Y TURISTICA COPAPOR</t>
  </si>
  <si>
    <t>COOPERATIVA AGRARIA CAFETALERA CHANCAMAYO LTDA. N° 008-B-VII</t>
  </si>
  <si>
    <t>COOPERATIVA AGRARIA CAFETALERA TIRIJUAY PAVAYOC LIMITADA N° 013-B-VII</t>
  </si>
  <si>
    <t>080905</t>
  </si>
  <si>
    <t>COOPERATIVA AGRARIA CAFETALERA JORGE CHAVEZ LTDA</t>
  </si>
  <si>
    <t>COOPERATIVA AGRARIA AGROFRUTOS ORGANICOS</t>
  </si>
  <si>
    <t>140307</t>
  </si>
  <si>
    <t>MOTUPE</t>
  </si>
  <si>
    <t>ASOCIACION DE PROTECCION DE LOS BOSQUES SECOS DEL CASERIO EL CHOLOQUE-SECTOR EL CARDO-TONGORRAPE-MOTUPE</t>
  </si>
  <si>
    <t>SOCIEDAD OLMOS MOTUPE PRODUCTORES DE FRUTA</t>
  </si>
  <si>
    <t>ASOCIACION PRODUCTORES AGROPECUARIOS LAMBAYEQUE</t>
  </si>
  <si>
    <t>140309</t>
  </si>
  <si>
    <t>PACORA</t>
  </si>
  <si>
    <t>ASOCIACIÓN DE PRODUCTORES ALPAQUEROS MULTIPLES LAGUNA VILACOTA-SUSAPAYA</t>
  </si>
  <si>
    <t>ASOCIACION DE PRODUCTORES DE OLIVO ECOLOGICO REGION TACNA - APRECOLIV TACNA</t>
  </si>
  <si>
    <t>230111</t>
  </si>
  <si>
    <t>ASOCIACION AGROPECUARIA SAN FRANCISCO DE ASIS DEL VALLE DE CHIPE</t>
  </si>
  <si>
    <t>COOPERATIVA AGRARIA DE VALLE CINTO</t>
  </si>
  <si>
    <t>ASOCIACION DE PRODUCTORES DE LIMON DISTRITAL SAN JACINTO</t>
  </si>
  <si>
    <t>240105</t>
  </si>
  <si>
    <t>SAN JACINTO</t>
  </si>
  <si>
    <t>ASOCIACION DE AGRICULTORES INNOVADORES DE ANCASH, EDIFLOR</t>
  </si>
  <si>
    <t>ASOCIACIÓN DE PEQUEÑOS PRODUCTORES AGROPECUARIOS EL SOLAR-SECTOR CALLANGO-DISTRITO OCUCAJE-PROVINCIA</t>
  </si>
  <si>
    <t>PALLAR</t>
  </si>
  <si>
    <t>ICA</t>
  </si>
  <si>
    <t>OCUCAJE</t>
  </si>
  <si>
    <t>ASOCIACIÓN DE AGRICULTORES DE APOYO Y DEFENSA DE CAÑETE</t>
  </si>
  <si>
    <t>LIMA SUR</t>
  </si>
  <si>
    <t>CAÑETE</t>
  </si>
  <si>
    <t xml:space="preserve">SAN VICENTE </t>
  </si>
  <si>
    <t>ASOCIACIÓN DE PRODUCTORES AGRARIOS RENACE CAÑETE</t>
  </si>
  <si>
    <t>ASOCIACIÓN DE PRODUCTORES VITIVINICOLAS DE LA PROVINCIA DE CAÑETE-APROVIC-CAÑETE</t>
  </si>
  <si>
    <t>COOPERATIVA COMUNAL QUIULACOCHA LTDA 11</t>
  </si>
  <si>
    <t>COMUNIDAD CAMPESINA SEÑOR DE LUREN</t>
  </si>
  <si>
    <t>SANTIAGO</t>
  </si>
  <si>
    <t>ASOCIACIÓN AGROPECUARIA ROCIO DE LA MAÑANA</t>
  </si>
  <si>
    <t>ALGODÓN</t>
  </si>
  <si>
    <t>CHINCHA</t>
  </si>
  <si>
    <t>CHINCHA BAJA</t>
  </si>
  <si>
    <t>ASOCIACIÓN GRUPO ASOCIADO SANTA MATILDE ICA - GASMI</t>
  </si>
  <si>
    <t>LEYENDA</t>
  </si>
  <si>
    <t>Incremento ventas</t>
  </si>
  <si>
    <t>Sin incremento de ventas</t>
  </si>
  <si>
    <t>Disminución de ventas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</si>
</sst>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&quot;S/&quot;\ * #,##0.00_ ;_ &quot;S/&quot;\ * \-#,##0.00_ "/>
    <numFmt numFmtId="165" formatCode="_-* #,##0.00_-;\-* #,##0.00_-;_-* &quot;-&quot;??_-;_-@"/>
    <numFmt numFmtId="166" formatCode="_ &quot;S/&quot;\ * #,##0.00_ ;_ &quot;S/&quot;\ * \-#,##0.00_ ;_ &quot;S/&quot;\ * &quot;-&quot;??_ ;_ @_ "/>
  </numFmts>
  <fonts count="10">
    <font>
      <sz val="11.0"/>
      <color/>
      <name val="Arial"/>
      <scheme val="minor"/>
    </font>
    <font>
      <sz val="11.0"/>
      <color/>
      <name val="Calibri"/>
    </font>
    <font>
      <b/>
      <sz val="14.0"/>
      <color/>
      <name val="Calibri"/>
    </font>
    <font/>
    <font>
      <b/>
      <sz val="11.0"/>
      <color/>
      <name val="Calibri"/>
    </font>
    <font>
      <b/>
      <sz val="11.0"/>
      <name val="Calibri"/>
    </font>
    <font>
      <b/>
      <sz val="14.0"/>
      <name val="Calibri"/>
    </font>
    <font>
      <sz val="8.0"/>
      <color/>
      <name val="Aptos Narrow"/>
    </font>
    <font>
      <sz val="10.0"/>
      <color/>
      <name val="Calibri"/>
    </font>
    <font>
      <sz val="11.0"/>
      <color/>
      <name val="Aptos Narrow"/>
    </font>
  </fonts>
  <fills count="24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D5FFAB"/>
        <bgColor rgb="FFD5FFAB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F1CEEE"/>
        <bgColor rgb="FFF1CEEE"/>
      </patternFill>
    </fill>
    <fill>
      <patternFill patternType="solid">
        <fgColor rgb="FFB3E5A1"/>
        <bgColor rgb="FFB3E5A1"/>
      </patternFill>
    </fill>
    <fill>
      <patternFill patternType="solid">
        <fgColor rgb="FF83CAEB"/>
        <bgColor rgb="FF83CAEB"/>
      </patternFill>
    </fill>
    <fill>
      <patternFill patternType="solid">
        <fgColor rgb="FFFAE2D5"/>
        <bgColor rgb="FFFAE2D5"/>
      </patternFill>
    </fill>
    <fill>
      <patternFill patternType="solid">
        <fgColor rgb="FFC9FFE4"/>
        <bgColor rgb="FFC9FFE4"/>
      </patternFill>
    </fill>
    <fill>
      <patternFill patternType="solid">
        <fgColor rgb="FFECDFF5"/>
        <bgColor rgb="FFECDFF5"/>
      </patternFill>
    </fill>
    <fill>
      <patternFill patternType="solid">
        <fgColor rgb="FF9FE6FF"/>
        <bgColor rgb="FF9FE6FF"/>
      </patternFill>
    </fill>
    <fill>
      <patternFill patternType="solid">
        <fgColor rgb="FF0070C0"/>
        <bgColor rgb="FF0070C0"/>
      </patternFill>
    </fill>
    <fill>
      <patternFill patternType="solid">
        <fgColor rgb="FF00DA6D"/>
        <bgColor rgb="FF00DA6D"/>
      </patternFill>
    </fill>
    <fill>
      <patternFill patternType="solid">
        <fgColor rgb="FFBC8FDD"/>
        <bgColor rgb="FFBC8FDD"/>
      </patternFill>
    </fill>
    <fill>
      <patternFill patternType="solid">
        <fgColor rgb="FF00B0F0"/>
        <bgColor rgb="FF00B0F0"/>
      </patternFill>
    </fill>
    <fill>
      <patternFill patternType="solid">
        <fgColor rgb="FFEEE2F6"/>
        <bgColor rgb="FFEEE2F6"/>
      </patternFill>
    </fill>
    <fill>
      <patternFill patternType="solid">
        <fgColor rgb="FFC1F0C8"/>
        <bgColor rgb="FFC1F0C8"/>
      </patternFill>
    </fill>
    <fill>
      <patternFill patternType="solid">
        <fgColor rgb="FF84E291"/>
        <bgColor rgb="FF84E291"/>
      </patternFill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</fills>
  <borders count="32">
    <border/>
    <border>
      <left/>
      <top/>
    </border>
    <border>
      <top/>
    </border>
    <border>
      <right/>
      <top/>
    </border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/>
      </left>
      <right style="thin">
        <color/>
      </right>
      <top style="thin">
        <color/>
      </top>
      <bottom style="thin">
        <color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left"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5" fillId="4" fontId="4" numFmtId="3" xfId="0" applyAlignment="1" applyBorder="1" applyFill="1" applyFont="1" applyNumberForma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4" fillId="4" fontId="4" numFmtId="3" xfId="0" applyAlignment="1" applyBorder="1" applyFill="1" applyFont="1" applyNumberFormat="1">
      <alignment horizontal="center" vertical="center"/>
    </xf>
    <xf borderId="8" fillId="5" fontId="4" numFmtId="3" xfId="0" applyAlignment="1" applyBorder="1" applyFill="1" applyFont="1" applyNumberFormat="1">
      <alignment horizontal="center" vertical="center"/>
    </xf>
    <xf borderId="9" fillId="5" fontId="4" numFmtId="3" xfId="0" applyAlignment="1" applyBorder="1" applyFill="1" applyFont="1" applyNumberFormat="1">
      <alignment horizontal="center" vertical="center"/>
    </xf>
    <xf borderId="10" fillId="6" fontId="4" numFmtId="0" xfId="0" applyAlignment="1" applyBorder="1" applyFill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13" fillId="6" fontId="4" numFmtId="0" xfId="0" applyAlignment="1" applyBorder="1" applyFill="1" applyFont="1">
      <alignment horizontal="center"/>
    </xf>
    <xf borderId="14" fillId="6" fontId="4" numFmtId="0" xfId="0" applyAlignment="1" applyBorder="1" applyFill="1" applyFont="1">
      <alignment horizontal="center"/>
    </xf>
    <xf borderId="10" fillId="7" fontId="5" numFmtId="14" xfId="0" applyAlignment="1" applyBorder="1" applyFill="1" applyFont="1" applyNumberFormat="1">
      <alignment horizontal="left" shrinkToFit="0" vertical="center" wrapText="1"/>
    </xf>
    <xf borderId="15" fillId="8" fontId="5" numFmtId="14" xfId="0" applyAlignment="1" applyBorder="1" applyFill="1" applyFont="1" applyNumberForma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5" fillId="9" fontId="5" numFmtId="14" xfId="0" applyAlignment="1" applyBorder="1" applyFill="1" applyFont="1" applyNumberForma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4" fillId="10" fontId="4" numFmtId="0" xfId="0" applyAlignment="1" applyBorder="1" applyFill="1" applyFont="1">
      <alignment horizontal="center" shrinkToFit="0" vertical="center" wrapText="1"/>
    </xf>
    <xf borderId="21" fillId="10" fontId="4" numFmtId="0" xfId="0" applyAlignment="1" applyBorder="1" applyFill="1" applyFon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5" fillId="10" fontId="4" numFmtId="0" xfId="0" applyAlignment="1" applyBorder="1" applyFill="1" applyFont="1">
      <alignment horizontal="center" shrinkToFit="0" vertical="center" wrapText="1"/>
    </xf>
    <xf borderId="9" fillId="10" fontId="4" numFmtId="0" xfId="0" applyAlignment="1" applyBorder="1" applyFill="1" applyFont="1">
      <alignment horizontal="center" shrinkToFit="0" vertical="center" wrapText="1"/>
    </xf>
    <xf borderId="21" fillId="11" fontId="4" numFmtId="0" xfId="0" applyAlignment="1" applyBorder="1" applyFill="1" applyFont="1">
      <alignment horizontal="center" shrinkToFit="0" vertical="center" wrapText="1"/>
    </xf>
    <xf borderId="5" fillId="11" fontId="4" numFmtId="0" xfId="0" applyAlignment="1" applyBorder="1" applyFill="1" applyFont="1">
      <alignment horizontal="center" shrinkToFit="0" vertical="center" wrapText="1"/>
    </xf>
    <xf borderId="9" fillId="12" fontId="4" numFmtId="0" xfId="0" applyAlignment="1" applyBorder="1" applyFill="1" applyFont="1">
      <alignment horizontal="center" shrinkToFit="0" vertical="center" wrapText="1"/>
    </xf>
    <xf borderId="21" fillId="12" fontId="4" numFmtId="0" xfId="0" applyAlignment="1" applyBorder="1" applyFill="1" applyFont="1">
      <alignment horizontal="center" shrinkToFit="0" vertical="center" wrapText="1"/>
    </xf>
    <xf borderId="21" fillId="12" fontId="5" numFmtId="0" xfId="0" applyAlignment="1" applyBorder="1" applyFill="1" applyFont="1">
      <alignment horizontal="center" shrinkToFit="0" vertical="center" wrapText="1"/>
    </xf>
    <xf borderId="24" fillId="13" fontId="5" numFmtId="0" xfId="0" applyAlignment="1" applyBorder="1" applyFill="1" applyFont="1">
      <alignment horizontal="center" shrinkToFit="0" vertical="center" wrapText="1"/>
    </xf>
    <xf borderId="21" fillId="10" fontId="1" numFmtId="0" xfId="0" applyAlignment="1" applyBorder="1" applyFill="1" applyFont="1">
      <alignment horizontal="center"/>
    </xf>
    <xf borderId="25" fillId="0" fontId="3" numFmtId="0" xfId="0" applyBorder="1" applyFont="1"/>
    <xf borderId="26" fillId="0" fontId="3" numFmtId="0" xfId="0" applyBorder="1" applyFont="1"/>
    <xf borderId="27" fillId="14" fontId="4" numFmtId="0" xfId="0" applyAlignment="1" applyBorder="1" applyFill="1" applyFont="1">
      <alignment horizontal="left" shrinkToFit="0" vertical="top" wrapText="1"/>
    </xf>
    <xf borderId="27" fillId="0" fontId="4" numFmtId="0" xfId="0" applyAlignment="1" applyBorder="1" applyFont="1">
      <alignment horizontal="left" shrinkToFit="0" vertical="top" wrapText="1"/>
    </xf>
    <xf borderId="27" fillId="14" fontId="5" numFmtId="0" xfId="0" applyAlignment="1" applyBorder="1" applyFill="1" applyFont="1">
      <alignment horizontal="center" shrinkToFit="0" vertical="top" wrapText="1"/>
    </xf>
    <xf borderId="27" fillId="14" fontId="5" numFmtId="0" xfId="0" applyAlignment="1" applyBorder="1" applyFill="1" applyFont="1">
      <alignment horizontal="left" shrinkToFit="0" vertical="top" wrapText="1"/>
    </xf>
    <xf borderId="27" fillId="14" fontId="4" numFmtId="3" xfId="0" applyAlignment="1" applyBorder="1" applyFill="1" applyFont="1" applyNumberFormat="1">
      <alignment horizontal="center" shrinkToFit="0" vertical="top" wrapText="1"/>
    </xf>
    <xf borderId="27" fillId="15" fontId="4" numFmtId="3" xfId="0" applyAlignment="1" applyBorder="1" applyFill="1" applyFont="1" applyNumberFormat="1">
      <alignment horizontal="center" shrinkToFit="0" vertical="top" wrapText="1"/>
    </xf>
    <xf borderId="27" fillId="16" fontId="4" numFmtId="0" xfId="0" applyAlignment="1" applyBorder="1" applyFill="1" applyFont="1">
      <alignment horizontal="center" shrinkToFit="0" vertical="top" wrapText="1"/>
    </xf>
    <xf borderId="27" fillId="16" fontId="5" numFmtId="0" xfId="0" applyAlignment="1" applyBorder="1" applyFill="1" applyFont="1">
      <alignment horizontal="center" shrinkToFit="0" vertical="top" wrapText="1"/>
    </xf>
    <xf borderId="27" fillId="13" fontId="4" numFmtId="0" xfId="0" applyAlignment="1" applyBorder="1" applyFill="1" applyFont="1">
      <alignment horizontal="center" shrinkToFit="0" vertical="top" wrapText="1"/>
    </xf>
    <xf borderId="27" fillId="9" fontId="5" numFmtId="0" xfId="0" applyAlignment="1" applyBorder="1" applyFill="1" applyFont="1">
      <alignment horizontal="center" shrinkToFit="0" vertical="top" wrapText="1"/>
    </xf>
    <xf borderId="27" fillId="14" fontId="4" numFmtId="0" xfId="0" applyAlignment="1" applyBorder="1" applyFill="1" applyFont="1">
      <alignment horizontal="center" shrinkToFit="0" vertical="top" wrapText="1"/>
    </xf>
    <xf borderId="0" fillId="0" fontId="1" numFmtId="0" xfId="0" applyAlignment="1" applyFont="1">
      <alignment vertical="top"/>
    </xf>
    <xf borderId="28" fillId="0" fontId="1" numFmtId="0" xfId="0" applyAlignment="1" applyBorder="1" applyFont="1">
      <alignment horizontal="left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28" fillId="2" fontId="1" numFmtId="0" xfId="0" applyAlignment="1" applyBorder="1" applyFill="1" applyFont="1">
      <alignment horizontal="left" shrinkToFit="0" vertical="center" wrapText="1"/>
    </xf>
    <xf borderId="28" fillId="2" fontId="1" numFmtId="0" xfId="0" applyAlignment="1" applyBorder="1" applyFill="1" applyFont="1">
      <alignment horizontal="center" shrinkToFit="0" vertical="center" wrapText="1"/>
    </xf>
    <xf borderId="28" fillId="2" fontId="1" numFmtId="3" xfId="0" applyAlignment="1" applyBorder="1" applyFill="1" applyFont="1" applyNumberFormat="1">
      <alignment horizontal="center" shrinkToFit="0" vertical="center" wrapText="1"/>
    </xf>
    <xf borderId="28" fillId="0" fontId="1" numFmtId="3" xfId="0" applyAlignment="1" applyBorder="1" applyFont="1" applyNumberFormat="1">
      <alignment horizontal="center" shrinkToFit="0" vertical="center" wrapText="1"/>
    </xf>
    <xf borderId="28" fillId="0" fontId="1" numFmtId="3" xfId="0" applyAlignment="1" applyBorder="1" applyFont="1" applyNumberFormat="1">
      <alignment horizontal="center" shrinkToFit="0" vertical="center" wrapText="1"/>
    </xf>
    <xf borderId="28" fillId="17" fontId="1" numFmtId="3" xfId="0" applyAlignment="1" applyBorder="1" applyFill="1" applyFont="1" applyNumberFormat="1">
      <alignment horizontal="center" shrinkToFit="0" vertical="center" wrapText="1"/>
    </xf>
    <xf borderId="28" fillId="6" fontId="1" numFmtId="164" xfId="0" applyAlignment="1" applyBorder="1" applyFill="1" applyFont="1" applyNumberFormat="1">
      <alignment shrinkToFit="0" vertical="center" wrapText="1"/>
    </xf>
    <xf borderId="28" fillId="0" fontId="1" numFmtId="164" xfId="0" applyAlignment="1" applyBorder="1" applyFont="1" applyNumberFormat="1">
      <alignment horizontal="right" shrinkToFit="0" vertical="center" wrapText="1"/>
    </xf>
    <xf borderId="28" fillId="6" fontId="1" numFmtId="164" xfId="0" applyAlignment="1" applyBorder="1" applyFill="1" applyFont="1" applyNumberFormat="1">
      <alignment horizontal="right" shrinkToFit="0" vertical="center" wrapText="1"/>
    </xf>
    <xf borderId="28" fillId="18" fontId="1" numFmtId="165" xfId="0" applyAlignment="1" applyBorder="1" applyFill="1" applyFont="1" applyNumberFormat="1">
      <alignment shrinkToFit="0" vertical="center" wrapText="1"/>
    </xf>
    <xf borderId="28" fillId="18" fontId="1" numFmtId="164" xfId="0" applyAlignment="1" applyBorder="1" applyFill="1" applyFont="1" applyNumberFormat="1">
      <alignment shrinkToFit="0" vertical="center" wrapText="1"/>
    </xf>
    <xf borderId="28" fillId="0" fontId="1" numFmtId="164" xfId="0" applyAlignment="1" applyBorder="1" applyFont="1" applyNumberFormat="1">
      <alignment shrinkToFit="0" vertical="center" wrapText="1"/>
    </xf>
    <xf borderId="28" fillId="0" fontId="1" numFmtId="164" xfId="0" applyAlignment="1" applyBorder="1" applyFont="1" applyNumberFormat="1">
      <alignment horizontal="center" shrinkToFit="0" vertical="center" wrapText="1"/>
    </xf>
    <xf borderId="28" fillId="6" fontId="1" numFmtId="164" xfId="0" applyAlignment="1" applyBorder="1" applyFill="1" applyFont="1" applyNumberFormat="1">
      <alignment horizontal="center" shrinkToFit="0" vertical="center" wrapText="1"/>
    </xf>
    <xf borderId="28" fillId="19" fontId="1" numFmtId="164" xfId="0" applyAlignment="1" applyBorder="1" applyFill="1" applyFont="1" applyNumberFormat="1">
      <alignment shrinkToFit="0" vertical="center" wrapText="1"/>
    </xf>
    <xf borderId="28" fillId="0" fontId="1" numFmtId="0" xfId="0" applyAlignment="1" applyBorder="1" applyFont="1">
      <alignment horizontal="right" shrinkToFit="0" vertical="center" wrapText="1"/>
    </xf>
    <xf borderId="28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28" fillId="20" fontId="1" numFmtId="164" xfId="0" applyAlignment="1" applyBorder="1" applyFill="1" applyFont="1" applyNumberFormat="1">
      <alignment horizontal="right" shrinkToFit="0" vertical="center" wrapText="1"/>
    </xf>
    <xf borderId="4" fillId="20" fontId="1" numFmtId="0" xfId="0" applyAlignment="1" applyBorder="1" applyFill="1" applyFont="1">
      <alignment shrinkToFit="0" vertical="center" wrapText="1"/>
    </xf>
    <xf borderId="28" fillId="0" fontId="1" numFmtId="165" xfId="0" applyAlignment="1" applyBorder="1" applyFont="1" applyNumberFormat="1">
      <alignment shrinkToFit="0" vertical="center" wrapText="1"/>
    </xf>
    <xf borderId="28" fillId="0" fontId="4" numFmtId="0" xfId="0" applyAlignment="1" applyBorder="1" applyFont="1">
      <alignment horizontal="center" shrinkToFit="0" vertical="center" wrapText="1"/>
    </xf>
    <xf borderId="28" fillId="21" fontId="1" numFmtId="0" xfId="0" applyAlignment="1" applyBorder="1" applyFill="1" applyFont="1">
      <alignment horizontal="left" shrinkToFit="0" vertical="center" wrapText="1"/>
    </xf>
    <xf borderId="28" fillId="22" fontId="1" numFmtId="164" xfId="0" applyAlignment="1" applyBorder="1" applyFill="1" applyFont="1" applyNumberFormat="1">
      <alignment horizontal="right" shrinkToFit="0" vertical="center" wrapText="1"/>
    </xf>
    <xf borderId="4" fillId="22" fontId="1" numFmtId="0" xfId="0" applyAlignment="1" applyBorder="1" applyFill="1" applyFont="1">
      <alignment shrinkToFit="0" vertical="center" wrapText="1"/>
    </xf>
    <xf borderId="28" fillId="20" fontId="1" numFmtId="0" xfId="0" applyAlignment="1" applyBorder="1" applyFill="1" applyFont="1">
      <alignment horizontal="left" shrinkToFit="0" vertical="center" wrapText="1"/>
    </xf>
    <xf borderId="29" fillId="0" fontId="1" numFmtId="0" xfId="0" applyAlignment="1" applyBorder="1" applyFont="1">
      <alignment horizontal="left" shrinkToFit="0" vertical="center" wrapText="1"/>
    </xf>
    <xf borderId="29" fillId="0" fontId="1" numFmtId="0" xfId="0" applyAlignment="1" applyBorder="1" applyFont="1">
      <alignment horizontal="center" shrinkToFit="0" vertical="center" wrapText="1"/>
    </xf>
    <xf borderId="30" fillId="2" fontId="1" numFmtId="0" xfId="0" applyAlignment="1" applyBorder="1" applyFill="1" applyFont="1">
      <alignment horizontal="left" shrinkToFit="0" vertical="center" wrapText="1"/>
    </xf>
    <xf borderId="30" fillId="2" fontId="1" numFmtId="0" xfId="0" applyAlignment="1" applyBorder="1" applyFill="1" applyFont="1">
      <alignment horizontal="center" shrinkToFit="0" vertical="center" wrapText="1"/>
    </xf>
    <xf borderId="30" fillId="2" fontId="1" numFmtId="3" xfId="0" applyAlignment="1" applyBorder="1" applyFill="1" applyFont="1" applyNumberFormat="1">
      <alignment horizontal="center" shrinkToFit="0" vertical="center" wrapText="1"/>
    </xf>
    <xf borderId="29" fillId="0" fontId="1" numFmtId="3" xfId="0" applyAlignment="1" applyBorder="1" applyFont="1" applyNumberFormat="1">
      <alignment horizontal="center" shrinkToFit="0" vertical="center" wrapText="1"/>
    </xf>
    <xf borderId="30" fillId="17" fontId="1" numFmtId="3" xfId="0" applyAlignment="1" applyBorder="1" applyFill="1" applyFont="1" applyNumberFormat="1">
      <alignment horizontal="center" shrinkToFit="0" vertical="center" wrapText="1"/>
    </xf>
    <xf borderId="30" fillId="6" fontId="1" numFmtId="164" xfId="0" applyAlignment="1" applyBorder="1" applyFill="1" applyFont="1" applyNumberFormat="1">
      <alignment shrinkToFit="0" vertical="center" wrapText="1"/>
    </xf>
    <xf borderId="29" fillId="0" fontId="1" numFmtId="164" xfId="0" applyAlignment="1" applyBorder="1" applyFont="1" applyNumberFormat="1">
      <alignment shrinkToFit="0" vertical="center" wrapText="1"/>
    </xf>
    <xf borderId="30" fillId="18" fontId="1" numFmtId="165" xfId="0" applyAlignment="1" applyBorder="1" applyFill="1" applyFont="1" applyNumberFormat="1">
      <alignment shrinkToFit="0" vertical="center" wrapText="1"/>
    </xf>
    <xf borderId="30" fillId="18" fontId="1" numFmtId="164" xfId="0" applyAlignment="1" applyBorder="1" applyFill="1" applyFont="1" applyNumberFormat="1">
      <alignment shrinkToFit="0" vertical="center" wrapText="1"/>
    </xf>
    <xf borderId="29" fillId="0" fontId="1" numFmtId="164" xfId="0" applyAlignment="1" applyBorder="1" applyFont="1" applyNumberFormat="1">
      <alignment horizontal="right" shrinkToFit="0" vertical="center" wrapText="1"/>
    </xf>
    <xf borderId="30" fillId="6" fontId="1" numFmtId="164" xfId="0" applyAlignment="1" applyBorder="1" applyFill="1" applyFont="1" applyNumberFormat="1">
      <alignment horizontal="right" shrinkToFit="0" vertical="center" wrapText="1"/>
    </xf>
    <xf borderId="29" fillId="0" fontId="1" numFmtId="164" xfId="0" applyAlignment="1" applyBorder="1" applyFont="1" applyNumberFormat="1">
      <alignment horizontal="center" shrinkToFit="0" vertical="center" wrapText="1"/>
    </xf>
    <xf borderId="30" fillId="6" fontId="1" numFmtId="164" xfId="0" applyAlignment="1" applyBorder="1" applyFill="1" applyFont="1" applyNumberFormat="1">
      <alignment horizontal="center" shrinkToFit="0" vertical="center" wrapText="1"/>
    </xf>
    <xf borderId="29" fillId="0" fontId="7" numFmtId="0" xfId="0" applyAlignment="1" applyBorder="1" applyFont="1">
      <alignment horizontal="left" vertical="center"/>
    </xf>
    <xf borderId="30" fillId="0" fontId="1" numFmtId="3" xfId="0" applyAlignment="1" applyBorder="1" applyFont="1" applyNumberFormat="1">
      <alignment horizontal="center" shrinkToFit="0" vertical="center" wrapText="1"/>
    </xf>
    <xf borderId="29" fillId="0" fontId="1" numFmtId="0" xfId="0" applyAlignment="1" applyBorder="1" applyFont="1">
      <alignment horizontal="right" shrinkToFit="0" vertical="center" wrapText="1"/>
    </xf>
    <xf borderId="29" fillId="0" fontId="1" numFmtId="0" xfId="0" applyAlignment="1" applyBorder="1" applyFont="1">
      <alignment shrinkToFit="0" vertical="center" wrapText="1"/>
    </xf>
    <xf borderId="17" fillId="0" fontId="7" numFmtId="0" xfId="0" applyAlignment="1" applyBorder="1" applyFont="1">
      <alignment vertical="center"/>
    </xf>
    <xf borderId="30" fillId="21" fontId="1" numFmtId="0" xfId="0" applyAlignment="1" applyBorder="1" applyFill="1" applyFont="1">
      <alignment horizontal="left" shrinkToFit="0" vertical="center" wrapText="1"/>
    </xf>
    <xf borderId="30" fillId="20" fontId="1" numFmtId="0" xfId="0" applyAlignment="1" applyBorder="1" applyFill="1" applyFont="1">
      <alignment horizontal="right" shrinkToFit="0" vertical="center" wrapText="1"/>
    </xf>
    <xf borderId="28" fillId="0" fontId="8" numFmtId="0" xfId="0" applyAlignment="1" applyBorder="1" applyFont="1">
      <alignment horizontal="left" vertical="center"/>
    </xf>
    <xf borderId="30" fillId="20" fontId="1" numFmtId="0" xfId="0" applyAlignment="1" applyBorder="1" applyFill="1" applyFont="1">
      <alignment horizontal="left" shrinkToFit="0" vertical="center" wrapText="1"/>
    </xf>
    <xf borderId="30" fillId="20" fontId="8" numFmtId="0" xfId="0" applyAlignment="1" applyBorder="1" applyFill="1" applyFont="1">
      <alignment horizontal="left" vertical="center"/>
    </xf>
    <xf borderId="30" fillId="20" fontId="1" numFmtId="0" xfId="0" applyAlignment="1" applyBorder="1" applyFill="1" applyFont="1">
      <alignment horizontal="center" shrinkToFit="0" vertical="center" wrapText="1"/>
    </xf>
    <xf borderId="30" fillId="20" fontId="1" numFmtId="3" xfId="0" applyAlignment="1" applyBorder="1" applyFill="1" applyFont="1" applyNumberFormat="1">
      <alignment horizontal="center" shrinkToFit="0" vertical="center" wrapText="1"/>
    </xf>
    <xf borderId="30" fillId="20" fontId="1" numFmtId="164" xfId="0" applyAlignment="1" applyBorder="1" applyFill="1" applyFont="1" applyNumberFormat="1">
      <alignment shrinkToFit="0" vertical="center" wrapText="1"/>
    </xf>
    <xf borderId="30" fillId="20" fontId="1" numFmtId="165" xfId="0" applyAlignment="1" applyBorder="1" applyFill="1" applyFont="1" applyNumberFormat="1">
      <alignment shrinkToFit="0" vertical="center" wrapText="1"/>
    </xf>
    <xf borderId="30" fillId="20" fontId="1" numFmtId="164" xfId="0" applyAlignment="1" applyBorder="1" applyFill="1" applyFont="1" applyNumberFormat="1">
      <alignment horizontal="right" shrinkToFit="0" vertical="center" wrapText="1"/>
    </xf>
    <xf borderId="30" fillId="20" fontId="1" numFmtId="164" xfId="0" applyAlignment="1" applyBorder="1" applyFill="1" applyFont="1" applyNumberFormat="1">
      <alignment horizontal="center" shrinkToFit="0" vertical="center" wrapText="1"/>
    </xf>
    <xf borderId="30" fillId="20" fontId="1" numFmtId="0" xfId="0" applyAlignment="1" applyBorder="1" applyFill="1" applyFont="1">
      <alignment shrinkToFit="0" vertical="center" wrapText="1"/>
    </xf>
    <xf borderId="31" fillId="0" fontId="1" numFmtId="0" xfId="0" applyAlignment="1" applyBorder="1" applyFont="1">
      <alignment horizontal="left" vertical="center"/>
    </xf>
    <xf borderId="31" fillId="0" fontId="9" numFmtId="0" xfId="0" applyAlignment="1" applyBorder="1" applyFont="1">
      <alignment vertical="center"/>
    </xf>
    <xf borderId="31" fillId="0" fontId="9" numFmtId="0" xfId="0" applyAlignment="1" applyBorder="1" applyFont="1">
      <alignment horizontal="left" vertical="center"/>
    </xf>
    <xf borderId="0" fillId="0" fontId="1" numFmtId="0" xfId="0" applyAlignment="1" applyFont="1">
      <alignment horizontal="right"/>
    </xf>
    <xf borderId="30" fillId="23" fontId="1" numFmtId="0" xfId="0" applyBorder="1" applyFill="1" applyFont="1"/>
    <xf borderId="30" fillId="23" fontId="1" numFmtId="3" xfId="0" applyAlignment="1" applyBorder="1" applyFill="1" applyFont="1" applyNumberFormat="1">
      <alignment horizontal="center"/>
    </xf>
    <xf borderId="30" fillId="23" fontId="1" numFmtId="164" xfId="0" applyBorder="1" applyFill="1" applyFont="1" applyNumberFormat="1"/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center"/>
    </xf>
    <xf borderId="0" fillId="0" fontId="1" numFmtId="3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13" fillId="23" fontId="1" numFmtId="0" xfId="0" applyAlignment="1" applyBorder="1" applyFill="1" applyFont="1">
      <alignment horizontal="center"/>
    </xf>
    <xf borderId="14" fillId="23" fontId="1" numFmtId="0" xfId="0" applyAlignment="1" applyBorder="1" applyFill="1" applyFont="1">
      <alignment horizontal="center"/>
    </xf>
    <xf borderId="0" fillId="0" fontId="4" numFmtId="166" xfId="0" applyFont="1" applyNumberFormat="1"/>
    <xf borderId="12" fillId="0" fontId="1" numFmtId="164" xfId="0" applyAlignment="1" applyBorder="1" applyFont="1" applyNumberFormat="1">
      <alignment horizontal="center" shrinkToFit="0" vertical="center" wrapText="1"/>
    </xf>
    <xf borderId="28" fillId="0" fontId="1" numFmtId="0" xfId="0" applyAlignment="1" applyBorder="1" applyFont="1">
      <alignment horizontal="left"/>
    </xf>
    <xf borderId="0" fillId="0" fontId="1" numFmtId="166" xfId="0" applyAlignment="1" applyFont="1" applyNumberFormat="1">
      <alignment horizontal="center"/>
    </xf>
    <xf borderId="4" fillId="0" fontId="4" numFmtId="0" xfId="0" applyAlignment="1" applyBorder="1" applyFont="1">
      <alignment horizontal="left" shrinkToFit="0" wrapText="1"/>
    </xf>
  </cellXfs>
  <cellStyles count="1">
    <cellStyle xfId="0" name="Normal" builtinId="0"/>
  </cellStyles>
  <dxfs count="2">
    <dxf>
      <font>
        <color/>
      </font>
      <fill>
        <patternFill patternType="solid">
          <fgColor rgb="FF99FF66"/>
          <bgColor rgb="FF99FF66"/>
        </patternFill>
      </fill>
      <border/>
    </dxf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1.12\dgop\VilsicBocangel\Especialista%20Cacao\Documentos%20Especialistas\Data%20historica%20PACs\BD%20HIST&#211;RICA%202018%20al%202025%20AGROMERCADO%2012.01.2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CONSOLIDADA 2018-2025  (2)"/>
      <sheetName val="PACs"/>
      <sheetName val="org"/>
      <sheetName val="Benef"/>
      <sheetName val="Ventas nac"/>
      <sheetName val="Ventas exp"/>
      <sheetName val="Ventas Totales"/>
      <sheetName val="Contactos"/>
      <sheetName val="Hoja7"/>
      <sheetName val="RES BD1"/>
      <sheetName val="Hoja1"/>
      <sheetName val="Hoja3"/>
      <sheetName val="Hoja4"/>
      <sheetName val="xDepa"/>
      <sheetName val="Hoja6"/>
      <sheetName val="xDepa2"/>
      <sheetName val="xCadena"/>
      <sheetName val="Hoja5"/>
      <sheetName val="Hoja9"/>
      <sheetName val="Hoja10"/>
      <sheetName val="DATA CONSOLIDADA 2018-2025 "/>
      <sheetName val="Hoja8"/>
      <sheetName val="Dashboard"/>
      <sheetName val="xProductos"/>
      <sheetName val="Hoja2"/>
      <sheetName val="PAC-BENEF-DEPARTAMENTOS"/>
      <sheetName val="Indicadores completos"/>
      <sheetName val="Ventas x año"/>
      <sheetName val="Lista opciones"/>
      <sheetName val="Siglas"/>
      <sheetName val="xTipoComprobante"/>
      <sheetName val="ubigeo"/>
      <sheetName val="generacion histo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26.43"/>
    <col customWidth="1" min="3" max="3" width="14.29"/>
    <col customWidth="1" min="4" max="4" width="15.0"/>
    <col customWidth="1" min="5" max="5" width="9.71"/>
    <col customWidth="1" min="6" max="8" width="19.0"/>
    <col customWidth="1" min="9" max="15" width="8.0"/>
    <col customWidth="1" min="16" max="17" width="11.0"/>
    <col customWidth="1" min="18" max="18" width="24.86"/>
    <col customWidth="1" min="19" max="21" width="18.71"/>
    <col customWidth="1" min="22" max="22" width="12.43"/>
    <col customWidth="1" min="23" max="28" width="10.71"/>
    <col customWidth="1" min="29" max="29" width="11.14"/>
    <col customWidth="1" min="30" max="31" width="10.71"/>
    <col customWidth="1" min="32" max="32" width="13.43"/>
    <col customWidth="1" min="33" max="33" width="12.86"/>
    <col customWidth="1" min="34" max="43" width="13.86"/>
    <col customWidth="1" min="44" max="44" width="17.14"/>
    <col customWidth="1" min="45" max="52" width="13.86"/>
    <col customWidth="1" min="53" max="53" width="17.0"/>
    <col customWidth="1" min="54" max="56" width="16.0"/>
    <col customWidth="1" min="57" max="57" width="16.43"/>
    <col customWidth="1" min="58" max="58" width="19.0"/>
    <col customWidth="1" min="59" max="59" width="22.71"/>
    <col customWidth="1" min="60" max="60" width="19.14"/>
    <col customWidth="1" min="61" max="61" width="25.0"/>
    <col customWidth="1" min="62" max="62" width="24.29"/>
    <col customWidth="1" min="63" max="63" width="20.14"/>
    <col customWidth="1" min="64" max="64" width="21.0"/>
    <col customWidth="1" min="65" max="65" width="20.86"/>
    <col customWidth="1" min="66" max="66" width="22.29"/>
    <col customWidth="1" min="67" max="67" width="22.57"/>
    <col customWidth="1" min="68" max="68" width="21.86"/>
    <col customWidth="1" min="69" max="69" width="22.57"/>
    <col customWidth="1" min="70" max="70" width="20.14"/>
    <col customWidth="1" min="71" max="71" width="24.29"/>
    <col customWidth="1" min="72" max="72" width="21.29"/>
    <col customWidth="1" min="73" max="73" width="22.29"/>
    <col customWidth="1" min="74" max="74" width="23.14"/>
    <col customWidth="1" min="75" max="75" width="18.57"/>
    <col customWidth="1" min="76" max="76" width="23.29"/>
    <col customWidth="1" min="77" max="77" width="20.57"/>
    <col customWidth="1" min="78" max="78" width="22.14"/>
    <col customWidth="1" min="79" max="79" width="21.71"/>
    <col customWidth="1" min="80" max="80" width="18.86"/>
    <col customWidth="1" min="81" max="81" width="22.86"/>
    <col customWidth="1" min="82" max="82" width="21.14"/>
    <col customWidth="1" min="83" max="83" width="21.86"/>
    <col customWidth="1" min="84" max="84" width="21.57"/>
    <col customWidth="1" min="85" max="85" width="19.43"/>
    <col customWidth="1" min="86" max="86" width="21.43"/>
    <col customWidth="1" min="87" max="87" width="19.57"/>
    <col customWidth="1" min="88" max="93" width="26.86"/>
    <col customWidth="1" min="94" max="94" width="21.71"/>
    <col customWidth="1" min="95" max="95" width="20.71"/>
    <col customWidth="1" min="96" max="96" width="27.71"/>
    <col customWidth="1" min="97" max="97" width="19.57"/>
    <col customWidth="1" min="98" max="98" width="17.86"/>
    <col customWidth="1" min="99" max="99" width="20.43"/>
    <col customWidth="1" min="100" max="100" width="23.71"/>
    <col customWidth="1" min="101" max="101" width="21.71"/>
    <col customWidth="1" min="102" max="102" width="24.0"/>
    <col customWidth="1" min="103" max="103" width="21.71"/>
    <col customWidth="1" min="104" max="104" width="23.14"/>
    <col customWidth="1" min="105" max="105" width="27.71"/>
    <col customWidth="1" min="106" max="112" width="21.71"/>
    <col customWidth="1" min="113" max="113" width="13.86"/>
    <col customWidth="1" min="114" max="114" width="39.14"/>
    <col customWidth="1" min="115" max="115" width="21.86"/>
    <col customWidth="1" min="116" max="123" width="14.43"/>
    <col customWidth="1" min="124" max="124" width="16.0"/>
    <col customWidth="1" min="125" max="126" width="15.0"/>
    <col customWidth="1" min="127" max="127" width="17.14"/>
    <col customWidth="1" min="128" max="128" width="42.0"/>
    <col customWidth="1" min="129" max="129" width="33.0"/>
    <col customWidth="1" min="130" max="130" width="18.57"/>
    <col customWidth="1" min="131" max="131" width="24.29"/>
    <col customWidth="1" min="132" max="132" width="15.71"/>
    <col customWidth="1" min="133" max="133" width="16.0"/>
    <col customWidth="1" min="134" max="134" width="32.29"/>
    <col customWidth="1" min="135" max="135" width="16.14"/>
  </cols>
  <sheetData>
    <row r="1">
      <c r="A1" s="1">
        <v>2.0</v>
      </c>
      <c r="B1" s="1">
        <v>3.0</v>
      </c>
      <c r="C1" s="1">
        <v>4.0</v>
      </c>
      <c r="D1" s="1">
        <v>7.0</v>
      </c>
      <c r="E1" s="1">
        <v>8.0</v>
      </c>
      <c r="F1" s="1">
        <v>9.0</v>
      </c>
      <c r="G1" s="1">
        <v>10.0</v>
      </c>
      <c r="H1" s="1">
        <v>11.0</v>
      </c>
      <c r="I1" s="1">
        <v>12.0</v>
      </c>
      <c r="J1" s="1">
        <v>13.0</v>
      </c>
      <c r="K1" s="1">
        <v>14.0</v>
      </c>
      <c r="L1" s="1">
        <v>15.0</v>
      </c>
      <c r="M1" s="1">
        <v>16.0</v>
      </c>
      <c r="N1" s="1">
        <v>17.0</v>
      </c>
      <c r="O1" s="1">
        <v>18.0</v>
      </c>
      <c r="P1" s="1">
        <v>19.0</v>
      </c>
      <c r="Q1" s="1"/>
      <c r="R1" s="1">
        <v>20.0</v>
      </c>
      <c r="S1" s="1">
        <v>21.0</v>
      </c>
      <c r="T1" s="1">
        <v>22.0</v>
      </c>
      <c r="U1" s="1"/>
      <c r="V1" s="1">
        <v>23.0</v>
      </c>
      <c r="W1" s="1">
        <v>24.0</v>
      </c>
      <c r="X1" s="1">
        <v>25.0</v>
      </c>
      <c r="Y1" s="1">
        <v>26.0</v>
      </c>
      <c r="Z1" s="1">
        <v>27.0</v>
      </c>
      <c r="AA1" s="1">
        <v>28.0</v>
      </c>
      <c r="AB1" s="1">
        <v>29.0</v>
      </c>
      <c r="AC1" s="1">
        <v>30.0</v>
      </c>
      <c r="AD1" s="1">
        <v>31.0</v>
      </c>
      <c r="AE1" s="1">
        <v>32.0</v>
      </c>
      <c r="AF1" s="1">
        <v>33.0</v>
      </c>
      <c r="AG1" s="1">
        <v>34.0</v>
      </c>
      <c r="AH1" s="1">
        <v>35.0</v>
      </c>
      <c r="AI1" s="1">
        <v>36.0</v>
      </c>
      <c r="AJ1" s="1">
        <v>37.0</v>
      </c>
      <c r="AK1" s="1">
        <v>38.0</v>
      </c>
      <c r="AL1" s="1">
        <v>39.0</v>
      </c>
      <c r="AM1" s="1">
        <v>40.0</v>
      </c>
      <c r="AN1" s="1">
        <v>41.0</v>
      </c>
      <c r="AO1" s="1">
        <v>42.0</v>
      </c>
      <c r="AP1" s="1">
        <v>43.0</v>
      </c>
      <c r="AQ1" s="1">
        <v>44.0</v>
      </c>
      <c r="AR1" s="1">
        <v>45.0</v>
      </c>
      <c r="AS1" s="1">
        <v>46.0</v>
      </c>
      <c r="AT1" s="1">
        <v>47.0</v>
      </c>
      <c r="AU1" s="1">
        <v>48.0</v>
      </c>
      <c r="AV1" s="1">
        <v>49.0</v>
      </c>
      <c r="AW1" s="1">
        <v>50.0</v>
      </c>
      <c r="AX1" s="1">
        <v>51.0</v>
      </c>
      <c r="AY1" s="1">
        <v>52.0</v>
      </c>
      <c r="AZ1" s="1">
        <v>53.0</v>
      </c>
      <c r="BA1" s="1">
        <v>54.0</v>
      </c>
      <c r="BB1" s="1">
        <v>55.0</v>
      </c>
      <c r="BC1" s="1">
        <v>56.0</v>
      </c>
      <c r="BD1" s="1">
        <v>57.0</v>
      </c>
      <c r="BE1" s="1">
        <v>58.0</v>
      </c>
      <c r="BF1" s="1">
        <v>59.0</v>
      </c>
      <c r="BG1" s="1">
        <v>60.0</v>
      </c>
      <c r="BH1" s="1">
        <v>61.0</v>
      </c>
      <c r="BI1" s="1">
        <v>62.0</v>
      </c>
      <c r="BJ1" s="1">
        <v>63.0</v>
      </c>
      <c r="BK1" s="1">
        <v>64.0</v>
      </c>
      <c r="BL1" s="1">
        <v>65.0</v>
      </c>
      <c r="BM1" s="1">
        <v>66.0</v>
      </c>
      <c r="BN1" s="1">
        <v>67.0</v>
      </c>
      <c r="BO1" s="1">
        <v>68.0</v>
      </c>
      <c r="BP1" s="1">
        <v>69.0</v>
      </c>
      <c r="BQ1" s="1">
        <v>70.0</v>
      </c>
      <c r="BR1" s="1">
        <v>71.0</v>
      </c>
      <c r="BS1" s="1">
        <v>72.0</v>
      </c>
      <c r="BT1" s="1">
        <v>73.0</v>
      </c>
      <c r="BU1" s="1">
        <v>74.0</v>
      </c>
      <c r="BV1" s="1">
        <v>75.0</v>
      </c>
      <c r="BW1" s="1">
        <v>76.0</v>
      </c>
      <c r="BX1" s="1">
        <v>77.0</v>
      </c>
      <c r="BY1" s="1">
        <v>78.0</v>
      </c>
      <c r="BZ1" s="1">
        <v>79.0</v>
      </c>
      <c r="CA1" s="1">
        <v>80.0</v>
      </c>
      <c r="CB1" s="1">
        <v>81.0</v>
      </c>
      <c r="CC1" s="1">
        <v>82.0</v>
      </c>
      <c r="CD1" s="1">
        <v>83.0</v>
      </c>
      <c r="CE1" s="1">
        <v>84.0</v>
      </c>
      <c r="CF1" s="1">
        <v>85.0</v>
      </c>
      <c r="CG1" s="1">
        <v>86.0</v>
      </c>
      <c r="CH1" s="1">
        <v>87.0</v>
      </c>
      <c r="CI1" s="1">
        <v>88.0</v>
      </c>
      <c r="CJ1" s="1">
        <v>89.0</v>
      </c>
      <c r="CK1" s="1">
        <v>90.0</v>
      </c>
      <c r="CL1" s="1">
        <v>91.0</v>
      </c>
      <c r="CM1" s="1">
        <v>92.0</v>
      </c>
      <c r="CN1" s="1">
        <v>93.0</v>
      </c>
      <c r="CO1" s="1">
        <v>94.0</v>
      </c>
      <c r="CP1" s="1">
        <v>95.0</v>
      </c>
      <c r="CQ1" s="1">
        <v>96.0</v>
      </c>
      <c r="CR1" s="1">
        <v>97.0</v>
      </c>
      <c r="CS1" s="1">
        <v>98.0</v>
      </c>
      <c r="CT1" s="1">
        <v>99.0</v>
      </c>
      <c r="CU1" s="1">
        <v>100.0</v>
      </c>
      <c r="CV1" s="1">
        <v>101.0</v>
      </c>
      <c r="CW1" s="1">
        <v>102.0</v>
      </c>
      <c r="CX1" s="1">
        <v>103.0</v>
      </c>
      <c r="CY1" s="1">
        <v>104.0</v>
      </c>
      <c r="CZ1" s="1">
        <v>105.0</v>
      </c>
      <c r="DA1" s="1">
        <v>106.0</v>
      </c>
      <c r="DB1" s="1">
        <v>107.0</v>
      </c>
      <c r="DC1" s="1"/>
      <c r="DD1" s="1"/>
      <c r="DE1" s="1"/>
      <c r="DF1" s="1"/>
      <c r="DG1" s="1"/>
      <c r="DH1" s="1"/>
      <c r="DI1" s="1">
        <v>122.0</v>
      </c>
      <c r="DJ1" s="1">
        <v>123.0</v>
      </c>
      <c r="DK1" s="1">
        <v>124.0</v>
      </c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</row>
    <row r="2">
      <c r="A2" s="3"/>
      <c r="B2" s="4"/>
      <c r="C2" s="4"/>
      <c r="D2" s="4"/>
      <c r="E2" s="4"/>
      <c r="F2" s="4"/>
      <c r="G2" s="4"/>
      <c r="H2" s="5"/>
      <c r="I2" s="6" t="s">
        <v>0</v>
      </c>
      <c r="J2" s="4"/>
      <c r="K2" s="4"/>
      <c r="L2" s="4"/>
      <c r="M2" s="4"/>
      <c r="N2" s="4"/>
      <c r="O2" s="4"/>
      <c r="P2" s="4"/>
      <c r="Q2" s="4"/>
      <c r="R2" s="4"/>
      <c r="S2" s="5"/>
      <c r="T2" s="7"/>
      <c r="U2" s="7"/>
      <c r="V2" s="8" t="s">
        <v>1</v>
      </c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/>
      <c r="AO2" s="11"/>
      <c r="AP2" s="11"/>
      <c r="AQ2" s="11"/>
      <c r="AR2" s="11"/>
      <c r="AS2" s="12"/>
      <c r="AT2" s="9"/>
      <c r="AU2" s="9"/>
      <c r="AV2" s="9"/>
      <c r="AW2" s="9"/>
      <c r="AX2" s="9"/>
      <c r="AY2" s="9"/>
      <c r="AZ2" s="9"/>
      <c r="BA2" s="9"/>
      <c r="BB2" s="10"/>
      <c r="BC2" s="13"/>
      <c r="BD2" s="13"/>
      <c r="BE2" s="14" t="s">
        <v>2</v>
      </c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6"/>
      <c r="CD2" s="17"/>
      <c r="CE2" s="14"/>
      <c r="CF2" s="15"/>
      <c r="CG2" s="15"/>
      <c r="CH2" s="16"/>
      <c r="CI2" s="18"/>
      <c r="CJ2" s="18"/>
      <c r="CK2" s="18"/>
      <c r="CL2" s="18"/>
      <c r="CM2" s="18"/>
      <c r="CN2" s="18"/>
      <c r="CO2" s="18"/>
      <c r="CP2" s="19" t="s">
        <v>3</v>
      </c>
      <c r="CQ2" s="15"/>
      <c r="CR2" s="15"/>
      <c r="CS2" s="15"/>
      <c r="CT2" s="15"/>
      <c r="CU2" s="15"/>
      <c r="CV2" s="16"/>
      <c r="CW2" s="20" t="s">
        <v>4</v>
      </c>
      <c r="CX2" s="21"/>
      <c r="CY2" s="21"/>
      <c r="CZ2" s="21"/>
      <c r="DA2" s="21"/>
      <c r="DB2" s="22"/>
      <c r="DC2" s="23" t="s">
        <v>5</v>
      </c>
      <c r="DD2" s="21"/>
      <c r="DE2" s="21"/>
      <c r="DF2" s="21"/>
      <c r="DG2" s="21"/>
      <c r="DH2" s="22"/>
      <c r="DI2" s="24"/>
      <c r="DJ2" s="4"/>
      <c r="DK2" s="5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ht="26.25" customHeight="1">
      <c r="A3" s="25"/>
      <c r="B3" s="26"/>
      <c r="C3" s="26"/>
      <c r="D3" s="26"/>
      <c r="E3" s="26"/>
      <c r="F3" s="26"/>
      <c r="G3" s="26"/>
      <c r="H3" s="27"/>
      <c r="I3" s="25"/>
      <c r="J3" s="26"/>
      <c r="K3" s="26"/>
      <c r="L3" s="26"/>
      <c r="M3" s="26"/>
      <c r="N3" s="26"/>
      <c r="O3" s="26"/>
      <c r="P3" s="26"/>
      <c r="Q3" s="26"/>
      <c r="R3" s="26"/>
      <c r="S3" s="27"/>
      <c r="T3" s="7"/>
      <c r="U3" s="7"/>
      <c r="V3" s="28">
        <v>2018.0</v>
      </c>
      <c r="W3" s="29">
        <v>2019.0</v>
      </c>
      <c r="X3" s="30"/>
      <c r="Y3" s="31"/>
      <c r="Z3" s="29">
        <v>2020.0</v>
      </c>
      <c r="AA3" s="30"/>
      <c r="AB3" s="31"/>
      <c r="AC3" s="29">
        <v>2021.0</v>
      </c>
      <c r="AD3" s="30"/>
      <c r="AE3" s="31"/>
      <c r="AF3" s="29">
        <v>2022.0</v>
      </c>
      <c r="AG3" s="30"/>
      <c r="AH3" s="31"/>
      <c r="AI3" s="29">
        <v>2023.0</v>
      </c>
      <c r="AJ3" s="30"/>
      <c r="AK3" s="31"/>
      <c r="AL3" s="32">
        <v>2024.0</v>
      </c>
      <c r="AM3" s="9"/>
      <c r="AN3" s="10"/>
      <c r="AO3" s="32" t="s">
        <v>6</v>
      </c>
      <c r="AP3" s="9"/>
      <c r="AQ3" s="10"/>
      <c r="AR3" s="33"/>
      <c r="AS3" s="34">
        <v>2020.0</v>
      </c>
      <c r="AT3" s="31"/>
      <c r="AU3" s="34">
        <v>2021.0</v>
      </c>
      <c r="AV3" s="31"/>
      <c r="AW3" s="34">
        <v>2022.0</v>
      </c>
      <c r="AX3" s="31"/>
      <c r="AY3" s="34">
        <v>2023.0</v>
      </c>
      <c r="AZ3" s="31"/>
      <c r="BA3" s="34">
        <v>2024.0</v>
      </c>
      <c r="BB3" s="31"/>
      <c r="BC3" s="35" t="s">
        <v>7</v>
      </c>
      <c r="BD3" s="10"/>
      <c r="BE3" s="36">
        <v>2018.0</v>
      </c>
      <c r="BF3" s="37">
        <v>2019.0</v>
      </c>
      <c r="BG3" s="30"/>
      <c r="BH3" s="30"/>
      <c r="BI3" s="30"/>
      <c r="BJ3" s="31"/>
      <c r="BK3" s="37">
        <v>2020.0</v>
      </c>
      <c r="BL3" s="30"/>
      <c r="BM3" s="30"/>
      <c r="BN3" s="30"/>
      <c r="BO3" s="31"/>
      <c r="BP3" s="37">
        <v>2021.0</v>
      </c>
      <c r="BQ3" s="30"/>
      <c r="BR3" s="30"/>
      <c r="BS3" s="30"/>
      <c r="BT3" s="31"/>
      <c r="BU3" s="38">
        <v>2022.0</v>
      </c>
      <c r="BV3" s="30"/>
      <c r="BW3" s="30"/>
      <c r="BX3" s="30"/>
      <c r="BY3" s="31"/>
      <c r="BZ3" s="38">
        <v>2023.0</v>
      </c>
      <c r="CA3" s="30"/>
      <c r="CB3" s="30"/>
      <c r="CC3" s="30"/>
      <c r="CD3" s="31"/>
      <c r="CE3" s="38">
        <v>2024.0</v>
      </c>
      <c r="CF3" s="30"/>
      <c r="CG3" s="30"/>
      <c r="CH3" s="30"/>
      <c r="CI3" s="31"/>
      <c r="CJ3" s="39"/>
      <c r="CK3" s="38" t="s">
        <v>8</v>
      </c>
      <c r="CL3" s="30"/>
      <c r="CM3" s="30"/>
      <c r="CN3" s="30"/>
      <c r="CO3" s="31"/>
      <c r="CP3" s="40" t="s">
        <v>9</v>
      </c>
      <c r="CQ3" s="30"/>
      <c r="CR3" s="30"/>
      <c r="CS3" s="30"/>
      <c r="CT3" s="30"/>
      <c r="CU3" s="30"/>
      <c r="CV3" s="31"/>
      <c r="CW3" s="41"/>
      <c r="CX3" s="26"/>
      <c r="CY3" s="26"/>
      <c r="CZ3" s="26"/>
      <c r="DA3" s="26"/>
      <c r="DB3" s="42"/>
      <c r="DC3" s="41"/>
      <c r="DD3" s="26"/>
      <c r="DE3" s="26"/>
      <c r="DF3" s="26"/>
      <c r="DG3" s="26"/>
      <c r="DH3" s="42"/>
      <c r="DI3" s="25"/>
      <c r="DJ3" s="26"/>
      <c r="DK3" s="27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</row>
    <row r="4">
      <c r="A4" s="43" t="s">
        <v>10</v>
      </c>
      <c r="B4" s="43" t="s">
        <v>11</v>
      </c>
      <c r="C4" s="44" t="s">
        <v>12</v>
      </c>
      <c r="D4" s="43" t="s">
        <v>13</v>
      </c>
      <c r="E4" s="43" t="s">
        <v>14</v>
      </c>
      <c r="F4" s="43" t="s">
        <v>15</v>
      </c>
      <c r="G4" s="43" t="s">
        <v>16</v>
      </c>
      <c r="H4" s="43" t="s">
        <v>17</v>
      </c>
      <c r="I4" s="45" t="s">
        <v>18</v>
      </c>
      <c r="J4" s="45" t="s">
        <v>19</v>
      </c>
      <c r="K4" s="45" t="s">
        <v>20</v>
      </c>
      <c r="L4" s="45" t="s">
        <v>21</v>
      </c>
      <c r="M4" s="45" t="s">
        <v>22</v>
      </c>
      <c r="N4" s="45" t="s">
        <v>23</v>
      </c>
      <c r="O4" s="45" t="s">
        <v>24</v>
      </c>
      <c r="P4" s="45" t="s">
        <v>25</v>
      </c>
      <c r="Q4" s="45" t="s">
        <v>26</v>
      </c>
      <c r="R4" s="46" t="s">
        <v>27</v>
      </c>
      <c r="S4" s="45" t="s">
        <v>28</v>
      </c>
      <c r="T4" s="45" t="s">
        <v>29</v>
      </c>
      <c r="U4" s="45" t="s">
        <v>30</v>
      </c>
      <c r="V4" s="47" t="s">
        <v>31</v>
      </c>
      <c r="W4" s="47" t="s">
        <v>32</v>
      </c>
      <c r="X4" s="47" t="s">
        <v>33</v>
      </c>
      <c r="Y4" s="47" t="s">
        <v>34</v>
      </c>
      <c r="Z4" s="47" t="s">
        <v>35</v>
      </c>
      <c r="AA4" s="47" t="s">
        <v>36</v>
      </c>
      <c r="AB4" s="47" t="s">
        <v>37</v>
      </c>
      <c r="AC4" s="47" t="s">
        <v>38</v>
      </c>
      <c r="AD4" s="47" t="s">
        <v>39</v>
      </c>
      <c r="AE4" s="47" t="s">
        <v>40</v>
      </c>
      <c r="AF4" s="47" t="s">
        <v>41</v>
      </c>
      <c r="AG4" s="47" t="s">
        <v>42</v>
      </c>
      <c r="AH4" s="47" t="s">
        <v>43</v>
      </c>
      <c r="AI4" s="47" t="s">
        <v>44</v>
      </c>
      <c r="AJ4" s="47" t="s">
        <v>45</v>
      </c>
      <c r="AK4" s="47" t="s">
        <v>46</v>
      </c>
      <c r="AL4" s="47" t="s">
        <v>47</v>
      </c>
      <c r="AM4" s="47" t="s">
        <v>48</v>
      </c>
      <c r="AN4" s="47" t="s">
        <v>49</v>
      </c>
      <c r="AO4" s="47" t="s">
        <v>50</v>
      </c>
      <c r="AP4" s="47" t="s">
        <v>51</v>
      </c>
      <c r="AQ4" s="47" t="s">
        <v>52</v>
      </c>
      <c r="AR4" s="47" t="s">
        <v>53</v>
      </c>
      <c r="AS4" s="48" t="s">
        <v>54</v>
      </c>
      <c r="AT4" s="48" t="s">
        <v>55</v>
      </c>
      <c r="AU4" s="48" t="s">
        <v>56</v>
      </c>
      <c r="AV4" s="48" t="s">
        <v>57</v>
      </c>
      <c r="AW4" s="48" t="s">
        <v>58</v>
      </c>
      <c r="AX4" s="48" t="s">
        <v>59</v>
      </c>
      <c r="AY4" s="48" t="s">
        <v>60</v>
      </c>
      <c r="AZ4" s="48" t="s">
        <v>61</v>
      </c>
      <c r="BA4" s="48" t="s">
        <v>62</v>
      </c>
      <c r="BB4" s="48" t="s">
        <v>63</v>
      </c>
      <c r="BC4" s="48" t="s">
        <v>64</v>
      </c>
      <c r="BD4" s="48" t="s">
        <v>65</v>
      </c>
      <c r="BE4" s="49" t="s">
        <v>66</v>
      </c>
      <c r="BF4" s="49" t="s">
        <v>67</v>
      </c>
      <c r="BG4" s="49" t="s">
        <v>68</v>
      </c>
      <c r="BH4" s="49" t="s">
        <v>69</v>
      </c>
      <c r="BI4" s="49" t="s">
        <v>70</v>
      </c>
      <c r="BJ4" s="49" t="s">
        <v>71</v>
      </c>
      <c r="BK4" s="49" t="s">
        <v>72</v>
      </c>
      <c r="BL4" s="49" t="s">
        <v>73</v>
      </c>
      <c r="BM4" s="49" t="s">
        <v>74</v>
      </c>
      <c r="BN4" s="49" t="s">
        <v>75</v>
      </c>
      <c r="BO4" s="49" t="s">
        <v>76</v>
      </c>
      <c r="BP4" s="49" t="s">
        <v>77</v>
      </c>
      <c r="BQ4" s="49" t="s">
        <v>78</v>
      </c>
      <c r="BR4" s="49" t="s">
        <v>79</v>
      </c>
      <c r="BS4" s="49" t="s">
        <v>80</v>
      </c>
      <c r="BT4" s="49" t="s">
        <v>81</v>
      </c>
      <c r="BU4" s="50" t="s">
        <v>82</v>
      </c>
      <c r="BV4" s="50" t="s">
        <v>83</v>
      </c>
      <c r="BW4" s="49" t="s">
        <v>84</v>
      </c>
      <c r="BX4" s="49" t="s">
        <v>85</v>
      </c>
      <c r="BY4" s="49" t="s">
        <v>86</v>
      </c>
      <c r="BZ4" s="50" t="s">
        <v>87</v>
      </c>
      <c r="CA4" s="50" t="s">
        <v>88</v>
      </c>
      <c r="CB4" s="49" t="s">
        <v>89</v>
      </c>
      <c r="CC4" s="49" t="s">
        <v>90</v>
      </c>
      <c r="CD4" s="49" t="s">
        <v>91</v>
      </c>
      <c r="CE4" s="50" t="s">
        <v>92</v>
      </c>
      <c r="CF4" s="50" t="s">
        <v>93</v>
      </c>
      <c r="CG4" s="49" t="s">
        <v>94</v>
      </c>
      <c r="CH4" s="49" t="s">
        <v>95</v>
      </c>
      <c r="CI4" s="49" t="s">
        <v>96</v>
      </c>
      <c r="CJ4" s="51" t="s">
        <v>97</v>
      </c>
      <c r="CK4" s="50" t="s">
        <v>98</v>
      </c>
      <c r="CL4" s="50" t="s">
        <v>99</v>
      </c>
      <c r="CM4" s="49" t="s">
        <v>100</v>
      </c>
      <c r="CN4" s="49" t="s">
        <v>101</v>
      </c>
      <c r="CO4" s="49" t="s">
        <v>102</v>
      </c>
      <c r="CP4" s="45" t="s">
        <v>103</v>
      </c>
      <c r="CQ4" s="45" t="s">
        <v>104</v>
      </c>
      <c r="CR4" s="45" t="s">
        <v>105</v>
      </c>
      <c r="CS4" s="45" t="s">
        <v>106</v>
      </c>
      <c r="CT4" s="45" t="s">
        <v>107</v>
      </c>
      <c r="CU4" s="45" t="s">
        <v>108</v>
      </c>
      <c r="CV4" s="45" t="s">
        <v>109</v>
      </c>
      <c r="CW4" s="50" t="s">
        <v>110</v>
      </c>
      <c r="CX4" s="50" t="s">
        <v>111</v>
      </c>
      <c r="CY4" s="50" t="s">
        <v>112</v>
      </c>
      <c r="CZ4" s="50" t="s">
        <v>113</v>
      </c>
      <c r="DA4" s="50" t="s">
        <v>114</v>
      </c>
      <c r="DB4" s="50" t="s">
        <v>115</v>
      </c>
      <c r="DC4" s="52" t="s">
        <v>116</v>
      </c>
      <c r="DD4" s="52" t="s">
        <v>117</v>
      </c>
      <c r="DE4" s="52" t="s">
        <v>118</v>
      </c>
      <c r="DF4" s="52" t="s">
        <v>119</v>
      </c>
      <c r="DG4" s="52" t="s">
        <v>120</v>
      </c>
      <c r="DH4" s="52" t="s">
        <v>121</v>
      </c>
      <c r="DI4" s="43" t="s">
        <v>122</v>
      </c>
      <c r="DJ4" s="43" t="s">
        <v>123</v>
      </c>
      <c r="DK4" s="53" t="s">
        <v>124</v>
      </c>
      <c r="DL4" s="54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  <c r="DY4" s="54"/>
      <c r="DZ4" s="54"/>
      <c r="EA4" s="54"/>
      <c r="EB4" s="54"/>
      <c r="EC4" s="54"/>
      <c r="ED4" s="54"/>
      <c r="EE4" s="54"/>
    </row>
    <row r="5" ht="47.25" hidden="1" customHeight="1">
      <c r="A5" s="55" t="s">
        <v>125</v>
      </c>
      <c r="B5" s="55" t="s">
        <v>126</v>
      </c>
      <c r="C5" s="55" t="s">
        <v>126</v>
      </c>
      <c r="D5" s="55" t="s">
        <v>127</v>
      </c>
      <c r="E5" s="55" t="s">
        <v>128</v>
      </c>
      <c r="F5" s="55" t="s">
        <v>127</v>
      </c>
      <c r="G5" s="55" t="s">
        <v>129</v>
      </c>
      <c r="H5" s="55" t="s">
        <v>130</v>
      </c>
      <c r="I5" s="56">
        <v>1.0</v>
      </c>
      <c r="J5" s="56">
        <v>1.0</v>
      </c>
      <c r="K5" s="56">
        <v>1.0</v>
      </c>
      <c r="L5" s="57"/>
      <c r="M5" s="56"/>
      <c r="N5" s="56"/>
      <c r="O5" s="56"/>
      <c r="P5" s="56"/>
      <c r="Q5" s="56" t="s">
        <v>131</v>
      </c>
      <c r="R5" s="58" t="str">
        <f t="shared" ref="R5:R677" si="1">IF(I5=1, I$4, "") &amp; IF(J5=1, IF(I5=1, "-", "") &amp; J$4, "") &amp; IF(K5=1, IF(OR(J5=1, I5=1), "-", "") &amp; K$4, "") &amp; IF(L5=1, IF(OR(K5=1, J5=1, I5=1), "-", "") &amp; L$4, "") &amp; IF(M5=1, IF(OR(L5=1, K5=1, J5=1, I5=1), "-", "") &amp; M$4, "") &amp; IF(N5=1, IF(OR(M5=1, L5=1, K5=1, J5=1, I5=1), "-", "") &amp; N$4, "") &amp; IF(O5=1, IF(OR(N5=1, M5=1, L5=1, K5=1, J5=1, I5=1), "-", "") &amp; O$4, "") &amp; IF(P5=1, IF(I5=1, " - ", IF(J5=1, " - ", IF(K5=1, " - ", IF(L5=1, " - ", IF(M5=1, " - ", IF(N5=1, " - ", IF(O5=1, " - ", ""))))))) &amp; P$4, "")</f>
        <v>2018-2019-2020</v>
      </c>
      <c r="S5" s="59" t="str">
        <f>SUM(Hoja1!$I5:$P5)</f>
        <v>3</v>
      </c>
      <c r="T5" s="59" t="str">
        <f>IF(OR(Hoja1!$J5=1,Hoja1!$K5=1,Hoja1!$L5=1,Hoja1!$M5=1,Hoja1!$N5=1,Hoja1!$O5=1,Hoja1!$P5=1),"SI","NO")</f>
        <v>SI</v>
      </c>
      <c r="U5" s="59" t="str">
        <f>IF(OR(Hoja1!$K5=1,Hoja1!$L5=1,Hoja1!$M5=1,Hoja1!$N5=1,Hoja1!$O5=1,Hoja1!$P5=1),"SI","NO")</f>
        <v>SI</v>
      </c>
      <c r="V5" s="60">
        <v>106.0</v>
      </c>
      <c r="W5" s="61">
        <v>72.0</v>
      </c>
      <c r="X5" s="61">
        <v>34.0</v>
      </c>
      <c r="Y5" s="60">
        <v>106.0</v>
      </c>
      <c r="Z5" s="61">
        <v>68.0</v>
      </c>
      <c r="AA5" s="61">
        <v>31.0</v>
      </c>
      <c r="AB5" s="60">
        <v>99.0</v>
      </c>
      <c r="AC5" s="61">
        <v>0.0</v>
      </c>
      <c r="AD5" s="61">
        <v>0.0</v>
      </c>
      <c r="AE5" s="60">
        <v>0.0</v>
      </c>
      <c r="AF5" s="61">
        <v>0.0</v>
      </c>
      <c r="AG5" s="61">
        <v>0.0</v>
      </c>
      <c r="AH5" s="60">
        <v>0.0</v>
      </c>
      <c r="AI5" s="61">
        <v>0.0</v>
      </c>
      <c r="AJ5" s="61">
        <v>0.0</v>
      </c>
      <c r="AK5" s="60">
        <v>0.0</v>
      </c>
      <c r="AL5" s="61">
        <v>0.0</v>
      </c>
      <c r="AM5" s="61">
        <v>0.0</v>
      </c>
      <c r="AN5" s="60">
        <v>0.0</v>
      </c>
      <c r="AO5" s="62">
        <v>0.0</v>
      </c>
      <c r="AP5" s="62">
        <v>0.0</v>
      </c>
      <c r="AQ5" s="60">
        <v>0.0</v>
      </c>
      <c r="AR5" s="60" t="str">
        <f>IF(Hoja1!$AQ5&gt;0,Hoja1!$AQ5,IF(Hoja1!$AN5&gt;0,Hoja1!$AN5,IF(Hoja1!$AK5&gt;0,Hoja1!$AK5,IF(Hoja1!$AH5&gt;0,Hoja1!$AH5,IF(Hoja1!$AE5&gt;0,Hoja1!$AE5,IF(Hoja1!$AB5&gt;0,Hoja1!$AB5,IF(Hoja1!$Y5&gt;0,Hoja1!$Y5,IF(Hoja1!$V5&gt;0,Hoja1!$V5," ---"))))))))</f>
        <v>99</v>
      </c>
      <c r="AS5" s="63">
        <v>0.0</v>
      </c>
      <c r="AT5" s="63">
        <v>9.0</v>
      </c>
      <c r="AU5" s="63">
        <v>0.0</v>
      </c>
      <c r="AV5" s="63">
        <v>0.0</v>
      </c>
      <c r="AW5" s="63">
        <v>0.0</v>
      </c>
      <c r="AX5" s="63">
        <v>0.0</v>
      </c>
      <c r="AY5" s="63">
        <v>0.0</v>
      </c>
      <c r="AZ5" s="63">
        <v>0.0</v>
      </c>
      <c r="BA5" s="63">
        <v>0.0</v>
      </c>
      <c r="BB5" s="63">
        <v>0.0</v>
      </c>
      <c r="BC5" s="63">
        <v>0.0</v>
      </c>
      <c r="BD5" s="63">
        <v>0.0</v>
      </c>
      <c r="BE5" s="64">
        <v>0.0</v>
      </c>
      <c r="BF5" s="65">
        <v>0.0</v>
      </c>
      <c r="BG5" s="65">
        <v>83583.84</v>
      </c>
      <c r="BH5" s="66">
        <v>83583.84</v>
      </c>
      <c r="BI5" s="67" t="str">
        <f t="shared" ref="BI5:BI93" si="2">IF('[1]DATA CONSOLIDADA 2018-2025 '!$BH5&gt;'[1]DATA CONSOLIDADA 2018-2025 '!$AN5,"Incremento",IF('[1]DATA CONSOLIDADA 2018-2025 '!$AN5='[1]DATA CONSOLIDADA 2018-2025 '!$BH5,"Sin incremento",IF('[1]DATA CONSOLIDADA 2018-2025 '!$BH5&lt;'[1]DATA CONSOLIDADA 2018-2025 '!$AN5,"Disminución"," ---")))</f>
        <v>#REF!</v>
      </c>
      <c r="BJ5" s="68" t="str">
        <f t="shared" ref="BJ5:BJ93" si="3">'[1]DATA CONSOLIDADA 2018-2025 '!$BH5-'[1]DATA CONSOLIDADA 2018-2025 '!$BE5</f>
        <v>#REF!</v>
      </c>
      <c r="BK5" s="65">
        <v>3460.24</v>
      </c>
      <c r="BL5" s="65">
        <v>0.0</v>
      </c>
      <c r="BM5" s="66">
        <v>3460.24</v>
      </c>
      <c r="BN5" s="67" t="str">
        <f t="shared" ref="BN5:BN93" si="4">IF('[1]DATA CONSOLIDADA 2018-2025 '!$BM5&gt;'[1]DATA CONSOLIDADA 2018-2025 '!$BH5,"Incremento",IF('[1]DATA CONSOLIDADA 2018-2025 '!$BH5='[1]DATA CONSOLIDADA 2018-2025 '!$BM5,"Sin incremento",IF('[1]DATA CONSOLIDADA 2018-2025 '!$BM5&lt;'[1]DATA CONSOLIDADA 2018-2025 '!$BH5,"Disminución"," ---")))</f>
        <v>#REF!</v>
      </c>
      <c r="BO5" s="68" t="str">
        <f t="shared" ref="BO5:BO93" si="5">'[1]DATA CONSOLIDADA 2018-2025 '!$BM5-'[1]DATA CONSOLIDADA 2018-2025 '!$BH5</f>
        <v>#REF!</v>
      </c>
      <c r="BP5" s="65">
        <v>0.0</v>
      </c>
      <c r="BQ5" s="65">
        <v>0.0</v>
      </c>
      <c r="BR5" s="66">
        <v>0.0</v>
      </c>
      <c r="BS5" s="67" t="str">
        <f t="shared" ref="BS5:BS93" si="6">IF('[1]DATA CONSOLIDADA 2018-2025 '!$BR5&gt;'[1]DATA CONSOLIDADA 2018-2025 '!$BM5,"Incremento",IF('[1]DATA CONSOLIDADA 2018-2025 '!$BM5='[1]DATA CONSOLIDADA 2018-2025 '!$BR5,"Sin incremento",IF('[1]DATA CONSOLIDADA 2018-2025 '!$BR5&lt;'[1]DATA CONSOLIDADA 2018-2025 '!$BM5,"Disminución"," ---")))</f>
        <v>#REF!</v>
      </c>
      <c r="BT5" s="68" t="str">
        <f>'[1]DATA CONSOLIDADA 2018-2025 '!$BR5-Hoja1!$BO5</f>
        <v>#REF!</v>
      </c>
      <c r="BU5" s="69">
        <v>0.0</v>
      </c>
      <c r="BV5" s="65">
        <v>0.0</v>
      </c>
      <c r="BW5" s="66">
        <v>0.0</v>
      </c>
      <c r="BX5" s="67" t="str">
        <f t="shared" ref="BX5:BX93" si="7">IF('[1]DATA CONSOLIDADA 2018-2025 '!$BW5&gt;'[1]DATA CONSOLIDADA 2018-2025 '!$BR5,"Incremento",IF('[1]DATA CONSOLIDADA 2018-2025 '!$BR5='[1]DATA CONSOLIDADA 2018-2025 '!$BW5,"Sin incremento",IF('[1]DATA CONSOLIDADA 2018-2025 '!$BW5&lt;'[1]DATA CONSOLIDADA 2018-2025 '!$BR5,"Disminución"," ---")))</f>
        <v>#REF!</v>
      </c>
      <c r="BY5" s="68" t="str">
        <f t="shared" ref="BY5:BY93" si="8">'[1]DATA CONSOLIDADA 2018-2025 '!$BW5-'[1]DATA CONSOLIDADA 2018-2025 '!$BR5</f>
        <v>#REF!</v>
      </c>
      <c r="BZ5" s="65">
        <v>0.0</v>
      </c>
      <c r="CA5" s="65">
        <v>0.0</v>
      </c>
      <c r="CB5" s="66">
        <v>0.0</v>
      </c>
      <c r="CC5" s="68" t="str">
        <f t="shared" ref="CC5:CC93" si="9">IF('[1]DATA CONSOLIDADA 2018-2025 '!$CB5&gt;'[1]DATA CONSOLIDADA 2018-2025 '!$BW5,"Incremento",IF('[1]DATA CONSOLIDADA 2018-2025 '!$BW5='[1]DATA CONSOLIDADA 2018-2025 '!$CB5,"Sin incremento",IF('[1]DATA CONSOLIDADA 2018-2025 '!$CB5&lt;'[1]DATA CONSOLIDADA 2018-2025 '!$BW5,"Disminución"," ---")))</f>
        <v>#REF!</v>
      </c>
      <c r="CD5" s="68" t="str">
        <f>'[1]DATA CONSOLIDADA 2018-2025 '!$CB5-Hoja1!$BW5</f>
        <v>#REF!</v>
      </c>
      <c r="CE5" s="70">
        <v>0.0</v>
      </c>
      <c r="CF5" s="70">
        <v>0.0</v>
      </c>
      <c r="CG5" s="71">
        <v>0.0</v>
      </c>
      <c r="CH5" s="68" t="str">
        <f t="shared" ref="CH5:CH93" si="10">IF('[1]DATA CONSOLIDADA 2018-2025 '!$CG5&gt;'[1]DATA CONSOLIDADA 2018-2025 '!$CB5,"Incremento",IF('[1]DATA CONSOLIDADA 2018-2025 '!$CB5='[1]DATA CONSOLIDADA 2018-2025 '!$CG5,"Sin incremento",IF('[1]DATA CONSOLIDADA 2018-2025 '!$CG5&lt;'[1]DATA CONSOLIDADA 2018-2025 '!$CB5,"Disminución"," ---")))</f>
        <v>#REF!</v>
      </c>
      <c r="CI5" s="68" t="str">
        <f>'[1]DATA CONSOLIDADA 2018-2025 '!$CG5-Hoja1!$CB5</f>
        <v>#REF!</v>
      </c>
      <c r="CJ5" s="64" t="str">
        <f t="shared" ref="CJ5:CJ99" si="11">'[1]DATA CONSOLIDADA 2018-2025 '!$BE5+'[1]DATA CONSOLIDADA 2018-2025 '!$BH5+'[1]DATA CONSOLIDADA 2018-2025 '!$BM5+'[1]DATA CONSOLIDADA 2018-2025 '!$BR5+'[1]DATA CONSOLIDADA 2018-2025 '!$BW5+'[1]DATA CONSOLIDADA 2018-2025 '!$CB5+'[1]DATA CONSOLIDADA 2018-2025 '!$CG5</f>
        <v>#REF!</v>
      </c>
      <c r="CK5" s="64">
        <v>0.0</v>
      </c>
      <c r="CL5" s="64">
        <v>0.0</v>
      </c>
      <c r="CM5" s="64">
        <v>0.0</v>
      </c>
      <c r="CN5" s="64" t="str">
        <f t="shared" ref="CN5:CN677" si="12">IF('[1]DATA CONSOLIDADA 2018-2025 '!$CM5&gt;'[1]DATA CONSOLIDADA 2018-2025 '!$CG5,"Incremento",IF('[1]DATA CONSOLIDADA 2018-2025 '!$CG5='[1]DATA CONSOLIDADA 2018-2025 '!$CM5,"Sin incremento",IF('[1]DATA CONSOLIDADA 2018-2025 '!$CM5&lt;'[1]DATA CONSOLIDADA 2018-2025 '!$CG5,"Disminución"," ---")))</f>
        <v>#REF!</v>
      </c>
      <c r="CO5" s="68" t="str">
        <f>'[1]DATA CONSOLIDADA 2018-2025 '!$CM5-Hoja1!$CG5</f>
        <v>#REF!</v>
      </c>
      <c r="CP5" s="70">
        <v>0.0</v>
      </c>
      <c r="CQ5" s="70">
        <v>0.0</v>
      </c>
      <c r="CR5" s="70">
        <v>0.0</v>
      </c>
      <c r="CS5" s="70">
        <v>0.0</v>
      </c>
      <c r="CT5" s="70">
        <v>0.0</v>
      </c>
      <c r="CU5" s="70">
        <v>0.0</v>
      </c>
      <c r="CV5" s="64">
        <v>0.0</v>
      </c>
      <c r="CW5" s="64">
        <v>0.0</v>
      </c>
      <c r="CX5" s="64">
        <v>0.0</v>
      </c>
      <c r="CY5" s="64">
        <v>0.0</v>
      </c>
      <c r="CZ5" s="64">
        <v>0.0</v>
      </c>
      <c r="DA5" s="64">
        <v>0.0</v>
      </c>
      <c r="DB5" s="64">
        <v>0.0</v>
      </c>
      <c r="DC5" s="72">
        <v>0.0</v>
      </c>
      <c r="DD5" s="72">
        <v>0.0</v>
      </c>
      <c r="DE5" s="72">
        <v>0.0</v>
      </c>
      <c r="DF5" s="72">
        <v>0.0</v>
      </c>
      <c r="DG5" s="72">
        <v>0.0</v>
      </c>
      <c r="DH5" s="72">
        <v>0.0</v>
      </c>
      <c r="DI5" s="73">
        <v>2.0600200756E10</v>
      </c>
      <c r="DJ5" s="74" t="s">
        <v>125</v>
      </c>
      <c r="DK5" s="74" t="s">
        <v>132</v>
      </c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5"/>
      <c r="EB5" s="75"/>
      <c r="EC5" s="75"/>
      <c r="ED5" s="75"/>
      <c r="EE5" s="75"/>
    </row>
    <row r="6" ht="47.25" hidden="1" customHeight="1">
      <c r="A6" s="55" t="s">
        <v>133</v>
      </c>
      <c r="B6" s="55" t="s">
        <v>126</v>
      </c>
      <c r="C6" s="55" t="s">
        <v>126</v>
      </c>
      <c r="D6" s="55" t="s">
        <v>127</v>
      </c>
      <c r="E6" s="55" t="s">
        <v>134</v>
      </c>
      <c r="F6" s="55" t="s">
        <v>127</v>
      </c>
      <c r="G6" s="55" t="s">
        <v>135</v>
      </c>
      <c r="H6" s="55" t="s">
        <v>136</v>
      </c>
      <c r="I6" s="56"/>
      <c r="J6" s="56">
        <v>1.0</v>
      </c>
      <c r="K6" s="56">
        <v>1.0</v>
      </c>
      <c r="L6" s="56">
        <v>1.0</v>
      </c>
      <c r="M6" s="56">
        <v>1.0</v>
      </c>
      <c r="N6" s="56">
        <v>1.0</v>
      </c>
      <c r="O6" s="56"/>
      <c r="P6" s="56"/>
      <c r="Q6" s="56" t="s">
        <v>131</v>
      </c>
      <c r="R6" s="58" t="str">
        <f t="shared" si="1"/>
        <v>2019-2020-2021-2022-2023</v>
      </c>
      <c r="S6" s="59" t="str">
        <f>SUM(Hoja1!$I6:$P6)</f>
        <v>5</v>
      </c>
      <c r="T6" s="59" t="str">
        <f>IF(OR(Hoja1!$J6=1,Hoja1!$K6=1,Hoja1!$L6=1,Hoja1!$M6=1,Hoja1!$N6=1,Hoja1!$O6=1,Hoja1!$P6=1),"SI","NO")</f>
        <v>SI</v>
      </c>
      <c r="U6" s="59" t="str">
        <f>IF(OR(Hoja1!$K6=1,Hoja1!$L6=1,Hoja1!$M6=1,Hoja1!$N6=1,Hoja1!$O6=1,Hoja1!$P6=1),"SI","NO")</f>
        <v>SI</v>
      </c>
      <c r="V6" s="60">
        <v>0.0</v>
      </c>
      <c r="W6" s="61">
        <v>50.0</v>
      </c>
      <c r="X6" s="61">
        <v>33.0</v>
      </c>
      <c r="Y6" s="60">
        <v>83.0</v>
      </c>
      <c r="Z6" s="61">
        <v>222.0</v>
      </c>
      <c r="AA6" s="61">
        <v>135.0</v>
      </c>
      <c r="AB6" s="60">
        <v>357.0</v>
      </c>
      <c r="AC6" s="61">
        <v>208.0</v>
      </c>
      <c r="AD6" s="61">
        <v>150.0</v>
      </c>
      <c r="AE6" s="60">
        <v>358.0</v>
      </c>
      <c r="AF6" s="61">
        <v>208.0</v>
      </c>
      <c r="AG6" s="61">
        <v>150.0</v>
      </c>
      <c r="AH6" s="60">
        <v>358.0</v>
      </c>
      <c r="AI6" s="61">
        <v>208.0</v>
      </c>
      <c r="AJ6" s="61">
        <v>150.0</v>
      </c>
      <c r="AK6" s="60">
        <v>358.0</v>
      </c>
      <c r="AL6" s="61">
        <v>0.0</v>
      </c>
      <c r="AM6" s="61">
        <v>0.0</v>
      </c>
      <c r="AN6" s="60">
        <v>0.0</v>
      </c>
      <c r="AO6" s="62">
        <v>0.0</v>
      </c>
      <c r="AP6" s="62">
        <v>0.0</v>
      </c>
      <c r="AQ6" s="60">
        <v>0.0</v>
      </c>
      <c r="AR6" s="60" t="str">
        <f>IF(Hoja1!$AQ6&gt;0,Hoja1!$AQ6,IF(Hoja1!$AN6&gt;0,Hoja1!$AN6,IF(Hoja1!$AK6&gt;0,Hoja1!$AK6,IF(Hoja1!$AH6&gt;0,Hoja1!$AH6,IF(Hoja1!$AE6&gt;0,Hoja1!$AE6,IF(Hoja1!$AB6&gt;0,Hoja1!$AB6,IF(Hoja1!$Y6&gt;0,Hoja1!$Y6,IF(Hoja1!$V6&gt;0,Hoja1!$V6," ---"))))))))</f>
        <v>358</v>
      </c>
      <c r="AS6" s="63">
        <v>0.0</v>
      </c>
      <c r="AT6" s="63">
        <v>0.0</v>
      </c>
      <c r="AU6" s="63">
        <v>27.0</v>
      </c>
      <c r="AV6" s="63">
        <v>8.0</v>
      </c>
      <c r="AW6" s="63">
        <v>41.0</v>
      </c>
      <c r="AX6" s="63">
        <v>7.0</v>
      </c>
      <c r="AY6" s="63">
        <v>32.0</v>
      </c>
      <c r="AZ6" s="63">
        <v>6.0</v>
      </c>
      <c r="BA6" s="63">
        <v>0.0</v>
      </c>
      <c r="BB6" s="63">
        <v>0.0</v>
      </c>
      <c r="BC6" s="63">
        <v>0.0</v>
      </c>
      <c r="BD6" s="63">
        <v>0.0</v>
      </c>
      <c r="BE6" s="66">
        <v>0.0</v>
      </c>
      <c r="BF6" s="65">
        <v>4171009.19</v>
      </c>
      <c r="BG6" s="65">
        <v>0.0</v>
      </c>
      <c r="BH6" s="66">
        <v>4171009.19</v>
      </c>
      <c r="BI6" s="67" t="str">
        <f t="shared" si="2"/>
        <v>#REF!</v>
      </c>
      <c r="BJ6" s="68" t="str">
        <f t="shared" si="3"/>
        <v>#REF!</v>
      </c>
      <c r="BK6" s="65">
        <v>741888.91</v>
      </c>
      <c r="BL6" s="65">
        <v>0.0</v>
      </c>
      <c r="BM6" s="66">
        <v>741888.91</v>
      </c>
      <c r="BN6" s="67" t="str">
        <f t="shared" si="4"/>
        <v>#REF!</v>
      </c>
      <c r="BO6" s="68" t="str">
        <f t="shared" si="5"/>
        <v>#REF!</v>
      </c>
      <c r="BP6" s="65">
        <v>4099294.68</v>
      </c>
      <c r="BQ6" s="65">
        <v>0.0</v>
      </c>
      <c r="BR6" s="66">
        <v>4099294.68</v>
      </c>
      <c r="BS6" s="67" t="str">
        <f t="shared" si="6"/>
        <v>#REF!</v>
      </c>
      <c r="BT6" s="68" t="str">
        <f>'[1]DATA CONSOLIDADA 2018-2025 '!$BR6-Hoja1!$BO6</f>
        <v>#REF!</v>
      </c>
      <c r="BU6" s="65">
        <v>1820885.04</v>
      </c>
      <c r="BV6" s="65">
        <v>0.0</v>
      </c>
      <c r="BW6" s="66">
        <v>1820885.04</v>
      </c>
      <c r="BX6" s="67" t="str">
        <f t="shared" si="7"/>
        <v>#REF!</v>
      </c>
      <c r="BY6" s="68" t="str">
        <f t="shared" si="8"/>
        <v>#REF!</v>
      </c>
      <c r="BZ6" s="65">
        <v>4179472.34</v>
      </c>
      <c r="CA6" s="65">
        <v>0.0</v>
      </c>
      <c r="CB6" s="66">
        <v>4179472.34</v>
      </c>
      <c r="CC6" s="67" t="str">
        <f t="shared" si="9"/>
        <v>#REF!</v>
      </c>
      <c r="CD6" s="68" t="str">
        <f>'[1]DATA CONSOLIDADA 2018-2025 '!$CB6-Hoja1!$BW6</f>
        <v>#REF!</v>
      </c>
      <c r="CE6" s="70">
        <v>0.0</v>
      </c>
      <c r="CF6" s="70">
        <v>0.0</v>
      </c>
      <c r="CG6" s="71">
        <v>0.0</v>
      </c>
      <c r="CH6" s="67" t="str">
        <f t="shared" si="10"/>
        <v>#REF!</v>
      </c>
      <c r="CI6" s="68" t="str">
        <f>'[1]DATA CONSOLIDADA 2018-2025 '!$CG6-Hoja1!$CB6</f>
        <v>#REF!</v>
      </c>
      <c r="CJ6" s="64" t="str">
        <f t="shared" si="11"/>
        <v>#REF!</v>
      </c>
      <c r="CK6" s="64">
        <v>0.0</v>
      </c>
      <c r="CL6" s="64">
        <v>0.0</v>
      </c>
      <c r="CM6" s="64">
        <v>0.0</v>
      </c>
      <c r="CN6" s="64" t="str">
        <f t="shared" si="12"/>
        <v>#REF!</v>
      </c>
      <c r="CO6" s="68" t="str">
        <f>'[1]DATA CONSOLIDADA 2018-2025 '!$CM6-Hoja1!$CG6</f>
        <v>#REF!</v>
      </c>
      <c r="CP6" s="70">
        <v>0.0</v>
      </c>
      <c r="CQ6" s="70">
        <v>0.0</v>
      </c>
      <c r="CR6" s="70">
        <v>0.0</v>
      </c>
      <c r="CS6" s="70">
        <v>4179472.2851452585</v>
      </c>
      <c r="CT6" s="70">
        <v>0.0</v>
      </c>
      <c r="CU6" s="70">
        <v>0.0</v>
      </c>
      <c r="CV6" s="64">
        <v>4179472.2851452585</v>
      </c>
      <c r="CW6" s="64">
        <v>0.0</v>
      </c>
      <c r="CX6" s="64">
        <v>0.0</v>
      </c>
      <c r="CY6" s="64">
        <v>0.0</v>
      </c>
      <c r="CZ6" s="64">
        <v>0.0</v>
      </c>
      <c r="DA6" s="64">
        <v>0.0</v>
      </c>
      <c r="DB6" s="64">
        <v>0.0</v>
      </c>
      <c r="DC6" s="72">
        <v>0.0</v>
      </c>
      <c r="DD6" s="72">
        <v>0.0</v>
      </c>
      <c r="DE6" s="72">
        <v>0.0</v>
      </c>
      <c r="DF6" s="72">
        <v>0.0</v>
      </c>
      <c r="DG6" s="72">
        <v>0.0</v>
      </c>
      <c r="DH6" s="72">
        <v>0.0</v>
      </c>
      <c r="DI6" s="73">
        <v>2.0539241665E10</v>
      </c>
      <c r="DJ6" s="74" t="s">
        <v>137</v>
      </c>
      <c r="DK6" s="74" t="s">
        <v>138</v>
      </c>
      <c r="DL6" s="75"/>
      <c r="DM6" s="75"/>
      <c r="DN6" s="75"/>
      <c r="DO6" s="75"/>
      <c r="DP6" s="75"/>
      <c r="DQ6" s="75"/>
      <c r="DR6" s="75"/>
      <c r="DS6" s="75"/>
      <c r="DT6" s="75"/>
      <c r="DU6" s="75"/>
      <c r="DV6" s="75"/>
      <c r="DW6" s="75"/>
      <c r="DX6" s="75"/>
      <c r="DY6" s="75"/>
      <c r="DZ6" s="75"/>
      <c r="EA6" s="75"/>
      <c r="EB6" s="75"/>
      <c r="EC6" s="75"/>
      <c r="ED6" s="75"/>
      <c r="EE6" s="75"/>
    </row>
    <row r="7" ht="47.25" hidden="1" customHeight="1">
      <c r="A7" s="55" t="s">
        <v>139</v>
      </c>
      <c r="B7" s="55" t="s">
        <v>126</v>
      </c>
      <c r="C7" s="55" t="s">
        <v>126</v>
      </c>
      <c r="D7" s="55" t="s">
        <v>127</v>
      </c>
      <c r="E7" s="55" t="s">
        <v>134</v>
      </c>
      <c r="F7" s="55" t="s">
        <v>127</v>
      </c>
      <c r="G7" s="55" t="s">
        <v>135</v>
      </c>
      <c r="H7" s="55" t="s">
        <v>136</v>
      </c>
      <c r="I7" s="56"/>
      <c r="J7" s="56">
        <v>1.0</v>
      </c>
      <c r="K7" s="56"/>
      <c r="L7" s="56"/>
      <c r="M7" s="56"/>
      <c r="N7" s="56"/>
      <c r="O7" s="56"/>
      <c r="P7" s="56"/>
      <c r="Q7" s="56" t="s">
        <v>131</v>
      </c>
      <c r="R7" s="58" t="str">
        <f t="shared" si="1"/>
        <v>2019</v>
      </c>
      <c r="S7" s="59" t="str">
        <f>SUM(Hoja1!$I7:$P7)</f>
        <v>1</v>
      </c>
      <c r="T7" s="59" t="str">
        <f>IF(OR(Hoja1!$J7=1,Hoja1!$K7=1,Hoja1!$L7=1,Hoja1!$M7=1,Hoja1!$N7=1,Hoja1!$O7=1,Hoja1!$P7=1),"SI","NO")</f>
        <v>SI</v>
      </c>
      <c r="U7" s="59" t="str">
        <f>IF(OR(Hoja1!$K7=1,Hoja1!$L7=1,Hoja1!$M7=1,Hoja1!$N7=1,Hoja1!$O7=1,Hoja1!$P7=1),"SI","NO")</f>
        <v>NO</v>
      </c>
      <c r="V7" s="60">
        <v>0.0</v>
      </c>
      <c r="W7" s="61">
        <v>231.0</v>
      </c>
      <c r="X7" s="61">
        <v>149.0</v>
      </c>
      <c r="Y7" s="60">
        <v>380.0</v>
      </c>
      <c r="Z7" s="61">
        <v>0.0</v>
      </c>
      <c r="AA7" s="61">
        <v>0.0</v>
      </c>
      <c r="AB7" s="60">
        <v>0.0</v>
      </c>
      <c r="AC7" s="61">
        <v>0.0</v>
      </c>
      <c r="AD7" s="61">
        <v>0.0</v>
      </c>
      <c r="AE7" s="60">
        <v>0.0</v>
      </c>
      <c r="AF7" s="61">
        <v>0.0</v>
      </c>
      <c r="AG7" s="61">
        <v>0.0</v>
      </c>
      <c r="AH7" s="60">
        <v>0.0</v>
      </c>
      <c r="AI7" s="61">
        <v>0.0</v>
      </c>
      <c r="AJ7" s="61">
        <v>0.0</v>
      </c>
      <c r="AK7" s="60">
        <v>0.0</v>
      </c>
      <c r="AL7" s="61">
        <v>0.0</v>
      </c>
      <c r="AM7" s="61">
        <v>0.0</v>
      </c>
      <c r="AN7" s="60">
        <v>0.0</v>
      </c>
      <c r="AO7" s="62">
        <v>0.0</v>
      </c>
      <c r="AP7" s="62">
        <v>0.0</v>
      </c>
      <c r="AQ7" s="60">
        <v>0.0</v>
      </c>
      <c r="AR7" s="60" t="str">
        <f>IF(Hoja1!$AQ7&gt;0,Hoja1!$AQ7,IF(Hoja1!$AN7&gt;0,Hoja1!$AN7,IF(Hoja1!$AK7&gt;0,Hoja1!$AK7,IF(Hoja1!$AH7&gt;0,Hoja1!$AH7,IF(Hoja1!$AE7&gt;0,Hoja1!$AE7,IF(Hoja1!$AB7&gt;0,Hoja1!$AB7,IF(Hoja1!$Y7&gt;0,Hoja1!$Y7,IF(Hoja1!$V7&gt;0,Hoja1!$V7," ---"))))))))</f>
        <v>380</v>
      </c>
      <c r="AS7" s="63">
        <v>0.0</v>
      </c>
      <c r="AT7" s="63">
        <v>0.0</v>
      </c>
      <c r="AU7" s="63">
        <v>0.0</v>
      </c>
      <c r="AV7" s="63">
        <v>0.0</v>
      </c>
      <c r="AW7" s="63">
        <v>0.0</v>
      </c>
      <c r="AX7" s="63">
        <v>0.0</v>
      </c>
      <c r="AY7" s="63">
        <v>0.0</v>
      </c>
      <c r="AZ7" s="63">
        <v>0.0</v>
      </c>
      <c r="BA7" s="63">
        <v>0.0</v>
      </c>
      <c r="BB7" s="63">
        <v>0.0</v>
      </c>
      <c r="BC7" s="63">
        <v>0.0</v>
      </c>
      <c r="BD7" s="63">
        <v>0.0</v>
      </c>
      <c r="BE7" s="66">
        <v>0.0</v>
      </c>
      <c r="BF7" s="65">
        <v>0.0</v>
      </c>
      <c r="BG7" s="65">
        <v>0.0</v>
      </c>
      <c r="BH7" s="66">
        <v>0.0</v>
      </c>
      <c r="BI7" s="67" t="str">
        <f t="shared" si="2"/>
        <v>#REF!</v>
      </c>
      <c r="BJ7" s="68" t="str">
        <f t="shared" si="3"/>
        <v>#REF!</v>
      </c>
      <c r="BK7" s="65">
        <v>0.0</v>
      </c>
      <c r="BL7" s="65">
        <v>0.0</v>
      </c>
      <c r="BM7" s="66">
        <v>0.0</v>
      </c>
      <c r="BN7" s="67" t="str">
        <f t="shared" si="4"/>
        <v>#REF!</v>
      </c>
      <c r="BO7" s="68" t="str">
        <f t="shared" si="5"/>
        <v>#REF!</v>
      </c>
      <c r="BP7" s="65">
        <v>0.0</v>
      </c>
      <c r="BQ7" s="65">
        <v>0.0</v>
      </c>
      <c r="BR7" s="66">
        <v>0.0</v>
      </c>
      <c r="BS7" s="67" t="str">
        <f t="shared" si="6"/>
        <v>#REF!</v>
      </c>
      <c r="BT7" s="68" t="str">
        <f>'[1]DATA CONSOLIDADA 2018-2025 '!$BR7-Hoja1!$BO7</f>
        <v>#REF!</v>
      </c>
      <c r="BU7" s="65">
        <v>0.0</v>
      </c>
      <c r="BV7" s="65">
        <v>0.0</v>
      </c>
      <c r="BW7" s="66">
        <v>0.0</v>
      </c>
      <c r="BX7" s="67" t="str">
        <f t="shared" si="7"/>
        <v>#REF!</v>
      </c>
      <c r="BY7" s="68" t="str">
        <f t="shared" si="8"/>
        <v>#REF!</v>
      </c>
      <c r="BZ7" s="65">
        <v>0.0</v>
      </c>
      <c r="CA7" s="65">
        <v>0.0</v>
      </c>
      <c r="CB7" s="66">
        <v>0.0</v>
      </c>
      <c r="CC7" s="67" t="str">
        <f t="shared" si="9"/>
        <v>#REF!</v>
      </c>
      <c r="CD7" s="68" t="str">
        <f>'[1]DATA CONSOLIDADA 2018-2025 '!$CB7-Hoja1!$BW7</f>
        <v>#REF!</v>
      </c>
      <c r="CE7" s="70">
        <v>0.0</v>
      </c>
      <c r="CF7" s="70">
        <v>0.0</v>
      </c>
      <c r="CG7" s="71">
        <v>0.0</v>
      </c>
      <c r="CH7" s="67" t="str">
        <f t="shared" si="10"/>
        <v>#REF!</v>
      </c>
      <c r="CI7" s="68" t="str">
        <f>'[1]DATA CONSOLIDADA 2018-2025 '!$CG7-Hoja1!$CB7</f>
        <v>#REF!</v>
      </c>
      <c r="CJ7" s="64" t="str">
        <f t="shared" si="11"/>
        <v>#REF!</v>
      </c>
      <c r="CK7" s="64">
        <v>0.0</v>
      </c>
      <c r="CL7" s="64">
        <v>0.0</v>
      </c>
      <c r="CM7" s="64">
        <v>0.0</v>
      </c>
      <c r="CN7" s="64" t="str">
        <f t="shared" si="12"/>
        <v>#REF!</v>
      </c>
      <c r="CO7" s="68" t="str">
        <f>'[1]DATA CONSOLIDADA 2018-2025 '!$CM7-Hoja1!$CG7</f>
        <v>#REF!</v>
      </c>
      <c r="CP7" s="70">
        <v>0.0</v>
      </c>
      <c r="CQ7" s="70">
        <v>0.0</v>
      </c>
      <c r="CR7" s="70">
        <v>0.0</v>
      </c>
      <c r="CS7" s="70">
        <v>0.0</v>
      </c>
      <c r="CT7" s="70">
        <v>0.0</v>
      </c>
      <c r="CU7" s="70">
        <v>0.0</v>
      </c>
      <c r="CV7" s="64">
        <v>0.0</v>
      </c>
      <c r="CW7" s="64">
        <v>0.0</v>
      </c>
      <c r="CX7" s="64">
        <v>0.0</v>
      </c>
      <c r="CY7" s="64">
        <v>0.0</v>
      </c>
      <c r="CZ7" s="64">
        <v>0.0</v>
      </c>
      <c r="DA7" s="64">
        <v>0.0</v>
      </c>
      <c r="DB7" s="64">
        <v>0.0</v>
      </c>
      <c r="DC7" s="72">
        <v>0.0</v>
      </c>
      <c r="DD7" s="72">
        <v>0.0</v>
      </c>
      <c r="DE7" s="72">
        <v>0.0</v>
      </c>
      <c r="DF7" s="72">
        <v>0.0</v>
      </c>
      <c r="DG7" s="72">
        <v>0.0</v>
      </c>
      <c r="DH7" s="72">
        <v>0.0</v>
      </c>
      <c r="DI7" s="73">
        <v>2.05392056E10</v>
      </c>
      <c r="DJ7" s="74" t="s">
        <v>140</v>
      </c>
      <c r="DK7" s="74" t="s">
        <v>138</v>
      </c>
      <c r="DL7" s="75"/>
      <c r="DM7" s="75"/>
      <c r="DN7" s="75"/>
      <c r="DO7" s="75"/>
      <c r="DP7" s="75"/>
      <c r="DQ7" s="75"/>
      <c r="DR7" s="75"/>
      <c r="DS7" s="75"/>
      <c r="DT7" s="75"/>
      <c r="DU7" s="75"/>
      <c r="DV7" s="75"/>
      <c r="DW7" s="75"/>
      <c r="DX7" s="75"/>
      <c r="DY7" s="75"/>
      <c r="DZ7" s="75"/>
      <c r="EA7" s="75"/>
      <c r="EB7" s="75"/>
      <c r="EC7" s="75"/>
      <c r="ED7" s="75"/>
      <c r="EE7" s="75"/>
    </row>
    <row r="8" ht="47.25" hidden="1" customHeight="1">
      <c r="A8" s="55" t="s">
        <v>141</v>
      </c>
      <c r="B8" s="55" t="s">
        <v>126</v>
      </c>
      <c r="C8" s="55" t="s">
        <v>126</v>
      </c>
      <c r="D8" s="55" t="s">
        <v>127</v>
      </c>
      <c r="E8" s="55" t="s">
        <v>142</v>
      </c>
      <c r="F8" s="55" t="s">
        <v>127</v>
      </c>
      <c r="G8" s="55" t="s">
        <v>135</v>
      </c>
      <c r="H8" s="55" t="s">
        <v>143</v>
      </c>
      <c r="I8" s="56">
        <v>1.0</v>
      </c>
      <c r="J8" s="56">
        <v>1.0</v>
      </c>
      <c r="K8" s="56">
        <v>1.0</v>
      </c>
      <c r="L8" s="56">
        <v>1.0</v>
      </c>
      <c r="M8" s="56">
        <v>1.0</v>
      </c>
      <c r="N8" s="56">
        <v>1.0</v>
      </c>
      <c r="O8" s="56"/>
      <c r="P8" s="56"/>
      <c r="Q8" s="56" t="s">
        <v>131</v>
      </c>
      <c r="R8" s="58" t="str">
        <f t="shared" si="1"/>
        <v>2018-2019-2020-2021-2022-2023</v>
      </c>
      <c r="S8" s="59" t="str">
        <f>SUM(Hoja1!$I8:$P8)</f>
        <v>6</v>
      </c>
      <c r="T8" s="59" t="str">
        <f>IF(OR(Hoja1!$J8=1,Hoja1!$K8=1,Hoja1!$L8=1,Hoja1!$M8=1,Hoja1!$N8=1,Hoja1!$O8=1,Hoja1!$P8=1),"SI","NO")</f>
        <v>SI</v>
      </c>
      <c r="U8" s="59" t="str">
        <f>IF(OR(Hoja1!$K8=1,Hoja1!$L8=1,Hoja1!$M8=1,Hoja1!$N8=1,Hoja1!$O8=1,Hoja1!$P8=1),"SI","NO")</f>
        <v>SI</v>
      </c>
      <c r="V8" s="60">
        <v>150.0</v>
      </c>
      <c r="W8" s="61">
        <v>0.0</v>
      </c>
      <c r="X8" s="61">
        <v>0.0</v>
      </c>
      <c r="Y8" s="60">
        <v>0.0</v>
      </c>
      <c r="Z8" s="61">
        <v>108.0</v>
      </c>
      <c r="AA8" s="61">
        <v>42.0</v>
      </c>
      <c r="AB8" s="60">
        <v>150.0</v>
      </c>
      <c r="AC8" s="61">
        <v>205.0</v>
      </c>
      <c r="AD8" s="61">
        <v>119.0</v>
      </c>
      <c r="AE8" s="60">
        <v>324.0</v>
      </c>
      <c r="AF8" s="61">
        <v>205.0</v>
      </c>
      <c r="AG8" s="61">
        <v>119.0</v>
      </c>
      <c r="AH8" s="60">
        <v>324.0</v>
      </c>
      <c r="AI8" s="61">
        <v>205.0</v>
      </c>
      <c r="AJ8" s="61">
        <v>119.0</v>
      </c>
      <c r="AK8" s="60">
        <v>324.0</v>
      </c>
      <c r="AL8" s="61">
        <v>0.0</v>
      </c>
      <c r="AM8" s="61">
        <v>0.0</v>
      </c>
      <c r="AN8" s="60">
        <v>0.0</v>
      </c>
      <c r="AO8" s="62">
        <v>0.0</v>
      </c>
      <c r="AP8" s="62">
        <v>0.0</v>
      </c>
      <c r="AQ8" s="60">
        <v>0.0</v>
      </c>
      <c r="AR8" s="60" t="str">
        <f>IF(Hoja1!$AQ8&gt;0,Hoja1!$AQ8,IF(Hoja1!$AN8&gt;0,Hoja1!$AN8,IF(Hoja1!$AK8&gt;0,Hoja1!$AK8,IF(Hoja1!$AH8&gt;0,Hoja1!$AH8,IF(Hoja1!$AE8&gt;0,Hoja1!$AE8,IF(Hoja1!$AB8&gt;0,Hoja1!$AB8,IF(Hoja1!$Y8&gt;0,Hoja1!$Y8,IF(Hoja1!$V8&gt;0,Hoja1!$V8," ---"))))))))</f>
        <v>324</v>
      </c>
      <c r="AS8" s="63">
        <v>0.0</v>
      </c>
      <c r="AT8" s="63">
        <v>0.0</v>
      </c>
      <c r="AU8" s="63">
        <v>25.0</v>
      </c>
      <c r="AV8" s="63">
        <v>9.0</v>
      </c>
      <c r="AW8" s="63">
        <v>41.0</v>
      </c>
      <c r="AX8" s="63">
        <v>7.0</v>
      </c>
      <c r="AY8" s="63">
        <v>32.0</v>
      </c>
      <c r="AZ8" s="63">
        <v>6.0</v>
      </c>
      <c r="BA8" s="63">
        <v>0.0</v>
      </c>
      <c r="BB8" s="63">
        <v>0.0</v>
      </c>
      <c r="BC8" s="63">
        <v>0.0</v>
      </c>
      <c r="BD8" s="63">
        <v>0.0</v>
      </c>
      <c r="BE8" s="64">
        <v>0.0</v>
      </c>
      <c r="BF8" s="65">
        <v>409100.0</v>
      </c>
      <c r="BG8" s="65">
        <v>0.0</v>
      </c>
      <c r="BH8" s="66">
        <v>409100.0</v>
      </c>
      <c r="BI8" s="67" t="str">
        <f t="shared" si="2"/>
        <v>#REF!</v>
      </c>
      <c r="BJ8" s="68" t="str">
        <f t="shared" si="3"/>
        <v>#REF!</v>
      </c>
      <c r="BK8" s="65">
        <v>325000.0</v>
      </c>
      <c r="BL8" s="65">
        <v>0.0</v>
      </c>
      <c r="BM8" s="66">
        <v>325000.0</v>
      </c>
      <c r="BN8" s="67" t="str">
        <f t="shared" si="4"/>
        <v>#REF!</v>
      </c>
      <c r="BO8" s="68" t="str">
        <f t="shared" si="5"/>
        <v>#REF!</v>
      </c>
      <c r="BP8" s="65">
        <v>1224192.51</v>
      </c>
      <c r="BQ8" s="65">
        <v>398235.92</v>
      </c>
      <c r="BR8" s="66">
        <v>1622428.43</v>
      </c>
      <c r="BS8" s="67" t="str">
        <f t="shared" si="6"/>
        <v>#REF!</v>
      </c>
      <c r="BT8" s="68" t="str">
        <f>'[1]DATA CONSOLIDADA 2018-2025 '!$BR8-Hoja1!$BO8</f>
        <v>#REF!</v>
      </c>
      <c r="BU8" s="65">
        <v>820950.0</v>
      </c>
      <c r="BV8" s="65">
        <v>0.0</v>
      </c>
      <c r="BW8" s="66">
        <v>820950.0</v>
      </c>
      <c r="BX8" s="67" t="str">
        <f t="shared" si="7"/>
        <v>#REF!</v>
      </c>
      <c r="BY8" s="68" t="str">
        <f t="shared" si="8"/>
        <v>#REF!</v>
      </c>
      <c r="BZ8" s="65">
        <v>165821.2</v>
      </c>
      <c r="CA8" s="65">
        <v>0.0</v>
      </c>
      <c r="CB8" s="66">
        <v>165821.2</v>
      </c>
      <c r="CC8" s="67" t="str">
        <f t="shared" si="9"/>
        <v>#REF!</v>
      </c>
      <c r="CD8" s="68" t="str">
        <f>'[1]DATA CONSOLIDADA 2018-2025 '!$CB8-Hoja1!$BW8</f>
        <v>#REF!</v>
      </c>
      <c r="CE8" s="70">
        <v>0.0</v>
      </c>
      <c r="CF8" s="70">
        <v>0.0</v>
      </c>
      <c r="CG8" s="71">
        <v>0.0</v>
      </c>
      <c r="CH8" s="67" t="str">
        <f t="shared" si="10"/>
        <v>#REF!</v>
      </c>
      <c r="CI8" s="68" t="str">
        <f>'[1]DATA CONSOLIDADA 2018-2025 '!$CG8-Hoja1!$CB8</f>
        <v>#REF!</v>
      </c>
      <c r="CJ8" s="64" t="str">
        <f t="shared" si="11"/>
        <v>#REF!</v>
      </c>
      <c r="CK8" s="64">
        <v>0.0</v>
      </c>
      <c r="CL8" s="64">
        <v>0.0</v>
      </c>
      <c r="CM8" s="64">
        <v>0.0</v>
      </c>
      <c r="CN8" s="64" t="str">
        <f t="shared" si="12"/>
        <v>#REF!</v>
      </c>
      <c r="CO8" s="68" t="str">
        <f>'[1]DATA CONSOLIDADA 2018-2025 '!$CM8-Hoja1!$CG8</f>
        <v>#REF!</v>
      </c>
      <c r="CP8" s="70">
        <v>9793.4</v>
      </c>
      <c r="CQ8" s="70">
        <v>0.0</v>
      </c>
      <c r="CR8" s="70">
        <v>0.0</v>
      </c>
      <c r="CS8" s="70">
        <v>156027.8</v>
      </c>
      <c r="CT8" s="70">
        <v>0.0</v>
      </c>
      <c r="CU8" s="70">
        <v>0.0</v>
      </c>
      <c r="CV8" s="64">
        <v>165821.19999999998</v>
      </c>
      <c r="CW8" s="64">
        <v>0.0</v>
      </c>
      <c r="CX8" s="64">
        <v>0.0</v>
      </c>
      <c r="CY8" s="64">
        <v>0.0</v>
      </c>
      <c r="CZ8" s="64">
        <v>0.0</v>
      </c>
      <c r="DA8" s="64">
        <v>0.0</v>
      </c>
      <c r="DB8" s="64">
        <v>0.0</v>
      </c>
      <c r="DC8" s="72">
        <v>0.0</v>
      </c>
      <c r="DD8" s="72">
        <v>0.0</v>
      </c>
      <c r="DE8" s="72">
        <v>0.0</v>
      </c>
      <c r="DF8" s="72">
        <v>0.0</v>
      </c>
      <c r="DG8" s="72">
        <v>0.0</v>
      </c>
      <c r="DH8" s="72">
        <v>0.0</v>
      </c>
      <c r="DI8" s="73">
        <v>2.0603320621E10</v>
      </c>
      <c r="DJ8" s="74" t="s">
        <v>141</v>
      </c>
      <c r="DK8" s="74" t="s">
        <v>132</v>
      </c>
      <c r="DL8" s="75"/>
      <c r="DM8" s="75"/>
      <c r="DN8" s="75"/>
      <c r="DO8" s="75"/>
      <c r="DP8" s="75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</row>
    <row r="9" ht="47.25" hidden="1" customHeight="1">
      <c r="A9" s="55" t="s">
        <v>144</v>
      </c>
      <c r="B9" s="55" t="s">
        <v>126</v>
      </c>
      <c r="C9" s="55" t="s">
        <v>126</v>
      </c>
      <c r="D9" s="55" t="s">
        <v>127</v>
      </c>
      <c r="E9" s="55" t="s">
        <v>134</v>
      </c>
      <c r="F9" s="55" t="s">
        <v>127</v>
      </c>
      <c r="G9" s="55" t="s">
        <v>135</v>
      </c>
      <c r="H9" s="55" t="s">
        <v>136</v>
      </c>
      <c r="I9" s="56"/>
      <c r="J9" s="56">
        <v>1.0</v>
      </c>
      <c r="K9" s="56">
        <v>1.0</v>
      </c>
      <c r="L9" s="56">
        <v>1.0</v>
      </c>
      <c r="M9" s="56">
        <v>1.0</v>
      </c>
      <c r="N9" s="56">
        <v>1.0</v>
      </c>
      <c r="O9" s="56"/>
      <c r="P9" s="56"/>
      <c r="Q9" s="56" t="s">
        <v>131</v>
      </c>
      <c r="R9" s="58" t="str">
        <f t="shared" si="1"/>
        <v>2019-2020-2021-2022-2023</v>
      </c>
      <c r="S9" s="59" t="str">
        <f>SUM(Hoja1!$I9:$P9)</f>
        <v>5</v>
      </c>
      <c r="T9" s="59" t="str">
        <f>IF(OR(Hoja1!$J9=1,Hoja1!$K9=1,Hoja1!$L9=1,Hoja1!$M9=1,Hoja1!$N9=1,Hoja1!$O9=1,Hoja1!$P9=1),"SI","NO")</f>
        <v>SI</v>
      </c>
      <c r="U9" s="59" t="str">
        <f>IF(OR(Hoja1!$K9=1,Hoja1!$L9=1,Hoja1!$M9=1,Hoja1!$N9=1,Hoja1!$O9=1,Hoja1!$P9=1),"SI","NO")</f>
        <v>SI</v>
      </c>
      <c r="V9" s="60">
        <v>0.0</v>
      </c>
      <c r="W9" s="61">
        <v>210.0</v>
      </c>
      <c r="X9" s="61">
        <v>113.0</v>
      </c>
      <c r="Y9" s="60">
        <v>323.0</v>
      </c>
      <c r="Z9" s="61">
        <v>210.0</v>
      </c>
      <c r="AA9" s="61">
        <v>113.0</v>
      </c>
      <c r="AB9" s="60">
        <v>323.0</v>
      </c>
      <c r="AC9" s="61">
        <v>274.0</v>
      </c>
      <c r="AD9" s="61">
        <v>137.0</v>
      </c>
      <c r="AE9" s="60">
        <v>411.0</v>
      </c>
      <c r="AF9" s="61">
        <v>274.0</v>
      </c>
      <c r="AG9" s="61">
        <v>137.0</v>
      </c>
      <c r="AH9" s="60">
        <v>411.0</v>
      </c>
      <c r="AI9" s="61">
        <v>274.0</v>
      </c>
      <c r="AJ9" s="61">
        <v>137.0</v>
      </c>
      <c r="AK9" s="60">
        <v>411.0</v>
      </c>
      <c r="AL9" s="61">
        <v>0.0</v>
      </c>
      <c r="AM9" s="61">
        <v>0.0</v>
      </c>
      <c r="AN9" s="60">
        <v>0.0</v>
      </c>
      <c r="AO9" s="62">
        <v>0.0</v>
      </c>
      <c r="AP9" s="62">
        <v>0.0</v>
      </c>
      <c r="AQ9" s="60">
        <v>0.0</v>
      </c>
      <c r="AR9" s="60" t="str">
        <f>IF(Hoja1!$AQ9&gt;0,Hoja1!$AQ9,IF(Hoja1!$AN9&gt;0,Hoja1!$AN9,IF(Hoja1!$AK9&gt;0,Hoja1!$AK9,IF(Hoja1!$AH9&gt;0,Hoja1!$AH9,IF(Hoja1!$AE9&gt;0,Hoja1!$AE9,IF(Hoja1!$AB9&gt;0,Hoja1!$AB9,IF(Hoja1!$Y9&gt;0,Hoja1!$Y9,IF(Hoja1!$V9&gt;0,Hoja1!$V9," ---"))))))))</f>
        <v>411</v>
      </c>
      <c r="AS9" s="63">
        <v>0.0</v>
      </c>
      <c r="AT9" s="63">
        <v>0.0</v>
      </c>
      <c r="AU9" s="63">
        <v>26.0</v>
      </c>
      <c r="AV9" s="63">
        <v>8.0</v>
      </c>
      <c r="AW9" s="63">
        <v>43.0</v>
      </c>
      <c r="AX9" s="63">
        <v>7.0</v>
      </c>
      <c r="AY9" s="63">
        <v>32.0</v>
      </c>
      <c r="AZ9" s="63">
        <v>6.0</v>
      </c>
      <c r="BA9" s="63">
        <v>0.0</v>
      </c>
      <c r="BB9" s="63">
        <v>0.0</v>
      </c>
      <c r="BC9" s="63">
        <v>0.0</v>
      </c>
      <c r="BD9" s="63">
        <v>0.0</v>
      </c>
      <c r="BE9" s="66">
        <v>0.0</v>
      </c>
      <c r="BF9" s="65">
        <v>6041471.55</v>
      </c>
      <c r="BG9" s="65">
        <v>0.0</v>
      </c>
      <c r="BH9" s="66">
        <v>6041471.55</v>
      </c>
      <c r="BI9" s="67" t="str">
        <f t="shared" si="2"/>
        <v>#REF!</v>
      </c>
      <c r="BJ9" s="68" t="str">
        <f t="shared" si="3"/>
        <v>#REF!</v>
      </c>
      <c r="BK9" s="65">
        <v>523737.39</v>
      </c>
      <c r="BL9" s="65">
        <v>0.0</v>
      </c>
      <c r="BM9" s="66">
        <v>523737.39</v>
      </c>
      <c r="BN9" s="67" t="str">
        <f t="shared" si="4"/>
        <v>#REF!</v>
      </c>
      <c r="BO9" s="68" t="str">
        <f t="shared" si="5"/>
        <v>#REF!</v>
      </c>
      <c r="BP9" s="65">
        <v>3394807.72</v>
      </c>
      <c r="BQ9" s="65">
        <v>0.0</v>
      </c>
      <c r="BR9" s="66">
        <v>3394807.72</v>
      </c>
      <c r="BS9" s="67" t="str">
        <f t="shared" si="6"/>
        <v>#REF!</v>
      </c>
      <c r="BT9" s="68" t="str">
        <f>'[1]DATA CONSOLIDADA 2018-2025 '!$BR9-Hoja1!$BO9</f>
        <v>#REF!</v>
      </c>
      <c r="BU9" s="65">
        <v>4076541.98</v>
      </c>
      <c r="BV9" s="65">
        <v>446118.0</v>
      </c>
      <c r="BW9" s="66">
        <v>4522659.98</v>
      </c>
      <c r="BX9" s="67" t="str">
        <f t="shared" si="7"/>
        <v>#REF!</v>
      </c>
      <c r="BY9" s="68" t="str">
        <f t="shared" si="8"/>
        <v>#REF!</v>
      </c>
      <c r="BZ9" s="65">
        <v>5733612.77</v>
      </c>
      <c r="CA9" s="65">
        <v>984023.42</v>
      </c>
      <c r="CB9" s="66">
        <v>6717636.19</v>
      </c>
      <c r="CC9" s="67" t="str">
        <f t="shared" si="9"/>
        <v>#REF!</v>
      </c>
      <c r="CD9" s="68" t="str">
        <f>'[1]DATA CONSOLIDADA 2018-2025 '!$CB9-Hoja1!$BW9</f>
        <v>#REF!</v>
      </c>
      <c r="CE9" s="70">
        <v>0.0</v>
      </c>
      <c r="CF9" s="70">
        <v>0.0</v>
      </c>
      <c r="CG9" s="71">
        <v>0.0</v>
      </c>
      <c r="CH9" s="67" t="str">
        <f t="shared" si="10"/>
        <v>#REF!</v>
      </c>
      <c r="CI9" s="68" t="str">
        <f>'[1]DATA CONSOLIDADA 2018-2025 '!$CG9-Hoja1!$CB9</f>
        <v>#REF!</v>
      </c>
      <c r="CJ9" s="64" t="str">
        <f t="shared" si="11"/>
        <v>#REF!</v>
      </c>
      <c r="CK9" s="64">
        <v>0.0</v>
      </c>
      <c r="CL9" s="64">
        <v>0.0</v>
      </c>
      <c r="CM9" s="64">
        <v>0.0</v>
      </c>
      <c r="CN9" s="64" t="str">
        <f t="shared" si="12"/>
        <v>#REF!</v>
      </c>
      <c r="CO9" s="68" t="str">
        <f>'[1]DATA CONSOLIDADA 2018-2025 '!$CM9-Hoja1!$CG9</f>
        <v>#REF!</v>
      </c>
      <c r="CP9" s="70">
        <v>0.0</v>
      </c>
      <c r="CQ9" s="70">
        <v>0.0</v>
      </c>
      <c r="CR9" s="70">
        <v>0.0</v>
      </c>
      <c r="CS9" s="70">
        <v>6717636.172325323</v>
      </c>
      <c r="CT9" s="70">
        <v>0.0</v>
      </c>
      <c r="CU9" s="70">
        <v>0.0</v>
      </c>
      <c r="CV9" s="64">
        <v>6717636.172325323</v>
      </c>
      <c r="CW9" s="64">
        <v>0.0</v>
      </c>
      <c r="CX9" s="64">
        <v>0.0</v>
      </c>
      <c r="CY9" s="64">
        <v>0.0</v>
      </c>
      <c r="CZ9" s="64">
        <v>0.0</v>
      </c>
      <c r="DA9" s="64">
        <v>0.0</v>
      </c>
      <c r="DB9" s="64">
        <v>0.0</v>
      </c>
      <c r="DC9" s="72">
        <v>0.0</v>
      </c>
      <c r="DD9" s="72">
        <v>0.0</v>
      </c>
      <c r="DE9" s="72">
        <v>0.0</v>
      </c>
      <c r="DF9" s="72">
        <v>0.0</v>
      </c>
      <c r="DG9" s="72">
        <v>0.0</v>
      </c>
      <c r="DH9" s="72">
        <v>0.0</v>
      </c>
      <c r="DI9" s="73">
        <v>2.0480762895E10</v>
      </c>
      <c r="DJ9" s="74" t="s">
        <v>144</v>
      </c>
      <c r="DK9" s="74" t="s">
        <v>138</v>
      </c>
      <c r="DL9" s="75"/>
      <c r="DM9" s="75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75"/>
      <c r="DZ9" s="75"/>
      <c r="EA9" s="75"/>
      <c r="EB9" s="75"/>
      <c r="EC9" s="75"/>
      <c r="ED9" s="75"/>
      <c r="EE9" s="75"/>
    </row>
    <row r="10" ht="47.25" customHeight="1">
      <c r="A10" s="55" t="s">
        <v>145</v>
      </c>
      <c r="B10" s="55" t="s">
        <v>146</v>
      </c>
      <c r="C10" s="55" t="s">
        <v>146</v>
      </c>
      <c r="D10" s="55" t="s">
        <v>127</v>
      </c>
      <c r="E10" s="55" t="s">
        <v>147</v>
      </c>
      <c r="F10" s="55" t="s">
        <v>127</v>
      </c>
      <c r="G10" s="55" t="s">
        <v>148</v>
      </c>
      <c r="H10" s="55" t="s">
        <v>148</v>
      </c>
      <c r="I10" s="56">
        <v>1.0</v>
      </c>
      <c r="J10" s="56">
        <v>1.0</v>
      </c>
      <c r="K10" s="56">
        <v>1.0</v>
      </c>
      <c r="L10" s="56">
        <v>1.0</v>
      </c>
      <c r="M10" s="56">
        <v>1.0</v>
      </c>
      <c r="N10" s="56">
        <v>1.0</v>
      </c>
      <c r="O10" s="56"/>
      <c r="P10" s="56"/>
      <c r="Q10" s="56" t="s">
        <v>131</v>
      </c>
      <c r="R10" s="58" t="str">
        <f t="shared" si="1"/>
        <v>2018-2019-2020-2021-2022-2023</v>
      </c>
      <c r="S10" s="59" t="str">
        <f>SUM(Hoja1!$I10:$P10)</f>
        <v>6</v>
      </c>
      <c r="T10" s="59" t="str">
        <f>IF(OR(Hoja1!$J10=1,Hoja1!$K10=1,Hoja1!$L10=1,Hoja1!$M10=1,Hoja1!$N10=1,Hoja1!$O10=1,Hoja1!$P10=1),"SI","NO")</f>
        <v>SI</v>
      </c>
      <c r="U10" s="59" t="str">
        <f>IF(OR(Hoja1!$K10=1,Hoja1!$L10=1,Hoja1!$M10=1,Hoja1!$N10=1,Hoja1!$O10=1,Hoja1!$P10=1),"SI","NO")</f>
        <v>SI</v>
      </c>
      <c r="V10" s="60">
        <v>418.0</v>
      </c>
      <c r="W10" s="61">
        <v>353.0</v>
      </c>
      <c r="X10" s="61">
        <v>65.0</v>
      </c>
      <c r="Y10" s="60">
        <v>418.0</v>
      </c>
      <c r="Z10" s="61">
        <v>357.0</v>
      </c>
      <c r="AA10" s="61">
        <v>66.0</v>
      </c>
      <c r="AB10" s="60">
        <v>423.0</v>
      </c>
      <c r="AC10" s="61">
        <v>201.0</v>
      </c>
      <c r="AD10" s="61">
        <v>43.0</v>
      </c>
      <c r="AE10" s="60">
        <v>244.0</v>
      </c>
      <c r="AF10" s="61">
        <v>201.0</v>
      </c>
      <c r="AG10" s="61">
        <v>43.0</v>
      </c>
      <c r="AH10" s="60">
        <v>244.0</v>
      </c>
      <c r="AI10" s="61">
        <v>201.0</v>
      </c>
      <c r="AJ10" s="61">
        <v>43.0</v>
      </c>
      <c r="AK10" s="60">
        <v>244.0</v>
      </c>
      <c r="AL10" s="61">
        <v>0.0</v>
      </c>
      <c r="AM10" s="61">
        <v>0.0</v>
      </c>
      <c r="AN10" s="60">
        <v>0.0</v>
      </c>
      <c r="AO10" s="62">
        <v>0.0</v>
      </c>
      <c r="AP10" s="62">
        <v>0.0</v>
      </c>
      <c r="AQ10" s="60">
        <v>0.0</v>
      </c>
      <c r="AR10" s="60" t="str">
        <f>IF(Hoja1!$AQ10&gt;0,Hoja1!$AQ10,IF(Hoja1!$AN10&gt;0,Hoja1!$AN10,IF(Hoja1!$AK10&gt;0,Hoja1!$AK10,IF(Hoja1!$AH10&gt;0,Hoja1!$AH10,IF(Hoja1!$AE10&gt;0,Hoja1!$AE10,IF(Hoja1!$AB10&gt;0,Hoja1!$AB10,IF(Hoja1!$Y10&gt;0,Hoja1!$Y10,IF(Hoja1!$V10&gt;0,Hoja1!$V10," ---"))))))))</f>
        <v>244</v>
      </c>
      <c r="AS10" s="63">
        <v>0.0</v>
      </c>
      <c r="AT10" s="63">
        <v>0.0</v>
      </c>
      <c r="AU10" s="63">
        <v>35.0</v>
      </c>
      <c r="AV10" s="63">
        <v>7.0</v>
      </c>
      <c r="AW10" s="63">
        <v>32.0</v>
      </c>
      <c r="AX10" s="63">
        <v>5.0</v>
      </c>
      <c r="AY10" s="63">
        <v>39.0</v>
      </c>
      <c r="AZ10" s="63">
        <v>7.0</v>
      </c>
      <c r="BA10" s="63">
        <v>0.0</v>
      </c>
      <c r="BB10" s="63">
        <v>0.0</v>
      </c>
      <c r="BC10" s="63">
        <v>0.0</v>
      </c>
      <c r="BD10" s="63">
        <v>0.0</v>
      </c>
      <c r="BE10" s="64">
        <v>279033.24</v>
      </c>
      <c r="BF10" s="65">
        <v>0.0</v>
      </c>
      <c r="BG10" s="65">
        <v>1026216.81</v>
      </c>
      <c r="BH10" s="66">
        <v>1026216.81</v>
      </c>
      <c r="BI10" s="67" t="str">
        <f t="shared" si="2"/>
        <v>#REF!</v>
      </c>
      <c r="BJ10" s="68" t="str">
        <f t="shared" si="3"/>
        <v>#REF!</v>
      </c>
      <c r="BK10" s="65">
        <v>101917.7</v>
      </c>
      <c r="BL10" s="65">
        <v>284025.07</v>
      </c>
      <c r="BM10" s="66">
        <v>385942.77</v>
      </c>
      <c r="BN10" s="67" t="str">
        <f t="shared" si="4"/>
        <v>#REF!</v>
      </c>
      <c r="BO10" s="68" t="str">
        <f t="shared" si="5"/>
        <v>#REF!</v>
      </c>
      <c r="BP10" s="65">
        <v>78859.15</v>
      </c>
      <c r="BQ10" s="65">
        <v>2033180.39</v>
      </c>
      <c r="BR10" s="66">
        <v>2112039.54</v>
      </c>
      <c r="BS10" s="67" t="str">
        <f t="shared" si="6"/>
        <v>#REF!</v>
      </c>
      <c r="BT10" s="68" t="str">
        <f>'[1]DATA CONSOLIDADA 2018-2025 '!$BR10-Hoja1!$BO10</f>
        <v>#REF!</v>
      </c>
      <c r="BU10" s="65">
        <v>65644.73</v>
      </c>
      <c r="BV10" s="65">
        <v>1189543.89</v>
      </c>
      <c r="BW10" s="66">
        <v>1255188.6199999999</v>
      </c>
      <c r="BX10" s="67" t="str">
        <f t="shared" si="7"/>
        <v>#REF!</v>
      </c>
      <c r="BY10" s="68" t="str">
        <f t="shared" si="8"/>
        <v>#REF!</v>
      </c>
      <c r="BZ10" s="65">
        <v>114467.98</v>
      </c>
      <c r="CA10" s="65">
        <v>1092156.71</v>
      </c>
      <c r="CB10" s="66">
        <v>1206624.69</v>
      </c>
      <c r="CC10" s="67" t="str">
        <f t="shared" si="9"/>
        <v>#REF!</v>
      </c>
      <c r="CD10" s="68" t="str">
        <f>'[1]DATA CONSOLIDADA 2018-2025 '!$CB10-Hoja1!$BW10</f>
        <v>#REF!</v>
      </c>
      <c r="CE10" s="70">
        <v>0.0</v>
      </c>
      <c r="CF10" s="70">
        <v>0.0</v>
      </c>
      <c r="CG10" s="71">
        <v>0.0</v>
      </c>
      <c r="CH10" s="67" t="str">
        <f t="shared" si="10"/>
        <v>#REF!</v>
      </c>
      <c r="CI10" s="68" t="str">
        <f>'[1]DATA CONSOLIDADA 2018-2025 '!$CG10-Hoja1!$CB10</f>
        <v>#REF!</v>
      </c>
      <c r="CJ10" s="64" t="str">
        <f t="shared" si="11"/>
        <v>#REF!</v>
      </c>
      <c r="CK10" s="64">
        <v>0.0</v>
      </c>
      <c r="CL10" s="64">
        <v>0.0</v>
      </c>
      <c r="CM10" s="64">
        <v>0.0</v>
      </c>
      <c r="CN10" s="64" t="str">
        <f t="shared" si="12"/>
        <v>#REF!</v>
      </c>
      <c r="CO10" s="68" t="str">
        <f>'[1]DATA CONSOLIDADA 2018-2025 '!$CM10-Hoja1!$CG10</f>
        <v>#REF!</v>
      </c>
      <c r="CP10" s="70">
        <v>34067.084</v>
      </c>
      <c r="CQ10" s="70">
        <v>0.0</v>
      </c>
      <c r="CR10" s="70">
        <v>0.0</v>
      </c>
      <c r="CS10" s="70">
        <v>1172557.6138000002</v>
      </c>
      <c r="CT10" s="70">
        <v>0.0</v>
      </c>
      <c r="CU10" s="70">
        <v>0.0</v>
      </c>
      <c r="CV10" s="64">
        <v>1206624.6978000002</v>
      </c>
      <c r="CW10" s="64">
        <v>0.0</v>
      </c>
      <c r="CX10" s="64">
        <v>0.0</v>
      </c>
      <c r="CY10" s="64">
        <v>0.0</v>
      </c>
      <c r="CZ10" s="64">
        <v>0.0</v>
      </c>
      <c r="DA10" s="64">
        <v>0.0</v>
      </c>
      <c r="DB10" s="64">
        <v>0.0</v>
      </c>
      <c r="DC10" s="72">
        <v>0.0</v>
      </c>
      <c r="DD10" s="72">
        <v>0.0</v>
      </c>
      <c r="DE10" s="72">
        <v>0.0</v>
      </c>
      <c r="DF10" s="72">
        <v>0.0</v>
      </c>
      <c r="DG10" s="72">
        <v>0.0</v>
      </c>
      <c r="DH10" s="72">
        <v>0.0</v>
      </c>
      <c r="DI10" s="73">
        <v>2.048045855E10</v>
      </c>
      <c r="DJ10" s="74" t="s">
        <v>149</v>
      </c>
      <c r="DK10" s="74" t="s">
        <v>132</v>
      </c>
      <c r="DL10" s="75"/>
      <c r="DM10" s="75"/>
      <c r="DN10" s="75"/>
      <c r="DO10" s="75"/>
      <c r="DP10" s="75"/>
      <c r="DQ10" s="75"/>
      <c r="DR10" s="75"/>
      <c r="DS10" s="75"/>
      <c r="DT10" s="75"/>
      <c r="DU10" s="75"/>
      <c r="DV10" s="75"/>
      <c r="DW10" s="75"/>
      <c r="DX10" s="75"/>
      <c r="DY10" s="75"/>
      <c r="DZ10" s="75"/>
      <c r="EA10" s="75"/>
      <c r="EB10" s="75"/>
      <c r="EC10" s="75"/>
      <c r="ED10" s="75"/>
      <c r="EE10" s="75"/>
    </row>
    <row r="11" ht="47.25" customHeight="1">
      <c r="A11" s="55" t="s">
        <v>150</v>
      </c>
      <c r="B11" s="55" t="s">
        <v>146</v>
      </c>
      <c r="C11" s="55" t="s">
        <v>146</v>
      </c>
      <c r="D11" s="55" t="s">
        <v>127</v>
      </c>
      <c r="E11" s="55" t="s">
        <v>151</v>
      </c>
      <c r="F11" s="55" t="s">
        <v>127</v>
      </c>
      <c r="G11" s="55" t="s">
        <v>129</v>
      </c>
      <c r="H11" s="55" t="s">
        <v>152</v>
      </c>
      <c r="I11" s="56">
        <v>1.0</v>
      </c>
      <c r="J11" s="56">
        <v>1.0</v>
      </c>
      <c r="K11" s="56">
        <v>1.0</v>
      </c>
      <c r="L11" s="56">
        <v>1.0</v>
      </c>
      <c r="M11" s="56">
        <v>1.0</v>
      </c>
      <c r="N11" s="56">
        <v>1.0</v>
      </c>
      <c r="O11" s="56"/>
      <c r="P11" s="56"/>
      <c r="Q11" s="56" t="s">
        <v>131</v>
      </c>
      <c r="R11" s="58" t="str">
        <f t="shared" si="1"/>
        <v>2018-2019-2020-2021-2022-2023</v>
      </c>
      <c r="S11" s="59" t="str">
        <f>SUM(Hoja1!$I11:$P11)</f>
        <v>6</v>
      </c>
      <c r="T11" s="59" t="str">
        <f>IF(OR(Hoja1!$J11=1,Hoja1!$K11=1,Hoja1!$L11=1,Hoja1!$M11=1,Hoja1!$N11=1,Hoja1!$O11=1,Hoja1!$P11=1),"SI","NO")</f>
        <v>SI</v>
      </c>
      <c r="U11" s="59" t="str">
        <f>IF(OR(Hoja1!$K11=1,Hoja1!$L11=1,Hoja1!$M11=1,Hoja1!$N11=1,Hoja1!$O11=1,Hoja1!$P11=1),"SI","NO")</f>
        <v>SI</v>
      </c>
      <c r="V11" s="60">
        <v>344.0</v>
      </c>
      <c r="W11" s="61">
        <v>272.0</v>
      </c>
      <c r="X11" s="61">
        <v>71.0</v>
      </c>
      <c r="Y11" s="60">
        <v>343.0</v>
      </c>
      <c r="Z11" s="61">
        <v>266.0</v>
      </c>
      <c r="AA11" s="61">
        <v>71.0</v>
      </c>
      <c r="AB11" s="60">
        <v>337.0</v>
      </c>
      <c r="AC11" s="61">
        <v>271.0</v>
      </c>
      <c r="AD11" s="61">
        <v>71.0</v>
      </c>
      <c r="AE11" s="60">
        <v>342.0</v>
      </c>
      <c r="AF11" s="61">
        <v>271.0</v>
      </c>
      <c r="AG11" s="61">
        <v>71.0</v>
      </c>
      <c r="AH11" s="60">
        <v>342.0</v>
      </c>
      <c r="AI11" s="61">
        <v>271.0</v>
      </c>
      <c r="AJ11" s="61">
        <v>71.0</v>
      </c>
      <c r="AK11" s="60">
        <v>342.0</v>
      </c>
      <c r="AL11" s="61">
        <v>0.0</v>
      </c>
      <c r="AM11" s="61">
        <v>0.0</v>
      </c>
      <c r="AN11" s="60">
        <v>0.0</v>
      </c>
      <c r="AO11" s="62">
        <v>0.0</v>
      </c>
      <c r="AP11" s="62">
        <v>0.0</v>
      </c>
      <c r="AQ11" s="60">
        <v>0.0</v>
      </c>
      <c r="AR11" s="60" t="str">
        <f>IF(Hoja1!$AQ11&gt;0,Hoja1!$AQ11,IF(Hoja1!$AN11&gt;0,Hoja1!$AN11,IF(Hoja1!$AK11&gt;0,Hoja1!$AK11,IF(Hoja1!$AH11&gt;0,Hoja1!$AH11,IF(Hoja1!$AE11&gt;0,Hoja1!$AE11,IF(Hoja1!$AB11&gt;0,Hoja1!$AB11,IF(Hoja1!$Y11&gt;0,Hoja1!$Y11,IF(Hoja1!$V11&gt;0,Hoja1!$V11," ---"))))))))</f>
        <v>342</v>
      </c>
      <c r="AS11" s="63">
        <v>0.0</v>
      </c>
      <c r="AT11" s="63">
        <v>0.0</v>
      </c>
      <c r="AU11" s="63">
        <v>24.0</v>
      </c>
      <c r="AV11" s="63">
        <v>7.0</v>
      </c>
      <c r="AW11" s="63">
        <v>28.0</v>
      </c>
      <c r="AX11" s="63">
        <v>7.0</v>
      </c>
      <c r="AY11" s="63">
        <v>39.0</v>
      </c>
      <c r="AZ11" s="63">
        <v>6.0</v>
      </c>
      <c r="BA11" s="63">
        <v>0.0</v>
      </c>
      <c r="BB11" s="63">
        <v>0.0</v>
      </c>
      <c r="BC11" s="63">
        <v>0.0</v>
      </c>
      <c r="BD11" s="63">
        <v>0.0</v>
      </c>
      <c r="BE11" s="64">
        <v>0.0</v>
      </c>
      <c r="BF11" s="65">
        <v>0.0</v>
      </c>
      <c r="BG11" s="65">
        <v>1072102.29</v>
      </c>
      <c r="BH11" s="66">
        <v>1072102.29</v>
      </c>
      <c r="BI11" s="67" t="str">
        <f t="shared" si="2"/>
        <v>#REF!</v>
      </c>
      <c r="BJ11" s="68" t="str">
        <f t="shared" si="3"/>
        <v>#REF!</v>
      </c>
      <c r="BK11" s="65">
        <v>454472.63</v>
      </c>
      <c r="BL11" s="65">
        <v>0.0</v>
      </c>
      <c r="BM11" s="66">
        <v>454472.63</v>
      </c>
      <c r="BN11" s="67" t="str">
        <f t="shared" si="4"/>
        <v>#REF!</v>
      </c>
      <c r="BO11" s="68" t="str">
        <f t="shared" si="5"/>
        <v>#REF!</v>
      </c>
      <c r="BP11" s="65">
        <v>1609560.38</v>
      </c>
      <c r="BQ11" s="65">
        <v>0.0</v>
      </c>
      <c r="BR11" s="66">
        <v>1609560.38</v>
      </c>
      <c r="BS11" s="67" t="str">
        <f t="shared" si="6"/>
        <v>#REF!</v>
      </c>
      <c r="BT11" s="68" t="str">
        <f>'[1]DATA CONSOLIDADA 2018-2025 '!$BR11-Hoja1!$BO11</f>
        <v>#REF!</v>
      </c>
      <c r="BU11" s="65">
        <v>1731876.81</v>
      </c>
      <c r="BV11" s="65">
        <v>0.0</v>
      </c>
      <c r="BW11" s="66">
        <v>1731876.81</v>
      </c>
      <c r="BX11" s="67" t="str">
        <f t="shared" si="7"/>
        <v>#REF!</v>
      </c>
      <c r="BY11" s="68" t="str">
        <f t="shared" si="8"/>
        <v>#REF!</v>
      </c>
      <c r="BZ11" s="65">
        <v>1545263.11</v>
      </c>
      <c r="CA11" s="65">
        <v>0.0</v>
      </c>
      <c r="CB11" s="66">
        <v>1545263.11</v>
      </c>
      <c r="CC11" s="67" t="str">
        <f t="shared" si="9"/>
        <v>#REF!</v>
      </c>
      <c r="CD11" s="68" t="str">
        <f>'[1]DATA CONSOLIDADA 2018-2025 '!$CB11-Hoja1!$BW11</f>
        <v>#REF!</v>
      </c>
      <c r="CE11" s="70">
        <v>0.0</v>
      </c>
      <c r="CF11" s="70">
        <v>0.0</v>
      </c>
      <c r="CG11" s="71">
        <v>0.0</v>
      </c>
      <c r="CH11" s="67" t="str">
        <f t="shared" si="10"/>
        <v>#REF!</v>
      </c>
      <c r="CI11" s="68" t="str">
        <f>'[1]DATA CONSOLIDADA 2018-2025 '!$CG11-Hoja1!$CB11</f>
        <v>#REF!</v>
      </c>
      <c r="CJ11" s="64" t="str">
        <f t="shared" si="11"/>
        <v>#REF!</v>
      </c>
      <c r="CK11" s="64">
        <v>0.0</v>
      </c>
      <c r="CL11" s="64">
        <v>0.0</v>
      </c>
      <c r="CM11" s="64">
        <v>0.0</v>
      </c>
      <c r="CN11" s="64" t="str">
        <f t="shared" si="12"/>
        <v>#REF!</v>
      </c>
      <c r="CO11" s="68" t="str">
        <f>'[1]DATA CONSOLIDADA 2018-2025 '!$CM11-Hoja1!$CG11</f>
        <v>#REF!</v>
      </c>
      <c r="CP11" s="70">
        <v>9912.9964</v>
      </c>
      <c r="CQ11" s="70">
        <v>0.0</v>
      </c>
      <c r="CR11" s="70">
        <v>820166.58103121</v>
      </c>
      <c r="CS11" s="70">
        <v>715183.5202599999</v>
      </c>
      <c r="CT11" s="70">
        <v>0.0</v>
      </c>
      <c r="CU11" s="70">
        <v>0.0</v>
      </c>
      <c r="CV11" s="64">
        <v>1545263.09769121</v>
      </c>
      <c r="CW11" s="64">
        <v>0.0</v>
      </c>
      <c r="CX11" s="64">
        <v>0.0</v>
      </c>
      <c r="CY11" s="64">
        <v>0.0</v>
      </c>
      <c r="CZ11" s="64">
        <v>0.0</v>
      </c>
      <c r="DA11" s="64">
        <v>0.0</v>
      </c>
      <c r="DB11" s="64">
        <v>0.0</v>
      </c>
      <c r="DC11" s="72">
        <v>0.0</v>
      </c>
      <c r="DD11" s="72">
        <v>0.0</v>
      </c>
      <c r="DE11" s="72">
        <v>0.0</v>
      </c>
      <c r="DF11" s="72">
        <v>0.0</v>
      </c>
      <c r="DG11" s="72">
        <v>0.0</v>
      </c>
      <c r="DH11" s="72">
        <v>0.0</v>
      </c>
      <c r="DI11" s="73">
        <v>2.0479917141E10</v>
      </c>
      <c r="DJ11" s="74" t="s">
        <v>153</v>
      </c>
      <c r="DK11" s="74" t="s">
        <v>132</v>
      </c>
      <c r="DL11" s="75"/>
      <c r="DM11" s="75"/>
      <c r="DN11" s="75"/>
      <c r="DO11" s="75"/>
      <c r="DP11" s="75"/>
      <c r="DQ11" s="75"/>
      <c r="DR11" s="75"/>
      <c r="DS11" s="75"/>
      <c r="DT11" s="75"/>
      <c r="DU11" s="75"/>
      <c r="DV11" s="75"/>
      <c r="DW11" s="75"/>
      <c r="DX11" s="75"/>
      <c r="DY11" s="75"/>
      <c r="DZ11" s="75"/>
      <c r="EA11" s="75"/>
      <c r="EB11" s="75"/>
      <c r="EC11" s="75"/>
      <c r="ED11" s="75"/>
      <c r="EE11" s="75"/>
    </row>
    <row r="12" ht="47.25" customHeight="1">
      <c r="A12" s="55" t="s">
        <v>154</v>
      </c>
      <c r="B12" s="55" t="s">
        <v>146</v>
      </c>
      <c r="C12" s="55" t="s">
        <v>146</v>
      </c>
      <c r="D12" s="55" t="s">
        <v>127</v>
      </c>
      <c r="E12" s="55" t="s">
        <v>155</v>
      </c>
      <c r="F12" s="55" t="s">
        <v>127</v>
      </c>
      <c r="G12" s="55" t="s">
        <v>129</v>
      </c>
      <c r="H12" s="55" t="s">
        <v>156</v>
      </c>
      <c r="I12" s="56">
        <v>1.0</v>
      </c>
      <c r="J12" s="56">
        <v>1.0</v>
      </c>
      <c r="K12" s="56"/>
      <c r="L12" s="56"/>
      <c r="M12" s="56"/>
      <c r="N12" s="56"/>
      <c r="O12" s="56"/>
      <c r="P12" s="56"/>
      <c r="Q12" s="56" t="s">
        <v>131</v>
      </c>
      <c r="R12" s="58" t="str">
        <f t="shared" si="1"/>
        <v>2018-2019</v>
      </c>
      <c r="S12" s="59" t="str">
        <f>SUM(Hoja1!$I12:$P12)</f>
        <v>2</v>
      </c>
      <c r="T12" s="59" t="str">
        <f>IF(OR(Hoja1!$J12=1,Hoja1!$K12=1,Hoja1!$L12=1,Hoja1!$M12=1,Hoja1!$N12=1,Hoja1!$O12=1,Hoja1!$P12=1),"SI","NO")</f>
        <v>SI</v>
      </c>
      <c r="U12" s="59" t="str">
        <f>IF(OR(Hoja1!$K12=1,Hoja1!$L12=1,Hoja1!$M12=1,Hoja1!$N12=1,Hoja1!$O12=1,Hoja1!$P12=1),"SI","NO")</f>
        <v>NO</v>
      </c>
      <c r="V12" s="60">
        <v>147.0</v>
      </c>
      <c r="W12" s="61">
        <v>120.0</v>
      </c>
      <c r="X12" s="61">
        <v>25.0</v>
      </c>
      <c r="Y12" s="60">
        <v>145.0</v>
      </c>
      <c r="Z12" s="61">
        <v>0.0</v>
      </c>
      <c r="AA12" s="61">
        <v>0.0</v>
      </c>
      <c r="AB12" s="60">
        <v>0.0</v>
      </c>
      <c r="AC12" s="61">
        <v>0.0</v>
      </c>
      <c r="AD12" s="61">
        <v>0.0</v>
      </c>
      <c r="AE12" s="60">
        <v>0.0</v>
      </c>
      <c r="AF12" s="61">
        <v>0.0</v>
      </c>
      <c r="AG12" s="61">
        <v>0.0</v>
      </c>
      <c r="AH12" s="60">
        <v>0.0</v>
      </c>
      <c r="AI12" s="61">
        <v>0.0</v>
      </c>
      <c r="AJ12" s="61">
        <v>0.0</v>
      </c>
      <c r="AK12" s="60">
        <v>0.0</v>
      </c>
      <c r="AL12" s="61">
        <v>0.0</v>
      </c>
      <c r="AM12" s="61">
        <v>0.0</v>
      </c>
      <c r="AN12" s="60">
        <v>0.0</v>
      </c>
      <c r="AO12" s="62">
        <v>0.0</v>
      </c>
      <c r="AP12" s="62">
        <v>0.0</v>
      </c>
      <c r="AQ12" s="60">
        <v>0.0</v>
      </c>
      <c r="AR12" s="60" t="str">
        <f>IF(Hoja1!$AQ12&gt;0,Hoja1!$AQ12,IF(Hoja1!$AN12&gt;0,Hoja1!$AN12,IF(Hoja1!$AK12&gt;0,Hoja1!$AK12,IF(Hoja1!$AH12&gt;0,Hoja1!$AH12,IF(Hoja1!$AE12&gt;0,Hoja1!$AE12,IF(Hoja1!$AB12&gt;0,Hoja1!$AB12,IF(Hoja1!$Y12&gt;0,Hoja1!$Y12,IF(Hoja1!$V12&gt;0,Hoja1!$V12," ---"))))))))</f>
        <v>145</v>
      </c>
      <c r="AS12" s="63">
        <v>0.0</v>
      </c>
      <c r="AT12" s="63">
        <v>0.0</v>
      </c>
      <c r="AU12" s="63">
        <v>0.0</v>
      </c>
      <c r="AV12" s="63">
        <v>0.0</v>
      </c>
      <c r="AW12" s="63">
        <v>0.0</v>
      </c>
      <c r="AX12" s="63">
        <v>0.0</v>
      </c>
      <c r="AY12" s="63">
        <v>0.0</v>
      </c>
      <c r="AZ12" s="63">
        <v>0.0</v>
      </c>
      <c r="BA12" s="63">
        <v>0.0</v>
      </c>
      <c r="BB12" s="63">
        <v>0.0</v>
      </c>
      <c r="BC12" s="63">
        <v>0.0</v>
      </c>
      <c r="BD12" s="63">
        <v>0.0</v>
      </c>
      <c r="BE12" s="64">
        <v>0.0</v>
      </c>
      <c r="BF12" s="65">
        <v>0.0</v>
      </c>
      <c r="BG12" s="65">
        <v>0.0</v>
      </c>
      <c r="BH12" s="66">
        <v>0.0</v>
      </c>
      <c r="BI12" s="67" t="str">
        <f t="shared" si="2"/>
        <v>#REF!</v>
      </c>
      <c r="BJ12" s="68" t="str">
        <f t="shared" si="3"/>
        <v>#REF!</v>
      </c>
      <c r="BK12" s="65">
        <v>0.0</v>
      </c>
      <c r="BL12" s="65">
        <v>0.0</v>
      </c>
      <c r="BM12" s="66">
        <v>0.0</v>
      </c>
      <c r="BN12" s="67" t="str">
        <f t="shared" si="4"/>
        <v>#REF!</v>
      </c>
      <c r="BO12" s="68" t="str">
        <f t="shared" si="5"/>
        <v>#REF!</v>
      </c>
      <c r="BP12" s="65">
        <v>0.0</v>
      </c>
      <c r="BQ12" s="65">
        <v>0.0</v>
      </c>
      <c r="BR12" s="66">
        <v>0.0</v>
      </c>
      <c r="BS12" s="67" t="str">
        <f t="shared" si="6"/>
        <v>#REF!</v>
      </c>
      <c r="BT12" s="68" t="str">
        <f>'[1]DATA CONSOLIDADA 2018-2025 '!$BR12-Hoja1!$BO12</f>
        <v>#REF!</v>
      </c>
      <c r="BU12" s="65">
        <v>0.0</v>
      </c>
      <c r="BV12" s="65">
        <v>0.0</v>
      </c>
      <c r="BW12" s="66">
        <v>0.0</v>
      </c>
      <c r="BX12" s="67" t="str">
        <f t="shared" si="7"/>
        <v>#REF!</v>
      </c>
      <c r="BY12" s="68" t="str">
        <f t="shared" si="8"/>
        <v>#REF!</v>
      </c>
      <c r="BZ12" s="65">
        <v>0.0</v>
      </c>
      <c r="CA12" s="65">
        <v>0.0</v>
      </c>
      <c r="CB12" s="66">
        <v>0.0</v>
      </c>
      <c r="CC12" s="67" t="str">
        <f t="shared" si="9"/>
        <v>#REF!</v>
      </c>
      <c r="CD12" s="68" t="str">
        <f>'[1]DATA CONSOLIDADA 2018-2025 '!$CB12-Hoja1!$BW12</f>
        <v>#REF!</v>
      </c>
      <c r="CE12" s="70">
        <v>0.0</v>
      </c>
      <c r="CF12" s="70">
        <v>0.0</v>
      </c>
      <c r="CG12" s="71">
        <v>0.0</v>
      </c>
      <c r="CH12" s="67" t="str">
        <f t="shared" si="10"/>
        <v>#REF!</v>
      </c>
      <c r="CI12" s="68" t="str">
        <f>'[1]DATA CONSOLIDADA 2018-2025 '!$CG12-Hoja1!$CB12</f>
        <v>#REF!</v>
      </c>
      <c r="CJ12" s="64" t="str">
        <f t="shared" si="11"/>
        <v>#REF!</v>
      </c>
      <c r="CK12" s="64">
        <v>0.0</v>
      </c>
      <c r="CL12" s="64">
        <v>0.0</v>
      </c>
      <c r="CM12" s="64">
        <v>0.0</v>
      </c>
      <c r="CN12" s="64" t="str">
        <f t="shared" si="12"/>
        <v>#REF!</v>
      </c>
      <c r="CO12" s="68" t="str">
        <f>'[1]DATA CONSOLIDADA 2018-2025 '!$CM12-Hoja1!$CG12</f>
        <v>#REF!</v>
      </c>
      <c r="CP12" s="70">
        <v>0.0</v>
      </c>
      <c r="CQ12" s="70">
        <v>0.0</v>
      </c>
      <c r="CR12" s="70">
        <v>0.0</v>
      </c>
      <c r="CS12" s="70">
        <v>0.0</v>
      </c>
      <c r="CT12" s="70">
        <v>0.0</v>
      </c>
      <c r="CU12" s="70">
        <v>0.0</v>
      </c>
      <c r="CV12" s="64">
        <v>0.0</v>
      </c>
      <c r="CW12" s="64">
        <v>0.0</v>
      </c>
      <c r="CX12" s="64">
        <v>0.0</v>
      </c>
      <c r="CY12" s="64">
        <v>0.0</v>
      </c>
      <c r="CZ12" s="64">
        <v>0.0</v>
      </c>
      <c r="DA12" s="64">
        <v>0.0</v>
      </c>
      <c r="DB12" s="64">
        <v>0.0</v>
      </c>
      <c r="DC12" s="72">
        <v>0.0</v>
      </c>
      <c r="DD12" s="72">
        <v>0.0</v>
      </c>
      <c r="DE12" s="72">
        <v>0.0</v>
      </c>
      <c r="DF12" s="72">
        <v>0.0</v>
      </c>
      <c r="DG12" s="72">
        <v>0.0</v>
      </c>
      <c r="DH12" s="72">
        <v>0.0</v>
      </c>
      <c r="DI12" s="73" t="s">
        <v>157</v>
      </c>
      <c r="DJ12" s="74" t="s">
        <v>154</v>
      </c>
      <c r="DK12" s="74" t="s">
        <v>138</v>
      </c>
      <c r="DL12" s="75"/>
      <c r="DM12" s="75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75"/>
      <c r="EB12" s="75"/>
      <c r="EC12" s="75"/>
      <c r="ED12" s="75"/>
      <c r="EE12" s="75"/>
    </row>
    <row r="13" ht="47.25" hidden="1" customHeight="1">
      <c r="A13" s="55" t="s">
        <v>158</v>
      </c>
      <c r="B13" s="55" t="s">
        <v>126</v>
      </c>
      <c r="C13" s="55" t="s">
        <v>126</v>
      </c>
      <c r="D13" s="55" t="s">
        <v>127</v>
      </c>
      <c r="E13" s="55" t="s">
        <v>155</v>
      </c>
      <c r="F13" s="55" t="s">
        <v>127</v>
      </c>
      <c r="G13" s="55" t="s">
        <v>129</v>
      </c>
      <c r="H13" s="55" t="s">
        <v>156</v>
      </c>
      <c r="I13" s="56">
        <v>1.0</v>
      </c>
      <c r="J13" s="56">
        <v>1.0</v>
      </c>
      <c r="K13" s="56">
        <v>1.0</v>
      </c>
      <c r="L13" s="56"/>
      <c r="M13" s="56"/>
      <c r="N13" s="56">
        <v>1.0</v>
      </c>
      <c r="O13" s="56">
        <v>1.0</v>
      </c>
      <c r="P13" s="56"/>
      <c r="Q13" s="56" t="s">
        <v>131</v>
      </c>
      <c r="R13" s="58" t="str">
        <f t="shared" si="1"/>
        <v>2018-2019-2020-2023-2024</v>
      </c>
      <c r="S13" s="59" t="str">
        <f>SUM(Hoja1!$I13:$P13)</f>
        <v>5</v>
      </c>
      <c r="T13" s="59" t="str">
        <f>IF(OR(Hoja1!$J13=1,Hoja1!$K13=1,Hoja1!$L13=1,Hoja1!$M13=1,Hoja1!$N13=1,Hoja1!$O13=1,Hoja1!$P13=1),"SI","NO")</f>
        <v>SI</v>
      </c>
      <c r="U13" s="59" t="str">
        <f>IF(OR(Hoja1!$K13=1,Hoja1!$L13=1,Hoja1!$M13=1,Hoja1!$N13=1,Hoja1!$O13=1,Hoja1!$P13=1),"SI","NO")</f>
        <v>SI</v>
      </c>
      <c r="V13" s="60">
        <v>592.0</v>
      </c>
      <c r="W13" s="61">
        <v>498.0</v>
      </c>
      <c r="X13" s="61">
        <v>91.0</v>
      </c>
      <c r="Y13" s="60">
        <v>589.0</v>
      </c>
      <c r="Z13" s="61">
        <v>296.0</v>
      </c>
      <c r="AA13" s="61">
        <v>58.0</v>
      </c>
      <c r="AB13" s="60">
        <v>354.0</v>
      </c>
      <c r="AC13" s="61">
        <v>0.0</v>
      </c>
      <c r="AD13" s="61">
        <v>0.0</v>
      </c>
      <c r="AE13" s="60">
        <v>0.0</v>
      </c>
      <c r="AF13" s="61">
        <v>0.0</v>
      </c>
      <c r="AG13" s="61">
        <v>0.0</v>
      </c>
      <c r="AH13" s="60">
        <v>0.0</v>
      </c>
      <c r="AI13" s="61">
        <v>596.0</v>
      </c>
      <c r="AJ13" s="61">
        <v>94.0</v>
      </c>
      <c r="AK13" s="60">
        <v>690.0</v>
      </c>
      <c r="AL13" s="61">
        <v>263.0</v>
      </c>
      <c r="AM13" s="61">
        <v>46.0</v>
      </c>
      <c r="AN13" s="60">
        <v>309.0</v>
      </c>
      <c r="AO13" s="62">
        <v>0.0</v>
      </c>
      <c r="AP13" s="62">
        <v>0.0</v>
      </c>
      <c r="AQ13" s="60">
        <v>0.0</v>
      </c>
      <c r="AR13" s="60" t="str">
        <f>IF(Hoja1!$AQ13&gt;0,Hoja1!$AQ13,IF(Hoja1!$AN13&gt;0,Hoja1!$AN13,IF(Hoja1!$AK13&gt;0,Hoja1!$AK13,IF(Hoja1!$AH13&gt;0,Hoja1!$AH13,IF(Hoja1!$AE13&gt;0,Hoja1!$AE13,IF(Hoja1!$AB13&gt;0,Hoja1!$AB13,IF(Hoja1!$Y13&gt;0,Hoja1!$Y13,IF(Hoja1!$V13&gt;0,Hoja1!$V13," ---"))))))))</f>
        <v>309</v>
      </c>
      <c r="AS13" s="63">
        <v>0.0</v>
      </c>
      <c r="AT13" s="63">
        <v>9.0</v>
      </c>
      <c r="AU13" s="63">
        <v>0.0</v>
      </c>
      <c r="AV13" s="63">
        <v>0.0</v>
      </c>
      <c r="AW13" s="63">
        <v>0.0</v>
      </c>
      <c r="AX13" s="63">
        <v>0.0</v>
      </c>
      <c r="AY13" s="63">
        <v>45.0</v>
      </c>
      <c r="AZ13" s="63">
        <v>6.0</v>
      </c>
      <c r="BA13" s="63">
        <v>30.0</v>
      </c>
      <c r="BB13" s="63">
        <v>5.0</v>
      </c>
      <c r="BC13" s="63">
        <v>0.0</v>
      </c>
      <c r="BD13" s="63">
        <v>0.0</v>
      </c>
      <c r="BE13" s="64">
        <v>448800.0</v>
      </c>
      <c r="BF13" s="65">
        <v>0.0</v>
      </c>
      <c r="BG13" s="65">
        <v>1768356.9</v>
      </c>
      <c r="BH13" s="66">
        <v>1768356.9</v>
      </c>
      <c r="BI13" s="67" t="str">
        <f t="shared" si="2"/>
        <v>#REF!</v>
      </c>
      <c r="BJ13" s="68" t="str">
        <f t="shared" si="3"/>
        <v>#REF!</v>
      </c>
      <c r="BK13" s="65">
        <v>443003.7</v>
      </c>
      <c r="BL13" s="65">
        <v>1384395.93</v>
      </c>
      <c r="BM13" s="66">
        <v>1827399.63</v>
      </c>
      <c r="BN13" s="67" t="str">
        <f t="shared" si="4"/>
        <v>#REF!</v>
      </c>
      <c r="BO13" s="68" t="str">
        <f t="shared" si="5"/>
        <v>#REF!</v>
      </c>
      <c r="BP13" s="65">
        <v>0.0</v>
      </c>
      <c r="BQ13" s="65">
        <v>0.0</v>
      </c>
      <c r="BR13" s="66">
        <v>0.0</v>
      </c>
      <c r="BS13" s="67" t="str">
        <f t="shared" si="6"/>
        <v>#REF!</v>
      </c>
      <c r="BT13" s="68" t="str">
        <f>'[1]DATA CONSOLIDADA 2018-2025 '!$BR13-Hoja1!$BO13</f>
        <v>#REF!</v>
      </c>
      <c r="BU13" s="65">
        <v>0.0</v>
      </c>
      <c r="BV13" s="65">
        <v>0.0</v>
      </c>
      <c r="BW13" s="66">
        <v>0.0</v>
      </c>
      <c r="BX13" s="67" t="str">
        <f t="shared" si="7"/>
        <v>#REF!</v>
      </c>
      <c r="BY13" s="68" t="str">
        <f t="shared" si="8"/>
        <v>#REF!</v>
      </c>
      <c r="BZ13" s="65">
        <v>0.0</v>
      </c>
      <c r="CA13" s="65">
        <v>5910875.29</v>
      </c>
      <c r="CB13" s="66">
        <v>5910875.29</v>
      </c>
      <c r="CC13" s="67" t="str">
        <f t="shared" si="9"/>
        <v>#REF!</v>
      </c>
      <c r="CD13" s="68" t="str">
        <f>'[1]DATA CONSOLIDADA 2018-2025 '!$CB13-Hoja1!$BW13</f>
        <v>#REF!</v>
      </c>
      <c r="CE13" s="70">
        <v>264948.69159</v>
      </c>
      <c r="CF13" s="70">
        <v>8889133.278440097</v>
      </c>
      <c r="CG13" s="71">
        <v>9154081.970030097</v>
      </c>
      <c r="CH13" s="67" t="str">
        <f t="shared" si="10"/>
        <v>#REF!</v>
      </c>
      <c r="CI13" s="68" t="str">
        <f>'[1]DATA CONSOLIDADA 2018-2025 '!$CG13-Hoja1!$CB13</f>
        <v>#REF!</v>
      </c>
      <c r="CJ13" s="64" t="str">
        <f t="shared" si="11"/>
        <v>#REF!</v>
      </c>
      <c r="CK13" s="64">
        <v>0.0</v>
      </c>
      <c r="CL13" s="64">
        <v>0.0</v>
      </c>
      <c r="CM13" s="64">
        <v>0.0</v>
      </c>
      <c r="CN13" s="64" t="str">
        <f t="shared" si="12"/>
        <v>#REF!</v>
      </c>
      <c r="CO13" s="68" t="str">
        <f>'[1]DATA CONSOLIDADA 2018-2025 '!$CM13-Hoja1!$CG13</f>
        <v>#REF!</v>
      </c>
      <c r="CP13" s="70">
        <v>0.0</v>
      </c>
      <c r="CQ13" s="70">
        <v>0.0</v>
      </c>
      <c r="CR13" s="70">
        <v>0.0</v>
      </c>
      <c r="CS13" s="70">
        <v>5910875.310000001</v>
      </c>
      <c r="CT13" s="70">
        <v>0.0</v>
      </c>
      <c r="CU13" s="70">
        <v>0.0</v>
      </c>
      <c r="CV13" s="64">
        <v>5910875.310000001</v>
      </c>
      <c r="CW13" s="64">
        <v>0.0</v>
      </c>
      <c r="CX13" s="64">
        <v>0.0</v>
      </c>
      <c r="CY13" s="64">
        <v>9154081.970030097</v>
      </c>
      <c r="CZ13" s="64">
        <v>0.0</v>
      </c>
      <c r="DA13" s="64">
        <v>0.0</v>
      </c>
      <c r="DB13" s="64">
        <v>9154081.970030097</v>
      </c>
      <c r="DC13" s="72">
        <v>0.0</v>
      </c>
      <c r="DD13" s="72">
        <v>0.0</v>
      </c>
      <c r="DE13" s="72">
        <v>0.0</v>
      </c>
      <c r="DF13" s="72">
        <v>0.0</v>
      </c>
      <c r="DG13" s="72">
        <v>0.0</v>
      </c>
      <c r="DH13" s="72">
        <v>0.0</v>
      </c>
      <c r="DI13" s="73">
        <v>2.0170142773E10</v>
      </c>
      <c r="DJ13" s="74" t="s">
        <v>159</v>
      </c>
      <c r="DK13" s="74" t="s">
        <v>132</v>
      </c>
      <c r="DL13" s="75"/>
      <c r="DM13" s="75"/>
      <c r="DN13" s="75"/>
      <c r="DO13" s="75"/>
      <c r="DP13" s="75"/>
      <c r="DQ13" s="75"/>
      <c r="DR13" s="75"/>
      <c r="DS13" s="75"/>
      <c r="DT13" s="75"/>
      <c r="DU13" s="75"/>
      <c r="DV13" s="75"/>
      <c r="DW13" s="75"/>
      <c r="DX13" s="75"/>
      <c r="DY13" s="75"/>
      <c r="DZ13" s="75"/>
      <c r="EA13" s="75"/>
      <c r="EB13" s="75"/>
      <c r="EC13" s="75"/>
      <c r="ED13" s="75"/>
      <c r="EE13" s="75"/>
    </row>
    <row r="14" ht="47.25" hidden="1" customHeight="1">
      <c r="A14" s="55" t="s">
        <v>160</v>
      </c>
      <c r="B14" s="55" t="s">
        <v>126</v>
      </c>
      <c r="C14" s="55" t="s">
        <v>126</v>
      </c>
      <c r="D14" s="55" t="s">
        <v>127</v>
      </c>
      <c r="E14" s="55" t="s">
        <v>134</v>
      </c>
      <c r="F14" s="55" t="s">
        <v>127</v>
      </c>
      <c r="G14" s="55" t="s">
        <v>135</v>
      </c>
      <c r="H14" s="55" t="s">
        <v>136</v>
      </c>
      <c r="I14" s="56">
        <v>1.0</v>
      </c>
      <c r="J14" s="56">
        <v>1.0</v>
      </c>
      <c r="K14" s="56"/>
      <c r="L14" s="56"/>
      <c r="M14" s="56"/>
      <c r="N14" s="56"/>
      <c r="O14" s="56"/>
      <c r="P14" s="56"/>
      <c r="Q14" s="56" t="s">
        <v>131</v>
      </c>
      <c r="R14" s="58" t="str">
        <f t="shared" si="1"/>
        <v>2018-2019</v>
      </c>
      <c r="S14" s="59" t="str">
        <f>SUM(Hoja1!$I14:$P14)</f>
        <v>2</v>
      </c>
      <c r="T14" s="59" t="str">
        <f>IF(OR(Hoja1!$J14=1,Hoja1!$K14=1,Hoja1!$L14=1,Hoja1!$M14=1,Hoja1!$N14=1,Hoja1!$O14=1,Hoja1!$P14=1),"SI","NO")</f>
        <v>SI</v>
      </c>
      <c r="U14" s="59" t="str">
        <f>IF(OR(Hoja1!$K14=1,Hoja1!$L14=1,Hoja1!$M14=1,Hoja1!$N14=1,Hoja1!$O14=1,Hoja1!$P14=1),"SI","NO")</f>
        <v>NO</v>
      </c>
      <c r="V14" s="60">
        <v>427.0</v>
      </c>
      <c r="W14" s="61">
        <v>0.0</v>
      </c>
      <c r="X14" s="61">
        <v>0.0</v>
      </c>
      <c r="Y14" s="60">
        <v>0.0</v>
      </c>
      <c r="Z14" s="61">
        <v>0.0</v>
      </c>
      <c r="AA14" s="61">
        <v>0.0</v>
      </c>
      <c r="AB14" s="60">
        <v>0.0</v>
      </c>
      <c r="AC14" s="61">
        <v>0.0</v>
      </c>
      <c r="AD14" s="61">
        <v>0.0</v>
      </c>
      <c r="AE14" s="60">
        <v>0.0</v>
      </c>
      <c r="AF14" s="61">
        <v>0.0</v>
      </c>
      <c r="AG14" s="61">
        <v>0.0</v>
      </c>
      <c r="AH14" s="60">
        <v>0.0</v>
      </c>
      <c r="AI14" s="61">
        <v>0.0</v>
      </c>
      <c r="AJ14" s="61">
        <v>0.0</v>
      </c>
      <c r="AK14" s="60">
        <v>0.0</v>
      </c>
      <c r="AL14" s="61">
        <v>0.0</v>
      </c>
      <c r="AM14" s="61">
        <v>0.0</v>
      </c>
      <c r="AN14" s="60">
        <v>0.0</v>
      </c>
      <c r="AO14" s="62">
        <v>0.0</v>
      </c>
      <c r="AP14" s="62">
        <v>0.0</v>
      </c>
      <c r="AQ14" s="60">
        <v>0.0</v>
      </c>
      <c r="AR14" s="60" t="str">
        <f>IF(Hoja1!$AQ14&gt;0,Hoja1!$AQ14,IF(Hoja1!$AN14&gt;0,Hoja1!$AN14,IF(Hoja1!$AK14&gt;0,Hoja1!$AK14,IF(Hoja1!$AH14&gt;0,Hoja1!$AH14,IF(Hoja1!$AE14&gt;0,Hoja1!$AE14,IF(Hoja1!$AB14&gt;0,Hoja1!$AB14,IF(Hoja1!$Y14&gt;0,Hoja1!$Y14,IF(Hoja1!$V14&gt;0,Hoja1!$V14," ---"))))))))</f>
        <v>427</v>
      </c>
      <c r="AS14" s="63">
        <v>0.0</v>
      </c>
      <c r="AT14" s="63">
        <v>0.0</v>
      </c>
      <c r="AU14" s="63">
        <v>0.0</v>
      </c>
      <c r="AV14" s="63">
        <v>0.0</v>
      </c>
      <c r="AW14" s="63">
        <v>0.0</v>
      </c>
      <c r="AX14" s="63">
        <v>0.0</v>
      </c>
      <c r="AY14" s="63">
        <v>0.0</v>
      </c>
      <c r="AZ14" s="63">
        <v>0.0</v>
      </c>
      <c r="BA14" s="63">
        <v>0.0</v>
      </c>
      <c r="BB14" s="63">
        <v>0.0</v>
      </c>
      <c r="BC14" s="63">
        <v>0.0</v>
      </c>
      <c r="BD14" s="63">
        <v>0.0</v>
      </c>
      <c r="BE14" s="64">
        <v>0.0</v>
      </c>
      <c r="BF14" s="65">
        <v>0.0</v>
      </c>
      <c r="BG14" s="65">
        <v>0.0</v>
      </c>
      <c r="BH14" s="66">
        <v>0.0</v>
      </c>
      <c r="BI14" s="67" t="str">
        <f t="shared" si="2"/>
        <v>#REF!</v>
      </c>
      <c r="BJ14" s="68" t="str">
        <f t="shared" si="3"/>
        <v>#REF!</v>
      </c>
      <c r="BK14" s="65">
        <v>0.0</v>
      </c>
      <c r="BL14" s="65">
        <v>0.0</v>
      </c>
      <c r="BM14" s="66">
        <v>0.0</v>
      </c>
      <c r="BN14" s="67" t="str">
        <f t="shared" si="4"/>
        <v>#REF!</v>
      </c>
      <c r="BO14" s="68" t="str">
        <f t="shared" si="5"/>
        <v>#REF!</v>
      </c>
      <c r="BP14" s="65">
        <v>0.0</v>
      </c>
      <c r="BQ14" s="65">
        <v>0.0</v>
      </c>
      <c r="BR14" s="66">
        <v>0.0</v>
      </c>
      <c r="BS14" s="67" t="str">
        <f t="shared" si="6"/>
        <v>#REF!</v>
      </c>
      <c r="BT14" s="68" t="str">
        <f>'[1]DATA CONSOLIDADA 2018-2025 '!$BR14-Hoja1!$BO14</f>
        <v>#REF!</v>
      </c>
      <c r="BU14" s="65">
        <v>0.0</v>
      </c>
      <c r="BV14" s="65">
        <v>0.0</v>
      </c>
      <c r="BW14" s="66">
        <v>0.0</v>
      </c>
      <c r="BX14" s="67" t="str">
        <f t="shared" si="7"/>
        <v>#REF!</v>
      </c>
      <c r="BY14" s="68" t="str">
        <f t="shared" si="8"/>
        <v>#REF!</v>
      </c>
      <c r="BZ14" s="65">
        <v>0.0</v>
      </c>
      <c r="CA14" s="65">
        <v>0.0</v>
      </c>
      <c r="CB14" s="66">
        <v>0.0</v>
      </c>
      <c r="CC14" s="67" t="str">
        <f t="shared" si="9"/>
        <v>#REF!</v>
      </c>
      <c r="CD14" s="68" t="str">
        <f>'[1]DATA CONSOLIDADA 2018-2025 '!$CB14-Hoja1!$BW14</f>
        <v>#REF!</v>
      </c>
      <c r="CE14" s="70">
        <v>0.0</v>
      </c>
      <c r="CF14" s="70">
        <v>0.0</v>
      </c>
      <c r="CG14" s="71">
        <v>0.0</v>
      </c>
      <c r="CH14" s="67" t="str">
        <f t="shared" si="10"/>
        <v>#REF!</v>
      </c>
      <c r="CI14" s="68" t="str">
        <f>'[1]DATA CONSOLIDADA 2018-2025 '!$CG14-Hoja1!$CB14</f>
        <v>#REF!</v>
      </c>
      <c r="CJ14" s="64" t="str">
        <f t="shared" si="11"/>
        <v>#REF!</v>
      </c>
      <c r="CK14" s="64">
        <v>0.0</v>
      </c>
      <c r="CL14" s="64">
        <v>0.0</v>
      </c>
      <c r="CM14" s="64">
        <v>0.0</v>
      </c>
      <c r="CN14" s="64" t="str">
        <f t="shared" si="12"/>
        <v>#REF!</v>
      </c>
      <c r="CO14" s="68" t="str">
        <f>'[1]DATA CONSOLIDADA 2018-2025 '!$CM14-Hoja1!$CG14</f>
        <v>#REF!</v>
      </c>
      <c r="CP14" s="70">
        <v>0.0</v>
      </c>
      <c r="CQ14" s="70">
        <v>0.0</v>
      </c>
      <c r="CR14" s="70">
        <v>0.0</v>
      </c>
      <c r="CS14" s="70">
        <v>0.0</v>
      </c>
      <c r="CT14" s="70">
        <v>0.0</v>
      </c>
      <c r="CU14" s="70">
        <v>0.0</v>
      </c>
      <c r="CV14" s="64">
        <v>0.0</v>
      </c>
      <c r="CW14" s="64">
        <v>0.0</v>
      </c>
      <c r="CX14" s="64">
        <v>0.0</v>
      </c>
      <c r="CY14" s="64">
        <v>0.0</v>
      </c>
      <c r="CZ14" s="64">
        <v>0.0</v>
      </c>
      <c r="DA14" s="64">
        <v>0.0</v>
      </c>
      <c r="DB14" s="64">
        <v>0.0</v>
      </c>
      <c r="DC14" s="72">
        <v>0.0</v>
      </c>
      <c r="DD14" s="72">
        <v>0.0</v>
      </c>
      <c r="DE14" s="72">
        <v>0.0</v>
      </c>
      <c r="DF14" s="72">
        <v>0.0</v>
      </c>
      <c r="DG14" s="72">
        <v>0.0</v>
      </c>
      <c r="DH14" s="72">
        <v>0.0</v>
      </c>
      <c r="DI14" s="73">
        <v>2.0600682386E10</v>
      </c>
      <c r="DJ14" s="74" t="s">
        <v>160</v>
      </c>
      <c r="DK14" s="74" t="s">
        <v>138</v>
      </c>
      <c r="DL14" s="75"/>
      <c r="DM14" s="75"/>
      <c r="DN14" s="75"/>
      <c r="DO14" s="75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75"/>
      <c r="EC14" s="75"/>
      <c r="ED14" s="75"/>
      <c r="EE14" s="75"/>
    </row>
    <row r="15" ht="47.25" customHeight="1">
      <c r="A15" s="55" t="s">
        <v>154</v>
      </c>
      <c r="B15" s="55" t="s">
        <v>146</v>
      </c>
      <c r="C15" s="55" t="s">
        <v>146</v>
      </c>
      <c r="D15" s="55" t="s">
        <v>127</v>
      </c>
      <c r="E15" s="55" t="s">
        <v>155</v>
      </c>
      <c r="F15" s="55" t="s">
        <v>127</v>
      </c>
      <c r="G15" s="55" t="s">
        <v>129</v>
      </c>
      <c r="H15" s="55" t="s">
        <v>156</v>
      </c>
      <c r="I15" s="56"/>
      <c r="J15" s="56"/>
      <c r="K15" s="56"/>
      <c r="L15" s="56">
        <v>1.0</v>
      </c>
      <c r="M15" s="56">
        <v>1.0</v>
      </c>
      <c r="N15" s="56"/>
      <c r="O15" s="56"/>
      <c r="P15" s="56"/>
      <c r="Q15" s="56" t="s">
        <v>131</v>
      </c>
      <c r="R15" s="58" t="str">
        <f t="shared" si="1"/>
        <v>2021-2022</v>
      </c>
      <c r="S15" s="59" t="str">
        <f>SUM(Hoja1!$I15:$P15)</f>
        <v>2</v>
      </c>
      <c r="T15" s="59" t="str">
        <f>IF(OR(Hoja1!$J15=1,Hoja1!$K15=1,Hoja1!$L15=1,Hoja1!$M15=1,Hoja1!$N15=1,Hoja1!$O15=1,Hoja1!$P15=1),"SI","NO")</f>
        <v>SI</v>
      </c>
      <c r="U15" s="59" t="str">
        <f>IF(OR(Hoja1!$K15=1,Hoja1!$L15=1,Hoja1!$M15=1,Hoja1!$N15=1,Hoja1!$O15=1,Hoja1!$P15=1),"SI","NO")</f>
        <v>SI</v>
      </c>
      <c r="V15" s="60">
        <v>0.0</v>
      </c>
      <c r="W15" s="61">
        <v>0.0</v>
      </c>
      <c r="X15" s="61">
        <v>0.0</v>
      </c>
      <c r="Y15" s="60">
        <v>0.0</v>
      </c>
      <c r="Z15" s="61">
        <v>0.0</v>
      </c>
      <c r="AA15" s="61">
        <v>0.0</v>
      </c>
      <c r="AB15" s="60">
        <v>0.0</v>
      </c>
      <c r="AC15" s="61">
        <v>121.0</v>
      </c>
      <c r="AD15" s="61">
        <v>25.0</v>
      </c>
      <c r="AE15" s="60">
        <v>146.0</v>
      </c>
      <c r="AF15" s="61">
        <v>121.0</v>
      </c>
      <c r="AG15" s="61">
        <v>25.0</v>
      </c>
      <c r="AH15" s="60">
        <v>146.0</v>
      </c>
      <c r="AI15" s="61">
        <v>0.0</v>
      </c>
      <c r="AJ15" s="61">
        <v>0.0</v>
      </c>
      <c r="AK15" s="60">
        <v>0.0</v>
      </c>
      <c r="AL15" s="61">
        <v>0.0</v>
      </c>
      <c r="AM15" s="61">
        <v>0.0</v>
      </c>
      <c r="AN15" s="60">
        <v>0.0</v>
      </c>
      <c r="AO15" s="62">
        <v>0.0</v>
      </c>
      <c r="AP15" s="62">
        <v>0.0</v>
      </c>
      <c r="AQ15" s="60">
        <v>0.0</v>
      </c>
      <c r="AR15" s="60" t="str">
        <f>IF(Hoja1!$AQ15&gt;0,Hoja1!$AQ15,IF(Hoja1!$AN15&gt;0,Hoja1!$AN15,IF(Hoja1!$AK15&gt;0,Hoja1!$AK15,IF(Hoja1!$AH15&gt;0,Hoja1!$AH15,IF(Hoja1!$AE15&gt;0,Hoja1!$AE15,IF(Hoja1!$AB15&gt;0,Hoja1!$AB15,IF(Hoja1!$Y15&gt;0,Hoja1!$Y15,IF(Hoja1!$V15&gt;0,Hoja1!$V15," ---"))))))))</f>
        <v>146</v>
      </c>
      <c r="AS15" s="63">
        <v>0.0</v>
      </c>
      <c r="AT15" s="63">
        <v>0.0</v>
      </c>
      <c r="AU15" s="63">
        <v>16.0</v>
      </c>
      <c r="AV15" s="63">
        <v>2.0</v>
      </c>
      <c r="AW15" s="63">
        <v>23.0</v>
      </c>
      <c r="AX15" s="63">
        <v>6.0</v>
      </c>
      <c r="AY15" s="63">
        <v>0.0</v>
      </c>
      <c r="AZ15" s="63">
        <v>0.0</v>
      </c>
      <c r="BA15" s="63">
        <v>0.0</v>
      </c>
      <c r="BB15" s="63">
        <v>0.0</v>
      </c>
      <c r="BC15" s="63">
        <v>0.0</v>
      </c>
      <c r="BD15" s="63">
        <v>0.0</v>
      </c>
      <c r="BE15" s="64">
        <v>0.0</v>
      </c>
      <c r="BF15" s="69">
        <v>0.0</v>
      </c>
      <c r="BG15" s="69">
        <v>0.0</v>
      </c>
      <c r="BH15" s="64">
        <v>0.0</v>
      </c>
      <c r="BI15" s="67" t="str">
        <f t="shared" si="2"/>
        <v>#REF!</v>
      </c>
      <c r="BJ15" s="68" t="str">
        <f t="shared" si="3"/>
        <v>#REF!</v>
      </c>
      <c r="BK15" s="69">
        <v>0.0</v>
      </c>
      <c r="BL15" s="69">
        <v>0.0</v>
      </c>
      <c r="BM15" s="64">
        <v>0.0</v>
      </c>
      <c r="BN15" s="67" t="str">
        <f t="shared" si="4"/>
        <v>#REF!</v>
      </c>
      <c r="BO15" s="68" t="str">
        <f t="shared" si="5"/>
        <v>#REF!</v>
      </c>
      <c r="BP15" s="65">
        <v>0.0</v>
      </c>
      <c r="BQ15" s="65">
        <v>0.0</v>
      </c>
      <c r="BR15" s="66">
        <v>0.0</v>
      </c>
      <c r="BS15" s="67" t="str">
        <f t="shared" si="6"/>
        <v>#REF!</v>
      </c>
      <c r="BT15" s="68" t="str">
        <f>'[1]DATA CONSOLIDADA 2018-2025 '!$BR15-Hoja1!$BO15</f>
        <v>#REF!</v>
      </c>
      <c r="BU15" s="65">
        <v>0.0</v>
      </c>
      <c r="BV15" s="65">
        <v>0.0</v>
      </c>
      <c r="BW15" s="66">
        <v>0.0</v>
      </c>
      <c r="BX15" s="67" t="str">
        <f t="shared" si="7"/>
        <v>#REF!</v>
      </c>
      <c r="BY15" s="68" t="str">
        <f t="shared" si="8"/>
        <v>#REF!</v>
      </c>
      <c r="BZ15" s="65">
        <v>0.0</v>
      </c>
      <c r="CA15" s="65">
        <v>0.0</v>
      </c>
      <c r="CB15" s="66">
        <v>0.0</v>
      </c>
      <c r="CC15" s="67" t="str">
        <f t="shared" si="9"/>
        <v>#REF!</v>
      </c>
      <c r="CD15" s="68" t="str">
        <f>'[1]DATA CONSOLIDADA 2018-2025 '!$CB15-Hoja1!$BW15</f>
        <v>#REF!</v>
      </c>
      <c r="CE15" s="70">
        <v>0.0</v>
      </c>
      <c r="CF15" s="70">
        <v>0.0</v>
      </c>
      <c r="CG15" s="71">
        <v>0.0</v>
      </c>
      <c r="CH15" s="67" t="str">
        <f t="shared" si="10"/>
        <v>#REF!</v>
      </c>
      <c r="CI15" s="68" t="str">
        <f>'[1]DATA CONSOLIDADA 2018-2025 '!$CG15-Hoja1!$CB15</f>
        <v>#REF!</v>
      </c>
      <c r="CJ15" s="64" t="str">
        <f t="shared" si="11"/>
        <v>#REF!</v>
      </c>
      <c r="CK15" s="64">
        <v>0.0</v>
      </c>
      <c r="CL15" s="64">
        <v>0.0</v>
      </c>
      <c r="CM15" s="64">
        <v>0.0</v>
      </c>
      <c r="CN15" s="64" t="str">
        <f t="shared" si="12"/>
        <v>#REF!</v>
      </c>
      <c r="CO15" s="68" t="str">
        <f>'[1]DATA CONSOLIDADA 2018-2025 '!$CM15-Hoja1!$CG15</f>
        <v>#REF!</v>
      </c>
      <c r="CP15" s="70">
        <v>0.0</v>
      </c>
      <c r="CQ15" s="70">
        <v>0.0</v>
      </c>
      <c r="CR15" s="70">
        <v>0.0</v>
      </c>
      <c r="CS15" s="70">
        <v>0.0</v>
      </c>
      <c r="CT15" s="70">
        <v>0.0</v>
      </c>
      <c r="CU15" s="70">
        <v>0.0</v>
      </c>
      <c r="CV15" s="64">
        <v>0.0</v>
      </c>
      <c r="CW15" s="64">
        <v>0.0</v>
      </c>
      <c r="CX15" s="64">
        <v>0.0</v>
      </c>
      <c r="CY15" s="64">
        <v>0.0</v>
      </c>
      <c r="CZ15" s="64">
        <v>0.0</v>
      </c>
      <c r="DA15" s="64">
        <v>0.0</v>
      </c>
      <c r="DB15" s="64">
        <v>0.0</v>
      </c>
      <c r="DC15" s="72">
        <v>0.0</v>
      </c>
      <c r="DD15" s="72">
        <v>0.0</v>
      </c>
      <c r="DE15" s="72">
        <v>0.0</v>
      </c>
      <c r="DF15" s="72">
        <v>0.0</v>
      </c>
      <c r="DG15" s="72">
        <v>0.0</v>
      </c>
      <c r="DH15" s="72">
        <v>0.0</v>
      </c>
      <c r="DI15" s="73" t="s">
        <v>161</v>
      </c>
      <c r="DJ15" s="74" t="s">
        <v>154</v>
      </c>
      <c r="DK15" s="74" t="s">
        <v>138</v>
      </c>
      <c r="DL15" s="75"/>
      <c r="DM15" s="75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</row>
    <row r="16" ht="47.25" hidden="1" customHeight="1">
      <c r="A16" s="55" t="s">
        <v>162</v>
      </c>
      <c r="B16" s="55" t="s">
        <v>126</v>
      </c>
      <c r="C16" s="55" t="s">
        <v>126</v>
      </c>
      <c r="D16" s="55" t="s">
        <v>127</v>
      </c>
      <c r="E16" s="55" t="s">
        <v>128</v>
      </c>
      <c r="F16" s="55" t="s">
        <v>127</v>
      </c>
      <c r="G16" s="55" t="s">
        <v>129</v>
      </c>
      <c r="H16" s="55" t="s">
        <v>130</v>
      </c>
      <c r="I16" s="56"/>
      <c r="J16" s="56"/>
      <c r="K16" s="56"/>
      <c r="L16" s="56">
        <v>1.0</v>
      </c>
      <c r="M16" s="56">
        <v>1.0</v>
      </c>
      <c r="N16" s="56"/>
      <c r="O16" s="56"/>
      <c r="P16" s="56"/>
      <c r="Q16" s="56" t="s">
        <v>131</v>
      </c>
      <c r="R16" s="58" t="str">
        <f t="shared" si="1"/>
        <v>2021-2022</v>
      </c>
      <c r="S16" s="59" t="str">
        <f>SUM(Hoja1!$I16:$P16)</f>
        <v>2</v>
      </c>
      <c r="T16" s="59" t="str">
        <f>IF(OR(Hoja1!$J16=1,Hoja1!$K16=1,Hoja1!$L16=1,Hoja1!$M16=1,Hoja1!$N16=1,Hoja1!$O16=1,Hoja1!$P16=1),"SI","NO")</f>
        <v>SI</v>
      </c>
      <c r="U16" s="59" t="str">
        <f>IF(OR(Hoja1!$K16=1,Hoja1!$L16=1,Hoja1!$M16=1,Hoja1!$N16=1,Hoja1!$O16=1,Hoja1!$P16=1),"SI","NO")</f>
        <v>SI</v>
      </c>
      <c r="V16" s="60">
        <v>0.0</v>
      </c>
      <c r="W16" s="61">
        <v>0.0</v>
      </c>
      <c r="X16" s="61">
        <v>0.0</v>
      </c>
      <c r="Y16" s="60">
        <v>0.0</v>
      </c>
      <c r="Z16" s="61">
        <v>0.0</v>
      </c>
      <c r="AA16" s="61">
        <v>0.0</v>
      </c>
      <c r="AB16" s="60">
        <v>0.0</v>
      </c>
      <c r="AC16" s="61">
        <v>179.0</v>
      </c>
      <c r="AD16" s="61">
        <v>45.0</v>
      </c>
      <c r="AE16" s="60">
        <v>224.0</v>
      </c>
      <c r="AF16" s="61">
        <v>179.0</v>
      </c>
      <c r="AG16" s="61">
        <v>45.0</v>
      </c>
      <c r="AH16" s="60">
        <v>224.0</v>
      </c>
      <c r="AI16" s="61">
        <v>0.0</v>
      </c>
      <c r="AJ16" s="61">
        <v>0.0</v>
      </c>
      <c r="AK16" s="60">
        <v>0.0</v>
      </c>
      <c r="AL16" s="61">
        <v>0.0</v>
      </c>
      <c r="AM16" s="61">
        <v>0.0</v>
      </c>
      <c r="AN16" s="60">
        <v>0.0</v>
      </c>
      <c r="AO16" s="62">
        <v>0.0</v>
      </c>
      <c r="AP16" s="62">
        <v>0.0</v>
      </c>
      <c r="AQ16" s="60">
        <v>0.0</v>
      </c>
      <c r="AR16" s="60" t="str">
        <f>IF(Hoja1!$AQ16&gt;0,Hoja1!$AQ16,IF(Hoja1!$AN16&gt;0,Hoja1!$AN16,IF(Hoja1!$AK16&gt;0,Hoja1!$AK16,IF(Hoja1!$AH16&gt;0,Hoja1!$AH16,IF(Hoja1!$AE16&gt;0,Hoja1!$AE16,IF(Hoja1!$AB16&gt;0,Hoja1!$AB16,IF(Hoja1!$Y16&gt;0,Hoja1!$Y16,IF(Hoja1!$V16&gt;0,Hoja1!$V16," ---"))))))))</f>
        <v>224</v>
      </c>
      <c r="AS16" s="63">
        <v>0.0</v>
      </c>
      <c r="AT16" s="63">
        <v>0.0</v>
      </c>
      <c r="AU16" s="63">
        <v>12.0</v>
      </c>
      <c r="AV16" s="63">
        <v>8.0</v>
      </c>
      <c r="AW16" s="63">
        <v>54.0</v>
      </c>
      <c r="AX16" s="63">
        <v>8.0</v>
      </c>
      <c r="AY16" s="63">
        <v>0.0</v>
      </c>
      <c r="AZ16" s="63">
        <v>0.0</v>
      </c>
      <c r="BA16" s="63">
        <v>0.0</v>
      </c>
      <c r="BB16" s="63">
        <v>0.0</v>
      </c>
      <c r="BC16" s="63">
        <v>0.0</v>
      </c>
      <c r="BD16" s="63">
        <v>0.0</v>
      </c>
      <c r="BE16" s="64">
        <v>0.0</v>
      </c>
      <c r="BF16" s="69">
        <v>0.0</v>
      </c>
      <c r="BG16" s="69">
        <v>0.0</v>
      </c>
      <c r="BH16" s="64">
        <v>0.0</v>
      </c>
      <c r="BI16" s="67" t="str">
        <f t="shared" si="2"/>
        <v>#REF!</v>
      </c>
      <c r="BJ16" s="68" t="str">
        <f t="shared" si="3"/>
        <v>#REF!</v>
      </c>
      <c r="BK16" s="69">
        <v>0.0</v>
      </c>
      <c r="BL16" s="69">
        <v>0.0</v>
      </c>
      <c r="BM16" s="66">
        <v>0.0</v>
      </c>
      <c r="BN16" s="67" t="str">
        <f t="shared" si="4"/>
        <v>#REF!</v>
      </c>
      <c r="BO16" s="68" t="str">
        <f t="shared" si="5"/>
        <v>#REF!</v>
      </c>
      <c r="BP16" s="65">
        <v>250823.36</v>
      </c>
      <c r="BQ16" s="65">
        <v>0.0</v>
      </c>
      <c r="BR16" s="66">
        <v>250823.36</v>
      </c>
      <c r="BS16" s="67" t="str">
        <f t="shared" si="6"/>
        <v>#REF!</v>
      </c>
      <c r="BT16" s="68" t="str">
        <f>'[1]DATA CONSOLIDADA 2018-2025 '!$BR16-Hoja1!$BO16</f>
        <v>#REF!</v>
      </c>
      <c r="BU16" s="65">
        <v>0.0</v>
      </c>
      <c r="BV16" s="65">
        <v>0.0</v>
      </c>
      <c r="BW16" s="66">
        <v>0.0</v>
      </c>
      <c r="BX16" s="67" t="str">
        <f t="shared" si="7"/>
        <v>#REF!</v>
      </c>
      <c r="BY16" s="68" t="str">
        <f t="shared" si="8"/>
        <v>#REF!</v>
      </c>
      <c r="BZ16" s="65">
        <v>0.0</v>
      </c>
      <c r="CA16" s="65">
        <v>0.0</v>
      </c>
      <c r="CB16" s="66">
        <v>0.0</v>
      </c>
      <c r="CC16" s="67" t="str">
        <f t="shared" si="9"/>
        <v>#REF!</v>
      </c>
      <c r="CD16" s="68" t="str">
        <f>'[1]DATA CONSOLIDADA 2018-2025 '!$CB16-Hoja1!$BW16</f>
        <v>#REF!</v>
      </c>
      <c r="CE16" s="70">
        <v>0.0</v>
      </c>
      <c r="CF16" s="70">
        <v>0.0</v>
      </c>
      <c r="CG16" s="71">
        <v>0.0</v>
      </c>
      <c r="CH16" s="67" t="str">
        <f t="shared" si="10"/>
        <v>#REF!</v>
      </c>
      <c r="CI16" s="68" t="str">
        <f>'[1]DATA CONSOLIDADA 2018-2025 '!$CG16-Hoja1!$CB16</f>
        <v>#REF!</v>
      </c>
      <c r="CJ16" s="64" t="str">
        <f t="shared" si="11"/>
        <v>#REF!</v>
      </c>
      <c r="CK16" s="64">
        <v>0.0</v>
      </c>
      <c r="CL16" s="64">
        <v>0.0</v>
      </c>
      <c r="CM16" s="64">
        <v>0.0</v>
      </c>
      <c r="CN16" s="64" t="str">
        <f t="shared" si="12"/>
        <v>#REF!</v>
      </c>
      <c r="CO16" s="68" t="str">
        <f>'[1]DATA CONSOLIDADA 2018-2025 '!$CM16-Hoja1!$CG16</f>
        <v>#REF!</v>
      </c>
      <c r="CP16" s="70">
        <v>0.0</v>
      </c>
      <c r="CQ16" s="70">
        <v>0.0</v>
      </c>
      <c r="CR16" s="70">
        <v>0.0</v>
      </c>
      <c r="CS16" s="70">
        <v>0.0</v>
      </c>
      <c r="CT16" s="70">
        <v>0.0</v>
      </c>
      <c r="CU16" s="70">
        <v>0.0</v>
      </c>
      <c r="CV16" s="64">
        <v>0.0</v>
      </c>
      <c r="CW16" s="64">
        <v>0.0</v>
      </c>
      <c r="CX16" s="64">
        <v>0.0</v>
      </c>
      <c r="CY16" s="64">
        <v>0.0</v>
      </c>
      <c r="CZ16" s="64">
        <v>0.0</v>
      </c>
      <c r="DA16" s="64">
        <v>0.0</v>
      </c>
      <c r="DB16" s="64">
        <v>0.0</v>
      </c>
      <c r="DC16" s="72">
        <v>0.0</v>
      </c>
      <c r="DD16" s="72">
        <v>0.0</v>
      </c>
      <c r="DE16" s="72">
        <v>0.0</v>
      </c>
      <c r="DF16" s="72">
        <v>0.0</v>
      </c>
      <c r="DG16" s="72">
        <v>0.0</v>
      </c>
      <c r="DH16" s="72">
        <v>0.0</v>
      </c>
      <c r="DI16" s="73">
        <v>2.0600001109E10</v>
      </c>
      <c r="DJ16" s="74" t="s">
        <v>162</v>
      </c>
      <c r="DK16" s="74" t="s">
        <v>132</v>
      </c>
      <c r="DL16" s="75"/>
      <c r="DM16" s="7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</row>
    <row r="17" ht="47.25" hidden="1" customHeight="1">
      <c r="A17" s="55" t="s">
        <v>163</v>
      </c>
      <c r="B17" s="55" t="s">
        <v>126</v>
      </c>
      <c r="C17" s="55" t="s">
        <v>126</v>
      </c>
      <c r="D17" s="55" t="s">
        <v>127</v>
      </c>
      <c r="E17" s="55" t="s">
        <v>128</v>
      </c>
      <c r="F17" s="55" t="s">
        <v>127</v>
      </c>
      <c r="G17" s="55" t="s">
        <v>129</v>
      </c>
      <c r="H17" s="55" t="s">
        <v>130</v>
      </c>
      <c r="I17" s="56"/>
      <c r="J17" s="56"/>
      <c r="K17" s="56"/>
      <c r="L17" s="56">
        <v>1.0</v>
      </c>
      <c r="M17" s="56">
        <v>1.0</v>
      </c>
      <c r="N17" s="56">
        <v>1.0</v>
      </c>
      <c r="O17" s="56"/>
      <c r="P17" s="56"/>
      <c r="Q17" s="56" t="s">
        <v>131</v>
      </c>
      <c r="R17" s="58" t="str">
        <f t="shared" si="1"/>
        <v>2021-2022-2023</v>
      </c>
      <c r="S17" s="59" t="str">
        <f>SUM(Hoja1!$I17:$P17)</f>
        <v>3</v>
      </c>
      <c r="T17" s="59" t="str">
        <f>IF(OR(Hoja1!$J17=1,Hoja1!$K17=1,Hoja1!$L17=1,Hoja1!$M17=1,Hoja1!$N17=1,Hoja1!$O17=1,Hoja1!$P17=1),"SI","NO")</f>
        <v>SI</v>
      </c>
      <c r="U17" s="59" t="str">
        <f>IF(OR(Hoja1!$K17=1,Hoja1!$L17=1,Hoja1!$M17=1,Hoja1!$N17=1,Hoja1!$O17=1,Hoja1!$P17=1),"SI","NO")</f>
        <v>SI</v>
      </c>
      <c r="V17" s="60">
        <v>0.0</v>
      </c>
      <c r="W17" s="61">
        <v>0.0</v>
      </c>
      <c r="X17" s="61">
        <v>0.0</v>
      </c>
      <c r="Y17" s="60">
        <v>0.0</v>
      </c>
      <c r="Z17" s="61">
        <v>0.0</v>
      </c>
      <c r="AA17" s="61">
        <v>0.0</v>
      </c>
      <c r="AB17" s="60">
        <v>0.0</v>
      </c>
      <c r="AC17" s="61">
        <v>224.0</v>
      </c>
      <c r="AD17" s="61">
        <v>68.0</v>
      </c>
      <c r="AE17" s="60">
        <v>292.0</v>
      </c>
      <c r="AF17" s="61">
        <v>224.0</v>
      </c>
      <c r="AG17" s="61">
        <v>68.0</v>
      </c>
      <c r="AH17" s="60">
        <v>292.0</v>
      </c>
      <c r="AI17" s="61">
        <v>224.0</v>
      </c>
      <c r="AJ17" s="61">
        <v>68.0</v>
      </c>
      <c r="AK17" s="60">
        <v>292.0</v>
      </c>
      <c r="AL17" s="61">
        <v>0.0</v>
      </c>
      <c r="AM17" s="61">
        <v>0.0</v>
      </c>
      <c r="AN17" s="60">
        <v>0.0</v>
      </c>
      <c r="AO17" s="62">
        <v>0.0</v>
      </c>
      <c r="AP17" s="62">
        <v>0.0</v>
      </c>
      <c r="AQ17" s="60">
        <v>0.0</v>
      </c>
      <c r="AR17" s="60" t="str">
        <f>IF(Hoja1!$AQ17&gt;0,Hoja1!$AQ17,IF(Hoja1!$AN17&gt;0,Hoja1!$AN17,IF(Hoja1!$AK17&gt;0,Hoja1!$AK17,IF(Hoja1!$AH17&gt;0,Hoja1!$AH17,IF(Hoja1!$AE17&gt;0,Hoja1!$AE17,IF(Hoja1!$AB17&gt;0,Hoja1!$AB17,IF(Hoja1!$Y17&gt;0,Hoja1!$Y17,IF(Hoja1!$V17&gt;0,Hoja1!$V17," ---"))))))))</f>
        <v>292</v>
      </c>
      <c r="AS17" s="63">
        <v>0.0</v>
      </c>
      <c r="AT17" s="63">
        <v>0.0</v>
      </c>
      <c r="AU17" s="63">
        <v>10.0</v>
      </c>
      <c r="AV17" s="63">
        <v>8.0</v>
      </c>
      <c r="AW17" s="63">
        <v>60.0</v>
      </c>
      <c r="AX17" s="63">
        <v>8.0</v>
      </c>
      <c r="AY17" s="63">
        <v>44.0</v>
      </c>
      <c r="AZ17" s="63">
        <v>6.0</v>
      </c>
      <c r="BA17" s="63">
        <v>0.0</v>
      </c>
      <c r="BB17" s="63">
        <v>0.0</v>
      </c>
      <c r="BC17" s="63">
        <v>0.0</v>
      </c>
      <c r="BD17" s="63">
        <v>0.0</v>
      </c>
      <c r="BE17" s="64">
        <v>0.0</v>
      </c>
      <c r="BF17" s="69">
        <v>0.0</v>
      </c>
      <c r="BG17" s="69">
        <v>0.0</v>
      </c>
      <c r="BH17" s="64">
        <v>0.0</v>
      </c>
      <c r="BI17" s="67" t="str">
        <f t="shared" si="2"/>
        <v>#REF!</v>
      </c>
      <c r="BJ17" s="68" t="str">
        <f t="shared" si="3"/>
        <v>#REF!</v>
      </c>
      <c r="BK17" s="69">
        <v>0.0</v>
      </c>
      <c r="BL17" s="69">
        <v>0.0</v>
      </c>
      <c r="BM17" s="66">
        <v>0.0</v>
      </c>
      <c r="BN17" s="67" t="str">
        <f t="shared" si="4"/>
        <v>#REF!</v>
      </c>
      <c r="BO17" s="68" t="str">
        <f t="shared" si="5"/>
        <v>#REF!</v>
      </c>
      <c r="BP17" s="65">
        <v>0.0</v>
      </c>
      <c r="BQ17" s="65">
        <v>1177220.48</v>
      </c>
      <c r="BR17" s="66">
        <v>1177220.48</v>
      </c>
      <c r="BS17" s="67" t="str">
        <f t="shared" si="6"/>
        <v>#REF!</v>
      </c>
      <c r="BT17" s="68" t="str">
        <f>'[1]DATA CONSOLIDADA 2018-2025 '!$BR17-Hoja1!$BO17</f>
        <v>#REF!</v>
      </c>
      <c r="BU17" s="65">
        <v>117797.43</v>
      </c>
      <c r="BV17" s="65">
        <v>3107691.49</v>
      </c>
      <c r="BW17" s="66">
        <v>3225488.9200000004</v>
      </c>
      <c r="BX17" s="67" t="str">
        <f t="shared" si="7"/>
        <v>#REF!</v>
      </c>
      <c r="BY17" s="68" t="str">
        <f t="shared" si="8"/>
        <v>#REF!</v>
      </c>
      <c r="BZ17" s="65">
        <v>45403.05</v>
      </c>
      <c r="CA17" s="65">
        <v>3044784.15</v>
      </c>
      <c r="CB17" s="66">
        <v>3090187.2</v>
      </c>
      <c r="CC17" s="67" t="str">
        <f t="shared" si="9"/>
        <v>#REF!</v>
      </c>
      <c r="CD17" s="68" t="str">
        <f>'[1]DATA CONSOLIDADA 2018-2025 '!$CB17-Hoja1!$BW17</f>
        <v>#REF!</v>
      </c>
      <c r="CE17" s="70">
        <v>0.0</v>
      </c>
      <c r="CF17" s="70">
        <v>0.0</v>
      </c>
      <c r="CG17" s="71">
        <v>0.0</v>
      </c>
      <c r="CH17" s="67" t="str">
        <f t="shared" si="10"/>
        <v>#REF!</v>
      </c>
      <c r="CI17" s="68" t="str">
        <f>'[1]DATA CONSOLIDADA 2018-2025 '!$CG17-Hoja1!$CB17</f>
        <v>#REF!</v>
      </c>
      <c r="CJ17" s="64" t="str">
        <f t="shared" si="11"/>
        <v>#REF!</v>
      </c>
      <c r="CK17" s="64">
        <v>0.0</v>
      </c>
      <c r="CL17" s="64">
        <v>0.0</v>
      </c>
      <c r="CM17" s="64">
        <v>0.0</v>
      </c>
      <c r="CN17" s="64" t="str">
        <f t="shared" si="12"/>
        <v>#REF!</v>
      </c>
      <c r="CO17" s="68" t="str">
        <f>'[1]DATA CONSOLIDADA 2018-2025 '!$CM17-Hoja1!$CG17</f>
        <v>#REF!</v>
      </c>
      <c r="CP17" s="70">
        <v>0.0</v>
      </c>
      <c r="CQ17" s="70">
        <v>0.0</v>
      </c>
      <c r="CR17" s="70">
        <v>0.0</v>
      </c>
      <c r="CS17" s="70">
        <v>3090187.1568536796</v>
      </c>
      <c r="CT17" s="70">
        <v>0.0</v>
      </c>
      <c r="CU17" s="70">
        <v>0.0</v>
      </c>
      <c r="CV17" s="64">
        <v>3090187.1568536796</v>
      </c>
      <c r="CW17" s="64">
        <v>0.0</v>
      </c>
      <c r="CX17" s="64">
        <v>0.0</v>
      </c>
      <c r="CY17" s="64">
        <v>0.0</v>
      </c>
      <c r="CZ17" s="64">
        <v>0.0</v>
      </c>
      <c r="DA17" s="64">
        <v>0.0</v>
      </c>
      <c r="DB17" s="64">
        <v>0.0</v>
      </c>
      <c r="DC17" s="72">
        <v>0.0</v>
      </c>
      <c r="DD17" s="72">
        <v>0.0</v>
      </c>
      <c r="DE17" s="72">
        <v>0.0</v>
      </c>
      <c r="DF17" s="72">
        <v>0.0</v>
      </c>
      <c r="DG17" s="72">
        <v>0.0</v>
      </c>
      <c r="DH17" s="72">
        <v>0.0</v>
      </c>
      <c r="DI17" s="73">
        <v>2.0479622699E10</v>
      </c>
      <c r="DJ17" s="74" t="s">
        <v>164</v>
      </c>
      <c r="DK17" s="74" t="s">
        <v>132</v>
      </c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75"/>
      <c r="EC17" s="75"/>
      <c r="ED17" s="75"/>
      <c r="EE17" s="75"/>
    </row>
    <row r="18" ht="47.25" hidden="1" customHeight="1">
      <c r="A18" s="55" t="s">
        <v>165</v>
      </c>
      <c r="B18" s="55" t="s">
        <v>166</v>
      </c>
      <c r="C18" s="55" t="s">
        <v>166</v>
      </c>
      <c r="D18" s="55" t="s">
        <v>167</v>
      </c>
      <c r="E18" s="55" t="s">
        <v>168</v>
      </c>
      <c r="F18" s="55" t="s">
        <v>167</v>
      </c>
      <c r="G18" s="55" t="s">
        <v>169</v>
      </c>
      <c r="H18" s="55" t="s">
        <v>170</v>
      </c>
      <c r="I18" s="56">
        <v>1.0</v>
      </c>
      <c r="J18" s="56"/>
      <c r="K18" s="56"/>
      <c r="L18" s="56"/>
      <c r="M18" s="56"/>
      <c r="N18" s="56"/>
      <c r="O18" s="56"/>
      <c r="P18" s="56"/>
      <c r="Q18" s="56" t="s">
        <v>131</v>
      </c>
      <c r="R18" s="58" t="str">
        <f t="shared" si="1"/>
        <v>2018</v>
      </c>
      <c r="S18" s="59" t="str">
        <f>SUM(Hoja1!$I18:$P18)</f>
        <v>1</v>
      </c>
      <c r="T18" s="59" t="str">
        <f>IF(OR(Hoja1!$J18=1,Hoja1!$K18=1,Hoja1!$L18=1,Hoja1!$M18=1,Hoja1!$N18=1,Hoja1!$O18=1,Hoja1!$P18=1),"SI","NO")</f>
        <v>NO</v>
      </c>
      <c r="U18" s="59" t="str">
        <f>IF(OR(Hoja1!$K18=1,Hoja1!$L18=1,Hoja1!$M18=1,Hoja1!$N18=1,Hoja1!$O18=1,Hoja1!$P18=1),"SI","NO")</f>
        <v>NO</v>
      </c>
      <c r="V18" s="60">
        <v>34.0</v>
      </c>
      <c r="W18" s="61">
        <v>0.0</v>
      </c>
      <c r="X18" s="61">
        <v>0.0</v>
      </c>
      <c r="Y18" s="60">
        <v>0.0</v>
      </c>
      <c r="Z18" s="61">
        <v>0.0</v>
      </c>
      <c r="AA18" s="61">
        <v>0.0</v>
      </c>
      <c r="AB18" s="60">
        <v>0.0</v>
      </c>
      <c r="AC18" s="61">
        <v>0.0</v>
      </c>
      <c r="AD18" s="61">
        <v>0.0</v>
      </c>
      <c r="AE18" s="60">
        <v>0.0</v>
      </c>
      <c r="AF18" s="61">
        <v>0.0</v>
      </c>
      <c r="AG18" s="61">
        <v>0.0</v>
      </c>
      <c r="AH18" s="60">
        <v>0.0</v>
      </c>
      <c r="AI18" s="61">
        <v>0.0</v>
      </c>
      <c r="AJ18" s="61">
        <v>0.0</v>
      </c>
      <c r="AK18" s="60">
        <v>0.0</v>
      </c>
      <c r="AL18" s="61">
        <v>0.0</v>
      </c>
      <c r="AM18" s="61">
        <v>0.0</v>
      </c>
      <c r="AN18" s="60">
        <v>0.0</v>
      </c>
      <c r="AO18" s="62">
        <v>0.0</v>
      </c>
      <c r="AP18" s="62">
        <v>0.0</v>
      </c>
      <c r="AQ18" s="60">
        <v>0.0</v>
      </c>
      <c r="AR18" s="60" t="str">
        <f>IF(Hoja1!$AQ18&gt;0,Hoja1!$AQ18,IF(Hoja1!$AN18&gt;0,Hoja1!$AN18,IF(Hoja1!$AK18&gt;0,Hoja1!$AK18,IF(Hoja1!$AH18&gt;0,Hoja1!$AH18,IF(Hoja1!$AE18&gt;0,Hoja1!$AE18,IF(Hoja1!$AB18&gt;0,Hoja1!$AB18,IF(Hoja1!$Y18&gt;0,Hoja1!$Y18,IF(Hoja1!$V18&gt;0,Hoja1!$V18," ---"))))))))</f>
        <v>34</v>
      </c>
      <c r="AS18" s="63">
        <v>0.0</v>
      </c>
      <c r="AT18" s="63">
        <v>0.0</v>
      </c>
      <c r="AU18" s="63">
        <v>0.0</v>
      </c>
      <c r="AV18" s="63">
        <v>0.0</v>
      </c>
      <c r="AW18" s="63">
        <v>0.0</v>
      </c>
      <c r="AX18" s="63">
        <v>0.0</v>
      </c>
      <c r="AY18" s="63">
        <v>0.0</v>
      </c>
      <c r="AZ18" s="63">
        <v>0.0</v>
      </c>
      <c r="BA18" s="63">
        <v>0.0</v>
      </c>
      <c r="BB18" s="63">
        <v>0.0</v>
      </c>
      <c r="BC18" s="63">
        <v>0.0</v>
      </c>
      <c r="BD18" s="63">
        <v>0.0</v>
      </c>
      <c r="BE18" s="64">
        <v>0.0</v>
      </c>
      <c r="BF18" s="69">
        <v>0.0</v>
      </c>
      <c r="BG18" s="69">
        <v>0.0</v>
      </c>
      <c r="BH18" s="64">
        <v>0.0</v>
      </c>
      <c r="BI18" s="67" t="str">
        <f t="shared" si="2"/>
        <v>#REF!</v>
      </c>
      <c r="BJ18" s="68" t="str">
        <f t="shared" si="3"/>
        <v>#REF!</v>
      </c>
      <c r="BK18" s="69">
        <v>0.0</v>
      </c>
      <c r="BL18" s="69">
        <v>0.0</v>
      </c>
      <c r="BM18" s="64">
        <v>0.0</v>
      </c>
      <c r="BN18" s="67" t="str">
        <f t="shared" si="4"/>
        <v>#REF!</v>
      </c>
      <c r="BO18" s="68" t="str">
        <f t="shared" si="5"/>
        <v>#REF!</v>
      </c>
      <c r="BP18" s="65">
        <v>0.0</v>
      </c>
      <c r="BQ18" s="65">
        <v>0.0</v>
      </c>
      <c r="BR18" s="66">
        <v>0.0</v>
      </c>
      <c r="BS18" s="67" t="str">
        <f t="shared" si="6"/>
        <v>#REF!</v>
      </c>
      <c r="BT18" s="68" t="str">
        <f>'[1]DATA CONSOLIDADA 2018-2025 '!$BR18-Hoja1!$BO18</f>
        <v>#REF!</v>
      </c>
      <c r="BU18" s="65">
        <v>0.0</v>
      </c>
      <c r="BV18" s="65">
        <v>0.0</v>
      </c>
      <c r="BW18" s="66">
        <v>0.0</v>
      </c>
      <c r="BX18" s="67" t="str">
        <f t="shared" si="7"/>
        <v>#REF!</v>
      </c>
      <c r="BY18" s="68" t="str">
        <f t="shared" si="8"/>
        <v>#REF!</v>
      </c>
      <c r="BZ18" s="65">
        <v>0.0</v>
      </c>
      <c r="CA18" s="65">
        <v>0.0</v>
      </c>
      <c r="CB18" s="66">
        <v>0.0</v>
      </c>
      <c r="CC18" s="67" t="str">
        <f t="shared" si="9"/>
        <v>#REF!</v>
      </c>
      <c r="CD18" s="68" t="str">
        <f>'[1]DATA CONSOLIDADA 2018-2025 '!$CB18-Hoja1!$BW18</f>
        <v>#REF!</v>
      </c>
      <c r="CE18" s="70">
        <v>0.0</v>
      </c>
      <c r="CF18" s="70">
        <v>0.0</v>
      </c>
      <c r="CG18" s="71">
        <v>0.0</v>
      </c>
      <c r="CH18" s="67" t="str">
        <f t="shared" si="10"/>
        <v>#REF!</v>
      </c>
      <c r="CI18" s="68" t="str">
        <f>'[1]DATA CONSOLIDADA 2018-2025 '!$CG18-Hoja1!$CB18</f>
        <v>#REF!</v>
      </c>
      <c r="CJ18" s="64" t="str">
        <f t="shared" si="11"/>
        <v>#REF!</v>
      </c>
      <c r="CK18" s="64">
        <v>0.0</v>
      </c>
      <c r="CL18" s="64">
        <v>0.0</v>
      </c>
      <c r="CM18" s="64">
        <v>0.0</v>
      </c>
      <c r="CN18" s="64" t="str">
        <f t="shared" si="12"/>
        <v>#REF!</v>
      </c>
      <c r="CO18" s="68" t="str">
        <f>'[1]DATA CONSOLIDADA 2018-2025 '!$CM18-Hoja1!$CG18</f>
        <v>#REF!</v>
      </c>
      <c r="CP18" s="70">
        <v>0.0</v>
      </c>
      <c r="CQ18" s="70">
        <v>0.0</v>
      </c>
      <c r="CR18" s="70">
        <v>0.0</v>
      </c>
      <c r="CS18" s="70">
        <v>0.0</v>
      </c>
      <c r="CT18" s="70">
        <v>0.0</v>
      </c>
      <c r="CU18" s="70">
        <v>0.0</v>
      </c>
      <c r="CV18" s="64">
        <v>0.0</v>
      </c>
      <c r="CW18" s="64">
        <v>0.0</v>
      </c>
      <c r="CX18" s="64">
        <v>0.0</v>
      </c>
      <c r="CY18" s="64">
        <v>0.0</v>
      </c>
      <c r="CZ18" s="64">
        <v>0.0</v>
      </c>
      <c r="DA18" s="64">
        <v>0.0</v>
      </c>
      <c r="DB18" s="64">
        <v>0.0</v>
      </c>
      <c r="DC18" s="72">
        <v>0.0</v>
      </c>
      <c r="DD18" s="72">
        <v>0.0</v>
      </c>
      <c r="DE18" s="72">
        <v>0.0</v>
      </c>
      <c r="DF18" s="72">
        <v>0.0</v>
      </c>
      <c r="DG18" s="72">
        <v>0.0</v>
      </c>
      <c r="DH18" s="72">
        <v>0.0</v>
      </c>
      <c r="DI18" s="73">
        <v>2.0541732706E10</v>
      </c>
      <c r="DJ18" s="74" t="s">
        <v>171</v>
      </c>
      <c r="DK18" s="74" t="s">
        <v>138</v>
      </c>
      <c r="DL18" s="75"/>
      <c r="DM18" s="7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</row>
    <row r="19" ht="47.25" hidden="1" customHeight="1">
      <c r="A19" s="55" t="s">
        <v>172</v>
      </c>
      <c r="B19" s="55" t="s">
        <v>173</v>
      </c>
      <c r="C19" s="55" t="s">
        <v>173</v>
      </c>
      <c r="D19" s="55" t="s">
        <v>167</v>
      </c>
      <c r="E19" s="55" t="s">
        <v>174</v>
      </c>
      <c r="F19" s="55" t="s">
        <v>167</v>
      </c>
      <c r="G19" s="55" t="s">
        <v>175</v>
      </c>
      <c r="H19" s="55" t="s">
        <v>176</v>
      </c>
      <c r="I19" s="56">
        <v>1.0</v>
      </c>
      <c r="J19" s="56"/>
      <c r="K19" s="56"/>
      <c r="L19" s="56"/>
      <c r="M19" s="56"/>
      <c r="N19" s="56"/>
      <c r="O19" s="56"/>
      <c r="P19" s="56"/>
      <c r="Q19" s="56" t="s">
        <v>131</v>
      </c>
      <c r="R19" s="58" t="str">
        <f t="shared" si="1"/>
        <v>2018</v>
      </c>
      <c r="S19" s="59" t="str">
        <f>SUM(Hoja1!$I19:$P19)</f>
        <v>1</v>
      </c>
      <c r="T19" s="59" t="str">
        <f>IF(OR(Hoja1!$J19=1,Hoja1!$K19=1,Hoja1!$L19=1,Hoja1!$M19=1,Hoja1!$N19=1,Hoja1!$O19=1,Hoja1!$P19=1),"SI","NO")</f>
        <v>NO</v>
      </c>
      <c r="U19" s="59" t="str">
        <f>IF(OR(Hoja1!$K19=1,Hoja1!$L19=1,Hoja1!$M19=1,Hoja1!$N19=1,Hoja1!$O19=1,Hoja1!$P19=1),"SI","NO")</f>
        <v>NO</v>
      </c>
      <c r="V19" s="60">
        <v>15.0</v>
      </c>
      <c r="W19" s="61">
        <v>0.0</v>
      </c>
      <c r="X19" s="61">
        <v>0.0</v>
      </c>
      <c r="Y19" s="60">
        <v>0.0</v>
      </c>
      <c r="Z19" s="61">
        <v>0.0</v>
      </c>
      <c r="AA19" s="61">
        <v>0.0</v>
      </c>
      <c r="AB19" s="60">
        <v>0.0</v>
      </c>
      <c r="AC19" s="61">
        <v>0.0</v>
      </c>
      <c r="AD19" s="61">
        <v>0.0</v>
      </c>
      <c r="AE19" s="60">
        <v>0.0</v>
      </c>
      <c r="AF19" s="61">
        <v>0.0</v>
      </c>
      <c r="AG19" s="61">
        <v>0.0</v>
      </c>
      <c r="AH19" s="60">
        <v>0.0</v>
      </c>
      <c r="AI19" s="61">
        <v>0.0</v>
      </c>
      <c r="AJ19" s="61">
        <v>0.0</v>
      </c>
      <c r="AK19" s="60">
        <v>0.0</v>
      </c>
      <c r="AL19" s="61">
        <v>0.0</v>
      </c>
      <c r="AM19" s="61">
        <v>0.0</v>
      </c>
      <c r="AN19" s="60">
        <v>0.0</v>
      </c>
      <c r="AO19" s="62">
        <v>0.0</v>
      </c>
      <c r="AP19" s="62">
        <v>0.0</v>
      </c>
      <c r="AQ19" s="60">
        <v>0.0</v>
      </c>
      <c r="AR19" s="60" t="str">
        <f>IF(Hoja1!$AQ19&gt;0,Hoja1!$AQ19,IF(Hoja1!$AN19&gt;0,Hoja1!$AN19,IF(Hoja1!$AK19&gt;0,Hoja1!$AK19,IF(Hoja1!$AH19&gt;0,Hoja1!$AH19,IF(Hoja1!$AE19&gt;0,Hoja1!$AE19,IF(Hoja1!$AB19&gt;0,Hoja1!$AB19,IF(Hoja1!$Y19&gt;0,Hoja1!$Y19,IF(Hoja1!$V19&gt;0,Hoja1!$V19," ---"))))))))</f>
        <v>15</v>
      </c>
      <c r="AS19" s="63">
        <v>0.0</v>
      </c>
      <c r="AT19" s="63">
        <v>0.0</v>
      </c>
      <c r="AU19" s="63">
        <v>0.0</v>
      </c>
      <c r="AV19" s="63">
        <v>0.0</v>
      </c>
      <c r="AW19" s="63">
        <v>0.0</v>
      </c>
      <c r="AX19" s="63">
        <v>0.0</v>
      </c>
      <c r="AY19" s="63">
        <v>0.0</v>
      </c>
      <c r="AZ19" s="63">
        <v>0.0</v>
      </c>
      <c r="BA19" s="63">
        <v>0.0</v>
      </c>
      <c r="BB19" s="63">
        <v>0.0</v>
      </c>
      <c r="BC19" s="63">
        <v>0.0</v>
      </c>
      <c r="BD19" s="63">
        <v>0.0</v>
      </c>
      <c r="BE19" s="64">
        <v>0.0</v>
      </c>
      <c r="BF19" s="69">
        <v>0.0</v>
      </c>
      <c r="BG19" s="69">
        <v>0.0</v>
      </c>
      <c r="BH19" s="64">
        <v>0.0</v>
      </c>
      <c r="BI19" s="67" t="str">
        <f t="shared" si="2"/>
        <v>#REF!</v>
      </c>
      <c r="BJ19" s="68" t="str">
        <f t="shared" si="3"/>
        <v>#REF!</v>
      </c>
      <c r="BK19" s="69">
        <v>0.0</v>
      </c>
      <c r="BL19" s="69">
        <v>0.0</v>
      </c>
      <c r="BM19" s="64">
        <v>0.0</v>
      </c>
      <c r="BN19" s="67" t="str">
        <f t="shared" si="4"/>
        <v>#REF!</v>
      </c>
      <c r="BO19" s="68" t="str">
        <f t="shared" si="5"/>
        <v>#REF!</v>
      </c>
      <c r="BP19" s="65">
        <v>0.0</v>
      </c>
      <c r="BQ19" s="65">
        <v>0.0</v>
      </c>
      <c r="BR19" s="66">
        <v>0.0</v>
      </c>
      <c r="BS19" s="67" t="str">
        <f t="shared" si="6"/>
        <v>#REF!</v>
      </c>
      <c r="BT19" s="68" t="str">
        <f>'[1]DATA CONSOLIDADA 2018-2025 '!$BR19-Hoja1!$BO19</f>
        <v>#REF!</v>
      </c>
      <c r="BU19" s="65">
        <v>0.0</v>
      </c>
      <c r="BV19" s="65">
        <v>0.0</v>
      </c>
      <c r="BW19" s="66">
        <v>0.0</v>
      </c>
      <c r="BX19" s="67" t="str">
        <f t="shared" si="7"/>
        <v>#REF!</v>
      </c>
      <c r="BY19" s="68" t="str">
        <f t="shared" si="8"/>
        <v>#REF!</v>
      </c>
      <c r="BZ19" s="65">
        <v>0.0</v>
      </c>
      <c r="CA19" s="65">
        <v>0.0</v>
      </c>
      <c r="CB19" s="66">
        <v>0.0</v>
      </c>
      <c r="CC19" s="67" t="str">
        <f t="shared" si="9"/>
        <v>#REF!</v>
      </c>
      <c r="CD19" s="68" t="str">
        <f>'[1]DATA CONSOLIDADA 2018-2025 '!$CB19-Hoja1!$BW19</f>
        <v>#REF!</v>
      </c>
      <c r="CE19" s="70">
        <v>0.0</v>
      </c>
      <c r="CF19" s="70">
        <v>0.0</v>
      </c>
      <c r="CG19" s="71">
        <v>0.0</v>
      </c>
      <c r="CH19" s="67" t="str">
        <f t="shared" si="10"/>
        <v>#REF!</v>
      </c>
      <c r="CI19" s="68" t="str">
        <f>'[1]DATA CONSOLIDADA 2018-2025 '!$CG19-Hoja1!$CB19</f>
        <v>#REF!</v>
      </c>
      <c r="CJ19" s="64" t="str">
        <f t="shared" si="11"/>
        <v>#REF!</v>
      </c>
      <c r="CK19" s="64">
        <v>0.0</v>
      </c>
      <c r="CL19" s="64">
        <v>0.0</v>
      </c>
      <c r="CM19" s="64">
        <v>0.0</v>
      </c>
      <c r="CN19" s="64" t="str">
        <f t="shared" si="12"/>
        <v>#REF!</v>
      </c>
      <c r="CO19" s="68" t="str">
        <f>'[1]DATA CONSOLIDADA 2018-2025 '!$CM19-Hoja1!$CG19</f>
        <v>#REF!</v>
      </c>
      <c r="CP19" s="70">
        <v>0.0</v>
      </c>
      <c r="CQ19" s="70">
        <v>0.0</v>
      </c>
      <c r="CR19" s="70">
        <v>0.0</v>
      </c>
      <c r="CS19" s="70">
        <v>0.0</v>
      </c>
      <c r="CT19" s="70">
        <v>0.0</v>
      </c>
      <c r="CU19" s="70">
        <v>0.0</v>
      </c>
      <c r="CV19" s="64">
        <v>0.0</v>
      </c>
      <c r="CW19" s="64">
        <v>0.0</v>
      </c>
      <c r="CX19" s="64">
        <v>0.0</v>
      </c>
      <c r="CY19" s="64">
        <v>0.0</v>
      </c>
      <c r="CZ19" s="64">
        <v>0.0</v>
      </c>
      <c r="DA19" s="64">
        <v>0.0</v>
      </c>
      <c r="DB19" s="64">
        <v>0.0</v>
      </c>
      <c r="DC19" s="72">
        <v>0.0</v>
      </c>
      <c r="DD19" s="72">
        <v>0.0</v>
      </c>
      <c r="DE19" s="72">
        <v>0.0</v>
      </c>
      <c r="DF19" s="72">
        <v>0.0</v>
      </c>
      <c r="DG19" s="72">
        <v>0.0</v>
      </c>
      <c r="DH19" s="72">
        <v>0.0</v>
      </c>
      <c r="DI19" s="73">
        <v>2.0600862074E10</v>
      </c>
      <c r="DJ19" s="74" t="s">
        <v>177</v>
      </c>
      <c r="DK19" s="74" t="s">
        <v>138</v>
      </c>
      <c r="DL19" s="75"/>
      <c r="DM19" s="7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</row>
    <row r="20" ht="47.25" hidden="1" customHeight="1">
      <c r="A20" s="55" t="s">
        <v>178</v>
      </c>
      <c r="B20" s="55" t="s">
        <v>179</v>
      </c>
      <c r="C20" s="55" t="s">
        <v>179</v>
      </c>
      <c r="D20" s="55" t="s">
        <v>167</v>
      </c>
      <c r="E20" s="55" t="s">
        <v>180</v>
      </c>
      <c r="F20" s="55" t="s">
        <v>167</v>
      </c>
      <c r="G20" s="55" t="s">
        <v>181</v>
      </c>
      <c r="H20" s="55" t="s">
        <v>181</v>
      </c>
      <c r="I20" s="56">
        <v>1.0</v>
      </c>
      <c r="J20" s="56"/>
      <c r="K20" s="56"/>
      <c r="L20" s="56"/>
      <c r="M20" s="56"/>
      <c r="N20" s="56"/>
      <c r="O20" s="56"/>
      <c r="P20" s="56"/>
      <c r="Q20" s="56" t="s">
        <v>131</v>
      </c>
      <c r="R20" s="58" t="str">
        <f t="shared" si="1"/>
        <v>2018</v>
      </c>
      <c r="S20" s="59" t="str">
        <f>SUM(Hoja1!$I20:$P20)</f>
        <v>1</v>
      </c>
      <c r="T20" s="59" t="str">
        <f>IF(OR(Hoja1!$J20=1,Hoja1!$K20=1,Hoja1!$L20=1,Hoja1!$M20=1,Hoja1!$N20=1,Hoja1!$O20=1,Hoja1!$P20=1),"SI","NO")</f>
        <v>NO</v>
      </c>
      <c r="U20" s="59" t="str">
        <f>IF(OR(Hoja1!$K20=1,Hoja1!$L20=1,Hoja1!$M20=1,Hoja1!$N20=1,Hoja1!$O20=1,Hoja1!$P20=1),"SI","NO")</f>
        <v>NO</v>
      </c>
      <c r="V20" s="60">
        <v>82.0</v>
      </c>
      <c r="W20" s="61">
        <v>0.0</v>
      </c>
      <c r="X20" s="61">
        <v>0.0</v>
      </c>
      <c r="Y20" s="60">
        <v>0.0</v>
      </c>
      <c r="Z20" s="61">
        <v>0.0</v>
      </c>
      <c r="AA20" s="61">
        <v>0.0</v>
      </c>
      <c r="AB20" s="60">
        <v>0.0</v>
      </c>
      <c r="AC20" s="61">
        <v>0.0</v>
      </c>
      <c r="AD20" s="61">
        <v>0.0</v>
      </c>
      <c r="AE20" s="60">
        <v>0.0</v>
      </c>
      <c r="AF20" s="61">
        <v>0.0</v>
      </c>
      <c r="AG20" s="61">
        <v>0.0</v>
      </c>
      <c r="AH20" s="60">
        <v>0.0</v>
      </c>
      <c r="AI20" s="61">
        <v>0.0</v>
      </c>
      <c r="AJ20" s="61">
        <v>0.0</v>
      </c>
      <c r="AK20" s="60">
        <v>0.0</v>
      </c>
      <c r="AL20" s="61">
        <v>0.0</v>
      </c>
      <c r="AM20" s="61">
        <v>0.0</v>
      </c>
      <c r="AN20" s="60">
        <v>0.0</v>
      </c>
      <c r="AO20" s="62">
        <v>0.0</v>
      </c>
      <c r="AP20" s="62">
        <v>0.0</v>
      </c>
      <c r="AQ20" s="60">
        <v>0.0</v>
      </c>
      <c r="AR20" s="60" t="str">
        <f>IF(Hoja1!$AQ20&gt;0,Hoja1!$AQ20,IF(Hoja1!$AN20&gt;0,Hoja1!$AN20,IF(Hoja1!$AK20&gt;0,Hoja1!$AK20,IF(Hoja1!$AH20&gt;0,Hoja1!$AH20,IF(Hoja1!$AE20&gt;0,Hoja1!$AE20,IF(Hoja1!$AB20&gt;0,Hoja1!$AB20,IF(Hoja1!$Y20&gt;0,Hoja1!$Y20,IF(Hoja1!$V20&gt;0,Hoja1!$V20," ---"))))))))</f>
        <v>82</v>
      </c>
      <c r="AS20" s="63">
        <v>0.0</v>
      </c>
      <c r="AT20" s="63">
        <v>0.0</v>
      </c>
      <c r="AU20" s="63">
        <v>0.0</v>
      </c>
      <c r="AV20" s="63">
        <v>0.0</v>
      </c>
      <c r="AW20" s="63">
        <v>0.0</v>
      </c>
      <c r="AX20" s="63">
        <v>0.0</v>
      </c>
      <c r="AY20" s="63">
        <v>0.0</v>
      </c>
      <c r="AZ20" s="63">
        <v>0.0</v>
      </c>
      <c r="BA20" s="63">
        <v>0.0</v>
      </c>
      <c r="BB20" s="63">
        <v>0.0</v>
      </c>
      <c r="BC20" s="63">
        <v>0.0</v>
      </c>
      <c r="BD20" s="63">
        <v>0.0</v>
      </c>
      <c r="BE20" s="64">
        <v>0.0</v>
      </c>
      <c r="BF20" s="69">
        <v>0.0</v>
      </c>
      <c r="BG20" s="69">
        <v>0.0</v>
      </c>
      <c r="BH20" s="64">
        <v>0.0</v>
      </c>
      <c r="BI20" s="67" t="str">
        <f t="shared" si="2"/>
        <v>#REF!</v>
      </c>
      <c r="BJ20" s="68" t="str">
        <f t="shared" si="3"/>
        <v>#REF!</v>
      </c>
      <c r="BK20" s="69">
        <v>0.0</v>
      </c>
      <c r="BL20" s="69">
        <v>0.0</v>
      </c>
      <c r="BM20" s="64">
        <v>0.0</v>
      </c>
      <c r="BN20" s="67" t="str">
        <f t="shared" si="4"/>
        <v>#REF!</v>
      </c>
      <c r="BO20" s="68" t="str">
        <f t="shared" si="5"/>
        <v>#REF!</v>
      </c>
      <c r="BP20" s="65">
        <v>0.0</v>
      </c>
      <c r="BQ20" s="65">
        <v>0.0</v>
      </c>
      <c r="BR20" s="66">
        <v>0.0</v>
      </c>
      <c r="BS20" s="67" t="str">
        <f t="shared" si="6"/>
        <v>#REF!</v>
      </c>
      <c r="BT20" s="68" t="str">
        <f>'[1]DATA CONSOLIDADA 2018-2025 '!$BR20-Hoja1!$BO20</f>
        <v>#REF!</v>
      </c>
      <c r="BU20" s="65">
        <v>0.0</v>
      </c>
      <c r="BV20" s="65">
        <v>0.0</v>
      </c>
      <c r="BW20" s="66">
        <v>0.0</v>
      </c>
      <c r="BX20" s="67" t="str">
        <f t="shared" si="7"/>
        <v>#REF!</v>
      </c>
      <c r="BY20" s="68" t="str">
        <f t="shared" si="8"/>
        <v>#REF!</v>
      </c>
      <c r="BZ20" s="65">
        <v>0.0</v>
      </c>
      <c r="CA20" s="65">
        <v>0.0</v>
      </c>
      <c r="CB20" s="66">
        <v>0.0</v>
      </c>
      <c r="CC20" s="67" t="str">
        <f t="shared" si="9"/>
        <v>#REF!</v>
      </c>
      <c r="CD20" s="68" t="str">
        <f>'[1]DATA CONSOLIDADA 2018-2025 '!$CB20-Hoja1!$BW20</f>
        <v>#REF!</v>
      </c>
      <c r="CE20" s="70">
        <v>0.0</v>
      </c>
      <c r="CF20" s="70">
        <v>0.0</v>
      </c>
      <c r="CG20" s="71">
        <v>0.0</v>
      </c>
      <c r="CH20" s="67" t="str">
        <f t="shared" si="10"/>
        <v>#REF!</v>
      </c>
      <c r="CI20" s="68" t="str">
        <f>'[1]DATA CONSOLIDADA 2018-2025 '!$CG20-Hoja1!$CB20</f>
        <v>#REF!</v>
      </c>
      <c r="CJ20" s="64" t="str">
        <f t="shared" si="11"/>
        <v>#REF!</v>
      </c>
      <c r="CK20" s="64">
        <v>0.0</v>
      </c>
      <c r="CL20" s="64">
        <v>0.0</v>
      </c>
      <c r="CM20" s="64">
        <v>0.0</v>
      </c>
      <c r="CN20" s="64" t="str">
        <f t="shared" si="12"/>
        <v>#REF!</v>
      </c>
      <c r="CO20" s="68" t="str">
        <f>'[1]DATA CONSOLIDADA 2018-2025 '!$CM20-Hoja1!$CG20</f>
        <v>#REF!</v>
      </c>
      <c r="CP20" s="70">
        <v>0.0</v>
      </c>
      <c r="CQ20" s="70">
        <v>0.0</v>
      </c>
      <c r="CR20" s="70">
        <v>0.0</v>
      </c>
      <c r="CS20" s="70">
        <v>0.0</v>
      </c>
      <c r="CT20" s="70">
        <v>0.0</v>
      </c>
      <c r="CU20" s="70">
        <v>0.0</v>
      </c>
      <c r="CV20" s="64">
        <v>0.0</v>
      </c>
      <c r="CW20" s="64">
        <v>0.0</v>
      </c>
      <c r="CX20" s="64">
        <v>0.0</v>
      </c>
      <c r="CY20" s="64">
        <v>0.0</v>
      </c>
      <c r="CZ20" s="64">
        <v>0.0</v>
      </c>
      <c r="DA20" s="64">
        <v>0.0</v>
      </c>
      <c r="DB20" s="64">
        <v>0.0</v>
      </c>
      <c r="DC20" s="72">
        <v>0.0</v>
      </c>
      <c r="DD20" s="72">
        <v>0.0</v>
      </c>
      <c r="DE20" s="72">
        <v>0.0</v>
      </c>
      <c r="DF20" s="72">
        <v>0.0</v>
      </c>
      <c r="DG20" s="72">
        <v>0.0</v>
      </c>
      <c r="DH20" s="72">
        <v>0.0</v>
      </c>
      <c r="DI20" s="73">
        <v>2.0602544495E10</v>
      </c>
      <c r="DJ20" s="74" t="s">
        <v>182</v>
      </c>
      <c r="DK20" s="74" t="s">
        <v>138</v>
      </c>
      <c r="DL20" s="75"/>
      <c r="DM20" s="7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5"/>
    </row>
    <row r="21" ht="47.25" hidden="1" customHeight="1">
      <c r="A21" s="55" t="s">
        <v>183</v>
      </c>
      <c r="B21" s="55" t="s">
        <v>184</v>
      </c>
      <c r="C21" s="55" t="s">
        <v>184</v>
      </c>
      <c r="D21" s="55" t="s">
        <v>167</v>
      </c>
      <c r="E21" s="55" t="s">
        <v>185</v>
      </c>
      <c r="F21" s="55" t="s">
        <v>167</v>
      </c>
      <c r="G21" s="55" t="s">
        <v>186</v>
      </c>
      <c r="H21" s="55" t="s">
        <v>187</v>
      </c>
      <c r="I21" s="56">
        <v>1.0</v>
      </c>
      <c r="J21" s="56"/>
      <c r="K21" s="56"/>
      <c r="L21" s="56"/>
      <c r="M21" s="56"/>
      <c r="N21" s="56"/>
      <c r="O21" s="56"/>
      <c r="P21" s="56"/>
      <c r="Q21" s="56" t="s">
        <v>131</v>
      </c>
      <c r="R21" s="58" t="str">
        <f t="shared" si="1"/>
        <v>2018</v>
      </c>
      <c r="S21" s="59" t="str">
        <f>SUM(Hoja1!$I21:$P21)</f>
        <v>1</v>
      </c>
      <c r="T21" s="59" t="str">
        <f>IF(OR(Hoja1!$J21=1,Hoja1!$K21=1,Hoja1!$L21=1,Hoja1!$M21=1,Hoja1!$N21=1,Hoja1!$O21=1,Hoja1!$P21=1),"SI","NO")</f>
        <v>NO</v>
      </c>
      <c r="U21" s="59" t="str">
        <f>IF(OR(Hoja1!$K21=1,Hoja1!$L21=1,Hoja1!$M21=1,Hoja1!$N21=1,Hoja1!$O21=1,Hoja1!$P21=1),"SI","NO")</f>
        <v>NO</v>
      </c>
      <c r="V21" s="60">
        <v>39.0</v>
      </c>
      <c r="W21" s="61">
        <v>0.0</v>
      </c>
      <c r="X21" s="61">
        <v>0.0</v>
      </c>
      <c r="Y21" s="60">
        <v>0.0</v>
      </c>
      <c r="Z21" s="61">
        <v>0.0</v>
      </c>
      <c r="AA21" s="61">
        <v>0.0</v>
      </c>
      <c r="AB21" s="60">
        <v>0.0</v>
      </c>
      <c r="AC21" s="61">
        <v>0.0</v>
      </c>
      <c r="AD21" s="61">
        <v>0.0</v>
      </c>
      <c r="AE21" s="60">
        <v>0.0</v>
      </c>
      <c r="AF21" s="61">
        <v>0.0</v>
      </c>
      <c r="AG21" s="61">
        <v>0.0</v>
      </c>
      <c r="AH21" s="60">
        <v>0.0</v>
      </c>
      <c r="AI21" s="61">
        <v>0.0</v>
      </c>
      <c r="AJ21" s="61">
        <v>0.0</v>
      </c>
      <c r="AK21" s="60">
        <v>0.0</v>
      </c>
      <c r="AL21" s="61">
        <v>0.0</v>
      </c>
      <c r="AM21" s="61">
        <v>0.0</v>
      </c>
      <c r="AN21" s="60">
        <v>0.0</v>
      </c>
      <c r="AO21" s="62">
        <v>0.0</v>
      </c>
      <c r="AP21" s="62">
        <v>0.0</v>
      </c>
      <c r="AQ21" s="60">
        <v>0.0</v>
      </c>
      <c r="AR21" s="60" t="str">
        <f>IF(Hoja1!$AQ21&gt;0,Hoja1!$AQ21,IF(Hoja1!$AN21&gt;0,Hoja1!$AN21,IF(Hoja1!$AK21&gt;0,Hoja1!$AK21,IF(Hoja1!$AH21&gt;0,Hoja1!$AH21,IF(Hoja1!$AE21&gt;0,Hoja1!$AE21,IF(Hoja1!$AB21&gt;0,Hoja1!$AB21,IF(Hoja1!$Y21&gt;0,Hoja1!$Y21,IF(Hoja1!$V21&gt;0,Hoja1!$V21," ---"))))))))</f>
        <v>39</v>
      </c>
      <c r="AS21" s="63">
        <v>0.0</v>
      </c>
      <c r="AT21" s="63">
        <v>0.0</v>
      </c>
      <c r="AU21" s="63">
        <v>0.0</v>
      </c>
      <c r="AV21" s="63">
        <v>0.0</v>
      </c>
      <c r="AW21" s="63">
        <v>0.0</v>
      </c>
      <c r="AX21" s="63">
        <v>0.0</v>
      </c>
      <c r="AY21" s="63">
        <v>0.0</v>
      </c>
      <c r="AZ21" s="63">
        <v>0.0</v>
      </c>
      <c r="BA21" s="63">
        <v>0.0</v>
      </c>
      <c r="BB21" s="63">
        <v>0.0</v>
      </c>
      <c r="BC21" s="63">
        <v>0.0</v>
      </c>
      <c r="BD21" s="63">
        <v>0.0</v>
      </c>
      <c r="BE21" s="64">
        <v>0.0</v>
      </c>
      <c r="BF21" s="69">
        <v>0.0</v>
      </c>
      <c r="BG21" s="69">
        <v>0.0</v>
      </c>
      <c r="BH21" s="64">
        <v>0.0</v>
      </c>
      <c r="BI21" s="67" t="str">
        <f t="shared" si="2"/>
        <v>#REF!</v>
      </c>
      <c r="BJ21" s="68" t="str">
        <f t="shared" si="3"/>
        <v>#REF!</v>
      </c>
      <c r="BK21" s="69">
        <v>0.0</v>
      </c>
      <c r="BL21" s="69">
        <v>0.0</v>
      </c>
      <c r="BM21" s="64">
        <v>0.0</v>
      </c>
      <c r="BN21" s="67" t="str">
        <f t="shared" si="4"/>
        <v>#REF!</v>
      </c>
      <c r="BO21" s="68" t="str">
        <f t="shared" si="5"/>
        <v>#REF!</v>
      </c>
      <c r="BP21" s="65">
        <v>0.0</v>
      </c>
      <c r="BQ21" s="65">
        <v>0.0</v>
      </c>
      <c r="BR21" s="66">
        <v>0.0</v>
      </c>
      <c r="BS21" s="67" t="str">
        <f t="shared" si="6"/>
        <v>#REF!</v>
      </c>
      <c r="BT21" s="68" t="str">
        <f>'[1]DATA CONSOLIDADA 2018-2025 '!$BR21-Hoja1!$BO21</f>
        <v>#REF!</v>
      </c>
      <c r="BU21" s="65">
        <v>0.0</v>
      </c>
      <c r="BV21" s="65">
        <v>0.0</v>
      </c>
      <c r="BW21" s="66">
        <v>0.0</v>
      </c>
      <c r="BX21" s="67" t="str">
        <f t="shared" si="7"/>
        <v>#REF!</v>
      </c>
      <c r="BY21" s="68" t="str">
        <f t="shared" si="8"/>
        <v>#REF!</v>
      </c>
      <c r="BZ21" s="65">
        <v>0.0</v>
      </c>
      <c r="CA21" s="65">
        <v>0.0</v>
      </c>
      <c r="CB21" s="66">
        <v>0.0</v>
      </c>
      <c r="CC21" s="67" t="str">
        <f t="shared" si="9"/>
        <v>#REF!</v>
      </c>
      <c r="CD21" s="68" t="str">
        <f>'[1]DATA CONSOLIDADA 2018-2025 '!$CB21-Hoja1!$BW21</f>
        <v>#REF!</v>
      </c>
      <c r="CE21" s="70">
        <v>0.0</v>
      </c>
      <c r="CF21" s="70">
        <v>0.0</v>
      </c>
      <c r="CG21" s="71">
        <v>0.0</v>
      </c>
      <c r="CH21" s="67" t="str">
        <f t="shared" si="10"/>
        <v>#REF!</v>
      </c>
      <c r="CI21" s="68" t="str">
        <f>'[1]DATA CONSOLIDADA 2018-2025 '!$CG21-Hoja1!$CB21</f>
        <v>#REF!</v>
      </c>
      <c r="CJ21" s="64" t="str">
        <f t="shared" si="11"/>
        <v>#REF!</v>
      </c>
      <c r="CK21" s="64">
        <v>0.0</v>
      </c>
      <c r="CL21" s="64">
        <v>0.0</v>
      </c>
      <c r="CM21" s="64">
        <v>0.0</v>
      </c>
      <c r="CN21" s="64" t="str">
        <f t="shared" si="12"/>
        <v>#REF!</v>
      </c>
      <c r="CO21" s="68" t="str">
        <f>'[1]DATA CONSOLIDADA 2018-2025 '!$CM21-Hoja1!$CG21</f>
        <v>#REF!</v>
      </c>
      <c r="CP21" s="70">
        <v>0.0</v>
      </c>
      <c r="CQ21" s="70">
        <v>0.0</v>
      </c>
      <c r="CR21" s="70">
        <v>0.0</v>
      </c>
      <c r="CS21" s="70">
        <v>0.0</v>
      </c>
      <c r="CT21" s="70">
        <v>0.0</v>
      </c>
      <c r="CU21" s="70">
        <v>0.0</v>
      </c>
      <c r="CV21" s="64">
        <v>0.0</v>
      </c>
      <c r="CW21" s="64">
        <v>0.0</v>
      </c>
      <c r="CX21" s="64">
        <v>0.0</v>
      </c>
      <c r="CY21" s="64">
        <v>0.0</v>
      </c>
      <c r="CZ21" s="64">
        <v>0.0</v>
      </c>
      <c r="DA21" s="64">
        <v>0.0</v>
      </c>
      <c r="DB21" s="64">
        <v>0.0</v>
      </c>
      <c r="DC21" s="72">
        <v>0.0</v>
      </c>
      <c r="DD21" s="72">
        <v>0.0</v>
      </c>
      <c r="DE21" s="72">
        <v>0.0</v>
      </c>
      <c r="DF21" s="72">
        <v>0.0</v>
      </c>
      <c r="DG21" s="72">
        <v>0.0</v>
      </c>
      <c r="DH21" s="72">
        <v>0.0</v>
      </c>
      <c r="DI21" s="73">
        <v>2.0534142146E10</v>
      </c>
      <c r="DJ21" s="74" t="s">
        <v>183</v>
      </c>
      <c r="DK21" s="74" t="s">
        <v>138</v>
      </c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</row>
    <row r="22" ht="47.25" hidden="1" customHeight="1">
      <c r="A22" s="55" t="s">
        <v>188</v>
      </c>
      <c r="B22" s="55" t="s">
        <v>189</v>
      </c>
      <c r="C22" s="55" t="s">
        <v>189</v>
      </c>
      <c r="D22" s="55" t="s">
        <v>167</v>
      </c>
      <c r="E22" s="55" t="s">
        <v>190</v>
      </c>
      <c r="F22" s="55" t="s">
        <v>167</v>
      </c>
      <c r="G22" s="55" t="s">
        <v>191</v>
      </c>
      <c r="H22" s="55" t="s">
        <v>192</v>
      </c>
      <c r="I22" s="56">
        <v>1.0</v>
      </c>
      <c r="J22" s="56"/>
      <c r="K22" s="56"/>
      <c r="L22" s="56"/>
      <c r="M22" s="56"/>
      <c r="N22" s="56"/>
      <c r="O22" s="56"/>
      <c r="P22" s="56"/>
      <c r="Q22" s="56" t="s">
        <v>131</v>
      </c>
      <c r="R22" s="58" t="str">
        <f t="shared" si="1"/>
        <v>2018</v>
      </c>
      <c r="S22" s="59" t="str">
        <f>SUM(Hoja1!$I22:$P22)</f>
        <v>1</v>
      </c>
      <c r="T22" s="59" t="str">
        <f>IF(OR(Hoja1!$J22=1,Hoja1!$K22=1,Hoja1!$L22=1,Hoja1!$M22=1,Hoja1!$N22=1,Hoja1!$O22=1,Hoja1!$P22=1),"SI","NO")</f>
        <v>NO</v>
      </c>
      <c r="U22" s="59" t="str">
        <f>IF(OR(Hoja1!$K22=1,Hoja1!$L22=1,Hoja1!$M22=1,Hoja1!$N22=1,Hoja1!$O22=1,Hoja1!$P22=1),"SI","NO")</f>
        <v>NO</v>
      </c>
      <c r="V22" s="60">
        <v>4.0</v>
      </c>
      <c r="W22" s="61">
        <v>0.0</v>
      </c>
      <c r="X22" s="61">
        <v>0.0</v>
      </c>
      <c r="Y22" s="60">
        <v>0.0</v>
      </c>
      <c r="Z22" s="61">
        <v>0.0</v>
      </c>
      <c r="AA22" s="61">
        <v>0.0</v>
      </c>
      <c r="AB22" s="60">
        <v>0.0</v>
      </c>
      <c r="AC22" s="61">
        <v>0.0</v>
      </c>
      <c r="AD22" s="61">
        <v>0.0</v>
      </c>
      <c r="AE22" s="60">
        <v>0.0</v>
      </c>
      <c r="AF22" s="61">
        <v>0.0</v>
      </c>
      <c r="AG22" s="61">
        <v>0.0</v>
      </c>
      <c r="AH22" s="60">
        <v>0.0</v>
      </c>
      <c r="AI22" s="61">
        <v>0.0</v>
      </c>
      <c r="AJ22" s="61">
        <v>0.0</v>
      </c>
      <c r="AK22" s="60">
        <v>0.0</v>
      </c>
      <c r="AL22" s="61">
        <v>0.0</v>
      </c>
      <c r="AM22" s="61">
        <v>0.0</v>
      </c>
      <c r="AN22" s="60">
        <v>0.0</v>
      </c>
      <c r="AO22" s="62">
        <v>0.0</v>
      </c>
      <c r="AP22" s="62">
        <v>0.0</v>
      </c>
      <c r="AQ22" s="60">
        <v>0.0</v>
      </c>
      <c r="AR22" s="60" t="str">
        <f>IF(Hoja1!$AQ22&gt;0,Hoja1!$AQ22,IF(Hoja1!$AN22&gt;0,Hoja1!$AN22,IF(Hoja1!$AK22&gt;0,Hoja1!$AK22,IF(Hoja1!$AH22&gt;0,Hoja1!$AH22,IF(Hoja1!$AE22&gt;0,Hoja1!$AE22,IF(Hoja1!$AB22&gt;0,Hoja1!$AB22,IF(Hoja1!$Y22&gt;0,Hoja1!$Y22,IF(Hoja1!$V22&gt;0,Hoja1!$V22," ---"))))))))</f>
        <v>4</v>
      </c>
      <c r="AS22" s="63">
        <v>0.0</v>
      </c>
      <c r="AT22" s="63">
        <v>0.0</v>
      </c>
      <c r="AU22" s="63">
        <v>0.0</v>
      </c>
      <c r="AV22" s="63">
        <v>0.0</v>
      </c>
      <c r="AW22" s="63">
        <v>0.0</v>
      </c>
      <c r="AX22" s="63">
        <v>0.0</v>
      </c>
      <c r="AY22" s="63">
        <v>0.0</v>
      </c>
      <c r="AZ22" s="63">
        <v>0.0</v>
      </c>
      <c r="BA22" s="63">
        <v>0.0</v>
      </c>
      <c r="BB22" s="63">
        <v>0.0</v>
      </c>
      <c r="BC22" s="63">
        <v>0.0</v>
      </c>
      <c r="BD22" s="63">
        <v>0.0</v>
      </c>
      <c r="BE22" s="64">
        <v>0.0</v>
      </c>
      <c r="BF22" s="69">
        <v>0.0</v>
      </c>
      <c r="BG22" s="69">
        <v>0.0</v>
      </c>
      <c r="BH22" s="64">
        <v>0.0</v>
      </c>
      <c r="BI22" s="67" t="str">
        <f t="shared" si="2"/>
        <v>#REF!</v>
      </c>
      <c r="BJ22" s="68" t="str">
        <f t="shared" si="3"/>
        <v>#REF!</v>
      </c>
      <c r="BK22" s="69">
        <v>0.0</v>
      </c>
      <c r="BL22" s="69">
        <v>0.0</v>
      </c>
      <c r="BM22" s="64">
        <v>0.0</v>
      </c>
      <c r="BN22" s="67" t="str">
        <f t="shared" si="4"/>
        <v>#REF!</v>
      </c>
      <c r="BO22" s="68" t="str">
        <f t="shared" si="5"/>
        <v>#REF!</v>
      </c>
      <c r="BP22" s="65">
        <v>0.0</v>
      </c>
      <c r="BQ22" s="65">
        <v>0.0</v>
      </c>
      <c r="BR22" s="66">
        <v>0.0</v>
      </c>
      <c r="BS22" s="67" t="str">
        <f t="shared" si="6"/>
        <v>#REF!</v>
      </c>
      <c r="BT22" s="68" t="str">
        <f>'[1]DATA CONSOLIDADA 2018-2025 '!$BR22-Hoja1!$BO22</f>
        <v>#REF!</v>
      </c>
      <c r="BU22" s="65">
        <v>0.0</v>
      </c>
      <c r="BV22" s="65">
        <v>0.0</v>
      </c>
      <c r="BW22" s="66">
        <v>0.0</v>
      </c>
      <c r="BX22" s="67" t="str">
        <f t="shared" si="7"/>
        <v>#REF!</v>
      </c>
      <c r="BY22" s="68" t="str">
        <f t="shared" si="8"/>
        <v>#REF!</v>
      </c>
      <c r="BZ22" s="65">
        <v>0.0</v>
      </c>
      <c r="CA22" s="65">
        <v>0.0</v>
      </c>
      <c r="CB22" s="66">
        <v>0.0</v>
      </c>
      <c r="CC22" s="67" t="str">
        <f t="shared" si="9"/>
        <v>#REF!</v>
      </c>
      <c r="CD22" s="68" t="str">
        <f>'[1]DATA CONSOLIDADA 2018-2025 '!$CB22-Hoja1!$BW22</f>
        <v>#REF!</v>
      </c>
      <c r="CE22" s="70">
        <v>0.0</v>
      </c>
      <c r="CF22" s="70">
        <v>0.0</v>
      </c>
      <c r="CG22" s="71">
        <v>0.0</v>
      </c>
      <c r="CH22" s="67" t="str">
        <f t="shared" si="10"/>
        <v>#REF!</v>
      </c>
      <c r="CI22" s="68" t="str">
        <f>'[1]DATA CONSOLIDADA 2018-2025 '!$CG22-Hoja1!$CB22</f>
        <v>#REF!</v>
      </c>
      <c r="CJ22" s="64" t="str">
        <f t="shared" si="11"/>
        <v>#REF!</v>
      </c>
      <c r="CK22" s="64">
        <v>0.0</v>
      </c>
      <c r="CL22" s="64">
        <v>0.0</v>
      </c>
      <c r="CM22" s="64">
        <v>0.0</v>
      </c>
      <c r="CN22" s="64" t="str">
        <f t="shared" si="12"/>
        <v>#REF!</v>
      </c>
      <c r="CO22" s="68" t="str">
        <f>'[1]DATA CONSOLIDADA 2018-2025 '!$CM22-Hoja1!$CG22</f>
        <v>#REF!</v>
      </c>
      <c r="CP22" s="70">
        <v>0.0</v>
      </c>
      <c r="CQ22" s="70">
        <v>0.0</v>
      </c>
      <c r="CR22" s="70">
        <v>0.0</v>
      </c>
      <c r="CS22" s="70">
        <v>0.0</v>
      </c>
      <c r="CT22" s="70">
        <v>0.0</v>
      </c>
      <c r="CU22" s="70">
        <v>0.0</v>
      </c>
      <c r="CV22" s="64">
        <v>0.0</v>
      </c>
      <c r="CW22" s="64">
        <v>0.0</v>
      </c>
      <c r="CX22" s="64">
        <v>0.0</v>
      </c>
      <c r="CY22" s="64">
        <v>0.0</v>
      </c>
      <c r="CZ22" s="64">
        <v>0.0</v>
      </c>
      <c r="DA22" s="64">
        <v>0.0</v>
      </c>
      <c r="DB22" s="64">
        <v>0.0</v>
      </c>
      <c r="DC22" s="72">
        <v>0.0</v>
      </c>
      <c r="DD22" s="72">
        <v>0.0</v>
      </c>
      <c r="DE22" s="72">
        <v>0.0</v>
      </c>
      <c r="DF22" s="72">
        <v>0.0</v>
      </c>
      <c r="DG22" s="72">
        <v>0.0</v>
      </c>
      <c r="DH22" s="72">
        <v>0.0</v>
      </c>
      <c r="DI22" s="73" t="s">
        <v>193</v>
      </c>
      <c r="DJ22" s="74" t="s">
        <v>194</v>
      </c>
      <c r="DK22" s="74" t="s">
        <v>138</v>
      </c>
      <c r="DL22" s="75"/>
      <c r="DM22" s="7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</row>
    <row r="23" ht="47.25" hidden="1" customHeight="1">
      <c r="A23" s="55" t="s">
        <v>195</v>
      </c>
      <c r="B23" s="55" t="s">
        <v>196</v>
      </c>
      <c r="C23" s="55" t="s">
        <v>196</v>
      </c>
      <c r="D23" s="55" t="s">
        <v>167</v>
      </c>
      <c r="E23" s="55" t="s">
        <v>190</v>
      </c>
      <c r="F23" s="55" t="s">
        <v>167</v>
      </c>
      <c r="G23" s="55" t="s">
        <v>191</v>
      </c>
      <c r="H23" s="55" t="s">
        <v>192</v>
      </c>
      <c r="I23" s="56">
        <v>1.0</v>
      </c>
      <c r="J23" s="56">
        <v>1.0</v>
      </c>
      <c r="K23" s="56">
        <v>1.0</v>
      </c>
      <c r="L23" s="56">
        <v>1.0</v>
      </c>
      <c r="M23" s="56">
        <v>1.0</v>
      </c>
      <c r="N23" s="56">
        <v>1.0</v>
      </c>
      <c r="O23" s="56"/>
      <c r="P23" s="56"/>
      <c r="Q23" s="56" t="s">
        <v>131</v>
      </c>
      <c r="R23" s="58" t="str">
        <f t="shared" si="1"/>
        <v>2018-2019-2020-2021-2022-2023</v>
      </c>
      <c r="S23" s="59" t="str">
        <f>SUM(Hoja1!$I23:$P23)</f>
        <v>6</v>
      </c>
      <c r="T23" s="59" t="str">
        <f>IF(OR(Hoja1!$J23=1,Hoja1!$K23=1,Hoja1!$L23=1,Hoja1!$M23=1,Hoja1!$N23=1,Hoja1!$O23=1,Hoja1!$P23=1),"SI","NO")</f>
        <v>SI</v>
      </c>
      <c r="U23" s="59" t="str">
        <f>IF(OR(Hoja1!$K23=1,Hoja1!$L23=1,Hoja1!$M23=1,Hoja1!$N23=1,Hoja1!$O23=1,Hoja1!$P23=1),"SI","NO")</f>
        <v>SI</v>
      </c>
      <c r="V23" s="60">
        <v>521.0</v>
      </c>
      <c r="W23" s="61">
        <v>79.0</v>
      </c>
      <c r="X23" s="61">
        <v>17.0</v>
      </c>
      <c r="Y23" s="60">
        <v>96.0</v>
      </c>
      <c r="Z23" s="61">
        <v>213.0</v>
      </c>
      <c r="AA23" s="61">
        <v>60.0</v>
      </c>
      <c r="AB23" s="60">
        <v>273.0</v>
      </c>
      <c r="AC23" s="61">
        <v>215.0</v>
      </c>
      <c r="AD23" s="61">
        <v>58.0</v>
      </c>
      <c r="AE23" s="60">
        <v>273.0</v>
      </c>
      <c r="AF23" s="61">
        <v>59.0</v>
      </c>
      <c r="AG23" s="61">
        <v>18.0</v>
      </c>
      <c r="AH23" s="60">
        <v>77.0</v>
      </c>
      <c r="AI23" s="61">
        <v>59.0</v>
      </c>
      <c r="AJ23" s="61">
        <v>18.0</v>
      </c>
      <c r="AK23" s="60">
        <v>77.0</v>
      </c>
      <c r="AL23" s="61">
        <v>0.0</v>
      </c>
      <c r="AM23" s="61">
        <v>0.0</v>
      </c>
      <c r="AN23" s="60">
        <v>0.0</v>
      </c>
      <c r="AO23" s="62">
        <v>0.0</v>
      </c>
      <c r="AP23" s="62">
        <v>0.0</v>
      </c>
      <c r="AQ23" s="60">
        <v>0.0</v>
      </c>
      <c r="AR23" s="60" t="str">
        <f>IF(Hoja1!$AQ23&gt;0,Hoja1!$AQ23,IF(Hoja1!$AN23&gt;0,Hoja1!$AN23,IF(Hoja1!$AK23&gt;0,Hoja1!$AK23,IF(Hoja1!$AH23&gt;0,Hoja1!$AH23,IF(Hoja1!$AE23&gt;0,Hoja1!$AE23,IF(Hoja1!$AB23&gt;0,Hoja1!$AB23,IF(Hoja1!$Y23&gt;0,Hoja1!$Y23,IF(Hoja1!$V23&gt;0,Hoja1!$V23," ---"))))))))</f>
        <v>77</v>
      </c>
      <c r="AS23" s="63">
        <v>18.0</v>
      </c>
      <c r="AT23" s="63">
        <v>6.0</v>
      </c>
      <c r="AU23" s="63">
        <v>36.0</v>
      </c>
      <c r="AV23" s="63">
        <v>7.0</v>
      </c>
      <c r="AW23" s="63">
        <v>25.0</v>
      </c>
      <c r="AX23" s="63">
        <v>6.0</v>
      </c>
      <c r="AY23" s="63">
        <v>36.0</v>
      </c>
      <c r="AZ23" s="63">
        <v>2.0</v>
      </c>
      <c r="BA23" s="63">
        <v>0.0</v>
      </c>
      <c r="BB23" s="63">
        <v>0.0</v>
      </c>
      <c r="BC23" s="63">
        <v>0.0</v>
      </c>
      <c r="BD23" s="63">
        <v>0.0</v>
      </c>
      <c r="BE23" s="64">
        <v>0.0</v>
      </c>
      <c r="BF23" s="65">
        <v>11802.35</v>
      </c>
      <c r="BG23" s="65">
        <v>0.0</v>
      </c>
      <c r="BH23" s="66">
        <v>11802.35</v>
      </c>
      <c r="BI23" s="67" t="str">
        <f t="shared" si="2"/>
        <v>#REF!</v>
      </c>
      <c r="BJ23" s="68" t="str">
        <f t="shared" si="3"/>
        <v>#REF!</v>
      </c>
      <c r="BK23" s="65">
        <v>109219.27</v>
      </c>
      <c r="BL23" s="65">
        <v>0.0</v>
      </c>
      <c r="BM23" s="66">
        <v>109219.27</v>
      </c>
      <c r="BN23" s="67" t="str">
        <f t="shared" si="4"/>
        <v>#REF!</v>
      </c>
      <c r="BO23" s="68" t="str">
        <f t="shared" si="5"/>
        <v>#REF!</v>
      </c>
      <c r="BP23" s="65">
        <v>131381.75</v>
      </c>
      <c r="BQ23" s="65">
        <v>0.0</v>
      </c>
      <c r="BR23" s="66">
        <v>131381.75</v>
      </c>
      <c r="BS23" s="67" t="str">
        <f t="shared" si="6"/>
        <v>#REF!</v>
      </c>
      <c r="BT23" s="68" t="str">
        <f>'[1]DATA CONSOLIDADA 2018-2025 '!$BR23-Hoja1!$BO23</f>
        <v>#REF!</v>
      </c>
      <c r="BU23" s="65">
        <v>129764.41</v>
      </c>
      <c r="BV23" s="65">
        <v>0.0</v>
      </c>
      <c r="BW23" s="66">
        <v>129764.41</v>
      </c>
      <c r="BX23" s="67" t="str">
        <f t="shared" si="7"/>
        <v>#REF!</v>
      </c>
      <c r="BY23" s="68" t="str">
        <f t="shared" si="8"/>
        <v>#REF!</v>
      </c>
      <c r="BZ23" s="65">
        <v>141145.57</v>
      </c>
      <c r="CA23" s="65">
        <v>0.0</v>
      </c>
      <c r="CB23" s="66">
        <v>141145.57</v>
      </c>
      <c r="CC23" s="67" t="str">
        <f t="shared" si="9"/>
        <v>#REF!</v>
      </c>
      <c r="CD23" s="68" t="str">
        <f>'[1]DATA CONSOLIDADA 2018-2025 '!$CB23-Hoja1!$BW23</f>
        <v>#REF!</v>
      </c>
      <c r="CE23" s="70">
        <v>0.0</v>
      </c>
      <c r="CF23" s="70">
        <v>0.0</v>
      </c>
      <c r="CG23" s="71">
        <v>0.0</v>
      </c>
      <c r="CH23" s="67" t="str">
        <f t="shared" si="10"/>
        <v>#REF!</v>
      </c>
      <c r="CI23" s="68" t="str">
        <f>'[1]DATA CONSOLIDADA 2018-2025 '!$CG23-Hoja1!$CB23</f>
        <v>#REF!</v>
      </c>
      <c r="CJ23" s="64" t="str">
        <f t="shared" si="11"/>
        <v>#REF!</v>
      </c>
      <c r="CK23" s="64">
        <v>0.0</v>
      </c>
      <c r="CL23" s="64">
        <v>0.0</v>
      </c>
      <c r="CM23" s="64">
        <v>0.0</v>
      </c>
      <c r="CN23" s="64" t="str">
        <f t="shared" si="12"/>
        <v>#REF!</v>
      </c>
      <c r="CO23" s="68" t="str">
        <f>'[1]DATA CONSOLIDADA 2018-2025 '!$CM23-Hoja1!$CG23</f>
        <v>#REF!</v>
      </c>
      <c r="CP23" s="70">
        <v>0.0</v>
      </c>
      <c r="CQ23" s="70">
        <v>0.0</v>
      </c>
      <c r="CR23" s="70">
        <v>0.0</v>
      </c>
      <c r="CS23" s="70">
        <v>141147.00106759</v>
      </c>
      <c r="CT23" s="70">
        <v>0.0</v>
      </c>
      <c r="CU23" s="70">
        <v>0.0</v>
      </c>
      <c r="CV23" s="64">
        <v>141147.00106759</v>
      </c>
      <c r="CW23" s="64">
        <v>0.0</v>
      </c>
      <c r="CX23" s="64">
        <v>0.0</v>
      </c>
      <c r="CY23" s="64">
        <v>0.0</v>
      </c>
      <c r="CZ23" s="64">
        <v>0.0</v>
      </c>
      <c r="DA23" s="64">
        <v>0.0</v>
      </c>
      <c r="DB23" s="64">
        <v>0.0</v>
      </c>
      <c r="DC23" s="72">
        <v>0.0</v>
      </c>
      <c r="DD23" s="72">
        <v>0.0</v>
      </c>
      <c r="DE23" s="72">
        <v>0.0</v>
      </c>
      <c r="DF23" s="72">
        <v>0.0</v>
      </c>
      <c r="DG23" s="72">
        <v>0.0</v>
      </c>
      <c r="DH23" s="72">
        <v>0.0</v>
      </c>
      <c r="DI23" s="73">
        <v>2.0603223421E10</v>
      </c>
      <c r="DJ23" s="74" t="s">
        <v>195</v>
      </c>
      <c r="DK23" s="74" t="s">
        <v>132</v>
      </c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</row>
    <row r="24" ht="47.25" hidden="1" customHeight="1">
      <c r="A24" s="55" t="s">
        <v>197</v>
      </c>
      <c r="B24" s="55" t="s">
        <v>198</v>
      </c>
      <c r="C24" s="55" t="s">
        <v>199</v>
      </c>
      <c r="D24" s="55" t="s">
        <v>167</v>
      </c>
      <c r="E24" s="55" t="s">
        <v>200</v>
      </c>
      <c r="F24" s="55" t="s">
        <v>167</v>
      </c>
      <c r="G24" s="55" t="s">
        <v>201</v>
      </c>
      <c r="H24" s="55" t="s">
        <v>202</v>
      </c>
      <c r="I24" s="56">
        <v>1.0</v>
      </c>
      <c r="J24" s="56">
        <v>1.0</v>
      </c>
      <c r="K24" s="56">
        <v>1.0</v>
      </c>
      <c r="L24" s="56">
        <v>1.0</v>
      </c>
      <c r="M24" s="56">
        <v>1.0</v>
      </c>
      <c r="N24" s="56">
        <v>1.0</v>
      </c>
      <c r="O24" s="56"/>
      <c r="P24" s="56"/>
      <c r="Q24" s="56" t="s">
        <v>131</v>
      </c>
      <c r="R24" s="58" t="str">
        <f t="shared" si="1"/>
        <v>2018-2019-2020-2021-2022-2023</v>
      </c>
      <c r="S24" s="59" t="str">
        <f>SUM(Hoja1!$I24:$P24)</f>
        <v>6</v>
      </c>
      <c r="T24" s="59" t="str">
        <f>IF(OR(Hoja1!$J24=1,Hoja1!$K24=1,Hoja1!$L24=1,Hoja1!$M24=1,Hoja1!$N24=1,Hoja1!$O24=1,Hoja1!$P24=1),"SI","NO")</f>
        <v>SI</v>
      </c>
      <c r="U24" s="59" t="str">
        <f>IF(OR(Hoja1!$K24=1,Hoja1!$L24=1,Hoja1!$M24=1,Hoja1!$N24=1,Hoja1!$O24=1,Hoja1!$P24=1),"SI","NO")</f>
        <v>SI</v>
      </c>
      <c r="V24" s="60">
        <v>28.0</v>
      </c>
      <c r="W24" s="61">
        <v>23.0</v>
      </c>
      <c r="X24" s="61">
        <v>3.0</v>
      </c>
      <c r="Y24" s="60">
        <v>26.0</v>
      </c>
      <c r="Z24" s="61">
        <v>23.0</v>
      </c>
      <c r="AA24" s="61">
        <v>3.0</v>
      </c>
      <c r="AB24" s="60">
        <v>26.0</v>
      </c>
      <c r="AC24" s="61">
        <v>20.0</v>
      </c>
      <c r="AD24" s="61">
        <v>3.0</v>
      </c>
      <c r="AE24" s="60">
        <v>23.0</v>
      </c>
      <c r="AF24" s="61">
        <v>20.0</v>
      </c>
      <c r="AG24" s="61">
        <v>3.0</v>
      </c>
      <c r="AH24" s="60">
        <v>23.0</v>
      </c>
      <c r="AI24" s="61">
        <v>20.0</v>
      </c>
      <c r="AJ24" s="61">
        <v>3.0</v>
      </c>
      <c r="AK24" s="60">
        <v>23.0</v>
      </c>
      <c r="AL24" s="61">
        <v>0.0</v>
      </c>
      <c r="AM24" s="61">
        <v>0.0</v>
      </c>
      <c r="AN24" s="60">
        <v>0.0</v>
      </c>
      <c r="AO24" s="62">
        <v>0.0</v>
      </c>
      <c r="AP24" s="62">
        <v>0.0</v>
      </c>
      <c r="AQ24" s="60">
        <v>0.0</v>
      </c>
      <c r="AR24" s="60" t="str">
        <f>IF(Hoja1!$AQ24&gt;0,Hoja1!$AQ24,IF(Hoja1!$AN24&gt;0,Hoja1!$AN24,IF(Hoja1!$AK24&gt;0,Hoja1!$AK24,IF(Hoja1!$AH24&gt;0,Hoja1!$AH24,IF(Hoja1!$AE24&gt;0,Hoja1!$AE24,IF(Hoja1!$AB24&gt;0,Hoja1!$AB24,IF(Hoja1!$Y24&gt;0,Hoja1!$Y24,IF(Hoja1!$V24&gt;0,Hoja1!$V24," ---"))))))))</f>
        <v>23</v>
      </c>
      <c r="AS24" s="63">
        <v>3.0</v>
      </c>
      <c r="AT24" s="63">
        <v>0.0</v>
      </c>
      <c r="AU24" s="63">
        <v>44.0</v>
      </c>
      <c r="AV24" s="63">
        <v>8.0</v>
      </c>
      <c r="AW24" s="63">
        <v>25.0</v>
      </c>
      <c r="AX24" s="63">
        <v>5.0</v>
      </c>
      <c r="AY24" s="63">
        <v>34.0</v>
      </c>
      <c r="AZ24" s="63">
        <v>4.0</v>
      </c>
      <c r="BA24" s="63">
        <v>0.0</v>
      </c>
      <c r="BB24" s="63">
        <v>0.0</v>
      </c>
      <c r="BC24" s="63">
        <v>0.0</v>
      </c>
      <c r="BD24" s="63">
        <v>0.0</v>
      </c>
      <c r="BE24" s="64">
        <v>0.0</v>
      </c>
      <c r="BF24" s="65">
        <v>0.0</v>
      </c>
      <c r="BG24" s="65">
        <v>0.0</v>
      </c>
      <c r="BH24" s="66">
        <v>0.0</v>
      </c>
      <c r="BI24" s="67" t="str">
        <f t="shared" si="2"/>
        <v>#REF!</v>
      </c>
      <c r="BJ24" s="68" t="str">
        <f t="shared" si="3"/>
        <v>#REF!</v>
      </c>
      <c r="BK24" s="65">
        <v>13830.0</v>
      </c>
      <c r="BL24" s="65">
        <v>0.0</v>
      </c>
      <c r="BM24" s="66">
        <v>13830.0</v>
      </c>
      <c r="BN24" s="67" t="str">
        <f t="shared" si="4"/>
        <v>#REF!</v>
      </c>
      <c r="BO24" s="68" t="str">
        <f t="shared" si="5"/>
        <v>#REF!</v>
      </c>
      <c r="BP24" s="65">
        <v>378700.0</v>
      </c>
      <c r="BQ24" s="65">
        <v>0.0</v>
      </c>
      <c r="BR24" s="66">
        <v>378700.0</v>
      </c>
      <c r="BS24" s="67" t="str">
        <f t="shared" si="6"/>
        <v>#REF!</v>
      </c>
      <c r="BT24" s="68" t="str">
        <f>'[1]DATA CONSOLIDADA 2018-2025 '!$BR24-Hoja1!$BO24</f>
        <v>#REF!</v>
      </c>
      <c r="BU24" s="65">
        <v>452800.0</v>
      </c>
      <c r="BV24" s="65">
        <v>0.0</v>
      </c>
      <c r="BW24" s="66">
        <v>452800.0</v>
      </c>
      <c r="BX24" s="67" t="str">
        <f t="shared" si="7"/>
        <v>#REF!</v>
      </c>
      <c r="BY24" s="68" t="str">
        <f t="shared" si="8"/>
        <v>#REF!</v>
      </c>
      <c r="BZ24" s="65">
        <v>564965.0</v>
      </c>
      <c r="CA24" s="65">
        <v>0.0</v>
      </c>
      <c r="CB24" s="66">
        <v>564965.0</v>
      </c>
      <c r="CC24" s="67" t="str">
        <f t="shared" si="9"/>
        <v>#REF!</v>
      </c>
      <c r="CD24" s="68" t="str">
        <f>'[1]DATA CONSOLIDADA 2018-2025 '!$CB24-Hoja1!$BW24</f>
        <v>#REF!</v>
      </c>
      <c r="CE24" s="70">
        <v>0.0</v>
      </c>
      <c r="CF24" s="70">
        <v>0.0</v>
      </c>
      <c r="CG24" s="71">
        <v>0.0</v>
      </c>
      <c r="CH24" s="67" t="str">
        <f t="shared" si="10"/>
        <v>#REF!</v>
      </c>
      <c r="CI24" s="68" t="str">
        <f>'[1]DATA CONSOLIDADA 2018-2025 '!$CG24-Hoja1!$CB24</f>
        <v>#REF!</v>
      </c>
      <c r="CJ24" s="64" t="str">
        <f t="shared" si="11"/>
        <v>#REF!</v>
      </c>
      <c r="CK24" s="64">
        <v>0.0</v>
      </c>
      <c r="CL24" s="64">
        <v>0.0</v>
      </c>
      <c r="CM24" s="64">
        <v>0.0</v>
      </c>
      <c r="CN24" s="64" t="str">
        <f t="shared" si="12"/>
        <v>#REF!</v>
      </c>
      <c r="CO24" s="68" t="str">
        <f>'[1]DATA CONSOLIDADA 2018-2025 '!$CM24-Hoja1!$CG24</f>
        <v>#REF!</v>
      </c>
      <c r="CP24" s="70">
        <v>0.0</v>
      </c>
      <c r="CQ24" s="70">
        <v>564965.0</v>
      </c>
      <c r="CR24" s="70">
        <v>0.0</v>
      </c>
      <c r="CS24" s="70">
        <v>0.0</v>
      </c>
      <c r="CT24" s="70">
        <v>0.0</v>
      </c>
      <c r="CU24" s="70">
        <v>0.0</v>
      </c>
      <c r="CV24" s="64">
        <v>564965.0</v>
      </c>
      <c r="CW24" s="64">
        <v>0.0</v>
      </c>
      <c r="CX24" s="64">
        <v>0.0</v>
      </c>
      <c r="CY24" s="64">
        <v>0.0</v>
      </c>
      <c r="CZ24" s="64">
        <v>0.0</v>
      </c>
      <c r="DA24" s="64">
        <v>0.0</v>
      </c>
      <c r="DB24" s="64">
        <v>0.0</v>
      </c>
      <c r="DC24" s="72">
        <v>0.0</v>
      </c>
      <c r="DD24" s="72">
        <v>0.0</v>
      </c>
      <c r="DE24" s="72">
        <v>0.0</v>
      </c>
      <c r="DF24" s="72">
        <v>0.0</v>
      </c>
      <c r="DG24" s="72">
        <v>0.0</v>
      </c>
      <c r="DH24" s="72">
        <v>0.0</v>
      </c>
      <c r="DI24" s="73">
        <v>2.0601547458E10</v>
      </c>
      <c r="DJ24" s="74" t="s">
        <v>203</v>
      </c>
      <c r="DK24" s="74" t="s">
        <v>138</v>
      </c>
      <c r="DL24" s="75"/>
      <c r="DM24" s="7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</row>
    <row r="25" ht="47.25" hidden="1" customHeight="1">
      <c r="A25" s="55" t="s">
        <v>204</v>
      </c>
      <c r="B25" s="55" t="s">
        <v>166</v>
      </c>
      <c r="C25" s="55" t="s">
        <v>166</v>
      </c>
      <c r="D25" s="55" t="s">
        <v>167</v>
      </c>
      <c r="E25" s="55" t="s">
        <v>168</v>
      </c>
      <c r="F25" s="55" t="s">
        <v>167</v>
      </c>
      <c r="G25" s="55" t="s">
        <v>169</v>
      </c>
      <c r="H25" s="55" t="s">
        <v>170</v>
      </c>
      <c r="I25" s="56"/>
      <c r="J25" s="56">
        <v>1.0</v>
      </c>
      <c r="K25" s="56"/>
      <c r="L25" s="56"/>
      <c r="M25" s="56"/>
      <c r="N25" s="56"/>
      <c r="O25" s="56"/>
      <c r="P25" s="56"/>
      <c r="Q25" s="56" t="s">
        <v>131</v>
      </c>
      <c r="R25" s="58" t="str">
        <f t="shared" si="1"/>
        <v>2019</v>
      </c>
      <c r="S25" s="59" t="str">
        <f>SUM(Hoja1!$I25:$P25)</f>
        <v>1</v>
      </c>
      <c r="T25" s="59" t="str">
        <f>IF(OR(Hoja1!$J25=1,Hoja1!$K25=1,Hoja1!$L25=1,Hoja1!$M25=1,Hoja1!$N25=1,Hoja1!$O25=1,Hoja1!$P25=1),"SI","NO")</f>
        <v>SI</v>
      </c>
      <c r="U25" s="59" t="str">
        <f>IF(OR(Hoja1!$K25=1,Hoja1!$L25=1,Hoja1!$M25=1,Hoja1!$N25=1,Hoja1!$O25=1,Hoja1!$P25=1),"SI","NO")</f>
        <v>NO</v>
      </c>
      <c r="V25" s="60">
        <v>0.0</v>
      </c>
      <c r="W25" s="61">
        <v>33.0</v>
      </c>
      <c r="X25" s="61">
        <v>2.0</v>
      </c>
      <c r="Y25" s="60">
        <v>35.0</v>
      </c>
      <c r="Z25" s="61">
        <v>0.0</v>
      </c>
      <c r="AA25" s="61">
        <v>0.0</v>
      </c>
      <c r="AB25" s="60">
        <v>0.0</v>
      </c>
      <c r="AC25" s="61">
        <v>0.0</v>
      </c>
      <c r="AD25" s="61">
        <v>0.0</v>
      </c>
      <c r="AE25" s="60">
        <v>0.0</v>
      </c>
      <c r="AF25" s="61">
        <v>0.0</v>
      </c>
      <c r="AG25" s="61">
        <v>0.0</v>
      </c>
      <c r="AH25" s="60">
        <v>0.0</v>
      </c>
      <c r="AI25" s="61">
        <v>0.0</v>
      </c>
      <c r="AJ25" s="61">
        <v>0.0</v>
      </c>
      <c r="AK25" s="60">
        <v>0.0</v>
      </c>
      <c r="AL25" s="61">
        <v>0.0</v>
      </c>
      <c r="AM25" s="61">
        <v>0.0</v>
      </c>
      <c r="AN25" s="60">
        <v>0.0</v>
      </c>
      <c r="AO25" s="62">
        <v>0.0</v>
      </c>
      <c r="AP25" s="62">
        <v>0.0</v>
      </c>
      <c r="AQ25" s="60">
        <v>0.0</v>
      </c>
      <c r="AR25" s="60" t="str">
        <f>IF(Hoja1!$AQ25&gt;0,Hoja1!$AQ25,IF(Hoja1!$AN25&gt;0,Hoja1!$AN25,IF(Hoja1!$AK25&gt;0,Hoja1!$AK25,IF(Hoja1!$AH25&gt;0,Hoja1!$AH25,IF(Hoja1!$AE25&gt;0,Hoja1!$AE25,IF(Hoja1!$AB25&gt;0,Hoja1!$AB25,IF(Hoja1!$Y25&gt;0,Hoja1!$Y25,IF(Hoja1!$V25&gt;0,Hoja1!$V25," ---"))))))))</f>
        <v>35</v>
      </c>
      <c r="AS25" s="63">
        <v>0.0</v>
      </c>
      <c r="AT25" s="63">
        <v>0.0</v>
      </c>
      <c r="AU25" s="63">
        <v>0.0</v>
      </c>
      <c r="AV25" s="63">
        <v>0.0</v>
      </c>
      <c r="AW25" s="63">
        <v>0.0</v>
      </c>
      <c r="AX25" s="63">
        <v>0.0</v>
      </c>
      <c r="AY25" s="63">
        <v>0.0</v>
      </c>
      <c r="AZ25" s="63">
        <v>0.0</v>
      </c>
      <c r="BA25" s="63">
        <v>0.0</v>
      </c>
      <c r="BB25" s="63">
        <v>0.0</v>
      </c>
      <c r="BC25" s="63">
        <v>0.0</v>
      </c>
      <c r="BD25" s="63">
        <v>0.0</v>
      </c>
      <c r="BE25" s="64">
        <v>0.0</v>
      </c>
      <c r="BF25" s="65">
        <v>260411.15</v>
      </c>
      <c r="BG25" s="65">
        <v>0.0</v>
      </c>
      <c r="BH25" s="66">
        <v>260411.15</v>
      </c>
      <c r="BI25" s="67" t="str">
        <f t="shared" si="2"/>
        <v>#REF!</v>
      </c>
      <c r="BJ25" s="68" t="str">
        <f t="shared" si="3"/>
        <v>#REF!</v>
      </c>
      <c r="BK25" s="69">
        <v>0.0</v>
      </c>
      <c r="BL25" s="69">
        <v>0.0</v>
      </c>
      <c r="BM25" s="64">
        <v>0.0</v>
      </c>
      <c r="BN25" s="67" t="str">
        <f t="shared" si="4"/>
        <v>#REF!</v>
      </c>
      <c r="BO25" s="68" t="str">
        <f t="shared" si="5"/>
        <v>#REF!</v>
      </c>
      <c r="BP25" s="65">
        <v>0.0</v>
      </c>
      <c r="BQ25" s="65">
        <v>0.0</v>
      </c>
      <c r="BR25" s="66">
        <v>0.0</v>
      </c>
      <c r="BS25" s="67" t="str">
        <f t="shared" si="6"/>
        <v>#REF!</v>
      </c>
      <c r="BT25" s="68" t="str">
        <f>'[1]DATA CONSOLIDADA 2018-2025 '!$BR25-Hoja1!$BO25</f>
        <v>#REF!</v>
      </c>
      <c r="BU25" s="65">
        <v>0.0</v>
      </c>
      <c r="BV25" s="65">
        <v>0.0</v>
      </c>
      <c r="BW25" s="66">
        <v>0.0</v>
      </c>
      <c r="BX25" s="67" t="str">
        <f t="shared" si="7"/>
        <v>#REF!</v>
      </c>
      <c r="BY25" s="68" t="str">
        <f t="shared" si="8"/>
        <v>#REF!</v>
      </c>
      <c r="BZ25" s="65">
        <v>0.0</v>
      </c>
      <c r="CA25" s="65">
        <v>0.0</v>
      </c>
      <c r="CB25" s="66">
        <v>0.0</v>
      </c>
      <c r="CC25" s="67" t="str">
        <f t="shared" si="9"/>
        <v>#REF!</v>
      </c>
      <c r="CD25" s="68" t="str">
        <f>'[1]DATA CONSOLIDADA 2018-2025 '!$CB25-Hoja1!$BW25</f>
        <v>#REF!</v>
      </c>
      <c r="CE25" s="70">
        <v>0.0</v>
      </c>
      <c r="CF25" s="70">
        <v>0.0</v>
      </c>
      <c r="CG25" s="71">
        <v>0.0</v>
      </c>
      <c r="CH25" s="67" t="str">
        <f t="shared" si="10"/>
        <v>#REF!</v>
      </c>
      <c r="CI25" s="68" t="str">
        <f>'[1]DATA CONSOLIDADA 2018-2025 '!$CG25-Hoja1!$CB25</f>
        <v>#REF!</v>
      </c>
      <c r="CJ25" s="64" t="str">
        <f t="shared" si="11"/>
        <v>#REF!</v>
      </c>
      <c r="CK25" s="64">
        <v>0.0</v>
      </c>
      <c r="CL25" s="64">
        <v>0.0</v>
      </c>
      <c r="CM25" s="64">
        <v>0.0</v>
      </c>
      <c r="CN25" s="64" t="str">
        <f t="shared" si="12"/>
        <v>#REF!</v>
      </c>
      <c r="CO25" s="68" t="str">
        <f>'[1]DATA CONSOLIDADA 2018-2025 '!$CM25-Hoja1!$CG25</f>
        <v>#REF!</v>
      </c>
      <c r="CP25" s="70">
        <v>0.0</v>
      </c>
      <c r="CQ25" s="70">
        <v>0.0</v>
      </c>
      <c r="CR25" s="70">
        <v>0.0</v>
      </c>
      <c r="CS25" s="70">
        <v>0.0</v>
      </c>
      <c r="CT25" s="70">
        <v>0.0</v>
      </c>
      <c r="CU25" s="70">
        <v>0.0</v>
      </c>
      <c r="CV25" s="64">
        <v>0.0</v>
      </c>
      <c r="CW25" s="64">
        <v>0.0</v>
      </c>
      <c r="CX25" s="64">
        <v>0.0</v>
      </c>
      <c r="CY25" s="64">
        <v>0.0</v>
      </c>
      <c r="CZ25" s="64">
        <v>0.0</v>
      </c>
      <c r="DA25" s="64">
        <v>0.0</v>
      </c>
      <c r="DB25" s="64">
        <v>0.0</v>
      </c>
      <c r="DC25" s="72">
        <v>0.0</v>
      </c>
      <c r="DD25" s="72">
        <v>0.0</v>
      </c>
      <c r="DE25" s="72">
        <v>0.0</v>
      </c>
      <c r="DF25" s="72">
        <v>0.0</v>
      </c>
      <c r="DG25" s="72">
        <v>0.0</v>
      </c>
      <c r="DH25" s="72">
        <v>0.0</v>
      </c>
      <c r="DI25" s="73">
        <v>2.0603736703E10</v>
      </c>
      <c r="DJ25" s="74" t="s">
        <v>205</v>
      </c>
      <c r="DK25" s="74" t="s">
        <v>138</v>
      </c>
      <c r="DL25" s="75"/>
      <c r="DM25" s="75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</row>
    <row r="26" ht="47.25" hidden="1" customHeight="1">
      <c r="A26" s="55" t="s">
        <v>206</v>
      </c>
      <c r="B26" s="55" t="s">
        <v>207</v>
      </c>
      <c r="C26" s="55" t="s">
        <v>207</v>
      </c>
      <c r="D26" s="55" t="s">
        <v>167</v>
      </c>
      <c r="E26" s="55" t="s">
        <v>208</v>
      </c>
      <c r="F26" s="55" t="s">
        <v>167</v>
      </c>
      <c r="G26" s="55" t="s">
        <v>209</v>
      </c>
      <c r="H26" s="55" t="s">
        <v>201</v>
      </c>
      <c r="I26" s="56"/>
      <c r="J26" s="56"/>
      <c r="K26" s="56"/>
      <c r="L26" s="56">
        <v>1.0</v>
      </c>
      <c r="M26" s="56"/>
      <c r="N26" s="56"/>
      <c r="O26" s="56"/>
      <c r="P26" s="56"/>
      <c r="Q26" s="56" t="s">
        <v>131</v>
      </c>
      <c r="R26" s="58" t="str">
        <f t="shared" si="1"/>
        <v>2021</v>
      </c>
      <c r="S26" s="59" t="str">
        <f>SUM(Hoja1!$I26:$P26)</f>
        <v>1</v>
      </c>
      <c r="T26" s="59" t="str">
        <f>IF(OR(Hoja1!$J26=1,Hoja1!$K26=1,Hoja1!$L26=1,Hoja1!$M26=1,Hoja1!$N26=1,Hoja1!$O26=1,Hoja1!$P26=1),"SI","NO")</f>
        <v>SI</v>
      </c>
      <c r="U26" s="59" t="str">
        <f>IF(OR(Hoja1!$K26=1,Hoja1!$L26=1,Hoja1!$M26=1,Hoja1!$N26=1,Hoja1!$O26=1,Hoja1!$P26=1),"SI","NO")</f>
        <v>SI</v>
      </c>
      <c r="V26" s="60">
        <v>0.0</v>
      </c>
      <c r="W26" s="61">
        <v>0.0</v>
      </c>
      <c r="X26" s="61">
        <v>0.0</v>
      </c>
      <c r="Y26" s="60">
        <v>0.0</v>
      </c>
      <c r="Z26" s="61">
        <v>0.0</v>
      </c>
      <c r="AA26" s="61">
        <v>0.0</v>
      </c>
      <c r="AB26" s="60">
        <v>0.0</v>
      </c>
      <c r="AC26" s="61">
        <v>64.0</v>
      </c>
      <c r="AD26" s="61">
        <v>10.0</v>
      </c>
      <c r="AE26" s="60">
        <v>74.0</v>
      </c>
      <c r="AF26" s="61">
        <v>0.0</v>
      </c>
      <c r="AG26" s="61">
        <v>0.0</v>
      </c>
      <c r="AH26" s="60">
        <v>0.0</v>
      </c>
      <c r="AI26" s="61">
        <v>0.0</v>
      </c>
      <c r="AJ26" s="61">
        <v>0.0</v>
      </c>
      <c r="AK26" s="60">
        <v>0.0</v>
      </c>
      <c r="AL26" s="61">
        <v>0.0</v>
      </c>
      <c r="AM26" s="61">
        <v>0.0</v>
      </c>
      <c r="AN26" s="60">
        <v>0.0</v>
      </c>
      <c r="AO26" s="62">
        <v>0.0</v>
      </c>
      <c r="AP26" s="62">
        <v>0.0</v>
      </c>
      <c r="AQ26" s="60">
        <v>0.0</v>
      </c>
      <c r="AR26" s="60" t="str">
        <f>IF(Hoja1!$AQ26&gt;0,Hoja1!$AQ26,IF(Hoja1!$AN26&gt;0,Hoja1!$AN26,IF(Hoja1!$AK26&gt;0,Hoja1!$AK26,IF(Hoja1!$AH26&gt;0,Hoja1!$AH26,IF(Hoja1!$AE26&gt;0,Hoja1!$AE26,IF(Hoja1!$AB26&gt;0,Hoja1!$AB26,IF(Hoja1!$Y26&gt;0,Hoja1!$Y26,IF(Hoja1!$V26&gt;0,Hoja1!$V26," ---"))))))))</f>
        <v>74</v>
      </c>
      <c r="AS26" s="63">
        <v>0.0</v>
      </c>
      <c r="AT26" s="63">
        <v>0.0</v>
      </c>
      <c r="AU26" s="63">
        <v>52.0</v>
      </c>
      <c r="AV26" s="63">
        <v>8.0</v>
      </c>
      <c r="AW26" s="63">
        <v>0.0</v>
      </c>
      <c r="AX26" s="63">
        <v>0.0</v>
      </c>
      <c r="AY26" s="63">
        <v>0.0</v>
      </c>
      <c r="AZ26" s="63">
        <v>0.0</v>
      </c>
      <c r="BA26" s="63">
        <v>0.0</v>
      </c>
      <c r="BB26" s="63">
        <v>0.0</v>
      </c>
      <c r="BC26" s="63">
        <v>0.0</v>
      </c>
      <c r="BD26" s="63">
        <v>0.0</v>
      </c>
      <c r="BE26" s="64">
        <v>0.0</v>
      </c>
      <c r="BF26" s="69">
        <v>0.0</v>
      </c>
      <c r="BG26" s="69">
        <v>0.0</v>
      </c>
      <c r="BH26" s="64">
        <v>0.0</v>
      </c>
      <c r="BI26" s="67" t="str">
        <f t="shared" si="2"/>
        <v>#REF!</v>
      </c>
      <c r="BJ26" s="68" t="str">
        <f t="shared" si="3"/>
        <v>#REF!</v>
      </c>
      <c r="BK26" s="69">
        <v>0.0</v>
      </c>
      <c r="BL26" s="69">
        <v>0.0</v>
      </c>
      <c r="BM26" s="64">
        <v>0.0</v>
      </c>
      <c r="BN26" s="67" t="str">
        <f t="shared" si="4"/>
        <v>#REF!</v>
      </c>
      <c r="BO26" s="68" t="str">
        <f t="shared" si="5"/>
        <v>#REF!</v>
      </c>
      <c r="BP26" s="65">
        <v>183225.0</v>
      </c>
      <c r="BQ26" s="65">
        <v>0.0</v>
      </c>
      <c r="BR26" s="66">
        <v>183225.0</v>
      </c>
      <c r="BS26" s="67" t="str">
        <f t="shared" si="6"/>
        <v>#REF!</v>
      </c>
      <c r="BT26" s="68" t="str">
        <f>'[1]DATA CONSOLIDADA 2018-2025 '!$BR26-Hoja1!$BO26</f>
        <v>#REF!</v>
      </c>
      <c r="BU26" s="65">
        <v>0.0</v>
      </c>
      <c r="BV26" s="65">
        <v>0.0</v>
      </c>
      <c r="BW26" s="66">
        <v>0.0</v>
      </c>
      <c r="BX26" s="67" t="str">
        <f t="shared" si="7"/>
        <v>#REF!</v>
      </c>
      <c r="BY26" s="68" t="str">
        <f t="shared" si="8"/>
        <v>#REF!</v>
      </c>
      <c r="BZ26" s="65">
        <v>0.0</v>
      </c>
      <c r="CA26" s="65">
        <v>0.0</v>
      </c>
      <c r="CB26" s="66">
        <v>0.0</v>
      </c>
      <c r="CC26" s="67" t="str">
        <f t="shared" si="9"/>
        <v>#REF!</v>
      </c>
      <c r="CD26" s="68" t="str">
        <f>'[1]DATA CONSOLIDADA 2018-2025 '!$CB26-Hoja1!$BW26</f>
        <v>#REF!</v>
      </c>
      <c r="CE26" s="70">
        <v>0.0</v>
      </c>
      <c r="CF26" s="70">
        <v>0.0</v>
      </c>
      <c r="CG26" s="71">
        <v>0.0</v>
      </c>
      <c r="CH26" s="67" t="str">
        <f t="shared" si="10"/>
        <v>#REF!</v>
      </c>
      <c r="CI26" s="68" t="str">
        <f>'[1]DATA CONSOLIDADA 2018-2025 '!$CG26-Hoja1!$CB26</f>
        <v>#REF!</v>
      </c>
      <c r="CJ26" s="64" t="str">
        <f t="shared" si="11"/>
        <v>#REF!</v>
      </c>
      <c r="CK26" s="64">
        <v>0.0</v>
      </c>
      <c r="CL26" s="64">
        <v>0.0</v>
      </c>
      <c r="CM26" s="64">
        <v>0.0</v>
      </c>
      <c r="CN26" s="64" t="str">
        <f t="shared" si="12"/>
        <v>#REF!</v>
      </c>
      <c r="CO26" s="68" t="str">
        <f>'[1]DATA CONSOLIDADA 2018-2025 '!$CM26-Hoja1!$CG26</f>
        <v>#REF!</v>
      </c>
      <c r="CP26" s="70">
        <v>0.0</v>
      </c>
      <c r="CQ26" s="70">
        <v>0.0</v>
      </c>
      <c r="CR26" s="70">
        <v>0.0</v>
      </c>
      <c r="CS26" s="70">
        <v>0.0</v>
      </c>
      <c r="CT26" s="70">
        <v>0.0</v>
      </c>
      <c r="CU26" s="70">
        <v>0.0</v>
      </c>
      <c r="CV26" s="64">
        <v>0.0</v>
      </c>
      <c r="CW26" s="64">
        <v>0.0</v>
      </c>
      <c r="CX26" s="64">
        <v>0.0</v>
      </c>
      <c r="CY26" s="64">
        <v>0.0</v>
      </c>
      <c r="CZ26" s="64">
        <v>0.0</v>
      </c>
      <c r="DA26" s="64">
        <v>0.0</v>
      </c>
      <c r="DB26" s="64">
        <v>0.0</v>
      </c>
      <c r="DC26" s="72">
        <v>0.0</v>
      </c>
      <c r="DD26" s="72">
        <v>0.0</v>
      </c>
      <c r="DE26" s="72">
        <v>0.0</v>
      </c>
      <c r="DF26" s="72">
        <v>0.0</v>
      </c>
      <c r="DG26" s="72">
        <v>0.0</v>
      </c>
      <c r="DH26" s="72">
        <v>0.0</v>
      </c>
      <c r="DI26" s="73">
        <v>2.0600276221E10</v>
      </c>
      <c r="DJ26" s="74" t="s">
        <v>210</v>
      </c>
      <c r="DK26" s="74" t="s">
        <v>132</v>
      </c>
      <c r="DL26" s="75"/>
      <c r="DM26" s="7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</row>
    <row r="27" ht="47.25" hidden="1" customHeight="1">
      <c r="A27" s="55" t="s">
        <v>211</v>
      </c>
      <c r="B27" s="55" t="s">
        <v>166</v>
      </c>
      <c r="C27" s="55" t="s">
        <v>166</v>
      </c>
      <c r="D27" s="55" t="s">
        <v>167</v>
      </c>
      <c r="E27" s="55" t="s">
        <v>174</v>
      </c>
      <c r="F27" s="55" t="s">
        <v>167</v>
      </c>
      <c r="G27" s="55" t="s">
        <v>175</v>
      </c>
      <c r="H27" s="55" t="s">
        <v>176</v>
      </c>
      <c r="I27" s="56"/>
      <c r="J27" s="56"/>
      <c r="K27" s="56"/>
      <c r="L27" s="56">
        <v>1.0</v>
      </c>
      <c r="M27" s="56">
        <v>1.0</v>
      </c>
      <c r="N27" s="56">
        <v>1.0</v>
      </c>
      <c r="O27" s="56">
        <v>1.0</v>
      </c>
      <c r="P27" s="56"/>
      <c r="Q27" s="56" t="s">
        <v>131</v>
      </c>
      <c r="R27" s="58" t="str">
        <f t="shared" si="1"/>
        <v>2021-2022-2023-2024</v>
      </c>
      <c r="S27" s="59" t="str">
        <f>SUM(Hoja1!$I27:$P27)</f>
        <v>4</v>
      </c>
      <c r="T27" s="59" t="str">
        <f>IF(OR(Hoja1!$J27=1,Hoja1!$K27=1,Hoja1!$L27=1,Hoja1!$M27=1,Hoja1!$N27=1,Hoja1!$O27=1,Hoja1!$P27=1),"SI","NO")</f>
        <v>SI</v>
      </c>
      <c r="U27" s="59" t="str">
        <f>IF(OR(Hoja1!$K27=1,Hoja1!$L27=1,Hoja1!$M27=1,Hoja1!$N27=1,Hoja1!$O27=1,Hoja1!$P27=1),"SI","NO")</f>
        <v>SI</v>
      </c>
      <c r="V27" s="60">
        <v>0.0</v>
      </c>
      <c r="W27" s="61">
        <v>0.0</v>
      </c>
      <c r="X27" s="61">
        <v>0.0</v>
      </c>
      <c r="Y27" s="60">
        <v>0.0</v>
      </c>
      <c r="Z27" s="61">
        <v>0.0</v>
      </c>
      <c r="AA27" s="61">
        <v>0.0</v>
      </c>
      <c r="AB27" s="60">
        <v>0.0</v>
      </c>
      <c r="AC27" s="61">
        <v>20.0</v>
      </c>
      <c r="AD27" s="61">
        <v>6.0</v>
      </c>
      <c r="AE27" s="60">
        <v>26.0</v>
      </c>
      <c r="AF27" s="61">
        <v>20.0</v>
      </c>
      <c r="AG27" s="61">
        <v>6.0</v>
      </c>
      <c r="AH27" s="60">
        <v>26.0</v>
      </c>
      <c r="AI27" s="61">
        <v>20.0</v>
      </c>
      <c r="AJ27" s="61">
        <v>6.0</v>
      </c>
      <c r="AK27" s="60">
        <v>26.0</v>
      </c>
      <c r="AL27" s="61">
        <v>20.0</v>
      </c>
      <c r="AM27" s="61">
        <v>6.0</v>
      </c>
      <c r="AN27" s="60">
        <v>26.0</v>
      </c>
      <c r="AO27" s="62">
        <v>0.0</v>
      </c>
      <c r="AP27" s="62">
        <v>0.0</v>
      </c>
      <c r="AQ27" s="60">
        <v>0.0</v>
      </c>
      <c r="AR27" s="60" t="str">
        <f>IF(Hoja1!$AQ27&gt;0,Hoja1!$AQ27,IF(Hoja1!$AN27&gt;0,Hoja1!$AN27,IF(Hoja1!$AK27&gt;0,Hoja1!$AK27,IF(Hoja1!$AH27&gt;0,Hoja1!$AH27,IF(Hoja1!$AE27&gt;0,Hoja1!$AE27,IF(Hoja1!$AB27&gt;0,Hoja1!$AB27,IF(Hoja1!$Y27&gt;0,Hoja1!$Y27,IF(Hoja1!$V27&gt;0,Hoja1!$V27," ---"))))))))</f>
        <v>26</v>
      </c>
      <c r="AS27" s="63">
        <v>0.0</v>
      </c>
      <c r="AT27" s="63">
        <v>0.0</v>
      </c>
      <c r="AU27" s="63">
        <v>67.0</v>
      </c>
      <c r="AV27" s="63">
        <v>10.0</v>
      </c>
      <c r="AW27" s="63">
        <v>16.0</v>
      </c>
      <c r="AX27" s="63">
        <v>5.0</v>
      </c>
      <c r="AY27" s="63">
        <v>38.0</v>
      </c>
      <c r="AZ27" s="63">
        <v>1.0</v>
      </c>
      <c r="BA27" s="63">
        <v>30.0</v>
      </c>
      <c r="BB27" s="63">
        <v>0.0</v>
      </c>
      <c r="BC27" s="63">
        <v>0.0</v>
      </c>
      <c r="BD27" s="63">
        <v>0.0</v>
      </c>
      <c r="BE27" s="64">
        <v>0.0</v>
      </c>
      <c r="BF27" s="69">
        <v>0.0</v>
      </c>
      <c r="BG27" s="69">
        <v>0.0</v>
      </c>
      <c r="BH27" s="64">
        <v>0.0</v>
      </c>
      <c r="BI27" s="67" t="str">
        <f t="shared" si="2"/>
        <v>#REF!</v>
      </c>
      <c r="BJ27" s="68" t="str">
        <f t="shared" si="3"/>
        <v>#REF!</v>
      </c>
      <c r="BK27" s="69">
        <v>0.0</v>
      </c>
      <c r="BL27" s="69">
        <v>0.0</v>
      </c>
      <c r="BM27" s="66">
        <v>0.0</v>
      </c>
      <c r="BN27" s="67" t="str">
        <f t="shared" si="4"/>
        <v>#REF!</v>
      </c>
      <c r="BO27" s="68" t="str">
        <f t="shared" si="5"/>
        <v>#REF!</v>
      </c>
      <c r="BP27" s="65">
        <v>211492.7</v>
      </c>
      <c r="BQ27" s="65">
        <v>0.0</v>
      </c>
      <c r="BR27" s="66">
        <v>211492.7</v>
      </c>
      <c r="BS27" s="67" t="str">
        <f t="shared" si="6"/>
        <v>#REF!</v>
      </c>
      <c r="BT27" s="68" t="str">
        <f>'[1]DATA CONSOLIDADA 2018-2025 '!$BR27-Hoja1!$BO27</f>
        <v>#REF!</v>
      </c>
      <c r="BU27" s="65">
        <v>52556.7</v>
      </c>
      <c r="BV27" s="65">
        <v>0.0</v>
      </c>
      <c r="BW27" s="66">
        <v>52556.7</v>
      </c>
      <c r="BX27" s="67" t="str">
        <f t="shared" si="7"/>
        <v>#REF!</v>
      </c>
      <c r="BY27" s="68" t="str">
        <f t="shared" si="8"/>
        <v>#REF!</v>
      </c>
      <c r="BZ27" s="65">
        <v>77420.7</v>
      </c>
      <c r="CA27" s="65">
        <v>0.0</v>
      </c>
      <c r="CB27" s="66">
        <v>77420.7</v>
      </c>
      <c r="CC27" s="67" t="str">
        <f t="shared" si="9"/>
        <v>#REF!</v>
      </c>
      <c r="CD27" s="68" t="str">
        <f>'[1]DATA CONSOLIDADA 2018-2025 '!$CB27-Hoja1!$BW27</f>
        <v>#REF!</v>
      </c>
      <c r="CE27" s="70">
        <v>48724.0</v>
      </c>
      <c r="CF27" s="70">
        <v>0.0</v>
      </c>
      <c r="CG27" s="71">
        <v>48724.0</v>
      </c>
      <c r="CH27" s="67" t="str">
        <f t="shared" si="10"/>
        <v>#REF!</v>
      </c>
      <c r="CI27" s="68" t="str">
        <f>'[1]DATA CONSOLIDADA 2018-2025 '!$CG27-Hoja1!$CB27</f>
        <v>#REF!</v>
      </c>
      <c r="CJ27" s="64" t="str">
        <f t="shared" si="11"/>
        <v>#REF!</v>
      </c>
      <c r="CK27" s="64">
        <v>0.0</v>
      </c>
      <c r="CL27" s="64">
        <v>0.0</v>
      </c>
      <c r="CM27" s="64">
        <v>0.0</v>
      </c>
      <c r="CN27" s="64" t="str">
        <f t="shared" si="12"/>
        <v>#REF!</v>
      </c>
      <c r="CO27" s="68" t="str">
        <f>'[1]DATA CONSOLIDADA 2018-2025 '!$CM27-Hoja1!$CG27</f>
        <v>#REF!</v>
      </c>
      <c r="CP27" s="70">
        <v>0.0</v>
      </c>
      <c r="CQ27" s="70">
        <v>77420.7</v>
      </c>
      <c r="CR27" s="70">
        <v>0.0</v>
      </c>
      <c r="CS27" s="70">
        <v>0.0</v>
      </c>
      <c r="CT27" s="70">
        <v>0.0</v>
      </c>
      <c r="CU27" s="70">
        <v>0.0</v>
      </c>
      <c r="CV27" s="64">
        <v>77420.7</v>
      </c>
      <c r="CW27" s="64">
        <v>0.0</v>
      </c>
      <c r="CX27" s="64">
        <v>48724.0</v>
      </c>
      <c r="CY27" s="64">
        <v>0.0</v>
      </c>
      <c r="CZ27" s="64">
        <v>0.0</v>
      </c>
      <c r="DA27" s="64">
        <v>0.0</v>
      </c>
      <c r="DB27" s="64">
        <v>48724.0</v>
      </c>
      <c r="DC27" s="72">
        <v>0.0</v>
      </c>
      <c r="DD27" s="72">
        <v>0.0</v>
      </c>
      <c r="DE27" s="72">
        <v>0.0</v>
      </c>
      <c r="DF27" s="72">
        <v>0.0</v>
      </c>
      <c r="DG27" s="72">
        <v>0.0</v>
      </c>
      <c r="DH27" s="72">
        <v>0.0</v>
      </c>
      <c r="DI27" s="73">
        <v>2.0605197583E10</v>
      </c>
      <c r="DJ27" s="74" t="s">
        <v>211</v>
      </c>
      <c r="DK27" s="74" t="s">
        <v>138</v>
      </c>
      <c r="DL27" s="75"/>
      <c r="DM27" s="7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</row>
    <row r="28" ht="47.25" hidden="1" customHeight="1">
      <c r="A28" s="55" t="s">
        <v>212</v>
      </c>
      <c r="B28" s="55" t="s">
        <v>166</v>
      </c>
      <c r="C28" s="55" t="s">
        <v>166</v>
      </c>
      <c r="D28" s="55" t="s">
        <v>167</v>
      </c>
      <c r="E28" s="55" t="s">
        <v>213</v>
      </c>
      <c r="F28" s="55" t="s">
        <v>167</v>
      </c>
      <c r="G28" s="55" t="s">
        <v>209</v>
      </c>
      <c r="H28" s="55" t="s">
        <v>214</v>
      </c>
      <c r="I28" s="74"/>
      <c r="J28" s="74"/>
      <c r="K28" s="74"/>
      <c r="L28" s="74"/>
      <c r="M28" s="56">
        <v>1.0</v>
      </c>
      <c r="N28" s="56">
        <v>1.0</v>
      </c>
      <c r="O28" s="56">
        <v>1.0</v>
      </c>
      <c r="P28" s="56">
        <v>1.0</v>
      </c>
      <c r="Q28" s="56" t="s">
        <v>131</v>
      </c>
      <c r="R28" s="58" t="str">
        <f t="shared" si="1"/>
        <v>2022-2023-2024 - 2025</v>
      </c>
      <c r="S28" s="59" t="str">
        <f>SUM(Hoja1!$I28:$P28)</f>
        <v>4</v>
      </c>
      <c r="T28" s="59" t="str">
        <f>IF(OR(Hoja1!$J28=1,Hoja1!$K28=1,Hoja1!$L28=1,Hoja1!$M28=1,Hoja1!$N28=1,Hoja1!$O28=1,Hoja1!$P28=1),"SI","NO")</f>
        <v>SI</v>
      </c>
      <c r="U28" s="59" t="str">
        <f>IF(OR(Hoja1!$K28=1,Hoja1!$L28=1,Hoja1!$M28=1,Hoja1!$N28=1,Hoja1!$O28=1,Hoja1!$P28=1),"SI","NO")</f>
        <v>SI</v>
      </c>
      <c r="V28" s="60">
        <v>0.0</v>
      </c>
      <c r="W28" s="61">
        <v>0.0</v>
      </c>
      <c r="X28" s="61">
        <v>0.0</v>
      </c>
      <c r="Y28" s="60">
        <v>0.0</v>
      </c>
      <c r="Z28" s="61">
        <v>0.0</v>
      </c>
      <c r="AA28" s="61">
        <v>0.0</v>
      </c>
      <c r="AB28" s="60">
        <v>0.0</v>
      </c>
      <c r="AC28" s="61">
        <v>0.0</v>
      </c>
      <c r="AD28" s="61">
        <v>0.0</v>
      </c>
      <c r="AE28" s="60">
        <v>0.0</v>
      </c>
      <c r="AF28" s="61">
        <v>57.0</v>
      </c>
      <c r="AG28" s="61">
        <v>29.0</v>
      </c>
      <c r="AH28" s="60">
        <v>86.0</v>
      </c>
      <c r="AI28" s="61">
        <v>57.0</v>
      </c>
      <c r="AJ28" s="61">
        <v>29.0</v>
      </c>
      <c r="AK28" s="60">
        <v>86.0</v>
      </c>
      <c r="AL28" s="61">
        <v>61.0</v>
      </c>
      <c r="AM28" s="61">
        <v>25.0</v>
      </c>
      <c r="AN28" s="60">
        <v>86.0</v>
      </c>
      <c r="AO28" s="62">
        <v>59.0</v>
      </c>
      <c r="AP28" s="62">
        <v>25.0</v>
      </c>
      <c r="AQ28" s="60">
        <v>84.0</v>
      </c>
      <c r="AR28" s="60" t="str">
        <f>IF(Hoja1!$AQ28&gt;0,Hoja1!$AQ28,IF(Hoja1!$AN28&gt;0,Hoja1!$AN28,IF(Hoja1!$AK28&gt;0,Hoja1!$AK28,IF(Hoja1!$AH28&gt;0,Hoja1!$AH28,IF(Hoja1!$AE28&gt;0,Hoja1!$AE28,IF(Hoja1!$AB28&gt;0,Hoja1!$AB28,IF(Hoja1!$Y28&gt;0,Hoja1!$Y28,IF(Hoja1!$V28&gt;0,Hoja1!$V28," ---"))))))))</f>
        <v>84</v>
      </c>
      <c r="AS28" s="63">
        <v>0.0</v>
      </c>
      <c r="AT28" s="63">
        <v>0.0</v>
      </c>
      <c r="AU28" s="63">
        <v>0.0</v>
      </c>
      <c r="AV28" s="63">
        <v>0.0</v>
      </c>
      <c r="AW28" s="63">
        <v>19.0</v>
      </c>
      <c r="AX28" s="63">
        <v>5.0</v>
      </c>
      <c r="AY28" s="63">
        <v>38.0</v>
      </c>
      <c r="AZ28" s="63">
        <v>0.0</v>
      </c>
      <c r="BA28" s="63">
        <v>31.0</v>
      </c>
      <c r="BB28" s="63">
        <v>3.0</v>
      </c>
      <c r="BC28" s="63">
        <v>12.0</v>
      </c>
      <c r="BD28" s="63">
        <v>0.0</v>
      </c>
      <c r="BE28" s="64">
        <v>0.0</v>
      </c>
      <c r="BF28" s="69">
        <v>0.0</v>
      </c>
      <c r="BG28" s="69">
        <v>0.0</v>
      </c>
      <c r="BH28" s="64">
        <v>0.0</v>
      </c>
      <c r="BI28" s="67" t="str">
        <f t="shared" si="2"/>
        <v>#REF!</v>
      </c>
      <c r="BJ28" s="68" t="str">
        <f t="shared" si="3"/>
        <v>#REF!</v>
      </c>
      <c r="BK28" s="69">
        <v>0.0</v>
      </c>
      <c r="BL28" s="69">
        <v>0.0</v>
      </c>
      <c r="BM28" s="64">
        <v>0.0</v>
      </c>
      <c r="BN28" s="67" t="str">
        <f t="shared" si="4"/>
        <v>#REF!</v>
      </c>
      <c r="BO28" s="68" t="str">
        <f t="shared" si="5"/>
        <v>#REF!</v>
      </c>
      <c r="BP28" s="69">
        <v>0.0</v>
      </c>
      <c r="BQ28" s="69">
        <v>0.0</v>
      </c>
      <c r="BR28" s="64">
        <v>0.0</v>
      </c>
      <c r="BS28" s="67" t="str">
        <f t="shared" si="6"/>
        <v>#REF!</v>
      </c>
      <c r="BT28" s="68" t="str">
        <f>'[1]DATA CONSOLIDADA 2018-2025 '!$BR28-Hoja1!$BO28</f>
        <v>#REF!</v>
      </c>
      <c r="BU28" s="65">
        <v>351529.15</v>
      </c>
      <c r="BV28" s="65">
        <v>0.0</v>
      </c>
      <c r="BW28" s="66">
        <v>351529.15</v>
      </c>
      <c r="BX28" s="67" t="str">
        <f t="shared" si="7"/>
        <v>#REF!</v>
      </c>
      <c r="BY28" s="68" t="str">
        <f t="shared" si="8"/>
        <v>#REF!</v>
      </c>
      <c r="BZ28" s="65">
        <v>100445.5</v>
      </c>
      <c r="CA28" s="65">
        <v>0.0</v>
      </c>
      <c r="CB28" s="66">
        <v>100445.5</v>
      </c>
      <c r="CC28" s="67" t="str">
        <f t="shared" si="9"/>
        <v>#REF!</v>
      </c>
      <c r="CD28" s="68" t="str">
        <f>'[1]DATA CONSOLIDADA 2018-2025 '!$CB28-Hoja1!$BW28</f>
        <v>#REF!</v>
      </c>
      <c r="CE28" s="70">
        <v>362155.2</v>
      </c>
      <c r="CF28" s="70">
        <v>0.0</v>
      </c>
      <c r="CG28" s="71">
        <v>362155.2</v>
      </c>
      <c r="CH28" s="67" t="str">
        <f t="shared" si="10"/>
        <v>#REF!</v>
      </c>
      <c r="CI28" s="68" t="str">
        <f>'[1]DATA CONSOLIDADA 2018-2025 '!$CG28-Hoja1!$CB28</f>
        <v>#REF!</v>
      </c>
      <c r="CJ28" s="64" t="str">
        <f t="shared" si="11"/>
        <v>#REF!</v>
      </c>
      <c r="CK28" s="64">
        <v>488080.0</v>
      </c>
      <c r="CL28" s="64">
        <v>0.0</v>
      </c>
      <c r="CM28" s="64">
        <v>488080.0</v>
      </c>
      <c r="CN28" s="64" t="str">
        <f t="shared" si="12"/>
        <v>#REF!</v>
      </c>
      <c r="CO28" s="68" t="str">
        <f>'[1]DATA CONSOLIDADA 2018-2025 '!$CM28-Hoja1!$CG28</f>
        <v>#REF!</v>
      </c>
      <c r="CP28" s="70">
        <v>0.0</v>
      </c>
      <c r="CQ28" s="70">
        <v>100445.50107</v>
      </c>
      <c r="CR28" s="70">
        <v>0.0</v>
      </c>
      <c r="CS28" s="70">
        <v>0.0</v>
      </c>
      <c r="CT28" s="70">
        <v>0.0</v>
      </c>
      <c r="CU28" s="70">
        <v>0.0</v>
      </c>
      <c r="CV28" s="64">
        <v>100445.50107</v>
      </c>
      <c r="CW28" s="64">
        <v>0.0</v>
      </c>
      <c r="CX28" s="64">
        <v>362155.2</v>
      </c>
      <c r="CY28" s="64">
        <v>0.0</v>
      </c>
      <c r="CZ28" s="64">
        <v>0.0</v>
      </c>
      <c r="DA28" s="64">
        <v>0.0</v>
      </c>
      <c r="DB28" s="64">
        <v>362155.2</v>
      </c>
      <c r="DC28" s="72">
        <v>0.0</v>
      </c>
      <c r="DD28" s="72">
        <v>470180.0</v>
      </c>
      <c r="DE28" s="72">
        <v>0.0</v>
      </c>
      <c r="DF28" s="72">
        <v>17900.0</v>
      </c>
      <c r="DG28" s="72">
        <v>0.0</v>
      </c>
      <c r="DH28" s="72">
        <v>488080.0</v>
      </c>
      <c r="DI28" s="73">
        <v>2.0407808666E10</v>
      </c>
      <c r="DJ28" s="74" t="s">
        <v>215</v>
      </c>
      <c r="DK28" s="74" t="s">
        <v>132</v>
      </c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</row>
    <row r="29" ht="47.25" hidden="1" customHeight="1">
      <c r="A29" s="55" t="s">
        <v>216</v>
      </c>
      <c r="B29" s="55" t="s">
        <v>217</v>
      </c>
      <c r="C29" s="55" t="s">
        <v>217</v>
      </c>
      <c r="D29" s="55" t="s">
        <v>167</v>
      </c>
      <c r="E29" s="55" t="s">
        <v>218</v>
      </c>
      <c r="F29" s="55" t="s">
        <v>167</v>
      </c>
      <c r="G29" s="55" t="s">
        <v>191</v>
      </c>
      <c r="H29" s="55" t="s">
        <v>219</v>
      </c>
      <c r="I29" s="56"/>
      <c r="J29" s="56"/>
      <c r="K29" s="56"/>
      <c r="L29" s="56"/>
      <c r="M29" s="56">
        <v>1.0</v>
      </c>
      <c r="N29" s="56"/>
      <c r="O29" s="56">
        <v>1.0</v>
      </c>
      <c r="P29" s="56">
        <v>1.0</v>
      </c>
      <c r="Q29" s="56" t="s">
        <v>131</v>
      </c>
      <c r="R29" s="58" t="str">
        <f t="shared" si="1"/>
        <v>2022-2024 - 2025</v>
      </c>
      <c r="S29" s="59" t="str">
        <f>SUM(Hoja1!$I29:$P29)</f>
        <v>3</v>
      </c>
      <c r="T29" s="59" t="str">
        <f>IF(OR(Hoja1!$J29=1,Hoja1!$K29=1,Hoja1!$L29=1,Hoja1!$M29=1,Hoja1!$N29=1,Hoja1!$O29=1,Hoja1!$P29=1),"SI","NO")</f>
        <v>SI</v>
      </c>
      <c r="U29" s="59" t="str">
        <f>IF(OR(Hoja1!$K29=1,Hoja1!$L29=1,Hoja1!$M29=1,Hoja1!$N29=1,Hoja1!$O29=1,Hoja1!$P29=1),"SI","NO")</f>
        <v>SI</v>
      </c>
      <c r="V29" s="60">
        <v>0.0</v>
      </c>
      <c r="W29" s="61">
        <v>0.0</v>
      </c>
      <c r="X29" s="61">
        <v>0.0</v>
      </c>
      <c r="Y29" s="60">
        <v>0.0</v>
      </c>
      <c r="Z29" s="61">
        <v>0.0</v>
      </c>
      <c r="AA29" s="61">
        <v>0.0</v>
      </c>
      <c r="AB29" s="60">
        <v>0.0</v>
      </c>
      <c r="AC29" s="61">
        <v>0.0</v>
      </c>
      <c r="AD29" s="61">
        <v>0.0</v>
      </c>
      <c r="AE29" s="60">
        <v>0.0</v>
      </c>
      <c r="AF29" s="61">
        <v>9.0</v>
      </c>
      <c r="AG29" s="61">
        <v>10.0</v>
      </c>
      <c r="AH29" s="60">
        <v>19.0</v>
      </c>
      <c r="AI29" s="61">
        <v>0.0</v>
      </c>
      <c r="AJ29" s="61">
        <v>0.0</v>
      </c>
      <c r="AK29" s="60">
        <v>0.0</v>
      </c>
      <c r="AL29" s="61">
        <v>8.0</v>
      </c>
      <c r="AM29" s="61">
        <v>10.0</v>
      </c>
      <c r="AN29" s="60">
        <v>18.0</v>
      </c>
      <c r="AO29" s="62">
        <v>10.0</v>
      </c>
      <c r="AP29" s="62">
        <v>17.0</v>
      </c>
      <c r="AQ29" s="60">
        <v>27.0</v>
      </c>
      <c r="AR29" s="60" t="str">
        <f>IF(Hoja1!$AQ29&gt;0,Hoja1!$AQ29,IF(Hoja1!$AN29&gt;0,Hoja1!$AN29,IF(Hoja1!$AK29&gt;0,Hoja1!$AK29,IF(Hoja1!$AH29&gt;0,Hoja1!$AH29,IF(Hoja1!$AE29&gt;0,Hoja1!$AE29,IF(Hoja1!$AB29&gt;0,Hoja1!$AB29,IF(Hoja1!$Y29&gt;0,Hoja1!$Y29,IF(Hoja1!$V29&gt;0,Hoja1!$V29," ---"))))))))</f>
        <v>27</v>
      </c>
      <c r="AS29" s="63">
        <v>0.0</v>
      </c>
      <c r="AT29" s="63">
        <v>0.0</v>
      </c>
      <c r="AU29" s="63">
        <v>0.0</v>
      </c>
      <c r="AV29" s="63">
        <v>0.0</v>
      </c>
      <c r="AW29" s="63">
        <v>22.0</v>
      </c>
      <c r="AX29" s="63">
        <v>6.0</v>
      </c>
      <c r="AY29" s="63">
        <v>0.0</v>
      </c>
      <c r="AZ29" s="63">
        <v>0.0</v>
      </c>
      <c r="BA29" s="63">
        <v>28.0</v>
      </c>
      <c r="BB29" s="63">
        <v>0.0</v>
      </c>
      <c r="BC29" s="63">
        <v>31.0</v>
      </c>
      <c r="BD29" s="63">
        <v>0.0</v>
      </c>
      <c r="BE29" s="64">
        <v>0.0</v>
      </c>
      <c r="BF29" s="69">
        <v>0.0</v>
      </c>
      <c r="BG29" s="69">
        <v>0.0</v>
      </c>
      <c r="BH29" s="64">
        <v>0.0</v>
      </c>
      <c r="BI29" s="67" t="str">
        <f t="shared" si="2"/>
        <v>#REF!</v>
      </c>
      <c r="BJ29" s="68" t="str">
        <f t="shared" si="3"/>
        <v>#REF!</v>
      </c>
      <c r="BK29" s="69">
        <v>0.0</v>
      </c>
      <c r="BL29" s="69">
        <v>0.0</v>
      </c>
      <c r="BM29" s="64">
        <v>0.0</v>
      </c>
      <c r="BN29" s="67" t="str">
        <f t="shared" si="4"/>
        <v>#REF!</v>
      </c>
      <c r="BO29" s="68" t="str">
        <f t="shared" si="5"/>
        <v>#REF!</v>
      </c>
      <c r="BP29" s="65">
        <v>0.0</v>
      </c>
      <c r="BQ29" s="65">
        <v>0.0</v>
      </c>
      <c r="BR29" s="64">
        <v>0.0</v>
      </c>
      <c r="BS29" s="67" t="str">
        <f t="shared" si="6"/>
        <v>#REF!</v>
      </c>
      <c r="BT29" s="68" t="str">
        <f>'[1]DATA CONSOLIDADA 2018-2025 '!$BR29-Hoja1!$BO29</f>
        <v>#REF!</v>
      </c>
      <c r="BU29" s="65">
        <v>29700.0</v>
      </c>
      <c r="BV29" s="65">
        <v>0.0</v>
      </c>
      <c r="BW29" s="66">
        <v>29700.0</v>
      </c>
      <c r="BX29" s="67" t="str">
        <f t="shared" si="7"/>
        <v>#REF!</v>
      </c>
      <c r="BY29" s="68" t="str">
        <f t="shared" si="8"/>
        <v>#REF!</v>
      </c>
      <c r="BZ29" s="65">
        <v>0.0</v>
      </c>
      <c r="CA29" s="65">
        <v>0.0</v>
      </c>
      <c r="CB29" s="66">
        <v>0.0</v>
      </c>
      <c r="CC29" s="67" t="str">
        <f t="shared" si="9"/>
        <v>#REF!</v>
      </c>
      <c r="CD29" s="68" t="str">
        <f>'[1]DATA CONSOLIDADA 2018-2025 '!$CB29-Hoja1!$BW29</f>
        <v>#REF!</v>
      </c>
      <c r="CE29" s="70">
        <v>65663.09999999999</v>
      </c>
      <c r="CF29" s="70">
        <v>0.0</v>
      </c>
      <c r="CG29" s="71">
        <v>65663.09999999999</v>
      </c>
      <c r="CH29" s="67" t="str">
        <f t="shared" si="10"/>
        <v>#REF!</v>
      </c>
      <c r="CI29" s="68" t="str">
        <f>'[1]DATA CONSOLIDADA 2018-2025 '!$CG29-Hoja1!$CB29</f>
        <v>#REF!</v>
      </c>
      <c r="CJ29" s="64" t="str">
        <f t="shared" si="11"/>
        <v>#REF!</v>
      </c>
      <c r="CK29" s="64">
        <v>28801.989704</v>
      </c>
      <c r="CL29" s="64">
        <v>0.0</v>
      </c>
      <c r="CM29" s="64">
        <v>28801.989704</v>
      </c>
      <c r="CN29" s="64" t="str">
        <f t="shared" si="12"/>
        <v>#REF!</v>
      </c>
      <c r="CO29" s="68" t="str">
        <f>'[1]DATA CONSOLIDADA 2018-2025 '!$CM29-Hoja1!$CG29</f>
        <v>#REF!</v>
      </c>
      <c r="CP29" s="70">
        <v>0.0</v>
      </c>
      <c r="CQ29" s="70">
        <v>0.0</v>
      </c>
      <c r="CR29" s="70">
        <v>0.0</v>
      </c>
      <c r="CS29" s="70">
        <v>0.0</v>
      </c>
      <c r="CT29" s="70">
        <v>0.0</v>
      </c>
      <c r="CU29" s="70">
        <v>0.0</v>
      </c>
      <c r="CV29" s="64">
        <v>0.0</v>
      </c>
      <c r="CW29" s="64">
        <v>0.0</v>
      </c>
      <c r="CX29" s="64">
        <v>65663.09999999999</v>
      </c>
      <c r="CY29" s="64">
        <v>0.0</v>
      </c>
      <c r="CZ29" s="64">
        <v>0.0</v>
      </c>
      <c r="DA29" s="64">
        <v>0.0</v>
      </c>
      <c r="DB29" s="64">
        <v>65663.09999999999</v>
      </c>
      <c r="DC29" s="72">
        <v>1143.989704</v>
      </c>
      <c r="DD29" s="72">
        <v>27658.0</v>
      </c>
      <c r="DE29" s="72">
        <v>0.0</v>
      </c>
      <c r="DF29" s="72">
        <v>0.0</v>
      </c>
      <c r="DG29" s="72">
        <v>0.0</v>
      </c>
      <c r="DH29" s="72">
        <v>28801.989704</v>
      </c>
      <c r="DI29" s="73">
        <v>2.060475523E10</v>
      </c>
      <c r="DJ29" s="74" t="s">
        <v>216</v>
      </c>
      <c r="DK29" s="74" t="s">
        <v>132</v>
      </c>
      <c r="DL29" s="75"/>
      <c r="DM29" s="7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</row>
    <row r="30" ht="47.25" hidden="1" customHeight="1">
      <c r="A30" s="55" t="s">
        <v>220</v>
      </c>
      <c r="B30" s="55" t="s">
        <v>217</v>
      </c>
      <c r="C30" s="55" t="s">
        <v>221</v>
      </c>
      <c r="D30" s="55" t="s">
        <v>167</v>
      </c>
      <c r="E30" s="55" t="s">
        <v>190</v>
      </c>
      <c r="F30" s="55" t="s">
        <v>167</v>
      </c>
      <c r="G30" s="55" t="s">
        <v>191</v>
      </c>
      <c r="H30" s="55" t="s">
        <v>192</v>
      </c>
      <c r="I30" s="56"/>
      <c r="J30" s="56"/>
      <c r="K30" s="56"/>
      <c r="L30" s="56"/>
      <c r="M30" s="56">
        <v>1.0</v>
      </c>
      <c r="N30" s="56">
        <v>1.0</v>
      </c>
      <c r="O30" s="56">
        <v>1.0</v>
      </c>
      <c r="P30" s="56">
        <v>1.0</v>
      </c>
      <c r="Q30" s="56" t="s">
        <v>131</v>
      </c>
      <c r="R30" s="58" t="str">
        <f t="shared" si="1"/>
        <v>2022-2023-2024 - 2025</v>
      </c>
      <c r="S30" s="59" t="str">
        <f>SUM(Hoja1!$I30:$P30)</f>
        <v>4</v>
      </c>
      <c r="T30" s="59" t="str">
        <f>IF(OR(Hoja1!$J30=1,Hoja1!$K30=1,Hoja1!$L30=1,Hoja1!$M30=1,Hoja1!$N30=1,Hoja1!$O30=1,Hoja1!$P30=1),"SI","NO")</f>
        <v>SI</v>
      </c>
      <c r="U30" s="59" t="str">
        <f>IF(OR(Hoja1!$K30=1,Hoja1!$L30=1,Hoja1!$M30=1,Hoja1!$N30=1,Hoja1!$O30=1,Hoja1!$P30=1),"SI","NO")</f>
        <v>SI</v>
      </c>
      <c r="V30" s="60">
        <v>0.0</v>
      </c>
      <c r="W30" s="61">
        <v>0.0</v>
      </c>
      <c r="X30" s="61">
        <v>0.0</v>
      </c>
      <c r="Y30" s="60">
        <v>0.0</v>
      </c>
      <c r="Z30" s="61">
        <v>0.0</v>
      </c>
      <c r="AA30" s="61">
        <v>0.0</v>
      </c>
      <c r="AB30" s="60">
        <v>0.0</v>
      </c>
      <c r="AC30" s="61">
        <v>0.0</v>
      </c>
      <c r="AD30" s="61">
        <v>0.0</v>
      </c>
      <c r="AE30" s="60">
        <v>0.0</v>
      </c>
      <c r="AF30" s="61">
        <v>12.0</v>
      </c>
      <c r="AG30" s="61">
        <v>14.0</v>
      </c>
      <c r="AH30" s="60">
        <v>26.0</v>
      </c>
      <c r="AI30" s="61">
        <v>12.0</v>
      </c>
      <c r="AJ30" s="61">
        <v>14.0</v>
      </c>
      <c r="AK30" s="60">
        <v>26.0</v>
      </c>
      <c r="AL30" s="61">
        <v>11.0</v>
      </c>
      <c r="AM30" s="61">
        <v>14.0</v>
      </c>
      <c r="AN30" s="60">
        <v>25.0</v>
      </c>
      <c r="AO30" s="62">
        <v>11.0</v>
      </c>
      <c r="AP30" s="62">
        <v>14.0</v>
      </c>
      <c r="AQ30" s="60">
        <v>25.0</v>
      </c>
      <c r="AR30" s="60" t="str">
        <f>IF(Hoja1!$AQ30&gt;0,Hoja1!$AQ30,IF(Hoja1!$AN30&gt;0,Hoja1!$AN30,IF(Hoja1!$AK30&gt;0,Hoja1!$AK30,IF(Hoja1!$AH30&gt;0,Hoja1!$AH30,IF(Hoja1!$AE30&gt;0,Hoja1!$AE30,IF(Hoja1!$AB30&gt;0,Hoja1!$AB30,IF(Hoja1!$Y30&gt;0,Hoja1!$Y30,IF(Hoja1!$V30&gt;0,Hoja1!$V30," ---"))))))))</f>
        <v>25</v>
      </c>
      <c r="AS30" s="63">
        <v>0.0</v>
      </c>
      <c r="AT30" s="63">
        <v>0.0</v>
      </c>
      <c r="AU30" s="63">
        <v>0.0</v>
      </c>
      <c r="AV30" s="63">
        <v>0.0</v>
      </c>
      <c r="AW30" s="63">
        <v>23.0</v>
      </c>
      <c r="AX30" s="63">
        <v>6.0</v>
      </c>
      <c r="AY30" s="63">
        <v>37.0</v>
      </c>
      <c r="AZ30" s="63">
        <v>3.0</v>
      </c>
      <c r="BA30" s="63">
        <v>25.0</v>
      </c>
      <c r="BB30" s="63">
        <v>3.0</v>
      </c>
      <c r="BC30" s="63">
        <v>29.0</v>
      </c>
      <c r="BD30" s="63">
        <v>2.0</v>
      </c>
      <c r="BE30" s="64">
        <v>0.0</v>
      </c>
      <c r="BF30" s="69">
        <v>0.0</v>
      </c>
      <c r="BG30" s="69">
        <v>0.0</v>
      </c>
      <c r="BH30" s="64">
        <v>0.0</v>
      </c>
      <c r="BI30" s="67" t="str">
        <f t="shared" si="2"/>
        <v>#REF!</v>
      </c>
      <c r="BJ30" s="68" t="str">
        <f t="shared" si="3"/>
        <v>#REF!</v>
      </c>
      <c r="BK30" s="69">
        <v>0.0</v>
      </c>
      <c r="BL30" s="69">
        <v>0.0</v>
      </c>
      <c r="BM30" s="64">
        <v>0.0</v>
      </c>
      <c r="BN30" s="67" t="str">
        <f t="shared" si="4"/>
        <v>#REF!</v>
      </c>
      <c r="BO30" s="68" t="str">
        <f t="shared" si="5"/>
        <v>#REF!</v>
      </c>
      <c r="BP30" s="65">
        <v>0.0</v>
      </c>
      <c r="BQ30" s="65">
        <v>0.0</v>
      </c>
      <c r="BR30" s="64">
        <v>0.0</v>
      </c>
      <c r="BS30" s="67" t="str">
        <f t="shared" si="6"/>
        <v>#REF!</v>
      </c>
      <c r="BT30" s="68" t="str">
        <f>'[1]DATA CONSOLIDADA 2018-2025 '!$BR30-Hoja1!$BO30</f>
        <v>#REF!</v>
      </c>
      <c r="BU30" s="65">
        <v>88340.0</v>
      </c>
      <c r="BV30" s="65">
        <v>0.0</v>
      </c>
      <c r="BW30" s="66">
        <v>88340.0</v>
      </c>
      <c r="BX30" s="67" t="str">
        <f t="shared" si="7"/>
        <v>#REF!</v>
      </c>
      <c r="BY30" s="68" t="str">
        <f t="shared" si="8"/>
        <v>#REF!</v>
      </c>
      <c r="BZ30" s="65">
        <v>132750.28</v>
      </c>
      <c r="CA30" s="65">
        <v>0.0</v>
      </c>
      <c r="CB30" s="66">
        <v>132750.28</v>
      </c>
      <c r="CC30" s="67" t="str">
        <f t="shared" si="9"/>
        <v>#REF!</v>
      </c>
      <c r="CD30" s="68" t="str">
        <f>'[1]DATA CONSOLIDADA 2018-2025 '!$CB30-Hoja1!$BW30</f>
        <v>#REF!</v>
      </c>
      <c r="CE30" s="70">
        <v>197902.0</v>
      </c>
      <c r="CF30" s="70">
        <v>0.0</v>
      </c>
      <c r="CG30" s="71">
        <v>197902.0</v>
      </c>
      <c r="CH30" s="67" t="str">
        <f t="shared" si="10"/>
        <v>#REF!</v>
      </c>
      <c r="CI30" s="68" t="str">
        <f>'[1]DATA CONSOLIDADA 2018-2025 '!$CG30-Hoja1!$CB30</f>
        <v>#REF!</v>
      </c>
      <c r="CJ30" s="64" t="str">
        <f t="shared" si="11"/>
        <v>#REF!</v>
      </c>
      <c r="CK30" s="64">
        <v>102372.154992</v>
      </c>
      <c r="CL30" s="64">
        <v>0.0</v>
      </c>
      <c r="CM30" s="64">
        <v>102372.154992</v>
      </c>
      <c r="CN30" s="64" t="str">
        <f t="shared" si="12"/>
        <v>#REF!</v>
      </c>
      <c r="CO30" s="68" t="str">
        <f>'[1]DATA CONSOLIDADA 2018-2025 '!$CM30-Hoja1!$CG30</f>
        <v>#REF!</v>
      </c>
      <c r="CP30" s="70">
        <v>0.0</v>
      </c>
      <c r="CQ30" s="70">
        <v>59729.0</v>
      </c>
      <c r="CR30" s="70">
        <v>0.0</v>
      </c>
      <c r="CS30" s="70">
        <v>73021.2842</v>
      </c>
      <c r="CT30" s="70">
        <v>0.0</v>
      </c>
      <c r="CU30" s="70">
        <v>0.0</v>
      </c>
      <c r="CV30" s="64">
        <v>132750.2842</v>
      </c>
      <c r="CW30" s="64">
        <v>0.0</v>
      </c>
      <c r="CX30" s="64">
        <v>197902.0</v>
      </c>
      <c r="CY30" s="64">
        <v>0.0</v>
      </c>
      <c r="CZ30" s="64">
        <v>0.0</v>
      </c>
      <c r="DA30" s="64">
        <v>0.0</v>
      </c>
      <c r="DB30" s="64">
        <v>197902.0</v>
      </c>
      <c r="DC30" s="72">
        <v>0.0</v>
      </c>
      <c r="DD30" s="72">
        <v>77932.1</v>
      </c>
      <c r="DE30" s="72">
        <v>24440.054991999998</v>
      </c>
      <c r="DF30" s="72">
        <v>0.0</v>
      </c>
      <c r="DG30" s="72">
        <v>0.0</v>
      </c>
      <c r="DH30" s="72">
        <v>102372.154992</v>
      </c>
      <c r="DI30" s="73">
        <v>2.0600558715E10</v>
      </c>
      <c r="DJ30" s="74" t="s">
        <v>220</v>
      </c>
      <c r="DK30" s="74" t="s">
        <v>132</v>
      </c>
      <c r="DL30" s="75"/>
      <c r="DM30" s="7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</row>
    <row r="31" ht="47.25" hidden="1" customHeight="1">
      <c r="A31" s="55" t="s">
        <v>222</v>
      </c>
      <c r="B31" s="55" t="s">
        <v>166</v>
      </c>
      <c r="C31" s="55" t="s">
        <v>166</v>
      </c>
      <c r="D31" s="55" t="s">
        <v>167</v>
      </c>
      <c r="E31" s="55" t="s">
        <v>223</v>
      </c>
      <c r="F31" s="55" t="s">
        <v>167</v>
      </c>
      <c r="G31" s="55" t="s">
        <v>191</v>
      </c>
      <c r="H31" s="55" t="s">
        <v>224</v>
      </c>
      <c r="I31" s="56"/>
      <c r="J31" s="56"/>
      <c r="K31" s="56"/>
      <c r="L31" s="56"/>
      <c r="M31" s="56">
        <v>1.0</v>
      </c>
      <c r="N31" s="56">
        <v>1.0</v>
      </c>
      <c r="O31" s="56">
        <v>1.0</v>
      </c>
      <c r="P31" s="56">
        <v>1.0</v>
      </c>
      <c r="Q31" s="56" t="s">
        <v>131</v>
      </c>
      <c r="R31" s="58" t="str">
        <f t="shared" si="1"/>
        <v>2022-2023-2024 - 2025</v>
      </c>
      <c r="S31" s="59" t="str">
        <f>SUM(Hoja1!$I31:$P31)</f>
        <v>4</v>
      </c>
      <c r="T31" s="59" t="str">
        <f>IF(OR(Hoja1!$J31=1,Hoja1!$K31=1,Hoja1!$L31=1,Hoja1!$M31=1,Hoja1!$N31=1,Hoja1!$O31=1,Hoja1!$P31=1),"SI","NO")</f>
        <v>SI</v>
      </c>
      <c r="U31" s="59" t="str">
        <f>IF(OR(Hoja1!$K31=1,Hoja1!$L31=1,Hoja1!$M31=1,Hoja1!$N31=1,Hoja1!$O31=1,Hoja1!$P31=1),"SI","NO")</f>
        <v>SI</v>
      </c>
      <c r="V31" s="60">
        <v>0.0</v>
      </c>
      <c r="W31" s="61">
        <v>0.0</v>
      </c>
      <c r="X31" s="61">
        <v>0.0</v>
      </c>
      <c r="Y31" s="60">
        <v>0.0</v>
      </c>
      <c r="Z31" s="61">
        <v>0.0</v>
      </c>
      <c r="AA31" s="61">
        <v>0.0</v>
      </c>
      <c r="AB31" s="60">
        <v>0.0</v>
      </c>
      <c r="AC31" s="61">
        <v>0.0</v>
      </c>
      <c r="AD31" s="61">
        <v>0.0</v>
      </c>
      <c r="AE31" s="60">
        <v>0.0</v>
      </c>
      <c r="AF31" s="61">
        <v>13.0</v>
      </c>
      <c r="AG31" s="61">
        <v>7.0</v>
      </c>
      <c r="AH31" s="60">
        <v>20.0</v>
      </c>
      <c r="AI31" s="61">
        <v>13.0</v>
      </c>
      <c r="AJ31" s="61">
        <v>7.0</v>
      </c>
      <c r="AK31" s="60">
        <v>20.0</v>
      </c>
      <c r="AL31" s="61">
        <v>11.0</v>
      </c>
      <c r="AM31" s="61">
        <v>7.0</v>
      </c>
      <c r="AN31" s="60">
        <v>18.0</v>
      </c>
      <c r="AO31" s="62">
        <v>11.0</v>
      </c>
      <c r="AP31" s="62">
        <v>5.0</v>
      </c>
      <c r="AQ31" s="60">
        <v>16.0</v>
      </c>
      <c r="AR31" s="60" t="str">
        <f>IF(Hoja1!$AQ31&gt;0,Hoja1!$AQ31,IF(Hoja1!$AN31&gt;0,Hoja1!$AN31,IF(Hoja1!$AK31&gt;0,Hoja1!$AK31,IF(Hoja1!$AH31&gt;0,Hoja1!$AH31,IF(Hoja1!$AE31&gt;0,Hoja1!$AE31,IF(Hoja1!$AB31&gt;0,Hoja1!$AB31,IF(Hoja1!$Y31&gt;0,Hoja1!$Y31,IF(Hoja1!$V31&gt;0,Hoja1!$V31," ---"))))))))</f>
        <v>16</v>
      </c>
      <c r="AS31" s="63">
        <v>0.0</v>
      </c>
      <c r="AT31" s="63">
        <v>0.0</v>
      </c>
      <c r="AU31" s="63">
        <v>0.0</v>
      </c>
      <c r="AV31" s="63">
        <v>0.0</v>
      </c>
      <c r="AW31" s="63">
        <v>19.0</v>
      </c>
      <c r="AX31" s="63">
        <v>5.0</v>
      </c>
      <c r="AY31" s="63">
        <v>44.0</v>
      </c>
      <c r="AZ31" s="63">
        <v>3.0</v>
      </c>
      <c r="BA31" s="63">
        <v>32.0</v>
      </c>
      <c r="BB31" s="63">
        <v>4.0</v>
      </c>
      <c r="BC31" s="63">
        <v>35.0</v>
      </c>
      <c r="BD31" s="63">
        <v>0.0</v>
      </c>
      <c r="BE31" s="64">
        <v>0.0</v>
      </c>
      <c r="BF31" s="69">
        <v>0.0</v>
      </c>
      <c r="BG31" s="69">
        <v>0.0</v>
      </c>
      <c r="BH31" s="64">
        <v>0.0</v>
      </c>
      <c r="BI31" s="67" t="str">
        <f t="shared" si="2"/>
        <v>#REF!</v>
      </c>
      <c r="BJ31" s="68" t="str">
        <f t="shared" si="3"/>
        <v>#REF!</v>
      </c>
      <c r="BK31" s="69">
        <v>0.0</v>
      </c>
      <c r="BL31" s="69">
        <v>0.0</v>
      </c>
      <c r="BM31" s="64">
        <v>0.0</v>
      </c>
      <c r="BN31" s="67" t="str">
        <f t="shared" si="4"/>
        <v>#REF!</v>
      </c>
      <c r="BO31" s="68" t="str">
        <f t="shared" si="5"/>
        <v>#REF!</v>
      </c>
      <c r="BP31" s="65">
        <v>0.0</v>
      </c>
      <c r="BQ31" s="65">
        <v>0.0</v>
      </c>
      <c r="BR31" s="66">
        <v>0.0</v>
      </c>
      <c r="BS31" s="67" t="str">
        <f t="shared" si="6"/>
        <v>#REF!</v>
      </c>
      <c r="BT31" s="68" t="str">
        <f>'[1]DATA CONSOLIDADA 2018-2025 '!$BR31-Hoja1!$BO31</f>
        <v>#REF!</v>
      </c>
      <c r="BU31" s="65">
        <v>180390.0</v>
      </c>
      <c r="BV31" s="65">
        <v>0.0</v>
      </c>
      <c r="BW31" s="66">
        <v>180390.0</v>
      </c>
      <c r="BX31" s="67" t="str">
        <f t="shared" si="7"/>
        <v>#REF!</v>
      </c>
      <c r="BY31" s="68" t="str">
        <f t="shared" si="8"/>
        <v>#REF!</v>
      </c>
      <c r="BZ31" s="65">
        <v>208400.0</v>
      </c>
      <c r="CA31" s="65">
        <v>0.0</v>
      </c>
      <c r="CB31" s="66">
        <v>208400.0</v>
      </c>
      <c r="CC31" s="67" t="str">
        <f t="shared" si="9"/>
        <v>#REF!</v>
      </c>
      <c r="CD31" s="68" t="str">
        <f>'[1]DATA CONSOLIDADA 2018-2025 '!$CB31-Hoja1!$BW31</f>
        <v>#REF!</v>
      </c>
      <c r="CE31" s="70">
        <v>241803.6565235</v>
      </c>
      <c r="CF31" s="70">
        <v>0.0</v>
      </c>
      <c r="CG31" s="71">
        <v>241803.6565235</v>
      </c>
      <c r="CH31" s="67" t="str">
        <f t="shared" si="10"/>
        <v>#REF!</v>
      </c>
      <c r="CI31" s="68" t="str">
        <f>'[1]DATA CONSOLIDADA 2018-2025 '!$CG31-Hoja1!$CB31</f>
        <v>#REF!</v>
      </c>
      <c r="CJ31" s="64" t="str">
        <f t="shared" si="11"/>
        <v>#REF!</v>
      </c>
      <c r="CK31" s="64">
        <v>189229.50548329</v>
      </c>
      <c r="CL31" s="64">
        <v>0.0</v>
      </c>
      <c r="CM31" s="64">
        <v>189229.50548329</v>
      </c>
      <c r="CN31" s="64" t="str">
        <f t="shared" si="12"/>
        <v>#REF!</v>
      </c>
      <c r="CO31" s="68" t="str">
        <f>'[1]DATA CONSOLIDADA 2018-2025 '!$CM31-Hoja1!$CG31</f>
        <v>#REF!</v>
      </c>
      <c r="CP31" s="70">
        <v>0.0</v>
      </c>
      <c r="CQ31" s="70">
        <v>208400.0</v>
      </c>
      <c r="CR31" s="70">
        <v>0.0</v>
      </c>
      <c r="CS31" s="70">
        <v>0.0</v>
      </c>
      <c r="CT31" s="70">
        <v>0.0</v>
      </c>
      <c r="CU31" s="70">
        <v>0.0</v>
      </c>
      <c r="CV31" s="64">
        <v>208400.0</v>
      </c>
      <c r="CW31" s="64">
        <v>0.0</v>
      </c>
      <c r="CX31" s="64">
        <v>241803.6565235</v>
      </c>
      <c r="CY31" s="64">
        <v>0.0</v>
      </c>
      <c r="CZ31" s="64">
        <v>0.0</v>
      </c>
      <c r="DA31" s="64">
        <v>0.0</v>
      </c>
      <c r="DB31" s="64">
        <v>241803.6565235</v>
      </c>
      <c r="DC31" s="72">
        <v>0.0</v>
      </c>
      <c r="DD31" s="72">
        <v>152584.41</v>
      </c>
      <c r="DE31" s="72">
        <v>0.0</v>
      </c>
      <c r="DF31" s="72">
        <v>0.0</v>
      </c>
      <c r="DG31" s="72">
        <v>36645.09548329</v>
      </c>
      <c r="DH31" s="72">
        <v>189229.50548329</v>
      </c>
      <c r="DI31" s="73">
        <v>2.0533718176E10</v>
      </c>
      <c r="DJ31" s="74" t="s">
        <v>222</v>
      </c>
      <c r="DK31" s="74" t="s">
        <v>138</v>
      </c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</row>
    <row r="32" ht="47.25" hidden="1" customHeight="1">
      <c r="A32" s="55" t="s">
        <v>225</v>
      </c>
      <c r="B32" s="55" t="s">
        <v>166</v>
      </c>
      <c r="C32" s="55" t="s">
        <v>166</v>
      </c>
      <c r="D32" s="55" t="s">
        <v>167</v>
      </c>
      <c r="E32" s="55" t="s">
        <v>174</v>
      </c>
      <c r="F32" s="55" t="s">
        <v>167</v>
      </c>
      <c r="G32" s="55" t="s">
        <v>175</v>
      </c>
      <c r="H32" s="55" t="s">
        <v>176</v>
      </c>
      <c r="I32" s="56"/>
      <c r="J32" s="56"/>
      <c r="K32" s="56"/>
      <c r="L32" s="56"/>
      <c r="M32" s="56">
        <v>1.0</v>
      </c>
      <c r="N32" s="56">
        <v>1.0</v>
      </c>
      <c r="O32" s="56">
        <v>1.0</v>
      </c>
      <c r="P32" s="56"/>
      <c r="Q32" s="56" t="s">
        <v>131</v>
      </c>
      <c r="R32" s="58" t="str">
        <f t="shared" si="1"/>
        <v>2022-2023-2024</v>
      </c>
      <c r="S32" s="59" t="str">
        <f>SUM(Hoja1!$I32:$P32)</f>
        <v>3</v>
      </c>
      <c r="T32" s="59" t="str">
        <f>IF(OR(Hoja1!$J32=1,Hoja1!$K32=1,Hoja1!$L32=1,Hoja1!$M32=1,Hoja1!$N32=1,Hoja1!$O32=1,Hoja1!$P32=1),"SI","NO")</f>
        <v>SI</v>
      </c>
      <c r="U32" s="59" t="str">
        <f>IF(OR(Hoja1!$K32=1,Hoja1!$L32=1,Hoja1!$M32=1,Hoja1!$N32=1,Hoja1!$O32=1,Hoja1!$P32=1),"SI","NO")</f>
        <v>SI</v>
      </c>
      <c r="V32" s="60">
        <v>0.0</v>
      </c>
      <c r="W32" s="61">
        <v>0.0</v>
      </c>
      <c r="X32" s="61">
        <v>0.0</v>
      </c>
      <c r="Y32" s="60">
        <v>0.0</v>
      </c>
      <c r="Z32" s="61">
        <v>0.0</v>
      </c>
      <c r="AA32" s="61">
        <v>0.0</v>
      </c>
      <c r="AB32" s="60">
        <v>0.0</v>
      </c>
      <c r="AC32" s="61">
        <v>0.0</v>
      </c>
      <c r="AD32" s="61">
        <v>0.0</v>
      </c>
      <c r="AE32" s="60">
        <v>0.0</v>
      </c>
      <c r="AF32" s="61">
        <v>132.0</v>
      </c>
      <c r="AG32" s="61">
        <v>19.0</v>
      </c>
      <c r="AH32" s="60">
        <v>151.0</v>
      </c>
      <c r="AI32" s="61">
        <v>132.0</v>
      </c>
      <c r="AJ32" s="61">
        <v>19.0</v>
      </c>
      <c r="AK32" s="60">
        <v>151.0</v>
      </c>
      <c r="AL32" s="61">
        <v>135.0</v>
      </c>
      <c r="AM32" s="61">
        <v>14.0</v>
      </c>
      <c r="AN32" s="60">
        <v>149.0</v>
      </c>
      <c r="AO32" s="62">
        <v>0.0</v>
      </c>
      <c r="AP32" s="62">
        <v>0.0</v>
      </c>
      <c r="AQ32" s="60">
        <v>0.0</v>
      </c>
      <c r="AR32" s="60" t="str">
        <f>IF(Hoja1!$AQ32&gt;0,Hoja1!$AQ32,IF(Hoja1!$AN32&gt;0,Hoja1!$AN32,IF(Hoja1!$AK32&gt;0,Hoja1!$AK32,IF(Hoja1!$AH32&gt;0,Hoja1!$AH32,IF(Hoja1!$AE32&gt;0,Hoja1!$AE32,IF(Hoja1!$AB32&gt;0,Hoja1!$AB32,IF(Hoja1!$Y32&gt;0,Hoja1!$Y32,IF(Hoja1!$V32&gt;0,Hoja1!$V32," ---"))))))))</f>
        <v>149</v>
      </c>
      <c r="AS32" s="63">
        <v>0.0</v>
      </c>
      <c r="AT32" s="63">
        <v>0.0</v>
      </c>
      <c r="AU32" s="63">
        <v>0.0</v>
      </c>
      <c r="AV32" s="63">
        <v>0.0</v>
      </c>
      <c r="AW32" s="63">
        <v>17.0</v>
      </c>
      <c r="AX32" s="63">
        <v>5.0</v>
      </c>
      <c r="AY32" s="63">
        <v>37.0</v>
      </c>
      <c r="AZ32" s="63">
        <v>1.0</v>
      </c>
      <c r="BA32" s="63">
        <v>27.0</v>
      </c>
      <c r="BB32" s="63">
        <v>3.0</v>
      </c>
      <c r="BC32" s="63">
        <v>0.0</v>
      </c>
      <c r="BD32" s="63">
        <v>0.0</v>
      </c>
      <c r="BE32" s="64">
        <v>0.0</v>
      </c>
      <c r="BF32" s="69">
        <v>0.0</v>
      </c>
      <c r="BG32" s="69">
        <v>0.0</v>
      </c>
      <c r="BH32" s="64">
        <v>0.0</v>
      </c>
      <c r="BI32" s="67" t="str">
        <f t="shared" si="2"/>
        <v>#REF!</v>
      </c>
      <c r="BJ32" s="68" t="str">
        <f t="shared" si="3"/>
        <v>#REF!</v>
      </c>
      <c r="BK32" s="69">
        <v>0.0</v>
      </c>
      <c r="BL32" s="69">
        <v>0.0</v>
      </c>
      <c r="BM32" s="64">
        <v>0.0</v>
      </c>
      <c r="BN32" s="67" t="str">
        <f t="shared" si="4"/>
        <v>#REF!</v>
      </c>
      <c r="BO32" s="68" t="str">
        <f t="shared" si="5"/>
        <v>#REF!</v>
      </c>
      <c r="BP32" s="65">
        <v>0.0</v>
      </c>
      <c r="BQ32" s="65">
        <v>0.0</v>
      </c>
      <c r="BR32" s="66">
        <v>0.0</v>
      </c>
      <c r="BS32" s="67" t="str">
        <f t="shared" si="6"/>
        <v>#REF!</v>
      </c>
      <c r="BT32" s="68" t="str">
        <f>'[1]DATA CONSOLIDADA 2018-2025 '!$BR32-Hoja1!$BO32</f>
        <v>#REF!</v>
      </c>
      <c r="BU32" s="65">
        <v>363932.5</v>
      </c>
      <c r="BV32" s="65">
        <v>0.0</v>
      </c>
      <c r="BW32" s="66">
        <v>363932.5</v>
      </c>
      <c r="BX32" s="67" t="str">
        <f t="shared" si="7"/>
        <v>#REF!</v>
      </c>
      <c r="BY32" s="68" t="str">
        <f t="shared" si="8"/>
        <v>#REF!</v>
      </c>
      <c r="BZ32" s="65">
        <v>664665.6</v>
      </c>
      <c r="CA32" s="65">
        <v>0.0</v>
      </c>
      <c r="CB32" s="66">
        <v>664665.6</v>
      </c>
      <c r="CC32" s="67" t="str">
        <f t="shared" si="9"/>
        <v>#REF!</v>
      </c>
      <c r="CD32" s="68" t="str">
        <f>'[1]DATA CONSOLIDADA 2018-2025 '!$CB32-Hoja1!$BW32</f>
        <v>#REF!</v>
      </c>
      <c r="CE32" s="70">
        <v>1376040.0</v>
      </c>
      <c r="CF32" s="70">
        <v>0.0</v>
      </c>
      <c r="CG32" s="71">
        <v>1376040.0</v>
      </c>
      <c r="CH32" s="67" t="str">
        <f t="shared" si="10"/>
        <v>#REF!</v>
      </c>
      <c r="CI32" s="68" t="str">
        <f>'[1]DATA CONSOLIDADA 2018-2025 '!$CG32-Hoja1!$CB32</f>
        <v>#REF!</v>
      </c>
      <c r="CJ32" s="64" t="str">
        <f t="shared" si="11"/>
        <v>#REF!</v>
      </c>
      <c r="CK32" s="64">
        <v>0.0</v>
      </c>
      <c r="CL32" s="64">
        <v>0.0</v>
      </c>
      <c r="CM32" s="64">
        <v>0.0</v>
      </c>
      <c r="CN32" s="64" t="str">
        <f t="shared" si="12"/>
        <v>#REF!</v>
      </c>
      <c r="CO32" s="68" t="str">
        <f>'[1]DATA CONSOLIDADA 2018-2025 '!$CM32-Hoja1!$CG32</f>
        <v>#REF!</v>
      </c>
      <c r="CP32" s="70">
        <v>0.0</v>
      </c>
      <c r="CQ32" s="70">
        <v>664665.6</v>
      </c>
      <c r="CR32" s="70">
        <v>0.0</v>
      </c>
      <c r="CS32" s="70">
        <v>0.0</v>
      </c>
      <c r="CT32" s="70">
        <v>0.0</v>
      </c>
      <c r="CU32" s="70">
        <v>0.0</v>
      </c>
      <c r="CV32" s="64">
        <v>664665.6</v>
      </c>
      <c r="CW32" s="64">
        <v>0.0</v>
      </c>
      <c r="CX32" s="64">
        <v>1376040.0</v>
      </c>
      <c r="CY32" s="64">
        <v>0.0</v>
      </c>
      <c r="CZ32" s="64">
        <v>0.0</v>
      </c>
      <c r="DA32" s="64">
        <v>0.0</v>
      </c>
      <c r="DB32" s="64">
        <v>1376040.0</v>
      </c>
      <c r="DC32" s="72">
        <v>0.0</v>
      </c>
      <c r="DD32" s="72">
        <v>0.0</v>
      </c>
      <c r="DE32" s="72">
        <v>0.0</v>
      </c>
      <c r="DF32" s="72">
        <v>0.0</v>
      </c>
      <c r="DG32" s="72">
        <v>0.0</v>
      </c>
      <c r="DH32" s="72">
        <v>0.0</v>
      </c>
      <c r="DI32" s="73">
        <v>2.0604218358E10</v>
      </c>
      <c r="DJ32" s="74" t="s">
        <v>225</v>
      </c>
      <c r="DK32" s="74" t="s">
        <v>132</v>
      </c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</row>
    <row r="33" ht="47.25" hidden="1" customHeight="1">
      <c r="A33" s="55" t="s">
        <v>226</v>
      </c>
      <c r="B33" s="55" t="s">
        <v>166</v>
      </c>
      <c r="C33" s="55" t="s">
        <v>166</v>
      </c>
      <c r="D33" s="55" t="s">
        <v>227</v>
      </c>
      <c r="E33" s="55" t="s">
        <v>228</v>
      </c>
      <c r="F33" s="55" t="s">
        <v>227</v>
      </c>
      <c r="G33" s="55" t="s">
        <v>229</v>
      </c>
      <c r="H33" s="55" t="s">
        <v>229</v>
      </c>
      <c r="I33" s="56"/>
      <c r="J33" s="56">
        <v>1.0</v>
      </c>
      <c r="K33" s="56">
        <v>1.0</v>
      </c>
      <c r="L33" s="56"/>
      <c r="M33" s="56"/>
      <c r="N33" s="56"/>
      <c r="O33" s="56"/>
      <c r="P33" s="56"/>
      <c r="Q33" s="56" t="s">
        <v>131</v>
      </c>
      <c r="R33" s="58" t="str">
        <f t="shared" si="1"/>
        <v>2019-2020</v>
      </c>
      <c r="S33" s="59" t="str">
        <f>SUM(Hoja1!$I33:$P33)</f>
        <v>2</v>
      </c>
      <c r="T33" s="59" t="str">
        <f>IF(OR(Hoja1!$J33=1,Hoja1!$K33=1,Hoja1!$L33=1,Hoja1!$M33=1,Hoja1!$N33=1,Hoja1!$O33=1,Hoja1!$P33=1),"SI","NO")</f>
        <v>SI</v>
      </c>
      <c r="U33" s="59" t="str">
        <f>IF(OR(Hoja1!$K33=1,Hoja1!$L33=1,Hoja1!$M33=1,Hoja1!$N33=1,Hoja1!$O33=1,Hoja1!$P33=1),"SI","NO")</f>
        <v>SI</v>
      </c>
      <c r="V33" s="60">
        <v>0.0</v>
      </c>
      <c r="W33" s="61">
        <v>15.0</v>
      </c>
      <c r="X33" s="61">
        <v>12.0</v>
      </c>
      <c r="Y33" s="60">
        <v>27.0</v>
      </c>
      <c r="Z33" s="61">
        <v>20.0</v>
      </c>
      <c r="AA33" s="61">
        <v>4.0</v>
      </c>
      <c r="AB33" s="60">
        <v>24.0</v>
      </c>
      <c r="AC33" s="61">
        <v>0.0</v>
      </c>
      <c r="AD33" s="61">
        <v>0.0</v>
      </c>
      <c r="AE33" s="60">
        <v>0.0</v>
      </c>
      <c r="AF33" s="61">
        <v>0.0</v>
      </c>
      <c r="AG33" s="61">
        <v>0.0</v>
      </c>
      <c r="AH33" s="60">
        <v>0.0</v>
      </c>
      <c r="AI33" s="61">
        <v>0.0</v>
      </c>
      <c r="AJ33" s="61">
        <v>0.0</v>
      </c>
      <c r="AK33" s="60">
        <v>0.0</v>
      </c>
      <c r="AL33" s="61">
        <v>0.0</v>
      </c>
      <c r="AM33" s="61">
        <v>0.0</v>
      </c>
      <c r="AN33" s="60">
        <v>0.0</v>
      </c>
      <c r="AO33" s="62">
        <v>0.0</v>
      </c>
      <c r="AP33" s="62">
        <v>0.0</v>
      </c>
      <c r="AQ33" s="60">
        <v>0.0</v>
      </c>
      <c r="AR33" s="60" t="str">
        <f>IF(Hoja1!$AQ33&gt;0,Hoja1!$AQ33,IF(Hoja1!$AN33&gt;0,Hoja1!$AN33,IF(Hoja1!$AK33&gt;0,Hoja1!$AK33,IF(Hoja1!$AH33&gt;0,Hoja1!$AH33,IF(Hoja1!$AE33&gt;0,Hoja1!$AE33,IF(Hoja1!$AB33&gt;0,Hoja1!$AB33,IF(Hoja1!$Y33&gt;0,Hoja1!$Y33,IF(Hoja1!$V33&gt;0,Hoja1!$V33," ---"))))))))</f>
        <v>24</v>
      </c>
      <c r="AS33" s="63">
        <v>0.0</v>
      </c>
      <c r="AT33" s="63">
        <v>2.0</v>
      </c>
      <c r="AU33" s="63">
        <v>0.0</v>
      </c>
      <c r="AV33" s="63">
        <v>0.0</v>
      </c>
      <c r="AW33" s="63">
        <v>0.0</v>
      </c>
      <c r="AX33" s="63">
        <v>0.0</v>
      </c>
      <c r="AY33" s="63">
        <v>0.0</v>
      </c>
      <c r="AZ33" s="63">
        <v>0.0</v>
      </c>
      <c r="BA33" s="63">
        <v>0.0</v>
      </c>
      <c r="BB33" s="63">
        <v>0.0</v>
      </c>
      <c r="BC33" s="63">
        <v>0.0</v>
      </c>
      <c r="BD33" s="63">
        <v>0.0</v>
      </c>
      <c r="BE33" s="64">
        <v>0.0</v>
      </c>
      <c r="BF33" s="65">
        <v>0.0</v>
      </c>
      <c r="BG33" s="65">
        <v>0.0</v>
      </c>
      <c r="BH33" s="66">
        <v>0.0</v>
      </c>
      <c r="BI33" s="67" t="str">
        <f t="shared" si="2"/>
        <v>#REF!</v>
      </c>
      <c r="BJ33" s="68" t="str">
        <f t="shared" si="3"/>
        <v>#REF!</v>
      </c>
      <c r="BK33" s="65">
        <v>324995.0</v>
      </c>
      <c r="BL33" s="65">
        <v>0.0</v>
      </c>
      <c r="BM33" s="66">
        <v>324995.0</v>
      </c>
      <c r="BN33" s="67" t="str">
        <f t="shared" si="4"/>
        <v>#REF!</v>
      </c>
      <c r="BO33" s="68" t="str">
        <f t="shared" si="5"/>
        <v>#REF!</v>
      </c>
      <c r="BP33" s="65">
        <v>0.0</v>
      </c>
      <c r="BQ33" s="65">
        <v>0.0</v>
      </c>
      <c r="BR33" s="66">
        <v>0.0</v>
      </c>
      <c r="BS33" s="67" t="str">
        <f t="shared" si="6"/>
        <v>#REF!</v>
      </c>
      <c r="BT33" s="68" t="str">
        <f>'[1]DATA CONSOLIDADA 2018-2025 '!$BR33-Hoja1!$BO33</f>
        <v>#REF!</v>
      </c>
      <c r="BU33" s="65">
        <v>0.0</v>
      </c>
      <c r="BV33" s="65">
        <v>0.0</v>
      </c>
      <c r="BW33" s="66">
        <v>0.0</v>
      </c>
      <c r="BX33" s="67" t="str">
        <f t="shared" si="7"/>
        <v>#REF!</v>
      </c>
      <c r="BY33" s="68" t="str">
        <f t="shared" si="8"/>
        <v>#REF!</v>
      </c>
      <c r="BZ33" s="65">
        <v>0.0</v>
      </c>
      <c r="CA33" s="65">
        <v>0.0</v>
      </c>
      <c r="CB33" s="66">
        <v>0.0</v>
      </c>
      <c r="CC33" s="67" t="str">
        <f t="shared" si="9"/>
        <v>#REF!</v>
      </c>
      <c r="CD33" s="68" t="str">
        <f>'[1]DATA CONSOLIDADA 2018-2025 '!$CB33-Hoja1!$BW33</f>
        <v>#REF!</v>
      </c>
      <c r="CE33" s="70">
        <v>0.0</v>
      </c>
      <c r="CF33" s="70">
        <v>0.0</v>
      </c>
      <c r="CG33" s="71">
        <v>0.0</v>
      </c>
      <c r="CH33" s="67" t="str">
        <f t="shared" si="10"/>
        <v>#REF!</v>
      </c>
      <c r="CI33" s="68" t="str">
        <f>'[1]DATA CONSOLIDADA 2018-2025 '!$CG33-Hoja1!$CB33</f>
        <v>#REF!</v>
      </c>
      <c r="CJ33" s="64" t="str">
        <f t="shared" si="11"/>
        <v>#REF!</v>
      </c>
      <c r="CK33" s="64">
        <v>0.0</v>
      </c>
      <c r="CL33" s="64">
        <v>0.0</v>
      </c>
      <c r="CM33" s="64">
        <v>0.0</v>
      </c>
      <c r="CN33" s="64" t="str">
        <f t="shared" si="12"/>
        <v>#REF!</v>
      </c>
      <c r="CO33" s="68" t="str">
        <f>'[1]DATA CONSOLIDADA 2018-2025 '!$CM33-Hoja1!$CG33</f>
        <v>#REF!</v>
      </c>
      <c r="CP33" s="70">
        <v>0.0</v>
      </c>
      <c r="CQ33" s="70">
        <v>0.0</v>
      </c>
      <c r="CR33" s="70">
        <v>0.0</v>
      </c>
      <c r="CS33" s="70">
        <v>0.0</v>
      </c>
      <c r="CT33" s="70">
        <v>0.0</v>
      </c>
      <c r="CU33" s="70">
        <v>0.0</v>
      </c>
      <c r="CV33" s="64">
        <v>0.0</v>
      </c>
      <c r="CW33" s="64">
        <v>0.0</v>
      </c>
      <c r="CX33" s="64">
        <v>0.0</v>
      </c>
      <c r="CY33" s="64">
        <v>0.0</v>
      </c>
      <c r="CZ33" s="64">
        <v>0.0</v>
      </c>
      <c r="DA33" s="64">
        <v>0.0</v>
      </c>
      <c r="DB33" s="64">
        <v>0.0</v>
      </c>
      <c r="DC33" s="72">
        <v>0.0</v>
      </c>
      <c r="DD33" s="72">
        <v>0.0</v>
      </c>
      <c r="DE33" s="72">
        <v>0.0</v>
      </c>
      <c r="DF33" s="72">
        <v>0.0</v>
      </c>
      <c r="DG33" s="72">
        <v>0.0</v>
      </c>
      <c r="DH33" s="72">
        <v>0.0</v>
      </c>
      <c r="DI33" s="73">
        <v>2.0527890285E10</v>
      </c>
      <c r="DJ33" s="74" t="s">
        <v>230</v>
      </c>
      <c r="DK33" s="74" t="s">
        <v>138</v>
      </c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</row>
    <row r="34" ht="47.25" hidden="1" customHeight="1">
      <c r="A34" s="55" t="s">
        <v>231</v>
      </c>
      <c r="B34" s="55" t="s">
        <v>166</v>
      </c>
      <c r="C34" s="55" t="s">
        <v>166</v>
      </c>
      <c r="D34" s="55" t="s">
        <v>227</v>
      </c>
      <c r="E34" s="55" t="s">
        <v>232</v>
      </c>
      <c r="F34" s="55" t="s">
        <v>227</v>
      </c>
      <c r="G34" s="55" t="s">
        <v>229</v>
      </c>
      <c r="H34" s="55" t="s">
        <v>233</v>
      </c>
      <c r="I34" s="56">
        <v>1.0</v>
      </c>
      <c r="J34" s="56">
        <v>1.0</v>
      </c>
      <c r="K34" s="56">
        <v>1.0</v>
      </c>
      <c r="L34" s="56"/>
      <c r="M34" s="56"/>
      <c r="N34" s="56"/>
      <c r="O34" s="56"/>
      <c r="P34" s="56"/>
      <c r="Q34" s="56" t="s">
        <v>131</v>
      </c>
      <c r="R34" s="58" t="str">
        <f t="shared" si="1"/>
        <v>2018-2019-2020</v>
      </c>
      <c r="S34" s="59" t="str">
        <f>SUM(Hoja1!$I34:$P34)</f>
        <v>3</v>
      </c>
      <c r="T34" s="59" t="str">
        <f>IF(OR(Hoja1!$J34=1,Hoja1!$K34=1,Hoja1!$L34=1,Hoja1!$M34=1,Hoja1!$N34=1,Hoja1!$O34=1,Hoja1!$P34=1),"SI","NO")</f>
        <v>SI</v>
      </c>
      <c r="U34" s="59" t="str">
        <f>IF(OR(Hoja1!$K34=1,Hoja1!$L34=1,Hoja1!$M34=1,Hoja1!$N34=1,Hoja1!$O34=1,Hoja1!$P34=1),"SI","NO")</f>
        <v>SI</v>
      </c>
      <c r="V34" s="60">
        <v>37.0</v>
      </c>
      <c r="W34" s="61">
        <v>13.0</v>
      </c>
      <c r="X34" s="61">
        <v>15.0</v>
      </c>
      <c r="Y34" s="60">
        <v>28.0</v>
      </c>
      <c r="Z34" s="61">
        <v>11.0</v>
      </c>
      <c r="AA34" s="61">
        <v>8.0</v>
      </c>
      <c r="AB34" s="60">
        <v>19.0</v>
      </c>
      <c r="AC34" s="61">
        <v>0.0</v>
      </c>
      <c r="AD34" s="61">
        <v>0.0</v>
      </c>
      <c r="AE34" s="60">
        <v>0.0</v>
      </c>
      <c r="AF34" s="61">
        <v>0.0</v>
      </c>
      <c r="AG34" s="61">
        <v>0.0</v>
      </c>
      <c r="AH34" s="60">
        <v>0.0</v>
      </c>
      <c r="AI34" s="61">
        <v>0.0</v>
      </c>
      <c r="AJ34" s="61">
        <v>0.0</v>
      </c>
      <c r="AK34" s="60">
        <v>0.0</v>
      </c>
      <c r="AL34" s="61">
        <v>0.0</v>
      </c>
      <c r="AM34" s="61">
        <v>0.0</v>
      </c>
      <c r="AN34" s="60">
        <v>0.0</v>
      </c>
      <c r="AO34" s="62">
        <v>0.0</v>
      </c>
      <c r="AP34" s="62">
        <v>0.0</v>
      </c>
      <c r="AQ34" s="60">
        <v>0.0</v>
      </c>
      <c r="AR34" s="60" t="str">
        <f>IF(Hoja1!$AQ34&gt;0,Hoja1!$AQ34,IF(Hoja1!$AN34&gt;0,Hoja1!$AN34,IF(Hoja1!$AK34&gt;0,Hoja1!$AK34,IF(Hoja1!$AH34&gt;0,Hoja1!$AH34,IF(Hoja1!$AE34&gt;0,Hoja1!$AE34,IF(Hoja1!$AB34&gt;0,Hoja1!$AB34,IF(Hoja1!$Y34&gt;0,Hoja1!$Y34,IF(Hoja1!$V34&gt;0,Hoja1!$V34," ---"))))))))</f>
        <v>19</v>
      </c>
      <c r="AS34" s="63">
        <v>0.0</v>
      </c>
      <c r="AT34" s="63">
        <v>2.0</v>
      </c>
      <c r="AU34" s="63">
        <v>0.0</v>
      </c>
      <c r="AV34" s="63">
        <v>0.0</v>
      </c>
      <c r="AW34" s="63">
        <v>0.0</v>
      </c>
      <c r="AX34" s="63">
        <v>0.0</v>
      </c>
      <c r="AY34" s="63">
        <v>0.0</v>
      </c>
      <c r="AZ34" s="63">
        <v>0.0</v>
      </c>
      <c r="BA34" s="63">
        <v>0.0</v>
      </c>
      <c r="BB34" s="63">
        <v>0.0</v>
      </c>
      <c r="BC34" s="63">
        <v>0.0</v>
      </c>
      <c r="BD34" s="63">
        <v>0.0</v>
      </c>
      <c r="BE34" s="64">
        <v>0.0</v>
      </c>
      <c r="BF34" s="65">
        <v>1974706.24</v>
      </c>
      <c r="BG34" s="65">
        <v>0.0</v>
      </c>
      <c r="BH34" s="66">
        <v>1974706.24</v>
      </c>
      <c r="BI34" s="67" t="str">
        <f t="shared" si="2"/>
        <v>#REF!</v>
      </c>
      <c r="BJ34" s="68" t="str">
        <f t="shared" si="3"/>
        <v>#REF!</v>
      </c>
      <c r="BK34" s="65">
        <v>58325.0</v>
      </c>
      <c r="BL34" s="65">
        <v>0.0</v>
      </c>
      <c r="BM34" s="66">
        <v>58325.0</v>
      </c>
      <c r="BN34" s="67" t="str">
        <f t="shared" si="4"/>
        <v>#REF!</v>
      </c>
      <c r="BO34" s="68" t="str">
        <f t="shared" si="5"/>
        <v>#REF!</v>
      </c>
      <c r="BP34" s="65">
        <v>0.0</v>
      </c>
      <c r="BQ34" s="65">
        <v>0.0</v>
      </c>
      <c r="BR34" s="66">
        <v>0.0</v>
      </c>
      <c r="BS34" s="67" t="str">
        <f t="shared" si="6"/>
        <v>#REF!</v>
      </c>
      <c r="BT34" s="68" t="str">
        <f>'[1]DATA CONSOLIDADA 2018-2025 '!$BR34-Hoja1!$BO34</f>
        <v>#REF!</v>
      </c>
      <c r="BU34" s="65">
        <v>0.0</v>
      </c>
      <c r="BV34" s="65">
        <v>0.0</v>
      </c>
      <c r="BW34" s="66">
        <v>0.0</v>
      </c>
      <c r="BX34" s="67" t="str">
        <f t="shared" si="7"/>
        <v>#REF!</v>
      </c>
      <c r="BY34" s="68" t="str">
        <f t="shared" si="8"/>
        <v>#REF!</v>
      </c>
      <c r="BZ34" s="65">
        <v>0.0</v>
      </c>
      <c r="CA34" s="65">
        <v>0.0</v>
      </c>
      <c r="CB34" s="66">
        <v>0.0</v>
      </c>
      <c r="CC34" s="67" t="str">
        <f t="shared" si="9"/>
        <v>#REF!</v>
      </c>
      <c r="CD34" s="68" t="str">
        <f>'[1]DATA CONSOLIDADA 2018-2025 '!$CB34-Hoja1!$BW34</f>
        <v>#REF!</v>
      </c>
      <c r="CE34" s="70">
        <v>0.0</v>
      </c>
      <c r="CF34" s="70">
        <v>0.0</v>
      </c>
      <c r="CG34" s="71">
        <v>0.0</v>
      </c>
      <c r="CH34" s="67" t="str">
        <f t="shared" si="10"/>
        <v>#REF!</v>
      </c>
      <c r="CI34" s="68" t="str">
        <f>'[1]DATA CONSOLIDADA 2018-2025 '!$CG34-Hoja1!$CB34</f>
        <v>#REF!</v>
      </c>
      <c r="CJ34" s="64" t="str">
        <f t="shared" si="11"/>
        <v>#REF!</v>
      </c>
      <c r="CK34" s="64">
        <v>0.0</v>
      </c>
      <c r="CL34" s="64">
        <v>0.0</v>
      </c>
      <c r="CM34" s="64">
        <v>0.0</v>
      </c>
      <c r="CN34" s="64" t="str">
        <f t="shared" si="12"/>
        <v>#REF!</v>
      </c>
      <c r="CO34" s="68" t="str">
        <f>'[1]DATA CONSOLIDADA 2018-2025 '!$CM34-Hoja1!$CG34</f>
        <v>#REF!</v>
      </c>
      <c r="CP34" s="70">
        <v>0.0</v>
      </c>
      <c r="CQ34" s="70">
        <v>0.0</v>
      </c>
      <c r="CR34" s="70">
        <v>0.0</v>
      </c>
      <c r="CS34" s="70">
        <v>0.0</v>
      </c>
      <c r="CT34" s="70">
        <v>0.0</v>
      </c>
      <c r="CU34" s="70">
        <v>0.0</v>
      </c>
      <c r="CV34" s="64">
        <v>0.0</v>
      </c>
      <c r="CW34" s="64">
        <v>0.0</v>
      </c>
      <c r="CX34" s="64">
        <v>0.0</v>
      </c>
      <c r="CY34" s="64">
        <v>0.0</v>
      </c>
      <c r="CZ34" s="64">
        <v>0.0</v>
      </c>
      <c r="DA34" s="64">
        <v>0.0</v>
      </c>
      <c r="DB34" s="64">
        <v>0.0</v>
      </c>
      <c r="DC34" s="72">
        <v>0.0</v>
      </c>
      <c r="DD34" s="72">
        <v>0.0</v>
      </c>
      <c r="DE34" s="72">
        <v>0.0</v>
      </c>
      <c r="DF34" s="72">
        <v>0.0</v>
      </c>
      <c r="DG34" s="72">
        <v>0.0</v>
      </c>
      <c r="DH34" s="72">
        <v>0.0</v>
      </c>
      <c r="DI34" s="73">
        <v>2.0490594265E10</v>
      </c>
      <c r="DJ34" s="74" t="s">
        <v>234</v>
      </c>
      <c r="DK34" s="74" t="s">
        <v>138</v>
      </c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</row>
    <row r="35" ht="47.25" hidden="1" customHeight="1">
      <c r="A35" s="55" t="s">
        <v>235</v>
      </c>
      <c r="B35" s="55" t="s">
        <v>236</v>
      </c>
      <c r="C35" s="55" t="s">
        <v>237</v>
      </c>
      <c r="D35" s="55" t="s">
        <v>227</v>
      </c>
      <c r="E35" s="55" t="s">
        <v>238</v>
      </c>
      <c r="F35" s="55" t="s">
        <v>227</v>
      </c>
      <c r="G35" s="55" t="s">
        <v>239</v>
      </c>
      <c r="H35" s="55" t="s">
        <v>240</v>
      </c>
      <c r="I35" s="56">
        <v>1.0</v>
      </c>
      <c r="J35" s="56">
        <v>1.0</v>
      </c>
      <c r="K35" s="56">
        <v>1.0</v>
      </c>
      <c r="L35" s="56">
        <v>1.0</v>
      </c>
      <c r="M35" s="56"/>
      <c r="N35" s="56">
        <v>1.0</v>
      </c>
      <c r="O35" s="56"/>
      <c r="P35" s="56">
        <v>1.0</v>
      </c>
      <c r="Q35" s="56" t="s">
        <v>131</v>
      </c>
      <c r="R35" s="58" t="str">
        <f t="shared" si="1"/>
        <v>2018-2019-2020-2021-2023 - 2025</v>
      </c>
      <c r="S35" s="59" t="str">
        <f>SUM(Hoja1!$I35:$P35)</f>
        <v>6</v>
      </c>
      <c r="T35" s="59" t="str">
        <f>IF(OR(Hoja1!$J35=1,Hoja1!$K35=1,Hoja1!$L35=1,Hoja1!$M35=1,Hoja1!$N35=1,Hoja1!$O35=1,Hoja1!$P35=1),"SI","NO")</f>
        <v>SI</v>
      </c>
      <c r="U35" s="59" t="str">
        <f>IF(OR(Hoja1!$K35=1,Hoja1!$L35=1,Hoja1!$M35=1,Hoja1!$N35=1,Hoja1!$O35=1,Hoja1!$P35=1),"SI","NO")</f>
        <v>SI</v>
      </c>
      <c r="V35" s="60">
        <v>463.0</v>
      </c>
      <c r="W35" s="61">
        <v>217.0</v>
      </c>
      <c r="X35" s="61">
        <v>44.0</v>
      </c>
      <c r="Y35" s="60">
        <v>261.0</v>
      </c>
      <c r="Z35" s="61">
        <v>210.0</v>
      </c>
      <c r="AA35" s="61">
        <v>43.0</v>
      </c>
      <c r="AB35" s="60">
        <v>253.0</v>
      </c>
      <c r="AC35" s="61">
        <v>190.0</v>
      </c>
      <c r="AD35" s="61">
        <v>50.0</v>
      </c>
      <c r="AE35" s="60">
        <v>240.0</v>
      </c>
      <c r="AF35" s="61">
        <v>0.0</v>
      </c>
      <c r="AG35" s="61">
        <v>0.0</v>
      </c>
      <c r="AH35" s="60">
        <v>0.0</v>
      </c>
      <c r="AI35" s="61">
        <v>120.0</v>
      </c>
      <c r="AJ35" s="61">
        <v>80.0</v>
      </c>
      <c r="AK35" s="60">
        <v>200.0</v>
      </c>
      <c r="AL35" s="61">
        <v>0.0</v>
      </c>
      <c r="AM35" s="61">
        <v>0.0</v>
      </c>
      <c r="AN35" s="60">
        <v>0.0</v>
      </c>
      <c r="AO35" s="62">
        <v>92.0</v>
      </c>
      <c r="AP35" s="62">
        <v>15.0</v>
      </c>
      <c r="AQ35" s="60">
        <v>107.0</v>
      </c>
      <c r="AR35" s="60" t="str">
        <f>IF(Hoja1!$AQ35&gt;0,Hoja1!$AQ35,IF(Hoja1!$AN35&gt;0,Hoja1!$AN35,IF(Hoja1!$AK35&gt;0,Hoja1!$AK35,IF(Hoja1!$AH35&gt;0,Hoja1!$AH35,IF(Hoja1!$AE35&gt;0,Hoja1!$AE35,IF(Hoja1!$AB35&gt;0,Hoja1!$AB35,IF(Hoja1!$Y35&gt;0,Hoja1!$Y35,IF(Hoja1!$V35&gt;0,Hoja1!$V35," ---"))))))))</f>
        <v>107</v>
      </c>
      <c r="AS35" s="63">
        <v>0.0</v>
      </c>
      <c r="AT35" s="63">
        <v>7.0</v>
      </c>
      <c r="AU35" s="63">
        <v>22.0</v>
      </c>
      <c r="AV35" s="63">
        <v>4.0</v>
      </c>
      <c r="AW35" s="63">
        <v>0.0</v>
      </c>
      <c r="AX35" s="63">
        <v>0.0</v>
      </c>
      <c r="AY35" s="63">
        <v>25.0</v>
      </c>
      <c r="AZ35" s="63">
        <v>7.0</v>
      </c>
      <c r="BA35" s="63">
        <v>0.0</v>
      </c>
      <c r="BB35" s="63">
        <v>0.0</v>
      </c>
      <c r="BC35" s="63">
        <v>24.0</v>
      </c>
      <c r="BD35" s="63">
        <v>0.0</v>
      </c>
      <c r="BE35" s="66">
        <v>2120163.16</v>
      </c>
      <c r="BF35" s="65">
        <v>2632717.16</v>
      </c>
      <c r="BG35" s="65">
        <v>0.0</v>
      </c>
      <c r="BH35" s="66">
        <v>2632717.16</v>
      </c>
      <c r="BI35" s="67" t="str">
        <f t="shared" si="2"/>
        <v>#REF!</v>
      </c>
      <c r="BJ35" s="68" t="str">
        <f t="shared" si="3"/>
        <v>#REF!</v>
      </c>
      <c r="BK35" s="65">
        <v>1413126.59</v>
      </c>
      <c r="BL35" s="65">
        <v>951293.2</v>
      </c>
      <c r="BM35" s="66">
        <v>2364419.79</v>
      </c>
      <c r="BN35" s="67" t="str">
        <f t="shared" si="4"/>
        <v>#REF!</v>
      </c>
      <c r="BO35" s="68" t="str">
        <f t="shared" si="5"/>
        <v>#REF!</v>
      </c>
      <c r="BP35" s="65">
        <v>671996.57</v>
      </c>
      <c r="BQ35" s="65">
        <v>364049.58</v>
      </c>
      <c r="BR35" s="66">
        <v>1036046.15</v>
      </c>
      <c r="BS35" s="67" t="str">
        <f t="shared" si="6"/>
        <v>#REF!</v>
      </c>
      <c r="BT35" s="68" t="str">
        <f>'[1]DATA CONSOLIDADA 2018-2025 '!$BR35-Hoja1!$BO35</f>
        <v>#REF!</v>
      </c>
      <c r="BU35" s="65">
        <v>0.0</v>
      </c>
      <c r="BV35" s="65">
        <v>0.0</v>
      </c>
      <c r="BW35" s="66">
        <v>0.0</v>
      </c>
      <c r="BX35" s="67" t="str">
        <f t="shared" si="7"/>
        <v>#REF!</v>
      </c>
      <c r="BY35" s="68" t="str">
        <f t="shared" si="8"/>
        <v>#REF!</v>
      </c>
      <c r="BZ35" s="65">
        <v>2082623.3</v>
      </c>
      <c r="CA35" s="65">
        <v>0.0</v>
      </c>
      <c r="CB35" s="66">
        <v>2082623.3</v>
      </c>
      <c r="CC35" s="67" t="str">
        <f t="shared" si="9"/>
        <v>#REF!</v>
      </c>
      <c r="CD35" s="68" t="str">
        <f>'[1]DATA CONSOLIDADA 2018-2025 '!$CB35-Hoja1!$BW35</f>
        <v>#REF!</v>
      </c>
      <c r="CE35" s="70">
        <v>0.0</v>
      </c>
      <c r="CF35" s="70">
        <v>0.0</v>
      </c>
      <c r="CG35" s="71">
        <v>0.0</v>
      </c>
      <c r="CH35" s="67" t="str">
        <f t="shared" si="10"/>
        <v>#REF!</v>
      </c>
      <c r="CI35" s="68" t="str">
        <f>'[1]DATA CONSOLIDADA 2018-2025 '!$CG35-Hoja1!$CB35</f>
        <v>#REF!</v>
      </c>
      <c r="CJ35" s="64" t="str">
        <f t="shared" si="11"/>
        <v>#REF!</v>
      </c>
      <c r="CK35" s="64">
        <v>108583.6</v>
      </c>
      <c r="CL35" s="64">
        <v>0.0</v>
      </c>
      <c r="CM35" s="64">
        <v>108583.6</v>
      </c>
      <c r="CN35" s="64" t="str">
        <f t="shared" si="12"/>
        <v>#REF!</v>
      </c>
      <c r="CO35" s="68" t="str">
        <f>'[1]DATA CONSOLIDADA 2018-2025 '!$CM35-Hoja1!$CG35</f>
        <v>#REF!</v>
      </c>
      <c r="CP35" s="70">
        <v>0.0</v>
      </c>
      <c r="CQ35" s="70">
        <v>0.0</v>
      </c>
      <c r="CR35" s="70">
        <v>0.0</v>
      </c>
      <c r="CS35" s="70">
        <v>2082623.3</v>
      </c>
      <c r="CT35" s="70">
        <v>0.0</v>
      </c>
      <c r="CU35" s="70">
        <v>0.0</v>
      </c>
      <c r="CV35" s="64">
        <v>2082623.3</v>
      </c>
      <c r="CW35" s="64">
        <v>0.0</v>
      </c>
      <c r="CX35" s="64">
        <v>0.0</v>
      </c>
      <c r="CY35" s="64">
        <v>0.0</v>
      </c>
      <c r="CZ35" s="64">
        <v>0.0</v>
      </c>
      <c r="DA35" s="64">
        <v>0.0</v>
      </c>
      <c r="DB35" s="64">
        <v>0.0</v>
      </c>
      <c r="DC35" s="72">
        <v>0.0</v>
      </c>
      <c r="DD35" s="72">
        <v>0.0</v>
      </c>
      <c r="DE35" s="72">
        <v>108583.6</v>
      </c>
      <c r="DF35" s="72">
        <v>0.0</v>
      </c>
      <c r="DG35" s="72">
        <v>0.0</v>
      </c>
      <c r="DH35" s="72">
        <v>108583.6</v>
      </c>
      <c r="DI35" s="73">
        <v>2.0490810146E10</v>
      </c>
      <c r="DJ35" s="74" t="s">
        <v>241</v>
      </c>
      <c r="DK35" s="74" t="s">
        <v>132</v>
      </c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</row>
    <row r="36" ht="47.25" hidden="1" customHeight="1">
      <c r="A36" s="55" t="s">
        <v>242</v>
      </c>
      <c r="B36" s="55" t="s">
        <v>236</v>
      </c>
      <c r="C36" s="55" t="s">
        <v>237</v>
      </c>
      <c r="D36" s="55" t="s">
        <v>227</v>
      </c>
      <c r="E36" s="55" t="s">
        <v>243</v>
      </c>
      <c r="F36" s="55" t="s">
        <v>227</v>
      </c>
      <c r="G36" s="55" t="s">
        <v>239</v>
      </c>
      <c r="H36" s="55" t="s">
        <v>239</v>
      </c>
      <c r="I36" s="56">
        <v>1.0</v>
      </c>
      <c r="J36" s="56">
        <v>1.0</v>
      </c>
      <c r="K36" s="56">
        <v>1.0</v>
      </c>
      <c r="L36" s="56">
        <v>1.0</v>
      </c>
      <c r="M36" s="56">
        <v>1.0</v>
      </c>
      <c r="N36" s="56">
        <v>1.0</v>
      </c>
      <c r="O36" s="56"/>
      <c r="P36" s="56"/>
      <c r="Q36" s="56" t="s">
        <v>131</v>
      </c>
      <c r="R36" s="58" t="str">
        <f t="shared" si="1"/>
        <v>2018-2019-2020-2021-2022-2023</v>
      </c>
      <c r="S36" s="59" t="str">
        <f>SUM(Hoja1!$I36:$P36)</f>
        <v>6</v>
      </c>
      <c r="T36" s="59" t="str">
        <f>IF(OR(Hoja1!$J36=1,Hoja1!$K36=1,Hoja1!$L36=1,Hoja1!$M36=1,Hoja1!$N36=1,Hoja1!$O36=1,Hoja1!$P36=1),"SI","NO")</f>
        <v>SI</v>
      </c>
      <c r="U36" s="59" t="str">
        <f>IF(OR(Hoja1!$K36=1,Hoja1!$L36=1,Hoja1!$M36=1,Hoja1!$N36=1,Hoja1!$O36=1,Hoja1!$P36=1),"SI","NO")</f>
        <v>SI</v>
      </c>
      <c r="V36" s="60">
        <v>168.0</v>
      </c>
      <c r="W36" s="61">
        <v>93.0</v>
      </c>
      <c r="X36" s="61">
        <v>42.0</v>
      </c>
      <c r="Y36" s="60">
        <v>135.0</v>
      </c>
      <c r="Z36" s="61">
        <v>82.0</v>
      </c>
      <c r="AA36" s="61">
        <v>41.0</v>
      </c>
      <c r="AB36" s="60">
        <v>123.0</v>
      </c>
      <c r="AC36" s="61">
        <v>103.0</v>
      </c>
      <c r="AD36" s="61">
        <v>47.0</v>
      </c>
      <c r="AE36" s="60">
        <v>150.0</v>
      </c>
      <c r="AF36" s="61">
        <v>103.0</v>
      </c>
      <c r="AG36" s="61">
        <v>47.0</v>
      </c>
      <c r="AH36" s="60">
        <v>150.0</v>
      </c>
      <c r="AI36" s="61">
        <v>103.0</v>
      </c>
      <c r="AJ36" s="61">
        <v>47.0</v>
      </c>
      <c r="AK36" s="60">
        <v>150.0</v>
      </c>
      <c r="AL36" s="61">
        <v>0.0</v>
      </c>
      <c r="AM36" s="61">
        <v>0.0</v>
      </c>
      <c r="AN36" s="60">
        <v>0.0</v>
      </c>
      <c r="AO36" s="62">
        <v>0.0</v>
      </c>
      <c r="AP36" s="62">
        <v>0.0</v>
      </c>
      <c r="AQ36" s="60">
        <v>0.0</v>
      </c>
      <c r="AR36" s="60" t="str">
        <f>IF(Hoja1!$AQ36&gt;0,Hoja1!$AQ36,IF(Hoja1!$AN36&gt;0,Hoja1!$AN36,IF(Hoja1!$AK36&gt;0,Hoja1!$AK36,IF(Hoja1!$AH36&gt;0,Hoja1!$AH36,IF(Hoja1!$AE36&gt;0,Hoja1!$AE36,IF(Hoja1!$AB36&gt;0,Hoja1!$AB36,IF(Hoja1!$Y36&gt;0,Hoja1!$Y36,IF(Hoja1!$V36&gt;0,Hoja1!$V36," ---"))))))))</f>
        <v>150</v>
      </c>
      <c r="AS36" s="63">
        <v>0.0</v>
      </c>
      <c r="AT36" s="63">
        <v>6.0</v>
      </c>
      <c r="AU36" s="63">
        <v>59.0</v>
      </c>
      <c r="AV36" s="63">
        <v>4.0</v>
      </c>
      <c r="AW36" s="63">
        <v>24.0</v>
      </c>
      <c r="AX36" s="63">
        <v>3.0</v>
      </c>
      <c r="AY36" s="63">
        <v>5.0</v>
      </c>
      <c r="AZ36" s="63">
        <v>0.0</v>
      </c>
      <c r="BA36" s="63">
        <v>0.0</v>
      </c>
      <c r="BB36" s="63">
        <v>0.0</v>
      </c>
      <c r="BC36" s="63">
        <v>0.0</v>
      </c>
      <c r="BD36" s="63">
        <v>0.0</v>
      </c>
      <c r="BE36" s="64">
        <v>0.0</v>
      </c>
      <c r="BF36" s="65">
        <v>471229.0</v>
      </c>
      <c r="BG36" s="65">
        <v>0.0</v>
      </c>
      <c r="BH36" s="66">
        <v>471229.0</v>
      </c>
      <c r="BI36" s="67" t="str">
        <f t="shared" si="2"/>
        <v>#REF!</v>
      </c>
      <c r="BJ36" s="68" t="str">
        <f t="shared" si="3"/>
        <v>#REF!</v>
      </c>
      <c r="BK36" s="65">
        <v>1076214.4</v>
      </c>
      <c r="BL36" s="65">
        <v>0.0</v>
      </c>
      <c r="BM36" s="66">
        <v>1076214.4</v>
      </c>
      <c r="BN36" s="67" t="str">
        <f t="shared" si="4"/>
        <v>#REF!</v>
      </c>
      <c r="BO36" s="68" t="str">
        <f t="shared" si="5"/>
        <v>#REF!</v>
      </c>
      <c r="BP36" s="65">
        <v>748371.58</v>
      </c>
      <c r="BQ36" s="65">
        <v>0.0</v>
      </c>
      <c r="BR36" s="66">
        <v>748371.58</v>
      </c>
      <c r="BS36" s="67" t="str">
        <f t="shared" si="6"/>
        <v>#REF!</v>
      </c>
      <c r="BT36" s="68" t="str">
        <f>'[1]DATA CONSOLIDADA 2018-2025 '!$BR36-Hoja1!$BO36</f>
        <v>#REF!</v>
      </c>
      <c r="BU36" s="65">
        <v>0.0</v>
      </c>
      <c r="BV36" s="65">
        <v>0.0</v>
      </c>
      <c r="BW36" s="66">
        <v>0.0</v>
      </c>
      <c r="BX36" s="67" t="str">
        <f t="shared" si="7"/>
        <v>#REF!</v>
      </c>
      <c r="BY36" s="68" t="str">
        <f t="shared" si="8"/>
        <v>#REF!</v>
      </c>
      <c r="BZ36" s="65">
        <v>200004.0</v>
      </c>
      <c r="CA36" s="65">
        <v>0.0</v>
      </c>
      <c r="CB36" s="66">
        <v>200004.0</v>
      </c>
      <c r="CC36" s="67" t="str">
        <f t="shared" si="9"/>
        <v>#REF!</v>
      </c>
      <c r="CD36" s="68" t="str">
        <f>'[1]DATA CONSOLIDADA 2018-2025 '!$CB36-Hoja1!$BW36</f>
        <v>#REF!</v>
      </c>
      <c r="CE36" s="70">
        <v>0.0</v>
      </c>
      <c r="CF36" s="70">
        <v>0.0</v>
      </c>
      <c r="CG36" s="71">
        <v>0.0</v>
      </c>
      <c r="CH36" s="67" t="str">
        <f t="shared" si="10"/>
        <v>#REF!</v>
      </c>
      <c r="CI36" s="68" t="str">
        <f>'[1]DATA CONSOLIDADA 2018-2025 '!$CG36-Hoja1!$CB36</f>
        <v>#REF!</v>
      </c>
      <c r="CJ36" s="64" t="str">
        <f t="shared" si="11"/>
        <v>#REF!</v>
      </c>
      <c r="CK36" s="64">
        <v>0.0</v>
      </c>
      <c r="CL36" s="64">
        <v>0.0</v>
      </c>
      <c r="CM36" s="64">
        <v>0.0</v>
      </c>
      <c r="CN36" s="64" t="str">
        <f t="shared" si="12"/>
        <v>#REF!</v>
      </c>
      <c r="CO36" s="68" t="str">
        <f>'[1]DATA CONSOLIDADA 2018-2025 '!$CM36-Hoja1!$CG36</f>
        <v>#REF!</v>
      </c>
      <c r="CP36" s="70">
        <v>0.0</v>
      </c>
      <c r="CQ36" s="70">
        <v>200004.0</v>
      </c>
      <c r="CR36" s="70">
        <v>0.0</v>
      </c>
      <c r="CS36" s="70">
        <v>0.0</v>
      </c>
      <c r="CT36" s="70">
        <v>0.0</v>
      </c>
      <c r="CU36" s="70">
        <v>0.0</v>
      </c>
      <c r="CV36" s="64">
        <v>200004.0</v>
      </c>
      <c r="CW36" s="64">
        <v>0.0</v>
      </c>
      <c r="CX36" s="64">
        <v>0.0</v>
      </c>
      <c r="CY36" s="64">
        <v>0.0</v>
      </c>
      <c r="CZ36" s="64">
        <v>0.0</v>
      </c>
      <c r="DA36" s="64">
        <v>0.0</v>
      </c>
      <c r="DB36" s="64">
        <v>0.0</v>
      </c>
      <c r="DC36" s="72">
        <v>0.0</v>
      </c>
      <c r="DD36" s="72">
        <v>0.0</v>
      </c>
      <c r="DE36" s="72">
        <v>0.0</v>
      </c>
      <c r="DF36" s="72">
        <v>0.0</v>
      </c>
      <c r="DG36" s="72">
        <v>0.0</v>
      </c>
      <c r="DH36" s="72">
        <v>0.0</v>
      </c>
      <c r="DI36" s="73">
        <v>2.0600998847E10</v>
      </c>
      <c r="DJ36" s="74" t="s">
        <v>244</v>
      </c>
      <c r="DK36" s="74" t="s">
        <v>132</v>
      </c>
      <c r="DL36" s="75"/>
      <c r="DM36" s="7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</row>
    <row r="37" ht="47.25" hidden="1" customHeight="1">
      <c r="A37" s="55" t="s">
        <v>245</v>
      </c>
      <c r="B37" s="55" t="s">
        <v>236</v>
      </c>
      <c r="C37" s="55" t="s">
        <v>237</v>
      </c>
      <c r="D37" s="55" t="s">
        <v>227</v>
      </c>
      <c r="E37" s="55" t="s">
        <v>246</v>
      </c>
      <c r="F37" s="55" t="s">
        <v>227</v>
      </c>
      <c r="G37" s="55" t="s">
        <v>247</v>
      </c>
      <c r="H37" s="55" t="s">
        <v>247</v>
      </c>
      <c r="I37" s="56"/>
      <c r="J37" s="56">
        <v>1.0</v>
      </c>
      <c r="K37" s="56">
        <v>1.0</v>
      </c>
      <c r="L37" s="56">
        <v>1.0</v>
      </c>
      <c r="M37" s="56"/>
      <c r="N37" s="56"/>
      <c r="O37" s="56"/>
      <c r="P37" s="56"/>
      <c r="Q37" s="56" t="s">
        <v>131</v>
      </c>
      <c r="R37" s="58" t="str">
        <f t="shared" si="1"/>
        <v>2019-2020-2021</v>
      </c>
      <c r="S37" s="59" t="str">
        <f>SUM(Hoja1!$I37:$P37)</f>
        <v>3</v>
      </c>
      <c r="T37" s="59" t="str">
        <f>IF(OR(Hoja1!$J37=1,Hoja1!$K37=1,Hoja1!$L37=1,Hoja1!$M37=1,Hoja1!$N37=1,Hoja1!$O37=1,Hoja1!$P37=1),"SI","NO")</f>
        <v>SI</v>
      </c>
      <c r="U37" s="59" t="str">
        <f>IF(OR(Hoja1!$K37=1,Hoja1!$L37=1,Hoja1!$M37=1,Hoja1!$N37=1,Hoja1!$O37=1,Hoja1!$P37=1),"SI","NO")</f>
        <v>SI</v>
      </c>
      <c r="V37" s="60">
        <v>0.0</v>
      </c>
      <c r="W37" s="61">
        <v>4.0</v>
      </c>
      <c r="X37" s="61">
        <v>6.0</v>
      </c>
      <c r="Y37" s="60">
        <v>10.0</v>
      </c>
      <c r="Z37" s="61">
        <v>8.0</v>
      </c>
      <c r="AA37" s="61">
        <v>17.0</v>
      </c>
      <c r="AB37" s="60">
        <v>25.0</v>
      </c>
      <c r="AC37" s="61">
        <v>8.0</v>
      </c>
      <c r="AD37" s="61">
        <v>17.0</v>
      </c>
      <c r="AE37" s="60">
        <v>25.0</v>
      </c>
      <c r="AF37" s="61">
        <v>0.0</v>
      </c>
      <c r="AG37" s="61">
        <v>0.0</v>
      </c>
      <c r="AH37" s="60">
        <v>0.0</v>
      </c>
      <c r="AI37" s="61">
        <v>0.0</v>
      </c>
      <c r="AJ37" s="61">
        <v>0.0</v>
      </c>
      <c r="AK37" s="60">
        <v>0.0</v>
      </c>
      <c r="AL37" s="61">
        <v>0.0</v>
      </c>
      <c r="AM37" s="61">
        <v>0.0</v>
      </c>
      <c r="AN37" s="60">
        <v>0.0</v>
      </c>
      <c r="AO37" s="62">
        <v>0.0</v>
      </c>
      <c r="AP37" s="62">
        <v>0.0</v>
      </c>
      <c r="AQ37" s="60">
        <v>0.0</v>
      </c>
      <c r="AR37" s="60" t="str">
        <f>IF(Hoja1!$AQ37&gt;0,Hoja1!$AQ37,IF(Hoja1!$AN37&gt;0,Hoja1!$AN37,IF(Hoja1!$AK37&gt;0,Hoja1!$AK37,IF(Hoja1!$AH37&gt;0,Hoja1!$AH37,IF(Hoja1!$AE37&gt;0,Hoja1!$AE37,IF(Hoja1!$AB37&gt;0,Hoja1!$AB37,IF(Hoja1!$Y37&gt;0,Hoja1!$Y37,IF(Hoja1!$V37&gt;0,Hoja1!$V37," ---"))))))))</f>
        <v>25</v>
      </c>
      <c r="AS37" s="63">
        <v>0.0</v>
      </c>
      <c r="AT37" s="63">
        <v>0.0</v>
      </c>
      <c r="AU37" s="63">
        <v>3.0</v>
      </c>
      <c r="AV37" s="63">
        <v>0.0</v>
      </c>
      <c r="AW37" s="63">
        <v>0.0</v>
      </c>
      <c r="AX37" s="63">
        <v>0.0</v>
      </c>
      <c r="AY37" s="63">
        <v>0.0</v>
      </c>
      <c r="AZ37" s="63">
        <v>0.0</v>
      </c>
      <c r="BA37" s="63">
        <v>0.0</v>
      </c>
      <c r="BB37" s="63">
        <v>0.0</v>
      </c>
      <c r="BC37" s="63">
        <v>0.0</v>
      </c>
      <c r="BD37" s="63">
        <v>0.0</v>
      </c>
      <c r="BE37" s="64">
        <v>0.0</v>
      </c>
      <c r="BF37" s="65">
        <v>48276.0</v>
      </c>
      <c r="BG37" s="65">
        <v>0.0</v>
      </c>
      <c r="BH37" s="66">
        <v>48276.0</v>
      </c>
      <c r="BI37" s="67" t="str">
        <f t="shared" si="2"/>
        <v>#REF!</v>
      </c>
      <c r="BJ37" s="68" t="str">
        <f t="shared" si="3"/>
        <v>#REF!</v>
      </c>
      <c r="BK37" s="65">
        <v>37127.0</v>
      </c>
      <c r="BL37" s="65">
        <v>0.0</v>
      </c>
      <c r="BM37" s="66">
        <v>37127.0</v>
      </c>
      <c r="BN37" s="67" t="str">
        <f t="shared" si="4"/>
        <v>#REF!</v>
      </c>
      <c r="BO37" s="68" t="str">
        <f t="shared" si="5"/>
        <v>#REF!</v>
      </c>
      <c r="BP37" s="65">
        <v>50168.0</v>
      </c>
      <c r="BQ37" s="65">
        <v>0.0</v>
      </c>
      <c r="BR37" s="66">
        <v>50168.0</v>
      </c>
      <c r="BS37" s="67" t="str">
        <f t="shared" si="6"/>
        <v>#REF!</v>
      </c>
      <c r="BT37" s="68" t="str">
        <f>'[1]DATA CONSOLIDADA 2018-2025 '!$BR37-Hoja1!$BO37</f>
        <v>#REF!</v>
      </c>
      <c r="BU37" s="65">
        <v>0.0</v>
      </c>
      <c r="BV37" s="65">
        <v>0.0</v>
      </c>
      <c r="BW37" s="66">
        <v>0.0</v>
      </c>
      <c r="BX37" s="67" t="str">
        <f t="shared" si="7"/>
        <v>#REF!</v>
      </c>
      <c r="BY37" s="68" t="str">
        <f t="shared" si="8"/>
        <v>#REF!</v>
      </c>
      <c r="BZ37" s="65">
        <v>0.0</v>
      </c>
      <c r="CA37" s="65">
        <v>0.0</v>
      </c>
      <c r="CB37" s="66">
        <v>0.0</v>
      </c>
      <c r="CC37" s="67" t="str">
        <f t="shared" si="9"/>
        <v>#REF!</v>
      </c>
      <c r="CD37" s="68" t="str">
        <f>'[1]DATA CONSOLIDADA 2018-2025 '!$CB37-Hoja1!$BW37</f>
        <v>#REF!</v>
      </c>
      <c r="CE37" s="70">
        <v>0.0</v>
      </c>
      <c r="CF37" s="70">
        <v>0.0</v>
      </c>
      <c r="CG37" s="71">
        <v>0.0</v>
      </c>
      <c r="CH37" s="67" t="str">
        <f t="shared" si="10"/>
        <v>#REF!</v>
      </c>
      <c r="CI37" s="68" t="str">
        <f>'[1]DATA CONSOLIDADA 2018-2025 '!$CG37-Hoja1!$CB37</f>
        <v>#REF!</v>
      </c>
      <c r="CJ37" s="64" t="str">
        <f t="shared" si="11"/>
        <v>#REF!</v>
      </c>
      <c r="CK37" s="64">
        <v>0.0</v>
      </c>
      <c r="CL37" s="64">
        <v>0.0</v>
      </c>
      <c r="CM37" s="64">
        <v>0.0</v>
      </c>
      <c r="CN37" s="64" t="str">
        <f t="shared" si="12"/>
        <v>#REF!</v>
      </c>
      <c r="CO37" s="68" t="str">
        <f>'[1]DATA CONSOLIDADA 2018-2025 '!$CM37-Hoja1!$CG37</f>
        <v>#REF!</v>
      </c>
      <c r="CP37" s="70">
        <v>0.0</v>
      </c>
      <c r="CQ37" s="70">
        <v>0.0</v>
      </c>
      <c r="CR37" s="70">
        <v>0.0</v>
      </c>
      <c r="CS37" s="70">
        <v>0.0</v>
      </c>
      <c r="CT37" s="70">
        <v>0.0</v>
      </c>
      <c r="CU37" s="70">
        <v>0.0</v>
      </c>
      <c r="CV37" s="64">
        <v>0.0</v>
      </c>
      <c r="CW37" s="64">
        <v>0.0</v>
      </c>
      <c r="CX37" s="64">
        <v>0.0</v>
      </c>
      <c r="CY37" s="64">
        <v>0.0</v>
      </c>
      <c r="CZ37" s="64">
        <v>0.0</v>
      </c>
      <c r="DA37" s="64">
        <v>0.0</v>
      </c>
      <c r="DB37" s="64">
        <v>0.0</v>
      </c>
      <c r="DC37" s="72">
        <v>0.0</v>
      </c>
      <c r="DD37" s="72">
        <v>0.0</v>
      </c>
      <c r="DE37" s="72">
        <v>0.0</v>
      </c>
      <c r="DF37" s="72">
        <v>0.0</v>
      </c>
      <c r="DG37" s="72">
        <v>0.0</v>
      </c>
      <c r="DH37" s="72">
        <v>0.0</v>
      </c>
      <c r="DI37" s="73">
        <v>2.0490195301E10</v>
      </c>
      <c r="DJ37" s="74" t="s">
        <v>248</v>
      </c>
      <c r="DK37" s="74" t="s">
        <v>138</v>
      </c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</row>
    <row r="38" ht="47.25" hidden="1" customHeight="1">
      <c r="A38" s="55" t="s">
        <v>249</v>
      </c>
      <c r="B38" s="55" t="s">
        <v>250</v>
      </c>
      <c r="C38" s="55" t="s">
        <v>250</v>
      </c>
      <c r="D38" s="55" t="s">
        <v>227</v>
      </c>
      <c r="E38" s="55" t="s">
        <v>251</v>
      </c>
      <c r="F38" s="55" t="s">
        <v>227</v>
      </c>
      <c r="G38" s="55" t="s">
        <v>252</v>
      </c>
      <c r="H38" s="55" t="s">
        <v>253</v>
      </c>
      <c r="I38" s="56">
        <v>1.0</v>
      </c>
      <c r="J38" s="56">
        <v>1.0</v>
      </c>
      <c r="K38" s="56"/>
      <c r="L38" s="56"/>
      <c r="M38" s="56"/>
      <c r="N38" s="56"/>
      <c r="O38" s="56"/>
      <c r="P38" s="56"/>
      <c r="Q38" s="56" t="s">
        <v>131</v>
      </c>
      <c r="R38" s="58" t="str">
        <f t="shared" si="1"/>
        <v>2018-2019</v>
      </c>
      <c r="S38" s="59" t="str">
        <f>SUM(Hoja1!$I38:$P38)</f>
        <v>2</v>
      </c>
      <c r="T38" s="59" t="str">
        <f>IF(OR(Hoja1!$J38=1,Hoja1!$K38=1,Hoja1!$L38=1,Hoja1!$M38=1,Hoja1!$N38=1,Hoja1!$O38=1,Hoja1!$P38=1),"SI","NO")</f>
        <v>SI</v>
      </c>
      <c r="U38" s="59" t="str">
        <f>IF(OR(Hoja1!$K38=1,Hoja1!$L38=1,Hoja1!$M38=1,Hoja1!$N38=1,Hoja1!$O38=1,Hoja1!$P38=1),"SI","NO")</f>
        <v>NO</v>
      </c>
      <c r="V38" s="60">
        <v>46.0</v>
      </c>
      <c r="W38" s="61">
        <v>15.0</v>
      </c>
      <c r="X38" s="61">
        <v>2.0</v>
      </c>
      <c r="Y38" s="60">
        <v>17.0</v>
      </c>
      <c r="Z38" s="61">
        <v>0.0</v>
      </c>
      <c r="AA38" s="61">
        <v>0.0</v>
      </c>
      <c r="AB38" s="60">
        <v>0.0</v>
      </c>
      <c r="AC38" s="61">
        <v>0.0</v>
      </c>
      <c r="AD38" s="61">
        <v>0.0</v>
      </c>
      <c r="AE38" s="60">
        <v>0.0</v>
      </c>
      <c r="AF38" s="61">
        <v>0.0</v>
      </c>
      <c r="AG38" s="61">
        <v>0.0</v>
      </c>
      <c r="AH38" s="60">
        <v>0.0</v>
      </c>
      <c r="AI38" s="61">
        <v>0.0</v>
      </c>
      <c r="AJ38" s="61">
        <v>0.0</v>
      </c>
      <c r="AK38" s="60">
        <v>0.0</v>
      </c>
      <c r="AL38" s="61">
        <v>0.0</v>
      </c>
      <c r="AM38" s="61">
        <v>0.0</v>
      </c>
      <c r="AN38" s="60">
        <v>0.0</v>
      </c>
      <c r="AO38" s="62">
        <v>0.0</v>
      </c>
      <c r="AP38" s="62">
        <v>0.0</v>
      </c>
      <c r="AQ38" s="60">
        <v>0.0</v>
      </c>
      <c r="AR38" s="60" t="str">
        <f>IF(Hoja1!$AQ38&gt;0,Hoja1!$AQ38,IF(Hoja1!$AN38&gt;0,Hoja1!$AN38,IF(Hoja1!$AK38&gt;0,Hoja1!$AK38,IF(Hoja1!$AH38&gt;0,Hoja1!$AH38,IF(Hoja1!$AE38&gt;0,Hoja1!$AE38,IF(Hoja1!$AB38&gt;0,Hoja1!$AB38,IF(Hoja1!$Y38&gt;0,Hoja1!$Y38,IF(Hoja1!$V38&gt;0,Hoja1!$V38," ---"))))))))</f>
        <v>17</v>
      </c>
      <c r="AS38" s="63">
        <v>0.0</v>
      </c>
      <c r="AT38" s="63">
        <v>0.0</v>
      </c>
      <c r="AU38" s="63">
        <v>0.0</v>
      </c>
      <c r="AV38" s="63">
        <v>0.0</v>
      </c>
      <c r="AW38" s="63">
        <v>0.0</v>
      </c>
      <c r="AX38" s="63">
        <v>0.0</v>
      </c>
      <c r="AY38" s="63">
        <v>0.0</v>
      </c>
      <c r="AZ38" s="63">
        <v>0.0</v>
      </c>
      <c r="BA38" s="63">
        <v>0.0</v>
      </c>
      <c r="BB38" s="63">
        <v>0.0</v>
      </c>
      <c r="BC38" s="63">
        <v>0.0</v>
      </c>
      <c r="BD38" s="63">
        <v>0.0</v>
      </c>
      <c r="BE38" s="64">
        <v>0.0</v>
      </c>
      <c r="BF38" s="65">
        <v>59829.9</v>
      </c>
      <c r="BG38" s="65">
        <v>0.0</v>
      </c>
      <c r="BH38" s="66">
        <v>59829.9</v>
      </c>
      <c r="BI38" s="67" t="str">
        <f t="shared" si="2"/>
        <v>#REF!</v>
      </c>
      <c r="BJ38" s="68" t="str">
        <f t="shared" si="3"/>
        <v>#REF!</v>
      </c>
      <c r="BK38" s="69">
        <v>0.0</v>
      </c>
      <c r="BL38" s="69">
        <v>0.0</v>
      </c>
      <c r="BM38" s="64">
        <v>0.0</v>
      </c>
      <c r="BN38" s="67" t="str">
        <f t="shared" si="4"/>
        <v>#REF!</v>
      </c>
      <c r="BO38" s="68" t="str">
        <f t="shared" si="5"/>
        <v>#REF!</v>
      </c>
      <c r="BP38" s="65">
        <v>0.0</v>
      </c>
      <c r="BQ38" s="65">
        <v>0.0</v>
      </c>
      <c r="BR38" s="66">
        <v>0.0</v>
      </c>
      <c r="BS38" s="67" t="str">
        <f t="shared" si="6"/>
        <v>#REF!</v>
      </c>
      <c r="BT38" s="68" t="str">
        <f>'[1]DATA CONSOLIDADA 2018-2025 '!$BR38-Hoja1!$BO38</f>
        <v>#REF!</v>
      </c>
      <c r="BU38" s="65">
        <v>0.0</v>
      </c>
      <c r="BV38" s="65">
        <v>0.0</v>
      </c>
      <c r="BW38" s="66">
        <v>0.0</v>
      </c>
      <c r="BX38" s="67" t="str">
        <f t="shared" si="7"/>
        <v>#REF!</v>
      </c>
      <c r="BY38" s="68" t="str">
        <f t="shared" si="8"/>
        <v>#REF!</v>
      </c>
      <c r="BZ38" s="65">
        <v>0.0</v>
      </c>
      <c r="CA38" s="65">
        <v>0.0</v>
      </c>
      <c r="CB38" s="66">
        <v>0.0</v>
      </c>
      <c r="CC38" s="67" t="str">
        <f t="shared" si="9"/>
        <v>#REF!</v>
      </c>
      <c r="CD38" s="68" t="str">
        <f>'[1]DATA CONSOLIDADA 2018-2025 '!$CB38-Hoja1!$BW38</f>
        <v>#REF!</v>
      </c>
      <c r="CE38" s="70">
        <v>0.0</v>
      </c>
      <c r="CF38" s="70">
        <v>0.0</v>
      </c>
      <c r="CG38" s="71">
        <v>0.0</v>
      </c>
      <c r="CH38" s="67" t="str">
        <f t="shared" si="10"/>
        <v>#REF!</v>
      </c>
      <c r="CI38" s="68" t="str">
        <f>'[1]DATA CONSOLIDADA 2018-2025 '!$CG38-Hoja1!$CB38</f>
        <v>#REF!</v>
      </c>
      <c r="CJ38" s="64" t="str">
        <f t="shared" si="11"/>
        <v>#REF!</v>
      </c>
      <c r="CK38" s="64">
        <v>0.0</v>
      </c>
      <c r="CL38" s="64">
        <v>0.0</v>
      </c>
      <c r="CM38" s="64">
        <v>0.0</v>
      </c>
      <c r="CN38" s="64" t="str">
        <f t="shared" si="12"/>
        <v>#REF!</v>
      </c>
      <c r="CO38" s="68" t="str">
        <f>'[1]DATA CONSOLIDADA 2018-2025 '!$CM38-Hoja1!$CG38</f>
        <v>#REF!</v>
      </c>
      <c r="CP38" s="70">
        <v>0.0</v>
      </c>
      <c r="CQ38" s="70">
        <v>0.0</v>
      </c>
      <c r="CR38" s="70">
        <v>0.0</v>
      </c>
      <c r="CS38" s="70">
        <v>0.0</v>
      </c>
      <c r="CT38" s="70">
        <v>0.0</v>
      </c>
      <c r="CU38" s="70">
        <v>0.0</v>
      </c>
      <c r="CV38" s="64">
        <v>0.0</v>
      </c>
      <c r="CW38" s="64">
        <v>0.0</v>
      </c>
      <c r="CX38" s="64">
        <v>0.0</v>
      </c>
      <c r="CY38" s="64">
        <v>0.0</v>
      </c>
      <c r="CZ38" s="64">
        <v>0.0</v>
      </c>
      <c r="DA38" s="64">
        <v>0.0</v>
      </c>
      <c r="DB38" s="64">
        <v>0.0</v>
      </c>
      <c r="DC38" s="72">
        <v>0.0</v>
      </c>
      <c r="DD38" s="72">
        <v>0.0</v>
      </c>
      <c r="DE38" s="72">
        <v>0.0</v>
      </c>
      <c r="DF38" s="72">
        <v>0.0</v>
      </c>
      <c r="DG38" s="72">
        <v>0.0</v>
      </c>
      <c r="DH38" s="72">
        <v>0.0</v>
      </c>
      <c r="DI38" s="73">
        <v>2.0491172135E10</v>
      </c>
      <c r="DJ38" s="74" t="s">
        <v>254</v>
      </c>
      <c r="DK38" s="74" t="s">
        <v>138</v>
      </c>
      <c r="DL38" s="75"/>
      <c r="DM38" s="7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75"/>
      <c r="EC38" s="75"/>
      <c r="ED38" s="75"/>
      <c r="EE38" s="75"/>
    </row>
    <row r="39" ht="47.25" hidden="1" customHeight="1">
      <c r="A39" s="55" t="s">
        <v>255</v>
      </c>
      <c r="B39" s="55" t="s">
        <v>256</v>
      </c>
      <c r="C39" s="55" t="s">
        <v>256</v>
      </c>
      <c r="D39" s="55" t="s">
        <v>227</v>
      </c>
      <c r="E39" s="55" t="s">
        <v>257</v>
      </c>
      <c r="F39" s="55" t="s">
        <v>227</v>
      </c>
      <c r="G39" s="55" t="s">
        <v>239</v>
      </c>
      <c r="H39" s="55" t="s">
        <v>258</v>
      </c>
      <c r="I39" s="56">
        <v>1.0</v>
      </c>
      <c r="J39" s="56">
        <v>1.0</v>
      </c>
      <c r="K39" s="56">
        <v>1.0</v>
      </c>
      <c r="L39" s="56">
        <v>1.0</v>
      </c>
      <c r="M39" s="56"/>
      <c r="N39" s="56"/>
      <c r="O39" s="56"/>
      <c r="P39" s="56"/>
      <c r="Q39" s="56" t="s">
        <v>131</v>
      </c>
      <c r="R39" s="58" t="str">
        <f t="shared" si="1"/>
        <v>2018-2019-2020-2021</v>
      </c>
      <c r="S39" s="59" t="str">
        <f>SUM(Hoja1!$I39:$P39)</f>
        <v>4</v>
      </c>
      <c r="T39" s="59" t="str">
        <f>IF(OR(Hoja1!$J39=1,Hoja1!$K39=1,Hoja1!$L39=1,Hoja1!$M39=1,Hoja1!$N39=1,Hoja1!$O39=1,Hoja1!$P39=1),"SI","NO")</f>
        <v>SI</v>
      </c>
      <c r="U39" s="59" t="str">
        <f>IF(OR(Hoja1!$K39=1,Hoja1!$L39=1,Hoja1!$M39=1,Hoja1!$N39=1,Hoja1!$O39=1,Hoja1!$P39=1),"SI","NO")</f>
        <v>SI</v>
      </c>
      <c r="V39" s="60">
        <v>40.0</v>
      </c>
      <c r="W39" s="61">
        <v>46.0</v>
      </c>
      <c r="X39" s="61">
        <v>6.0</v>
      </c>
      <c r="Y39" s="60">
        <v>52.0</v>
      </c>
      <c r="Z39" s="61">
        <v>24.0</v>
      </c>
      <c r="AA39" s="61">
        <v>5.0</v>
      </c>
      <c r="AB39" s="60">
        <v>29.0</v>
      </c>
      <c r="AC39" s="61">
        <v>24.0</v>
      </c>
      <c r="AD39" s="61">
        <v>5.0</v>
      </c>
      <c r="AE39" s="60">
        <v>29.0</v>
      </c>
      <c r="AF39" s="61">
        <v>0.0</v>
      </c>
      <c r="AG39" s="61">
        <v>0.0</v>
      </c>
      <c r="AH39" s="60">
        <v>0.0</v>
      </c>
      <c r="AI39" s="61">
        <v>0.0</v>
      </c>
      <c r="AJ39" s="61">
        <v>0.0</v>
      </c>
      <c r="AK39" s="60">
        <v>0.0</v>
      </c>
      <c r="AL39" s="61">
        <v>0.0</v>
      </c>
      <c r="AM39" s="61">
        <v>0.0</v>
      </c>
      <c r="AN39" s="60">
        <v>0.0</v>
      </c>
      <c r="AO39" s="62">
        <v>0.0</v>
      </c>
      <c r="AP39" s="62">
        <v>0.0</v>
      </c>
      <c r="AQ39" s="60">
        <v>0.0</v>
      </c>
      <c r="AR39" s="60" t="str">
        <f>IF(Hoja1!$AQ39&gt;0,Hoja1!$AQ39,IF(Hoja1!$AN39&gt;0,Hoja1!$AN39,IF(Hoja1!$AK39&gt;0,Hoja1!$AK39,IF(Hoja1!$AH39&gt;0,Hoja1!$AH39,IF(Hoja1!$AE39&gt;0,Hoja1!$AE39,IF(Hoja1!$AB39&gt;0,Hoja1!$AB39,IF(Hoja1!$Y39&gt;0,Hoja1!$Y39,IF(Hoja1!$V39&gt;0,Hoja1!$V39," ---"))))))))</f>
        <v>29</v>
      </c>
      <c r="AS39" s="63">
        <v>0.0</v>
      </c>
      <c r="AT39" s="63">
        <v>2.0</v>
      </c>
      <c r="AU39" s="63">
        <v>45.0</v>
      </c>
      <c r="AV39" s="63">
        <v>6.0</v>
      </c>
      <c r="AW39" s="63">
        <v>0.0</v>
      </c>
      <c r="AX39" s="63">
        <v>0.0</v>
      </c>
      <c r="AY39" s="63">
        <v>0.0</v>
      </c>
      <c r="AZ39" s="63">
        <v>0.0</v>
      </c>
      <c r="BA39" s="63">
        <v>0.0</v>
      </c>
      <c r="BB39" s="63">
        <v>0.0</v>
      </c>
      <c r="BC39" s="63">
        <v>0.0</v>
      </c>
      <c r="BD39" s="63">
        <v>0.0</v>
      </c>
      <c r="BE39" s="66">
        <v>25160.0</v>
      </c>
      <c r="BF39" s="65">
        <v>540383.69</v>
      </c>
      <c r="BG39" s="65">
        <v>0.0</v>
      </c>
      <c r="BH39" s="66">
        <v>540383.69</v>
      </c>
      <c r="BI39" s="67" t="str">
        <f t="shared" si="2"/>
        <v>#REF!</v>
      </c>
      <c r="BJ39" s="68" t="str">
        <f t="shared" si="3"/>
        <v>#REF!</v>
      </c>
      <c r="BK39" s="65">
        <v>236000.0</v>
      </c>
      <c r="BL39" s="65">
        <v>0.0</v>
      </c>
      <c r="BM39" s="66">
        <v>236000.0</v>
      </c>
      <c r="BN39" s="67" t="str">
        <f t="shared" si="4"/>
        <v>#REF!</v>
      </c>
      <c r="BO39" s="68" t="str">
        <f t="shared" si="5"/>
        <v>#REF!</v>
      </c>
      <c r="BP39" s="65">
        <v>300149.0</v>
      </c>
      <c r="BQ39" s="65">
        <v>0.0</v>
      </c>
      <c r="BR39" s="66">
        <v>300149.0</v>
      </c>
      <c r="BS39" s="67" t="str">
        <f t="shared" si="6"/>
        <v>#REF!</v>
      </c>
      <c r="BT39" s="68" t="str">
        <f>'[1]DATA CONSOLIDADA 2018-2025 '!$BR39-Hoja1!$BO39</f>
        <v>#REF!</v>
      </c>
      <c r="BU39" s="65">
        <v>0.0</v>
      </c>
      <c r="BV39" s="65">
        <v>0.0</v>
      </c>
      <c r="BW39" s="66">
        <v>0.0</v>
      </c>
      <c r="BX39" s="67" t="str">
        <f t="shared" si="7"/>
        <v>#REF!</v>
      </c>
      <c r="BY39" s="68" t="str">
        <f t="shared" si="8"/>
        <v>#REF!</v>
      </c>
      <c r="BZ39" s="65">
        <v>0.0</v>
      </c>
      <c r="CA39" s="65">
        <v>0.0</v>
      </c>
      <c r="CB39" s="66">
        <v>0.0</v>
      </c>
      <c r="CC39" s="67" t="str">
        <f t="shared" si="9"/>
        <v>#REF!</v>
      </c>
      <c r="CD39" s="68" t="str">
        <f>'[1]DATA CONSOLIDADA 2018-2025 '!$CB39-Hoja1!$BW39</f>
        <v>#REF!</v>
      </c>
      <c r="CE39" s="70">
        <v>0.0</v>
      </c>
      <c r="CF39" s="70">
        <v>0.0</v>
      </c>
      <c r="CG39" s="71">
        <v>0.0</v>
      </c>
      <c r="CH39" s="67" t="str">
        <f t="shared" si="10"/>
        <v>#REF!</v>
      </c>
      <c r="CI39" s="68" t="str">
        <f>'[1]DATA CONSOLIDADA 2018-2025 '!$CG39-Hoja1!$CB39</f>
        <v>#REF!</v>
      </c>
      <c r="CJ39" s="64" t="str">
        <f t="shared" si="11"/>
        <v>#REF!</v>
      </c>
      <c r="CK39" s="64">
        <v>0.0</v>
      </c>
      <c r="CL39" s="64">
        <v>0.0</v>
      </c>
      <c r="CM39" s="64">
        <v>0.0</v>
      </c>
      <c r="CN39" s="64" t="str">
        <f t="shared" si="12"/>
        <v>#REF!</v>
      </c>
      <c r="CO39" s="68" t="str">
        <f>'[1]DATA CONSOLIDADA 2018-2025 '!$CM39-Hoja1!$CG39</f>
        <v>#REF!</v>
      </c>
      <c r="CP39" s="70">
        <v>0.0</v>
      </c>
      <c r="CQ39" s="70">
        <v>0.0</v>
      </c>
      <c r="CR39" s="70">
        <v>0.0</v>
      </c>
      <c r="CS39" s="70">
        <v>0.0</v>
      </c>
      <c r="CT39" s="70">
        <v>0.0</v>
      </c>
      <c r="CU39" s="70">
        <v>0.0</v>
      </c>
      <c r="CV39" s="64">
        <v>0.0</v>
      </c>
      <c r="CW39" s="64">
        <v>0.0</v>
      </c>
      <c r="CX39" s="64">
        <v>0.0</v>
      </c>
      <c r="CY39" s="64">
        <v>0.0</v>
      </c>
      <c r="CZ39" s="64">
        <v>0.0</v>
      </c>
      <c r="DA39" s="64">
        <v>0.0</v>
      </c>
      <c r="DB39" s="64">
        <v>0.0</v>
      </c>
      <c r="DC39" s="72">
        <v>0.0</v>
      </c>
      <c r="DD39" s="72">
        <v>0.0</v>
      </c>
      <c r="DE39" s="72">
        <v>0.0</v>
      </c>
      <c r="DF39" s="72">
        <v>0.0</v>
      </c>
      <c r="DG39" s="72">
        <v>0.0</v>
      </c>
      <c r="DH39" s="72">
        <v>0.0</v>
      </c>
      <c r="DI39" s="73">
        <v>2.0491204436E10</v>
      </c>
      <c r="DJ39" s="74" t="s">
        <v>259</v>
      </c>
      <c r="DK39" s="74" t="s">
        <v>132</v>
      </c>
      <c r="DL39" s="75"/>
      <c r="DM39" s="7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75"/>
      <c r="EC39" s="75"/>
      <c r="ED39" s="75"/>
      <c r="EE39" s="75"/>
    </row>
    <row r="40" ht="47.25" hidden="1" customHeight="1">
      <c r="A40" s="55" t="s">
        <v>260</v>
      </c>
      <c r="B40" s="55" t="s">
        <v>126</v>
      </c>
      <c r="C40" s="55" t="s">
        <v>126</v>
      </c>
      <c r="D40" s="55" t="s">
        <v>227</v>
      </c>
      <c r="E40" s="55" t="s">
        <v>243</v>
      </c>
      <c r="F40" s="55" t="s">
        <v>227</v>
      </c>
      <c r="G40" s="55" t="s">
        <v>239</v>
      </c>
      <c r="H40" s="55" t="s">
        <v>239</v>
      </c>
      <c r="I40" s="56">
        <v>1.0</v>
      </c>
      <c r="J40" s="56">
        <v>1.0</v>
      </c>
      <c r="K40" s="56">
        <v>1.0</v>
      </c>
      <c r="L40" s="56">
        <v>1.0</v>
      </c>
      <c r="M40" s="56">
        <v>1.0</v>
      </c>
      <c r="N40" s="56">
        <v>1.0</v>
      </c>
      <c r="O40" s="56"/>
      <c r="P40" s="56"/>
      <c r="Q40" s="56" t="s">
        <v>131</v>
      </c>
      <c r="R40" s="58" t="str">
        <f t="shared" si="1"/>
        <v>2018-2019-2020-2021-2022-2023</v>
      </c>
      <c r="S40" s="59" t="str">
        <f>SUM(Hoja1!$I40:$P40)</f>
        <v>6</v>
      </c>
      <c r="T40" s="59" t="str">
        <f>IF(OR(Hoja1!$J40=1,Hoja1!$K40=1,Hoja1!$L40=1,Hoja1!$M40=1,Hoja1!$N40=1,Hoja1!$O40=1,Hoja1!$P40=1),"SI","NO")</f>
        <v>SI</v>
      </c>
      <c r="U40" s="59" t="str">
        <f>IF(OR(Hoja1!$K40=1,Hoja1!$L40=1,Hoja1!$M40=1,Hoja1!$N40=1,Hoja1!$O40=1,Hoja1!$P40=1),"SI","NO")</f>
        <v>SI</v>
      </c>
      <c r="V40" s="60">
        <v>473.0</v>
      </c>
      <c r="W40" s="61">
        <v>374.0</v>
      </c>
      <c r="X40" s="61">
        <v>82.0</v>
      </c>
      <c r="Y40" s="60">
        <v>456.0</v>
      </c>
      <c r="Z40" s="61">
        <v>405.0</v>
      </c>
      <c r="AA40" s="61">
        <v>80.0</v>
      </c>
      <c r="AB40" s="60">
        <v>485.0</v>
      </c>
      <c r="AC40" s="61">
        <v>386.0</v>
      </c>
      <c r="AD40" s="61">
        <v>86.0</v>
      </c>
      <c r="AE40" s="60">
        <v>472.0</v>
      </c>
      <c r="AF40" s="61">
        <v>401.0</v>
      </c>
      <c r="AG40" s="61">
        <v>92.0</v>
      </c>
      <c r="AH40" s="60">
        <v>493.0</v>
      </c>
      <c r="AI40" s="61">
        <v>401.0</v>
      </c>
      <c r="AJ40" s="61">
        <v>92.0</v>
      </c>
      <c r="AK40" s="60">
        <v>493.0</v>
      </c>
      <c r="AL40" s="61">
        <v>0.0</v>
      </c>
      <c r="AM40" s="61">
        <v>0.0</v>
      </c>
      <c r="AN40" s="60">
        <v>0.0</v>
      </c>
      <c r="AO40" s="62">
        <v>0.0</v>
      </c>
      <c r="AP40" s="62">
        <v>0.0</v>
      </c>
      <c r="AQ40" s="60">
        <v>0.0</v>
      </c>
      <c r="AR40" s="60" t="str">
        <f>IF(Hoja1!$AQ40&gt;0,Hoja1!$AQ40,IF(Hoja1!$AN40&gt;0,Hoja1!$AN40,IF(Hoja1!$AK40&gt;0,Hoja1!$AK40,IF(Hoja1!$AH40&gt;0,Hoja1!$AH40,IF(Hoja1!$AE40&gt;0,Hoja1!$AE40,IF(Hoja1!$AB40&gt;0,Hoja1!$AB40,IF(Hoja1!$Y40&gt;0,Hoja1!$Y40,IF(Hoja1!$V40&gt;0,Hoja1!$V40," ---"))))))))</f>
        <v>493</v>
      </c>
      <c r="AS40" s="63">
        <v>0.0</v>
      </c>
      <c r="AT40" s="63">
        <v>4.0</v>
      </c>
      <c r="AU40" s="63">
        <v>72.0</v>
      </c>
      <c r="AV40" s="63">
        <v>6.0</v>
      </c>
      <c r="AW40" s="63">
        <v>57.0</v>
      </c>
      <c r="AX40" s="63">
        <v>8.0</v>
      </c>
      <c r="AY40" s="63">
        <v>7.0</v>
      </c>
      <c r="AZ40" s="63">
        <v>18.0</v>
      </c>
      <c r="BA40" s="63">
        <v>0.0</v>
      </c>
      <c r="BB40" s="63">
        <v>0.0</v>
      </c>
      <c r="BC40" s="63">
        <v>0.0</v>
      </c>
      <c r="BD40" s="63">
        <v>0.0</v>
      </c>
      <c r="BE40" s="64">
        <v>0.0</v>
      </c>
      <c r="BF40" s="69">
        <v>22490.34</v>
      </c>
      <c r="BG40" s="65">
        <v>3082078.12</v>
      </c>
      <c r="BH40" s="66">
        <v>3104568.46</v>
      </c>
      <c r="BI40" s="67" t="str">
        <f t="shared" si="2"/>
        <v>#REF!</v>
      </c>
      <c r="BJ40" s="68" t="str">
        <f t="shared" si="3"/>
        <v>#REF!</v>
      </c>
      <c r="BK40" s="65">
        <v>0.0</v>
      </c>
      <c r="BL40" s="65">
        <v>8063872.33</v>
      </c>
      <c r="BM40" s="66">
        <v>8063872.33</v>
      </c>
      <c r="BN40" s="67" t="str">
        <f t="shared" si="4"/>
        <v>#REF!</v>
      </c>
      <c r="BO40" s="68" t="str">
        <f t="shared" si="5"/>
        <v>#REF!</v>
      </c>
      <c r="BP40" s="65">
        <v>0.0</v>
      </c>
      <c r="BQ40" s="65">
        <v>9080188.87</v>
      </c>
      <c r="BR40" s="66">
        <v>9080188.87</v>
      </c>
      <c r="BS40" s="67" t="str">
        <f t="shared" si="6"/>
        <v>#REF!</v>
      </c>
      <c r="BT40" s="68" t="str">
        <f>'[1]DATA CONSOLIDADA 2018-2025 '!$BR40-Hoja1!$BO40</f>
        <v>#REF!</v>
      </c>
      <c r="BU40" s="65">
        <v>1723946.91</v>
      </c>
      <c r="BV40" s="65">
        <v>1.267066068E7</v>
      </c>
      <c r="BW40" s="66">
        <v>1.439460759E7</v>
      </c>
      <c r="BX40" s="67" t="str">
        <f t="shared" si="7"/>
        <v>#REF!</v>
      </c>
      <c r="BY40" s="68" t="str">
        <f t="shared" si="8"/>
        <v>#REF!</v>
      </c>
      <c r="BZ40" s="65">
        <v>227111.23</v>
      </c>
      <c r="CA40" s="65">
        <v>7340280.05</v>
      </c>
      <c r="CB40" s="66">
        <v>7567391.28</v>
      </c>
      <c r="CC40" s="67" t="str">
        <f t="shared" si="9"/>
        <v>#REF!</v>
      </c>
      <c r="CD40" s="68" t="str">
        <f>'[1]DATA CONSOLIDADA 2018-2025 '!$CB40-Hoja1!$BW40</f>
        <v>#REF!</v>
      </c>
      <c r="CE40" s="70">
        <v>0.0</v>
      </c>
      <c r="CF40" s="70">
        <v>0.0</v>
      </c>
      <c r="CG40" s="71">
        <v>0.0</v>
      </c>
      <c r="CH40" s="67" t="str">
        <f t="shared" si="10"/>
        <v>#REF!</v>
      </c>
      <c r="CI40" s="68" t="str">
        <f>'[1]DATA CONSOLIDADA 2018-2025 '!$CG40-Hoja1!$CB40</f>
        <v>#REF!</v>
      </c>
      <c r="CJ40" s="64" t="str">
        <f t="shared" si="11"/>
        <v>#REF!</v>
      </c>
      <c r="CK40" s="64">
        <v>0.0</v>
      </c>
      <c r="CL40" s="64">
        <v>0.0</v>
      </c>
      <c r="CM40" s="64">
        <v>0.0</v>
      </c>
      <c r="CN40" s="64" t="str">
        <f t="shared" si="12"/>
        <v>#REF!</v>
      </c>
      <c r="CO40" s="68" t="str">
        <f>'[1]DATA CONSOLIDADA 2018-2025 '!$CM40-Hoja1!$CG40</f>
        <v>#REF!</v>
      </c>
      <c r="CP40" s="70">
        <v>0.0</v>
      </c>
      <c r="CQ40" s="70">
        <v>0.0</v>
      </c>
      <c r="CR40" s="70">
        <v>0.0</v>
      </c>
      <c r="CS40" s="70">
        <v>7567391.290117881</v>
      </c>
      <c r="CT40" s="70">
        <v>0.0</v>
      </c>
      <c r="CU40" s="70">
        <v>0.0</v>
      </c>
      <c r="CV40" s="64">
        <v>7567391.290117881</v>
      </c>
      <c r="CW40" s="64">
        <v>0.0</v>
      </c>
      <c r="CX40" s="64">
        <v>0.0</v>
      </c>
      <c r="CY40" s="64">
        <v>0.0</v>
      </c>
      <c r="CZ40" s="64">
        <v>0.0</v>
      </c>
      <c r="DA40" s="64">
        <v>0.0</v>
      </c>
      <c r="DB40" s="64">
        <v>0.0</v>
      </c>
      <c r="DC40" s="72">
        <v>0.0</v>
      </c>
      <c r="DD40" s="72">
        <v>0.0</v>
      </c>
      <c r="DE40" s="72">
        <v>0.0</v>
      </c>
      <c r="DF40" s="72">
        <v>0.0</v>
      </c>
      <c r="DG40" s="72">
        <v>0.0</v>
      </c>
      <c r="DH40" s="72">
        <v>0.0</v>
      </c>
      <c r="DI40" s="73">
        <v>2.0527565376E10</v>
      </c>
      <c r="DJ40" s="74" t="s">
        <v>260</v>
      </c>
      <c r="DK40" s="74" t="s">
        <v>132</v>
      </c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75"/>
      <c r="EC40" s="75"/>
      <c r="ED40" s="75"/>
      <c r="EE40" s="75"/>
    </row>
    <row r="41" ht="47.25" hidden="1" customHeight="1">
      <c r="A41" s="55" t="s">
        <v>261</v>
      </c>
      <c r="B41" s="55" t="s">
        <v>166</v>
      </c>
      <c r="C41" s="55" t="s">
        <v>166</v>
      </c>
      <c r="D41" s="55" t="s">
        <v>227</v>
      </c>
      <c r="E41" s="55" t="s">
        <v>228</v>
      </c>
      <c r="F41" s="55" t="s">
        <v>227</v>
      </c>
      <c r="G41" s="55" t="s">
        <v>229</v>
      </c>
      <c r="H41" s="55" t="s">
        <v>229</v>
      </c>
      <c r="I41" s="56"/>
      <c r="J41" s="56"/>
      <c r="K41" s="56"/>
      <c r="L41" s="56"/>
      <c r="M41" s="56">
        <v>1.0</v>
      </c>
      <c r="N41" s="56">
        <v>1.0</v>
      </c>
      <c r="O41" s="56">
        <v>1.0</v>
      </c>
      <c r="P41" s="56"/>
      <c r="Q41" s="56" t="s">
        <v>131</v>
      </c>
      <c r="R41" s="58" t="str">
        <f t="shared" si="1"/>
        <v>2022-2023-2024</v>
      </c>
      <c r="S41" s="59" t="str">
        <f>SUM(Hoja1!$I41:$P41)</f>
        <v>3</v>
      </c>
      <c r="T41" s="59" t="str">
        <f>IF(OR(Hoja1!$J41=1,Hoja1!$K41=1,Hoja1!$L41=1,Hoja1!$M41=1,Hoja1!$N41=1,Hoja1!$O41=1,Hoja1!$P41=1),"SI","NO")</f>
        <v>SI</v>
      </c>
      <c r="U41" s="59" t="str">
        <f>IF(OR(Hoja1!$K41=1,Hoja1!$L41=1,Hoja1!$M41=1,Hoja1!$N41=1,Hoja1!$O41=1,Hoja1!$P41=1),"SI","NO")</f>
        <v>SI</v>
      </c>
      <c r="V41" s="60">
        <v>0.0</v>
      </c>
      <c r="W41" s="61">
        <v>0.0</v>
      </c>
      <c r="X41" s="61">
        <v>0.0</v>
      </c>
      <c r="Y41" s="60">
        <v>0.0</v>
      </c>
      <c r="Z41" s="61">
        <v>0.0</v>
      </c>
      <c r="AA41" s="61">
        <v>0.0</v>
      </c>
      <c r="AB41" s="60">
        <v>0.0</v>
      </c>
      <c r="AC41" s="61">
        <v>0.0</v>
      </c>
      <c r="AD41" s="61">
        <v>0.0</v>
      </c>
      <c r="AE41" s="60">
        <v>0.0</v>
      </c>
      <c r="AF41" s="61">
        <v>17.0</v>
      </c>
      <c r="AG41" s="61">
        <v>9.0</v>
      </c>
      <c r="AH41" s="60">
        <v>26.0</v>
      </c>
      <c r="AI41" s="61">
        <v>17.0</v>
      </c>
      <c r="AJ41" s="61">
        <v>9.0</v>
      </c>
      <c r="AK41" s="60">
        <v>26.0</v>
      </c>
      <c r="AL41" s="61">
        <v>15.0</v>
      </c>
      <c r="AM41" s="61">
        <v>10.0</v>
      </c>
      <c r="AN41" s="60">
        <v>25.0</v>
      </c>
      <c r="AO41" s="62">
        <v>0.0</v>
      </c>
      <c r="AP41" s="62">
        <v>0.0</v>
      </c>
      <c r="AQ41" s="60">
        <v>0.0</v>
      </c>
      <c r="AR41" s="60" t="str">
        <f>IF(Hoja1!$AQ41&gt;0,Hoja1!$AQ41,IF(Hoja1!$AN41&gt;0,Hoja1!$AN41,IF(Hoja1!$AK41&gt;0,Hoja1!$AK41,IF(Hoja1!$AH41&gt;0,Hoja1!$AH41,IF(Hoja1!$AE41&gt;0,Hoja1!$AE41,IF(Hoja1!$AB41&gt;0,Hoja1!$AB41,IF(Hoja1!$Y41&gt;0,Hoja1!$Y41,IF(Hoja1!$V41&gt;0,Hoja1!$V41," ---"))))))))</f>
        <v>25</v>
      </c>
      <c r="AS41" s="63">
        <v>0.0</v>
      </c>
      <c r="AT41" s="63">
        <v>0.0</v>
      </c>
      <c r="AU41" s="63">
        <v>0.0</v>
      </c>
      <c r="AV41" s="63">
        <v>0.0</v>
      </c>
      <c r="AW41" s="63">
        <v>30.0</v>
      </c>
      <c r="AX41" s="63">
        <v>4.0</v>
      </c>
      <c r="AY41" s="63">
        <v>26.0</v>
      </c>
      <c r="AZ41" s="63">
        <v>2.0</v>
      </c>
      <c r="BA41" s="63">
        <v>22.0</v>
      </c>
      <c r="BB41" s="63">
        <v>7.0</v>
      </c>
      <c r="BC41" s="63">
        <v>0.0</v>
      </c>
      <c r="BD41" s="63">
        <v>0.0</v>
      </c>
      <c r="BE41" s="64">
        <v>0.0</v>
      </c>
      <c r="BF41" s="69">
        <v>0.0</v>
      </c>
      <c r="BG41" s="69">
        <v>0.0</v>
      </c>
      <c r="BH41" s="64">
        <v>0.0</v>
      </c>
      <c r="BI41" s="67" t="str">
        <f t="shared" si="2"/>
        <v>#REF!</v>
      </c>
      <c r="BJ41" s="68" t="str">
        <f t="shared" si="3"/>
        <v>#REF!</v>
      </c>
      <c r="BK41" s="69">
        <v>0.0</v>
      </c>
      <c r="BL41" s="69">
        <v>0.0</v>
      </c>
      <c r="BM41" s="64">
        <v>0.0</v>
      </c>
      <c r="BN41" s="67" t="str">
        <f t="shared" si="4"/>
        <v>#REF!</v>
      </c>
      <c r="BO41" s="68" t="str">
        <f t="shared" si="5"/>
        <v>#REF!</v>
      </c>
      <c r="BP41" s="65">
        <v>0.0</v>
      </c>
      <c r="BQ41" s="65">
        <v>0.0</v>
      </c>
      <c r="BR41" s="66">
        <v>0.0</v>
      </c>
      <c r="BS41" s="67" t="str">
        <f t="shared" si="6"/>
        <v>#REF!</v>
      </c>
      <c r="BT41" s="68" t="str">
        <f>'[1]DATA CONSOLIDADA 2018-2025 '!$BR41-Hoja1!$BO41</f>
        <v>#REF!</v>
      </c>
      <c r="BU41" s="65">
        <v>525700.0</v>
      </c>
      <c r="BV41" s="65">
        <v>0.0</v>
      </c>
      <c r="BW41" s="66">
        <v>525700.0</v>
      </c>
      <c r="BX41" s="67" t="str">
        <f t="shared" si="7"/>
        <v>#REF!</v>
      </c>
      <c r="BY41" s="68" t="str">
        <f t="shared" si="8"/>
        <v>#REF!</v>
      </c>
      <c r="BZ41" s="65">
        <v>320000.0</v>
      </c>
      <c r="CA41" s="65">
        <v>0.0</v>
      </c>
      <c r="CB41" s="66">
        <v>320000.0</v>
      </c>
      <c r="CC41" s="67" t="str">
        <f t="shared" si="9"/>
        <v>#REF!</v>
      </c>
      <c r="CD41" s="68" t="str">
        <f>'[1]DATA CONSOLIDADA 2018-2025 '!$CB41-Hoja1!$BW41</f>
        <v>#REF!</v>
      </c>
      <c r="CE41" s="70">
        <v>0.0</v>
      </c>
      <c r="CF41" s="70">
        <v>0.0</v>
      </c>
      <c r="CG41" s="71">
        <v>0.0</v>
      </c>
      <c r="CH41" s="67" t="str">
        <f t="shared" si="10"/>
        <v>#REF!</v>
      </c>
      <c r="CI41" s="68" t="str">
        <f>'[1]DATA CONSOLIDADA 2018-2025 '!$CG41-Hoja1!$CB41</f>
        <v>#REF!</v>
      </c>
      <c r="CJ41" s="64" t="str">
        <f t="shared" si="11"/>
        <v>#REF!</v>
      </c>
      <c r="CK41" s="64">
        <v>0.0</v>
      </c>
      <c r="CL41" s="64">
        <v>0.0</v>
      </c>
      <c r="CM41" s="64">
        <v>0.0</v>
      </c>
      <c r="CN41" s="64" t="str">
        <f t="shared" si="12"/>
        <v>#REF!</v>
      </c>
      <c r="CO41" s="68" t="str">
        <f>'[1]DATA CONSOLIDADA 2018-2025 '!$CM41-Hoja1!$CG41</f>
        <v>#REF!</v>
      </c>
      <c r="CP41" s="70">
        <v>0.0</v>
      </c>
      <c r="CQ41" s="70">
        <v>320000.0</v>
      </c>
      <c r="CR41" s="70">
        <v>0.0</v>
      </c>
      <c r="CS41" s="70">
        <v>0.0</v>
      </c>
      <c r="CT41" s="70">
        <v>0.0</v>
      </c>
      <c r="CU41" s="70">
        <v>0.0</v>
      </c>
      <c r="CV41" s="64">
        <v>320000.0</v>
      </c>
      <c r="CW41" s="64">
        <v>0.0</v>
      </c>
      <c r="CX41" s="64">
        <v>0.0</v>
      </c>
      <c r="CY41" s="64">
        <v>0.0</v>
      </c>
      <c r="CZ41" s="64">
        <v>0.0</v>
      </c>
      <c r="DA41" s="64">
        <v>0.0</v>
      </c>
      <c r="DB41" s="64">
        <v>0.0</v>
      </c>
      <c r="DC41" s="72">
        <v>0.0</v>
      </c>
      <c r="DD41" s="72">
        <v>0.0</v>
      </c>
      <c r="DE41" s="72">
        <v>0.0</v>
      </c>
      <c r="DF41" s="72">
        <v>0.0</v>
      </c>
      <c r="DG41" s="72">
        <v>0.0</v>
      </c>
      <c r="DH41" s="72">
        <v>0.0</v>
      </c>
      <c r="DI41" s="73">
        <v>2.0605216812E10</v>
      </c>
      <c r="DJ41" s="74" t="s">
        <v>262</v>
      </c>
      <c r="DK41" s="74" t="s">
        <v>138</v>
      </c>
      <c r="DL41" s="75"/>
      <c r="DM41" s="75"/>
      <c r="DN41" s="75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75"/>
      <c r="EC41" s="75"/>
      <c r="ED41" s="75"/>
      <c r="EE41" s="75"/>
    </row>
    <row r="42" ht="47.25" hidden="1" customHeight="1">
      <c r="A42" s="55" t="s">
        <v>263</v>
      </c>
      <c r="B42" s="55" t="s">
        <v>166</v>
      </c>
      <c r="C42" s="55" t="s">
        <v>166</v>
      </c>
      <c r="D42" s="55" t="s">
        <v>227</v>
      </c>
      <c r="E42" s="55" t="s">
        <v>232</v>
      </c>
      <c r="F42" s="55" t="s">
        <v>227</v>
      </c>
      <c r="G42" s="55" t="s">
        <v>229</v>
      </c>
      <c r="H42" s="55" t="s">
        <v>233</v>
      </c>
      <c r="I42" s="56"/>
      <c r="J42" s="56"/>
      <c r="K42" s="56">
        <v>1.0</v>
      </c>
      <c r="L42" s="56">
        <v>1.0</v>
      </c>
      <c r="M42" s="56">
        <v>1.0</v>
      </c>
      <c r="N42" s="56">
        <v>1.0</v>
      </c>
      <c r="O42" s="56"/>
      <c r="P42" s="56"/>
      <c r="Q42" s="56" t="s">
        <v>131</v>
      </c>
      <c r="R42" s="58" t="str">
        <f t="shared" si="1"/>
        <v>2020-2021-2022-2023</v>
      </c>
      <c r="S42" s="59" t="str">
        <f>SUM(Hoja1!$I42:$P42)</f>
        <v>4</v>
      </c>
      <c r="T42" s="59" t="str">
        <f>IF(OR(Hoja1!$J42=1,Hoja1!$K42=1,Hoja1!$L42=1,Hoja1!$M42=1,Hoja1!$N42=1,Hoja1!$O42=1,Hoja1!$P42=1),"SI","NO")</f>
        <v>SI</v>
      </c>
      <c r="U42" s="59" t="str">
        <f>IF(OR(Hoja1!$K42=1,Hoja1!$L42=1,Hoja1!$M42=1,Hoja1!$N42=1,Hoja1!$O42=1,Hoja1!$P42=1),"SI","NO")</f>
        <v>SI</v>
      </c>
      <c r="V42" s="60">
        <v>0.0</v>
      </c>
      <c r="W42" s="61">
        <v>0.0</v>
      </c>
      <c r="X42" s="61">
        <v>0.0</v>
      </c>
      <c r="Y42" s="60">
        <v>0.0</v>
      </c>
      <c r="Z42" s="61">
        <v>17.0</v>
      </c>
      <c r="AA42" s="61">
        <v>11.0</v>
      </c>
      <c r="AB42" s="60">
        <v>28.0</v>
      </c>
      <c r="AC42" s="61">
        <v>19.0</v>
      </c>
      <c r="AD42" s="61">
        <v>10.0</v>
      </c>
      <c r="AE42" s="60">
        <v>29.0</v>
      </c>
      <c r="AF42" s="61">
        <v>19.0</v>
      </c>
      <c r="AG42" s="61">
        <v>10.0</v>
      </c>
      <c r="AH42" s="60">
        <v>29.0</v>
      </c>
      <c r="AI42" s="61">
        <v>19.0</v>
      </c>
      <c r="AJ42" s="61">
        <v>10.0</v>
      </c>
      <c r="AK42" s="60">
        <v>29.0</v>
      </c>
      <c r="AL42" s="61">
        <v>0.0</v>
      </c>
      <c r="AM42" s="61">
        <v>0.0</v>
      </c>
      <c r="AN42" s="60">
        <v>0.0</v>
      </c>
      <c r="AO42" s="62">
        <v>0.0</v>
      </c>
      <c r="AP42" s="62">
        <v>0.0</v>
      </c>
      <c r="AQ42" s="60">
        <v>0.0</v>
      </c>
      <c r="AR42" s="60" t="str">
        <f>IF(Hoja1!$AQ42&gt;0,Hoja1!$AQ42,IF(Hoja1!$AN42&gt;0,Hoja1!$AN42,IF(Hoja1!$AK42&gt;0,Hoja1!$AK42,IF(Hoja1!$AH42&gt;0,Hoja1!$AH42,IF(Hoja1!$AE42&gt;0,Hoja1!$AE42,IF(Hoja1!$AB42&gt;0,Hoja1!$AB42,IF(Hoja1!$Y42&gt;0,Hoja1!$Y42,IF(Hoja1!$V42&gt;0,Hoja1!$V42," ---"))))))))</f>
        <v>29</v>
      </c>
      <c r="AS42" s="63">
        <v>0.0</v>
      </c>
      <c r="AT42" s="63">
        <v>1.0</v>
      </c>
      <c r="AU42" s="63">
        <v>79.0</v>
      </c>
      <c r="AV42" s="63">
        <v>2.0</v>
      </c>
      <c r="AW42" s="63">
        <v>31.0</v>
      </c>
      <c r="AX42" s="63">
        <v>4.0</v>
      </c>
      <c r="AY42" s="63">
        <v>28.0</v>
      </c>
      <c r="AZ42" s="63">
        <v>2.0</v>
      </c>
      <c r="BA42" s="63">
        <v>0.0</v>
      </c>
      <c r="BB42" s="63">
        <v>0.0</v>
      </c>
      <c r="BC42" s="63">
        <v>0.0</v>
      </c>
      <c r="BD42" s="63">
        <v>0.0</v>
      </c>
      <c r="BE42" s="64">
        <v>0.0</v>
      </c>
      <c r="BF42" s="69">
        <v>0.0</v>
      </c>
      <c r="BG42" s="69">
        <v>0.0</v>
      </c>
      <c r="BH42" s="64">
        <v>0.0</v>
      </c>
      <c r="BI42" s="67" t="str">
        <f t="shared" si="2"/>
        <v>#REF!</v>
      </c>
      <c r="BJ42" s="68" t="str">
        <f t="shared" si="3"/>
        <v>#REF!</v>
      </c>
      <c r="BK42" s="65">
        <v>0.0</v>
      </c>
      <c r="BL42" s="65">
        <v>0.0</v>
      </c>
      <c r="BM42" s="66">
        <v>0.0</v>
      </c>
      <c r="BN42" s="67" t="str">
        <f t="shared" si="4"/>
        <v>#REF!</v>
      </c>
      <c r="BO42" s="68" t="str">
        <f t="shared" si="5"/>
        <v>#REF!</v>
      </c>
      <c r="BP42" s="65">
        <v>454126.2</v>
      </c>
      <c r="BQ42" s="65">
        <v>0.0</v>
      </c>
      <c r="BR42" s="66">
        <v>454126.2</v>
      </c>
      <c r="BS42" s="67" t="str">
        <f t="shared" si="6"/>
        <v>#REF!</v>
      </c>
      <c r="BT42" s="68" t="str">
        <f>'[1]DATA CONSOLIDADA 2018-2025 '!$BR42-Hoja1!$BO42</f>
        <v>#REF!</v>
      </c>
      <c r="BU42" s="65">
        <v>276300.0</v>
      </c>
      <c r="BV42" s="65">
        <v>0.0</v>
      </c>
      <c r="BW42" s="66">
        <v>276300.0</v>
      </c>
      <c r="BX42" s="67" t="str">
        <f t="shared" si="7"/>
        <v>#REF!</v>
      </c>
      <c r="BY42" s="68" t="str">
        <f t="shared" si="8"/>
        <v>#REF!</v>
      </c>
      <c r="BZ42" s="65">
        <v>377500.0</v>
      </c>
      <c r="CA42" s="65">
        <v>0.0</v>
      </c>
      <c r="CB42" s="66">
        <v>377500.0</v>
      </c>
      <c r="CC42" s="67" t="str">
        <f t="shared" si="9"/>
        <v>#REF!</v>
      </c>
      <c r="CD42" s="68" t="str">
        <f>'[1]DATA CONSOLIDADA 2018-2025 '!$CB42-Hoja1!$BW42</f>
        <v>#REF!</v>
      </c>
      <c r="CE42" s="70">
        <v>0.0</v>
      </c>
      <c r="CF42" s="70">
        <v>0.0</v>
      </c>
      <c r="CG42" s="71">
        <v>0.0</v>
      </c>
      <c r="CH42" s="67" t="str">
        <f t="shared" si="10"/>
        <v>#REF!</v>
      </c>
      <c r="CI42" s="68" t="str">
        <f>'[1]DATA CONSOLIDADA 2018-2025 '!$CG42-Hoja1!$CB42</f>
        <v>#REF!</v>
      </c>
      <c r="CJ42" s="64" t="str">
        <f t="shared" si="11"/>
        <v>#REF!</v>
      </c>
      <c r="CK42" s="64">
        <v>0.0</v>
      </c>
      <c r="CL42" s="64">
        <v>0.0</v>
      </c>
      <c r="CM42" s="64">
        <v>0.0</v>
      </c>
      <c r="CN42" s="64" t="str">
        <f t="shared" si="12"/>
        <v>#REF!</v>
      </c>
      <c r="CO42" s="68" t="str">
        <f>'[1]DATA CONSOLIDADA 2018-2025 '!$CM42-Hoja1!$CG42</f>
        <v>#REF!</v>
      </c>
      <c r="CP42" s="70">
        <v>0.0</v>
      </c>
      <c r="CQ42" s="70">
        <v>377500.0</v>
      </c>
      <c r="CR42" s="70">
        <v>0.0</v>
      </c>
      <c r="CS42" s="70">
        <v>0.0</v>
      </c>
      <c r="CT42" s="70">
        <v>0.0</v>
      </c>
      <c r="CU42" s="70">
        <v>0.0</v>
      </c>
      <c r="CV42" s="64">
        <v>377500.0</v>
      </c>
      <c r="CW42" s="64">
        <v>0.0</v>
      </c>
      <c r="CX42" s="64">
        <v>0.0</v>
      </c>
      <c r="CY42" s="64">
        <v>0.0</v>
      </c>
      <c r="CZ42" s="64">
        <v>0.0</v>
      </c>
      <c r="DA42" s="64">
        <v>0.0</v>
      </c>
      <c r="DB42" s="64">
        <v>0.0</v>
      </c>
      <c r="DC42" s="72">
        <v>0.0</v>
      </c>
      <c r="DD42" s="72">
        <v>0.0</v>
      </c>
      <c r="DE42" s="72">
        <v>0.0</v>
      </c>
      <c r="DF42" s="72">
        <v>0.0</v>
      </c>
      <c r="DG42" s="72">
        <v>0.0</v>
      </c>
      <c r="DH42" s="72">
        <v>0.0</v>
      </c>
      <c r="DI42" s="73">
        <v>2.0491248646E10</v>
      </c>
      <c r="DJ42" s="74" t="s">
        <v>264</v>
      </c>
      <c r="DK42" s="74" t="s">
        <v>138</v>
      </c>
      <c r="DL42" s="75"/>
      <c r="DM42" s="75"/>
      <c r="DN42" s="75"/>
      <c r="DO42" s="75"/>
      <c r="DP42" s="75"/>
      <c r="DQ42" s="75"/>
      <c r="DR42" s="75"/>
      <c r="DS42" s="75"/>
      <c r="DT42" s="75"/>
      <c r="DU42" s="75"/>
      <c r="DV42" s="75"/>
      <c r="DW42" s="75"/>
      <c r="DX42" s="75"/>
      <c r="DY42" s="75"/>
      <c r="DZ42" s="75"/>
      <c r="EA42" s="75"/>
      <c r="EB42" s="75"/>
      <c r="EC42" s="75"/>
      <c r="ED42" s="75"/>
      <c r="EE42" s="75"/>
    </row>
    <row r="43" ht="47.25" hidden="1" customHeight="1">
      <c r="A43" s="55" t="s">
        <v>265</v>
      </c>
      <c r="B43" s="55" t="s">
        <v>166</v>
      </c>
      <c r="C43" s="55" t="s">
        <v>166</v>
      </c>
      <c r="D43" s="55" t="s">
        <v>227</v>
      </c>
      <c r="E43" s="55" t="s">
        <v>266</v>
      </c>
      <c r="F43" s="55" t="s">
        <v>227</v>
      </c>
      <c r="G43" s="55" t="s">
        <v>229</v>
      </c>
      <c r="H43" s="55" t="s">
        <v>267</v>
      </c>
      <c r="I43" s="56"/>
      <c r="J43" s="56"/>
      <c r="K43" s="56"/>
      <c r="L43" s="56">
        <v>1.0</v>
      </c>
      <c r="M43" s="56">
        <v>1.0</v>
      </c>
      <c r="N43" s="56">
        <v>1.0</v>
      </c>
      <c r="O43" s="56">
        <v>1.0</v>
      </c>
      <c r="P43" s="56">
        <v>1.0</v>
      </c>
      <c r="Q43" s="56" t="s">
        <v>131</v>
      </c>
      <c r="R43" s="58" t="str">
        <f t="shared" si="1"/>
        <v>2021-2022-2023-2024 - 2025</v>
      </c>
      <c r="S43" s="59" t="str">
        <f>SUM(Hoja1!$I43:$P43)</f>
        <v>5</v>
      </c>
      <c r="T43" s="59" t="str">
        <f>IF(OR(Hoja1!$J43=1,Hoja1!$K43=1,Hoja1!$L43=1,Hoja1!$M43=1,Hoja1!$N43=1,Hoja1!$O43=1,Hoja1!$P43=1),"SI","NO")</f>
        <v>SI</v>
      </c>
      <c r="U43" s="59" t="str">
        <f>IF(OR(Hoja1!$K43=1,Hoja1!$L43=1,Hoja1!$M43=1,Hoja1!$N43=1,Hoja1!$O43=1,Hoja1!$P43=1),"SI","NO")</f>
        <v>SI</v>
      </c>
      <c r="V43" s="60">
        <v>0.0</v>
      </c>
      <c r="W43" s="61">
        <v>0.0</v>
      </c>
      <c r="X43" s="61">
        <v>0.0</v>
      </c>
      <c r="Y43" s="60">
        <v>0.0</v>
      </c>
      <c r="Z43" s="61">
        <v>0.0</v>
      </c>
      <c r="AA43" s="61">
        <v>0.0</v>
      </c>
      <c r="AB43" s="60">
        <v>0.0</v>
      </c>
      <c r="AC43" s="61">
        <v>47.0</v>
      </c>
      <c r="AD43" s="61">
        <v>10.0</v>
      </c>
      <c r="AE43" s="60">
        <v>57.0</v>
      </c>
      <c r="AF43" s="61">
        <v>47.0</v>
      </c>
      <c r="AG43" s="61">
        <v>10.0</v>
      </c>
      <c r="AH43" s="60">
        <v>57.0</v>
      </c>
      <c r="AI43" s="61">
        <v>47.0</v>
      </c>
      <c r="AJ43" s="61">
        <v>10.0</v>
      </c>
      <c r="AK43" s="60">
        <v>57.0</v>
      </c>
      <c r="AL43" s="61">
        <v>47.0</v>
      </c>
      <c r="AM43" s="61">
        <v>10.0</v>
      </c>
      <c r="AN43" s="60">
        <v>57.0</v>
      </c>
      <c r="AO43" s="62">
        <v>48.0</v>
      </c>
      <c r="AP43" s="62">
        <v>11.0</v>
      </c>
      <c r="AQ43" s="60">
        <v>59.0</v>
      </c>
      <c r="AR43" s="60" t="str">
        <f>IF(Hoja1!$AQ43&gt;0,Hoja1!$AQ43,IF(Hoja1!$AN43&gt;0,Hoja1!$AN43,IF(Hoja1!$AK43&gt;0,Hoja1!$AK43,IF(Hoja1!$AH43&gt;0,Hoja1!$AH43,IF(Hoja1!$AE43&gt;0,Hoja1!$AE43,IF(Hoja1!$AB43&gt;0,Hoja1!$AB43,IF(Hoja1!$Y43&gt;0,Hoja1!$Y43,IF(Hoja1!$V43&gt;0,Hoja1!$V43," ---"))))))))</f>
        <v>59</v>
      </c>
      <c r="AS43" s="63">
        <v>0.0</v>
      </c>
      <c r="AT43" s="63">
        <v>0.0</v>
      </c>
      <c r="AU43" s="63">
        <v>55.0</v>
      </c>
      <c r="AV43" s="63">
        <v>1.0</v>
      </c>
      <c r="AW43" s="63">
        <v>23.0</v>
      </c>
      <c r="AX43" s="63">
        <v>5.0</v>
      </c>
      <c r="AY43" s="63">
        <v>27.0</v>
      </c>
      <c r="AZ43" s="63">
        <v>3.0</v>
      </c>
      <c r="BA43" s="63">
        <v>20.0</v>
      </c>
      <c r="BB43" s="63">
        <v>7.0</v>
      </c>
      <c r="BC43" s="63">
        <v>31.0</v>
      </c>
      <c r="BD43" s="63">
        <v>3.0</v>
      </c>
      <c r="BE43" s="64">
        <v>0.0</v>
      </c>
      <c r="BF43" s="69">
        <v>0.0</v>
      </c>
      <c r="BG43" s="69">
        <v>0.0</v>
      </c>
      <c r="BH43" s="64">
        <v>0.0</v>
      </c>
      <c r="BI43" s="67" t="str">
        <f t="shared" si="2"/>
        <v>#REF!</v>
      </c>
      <c r="BJ43" s="68" t="str">
        <f t="shared" si="3"/>
        <v>#REF!</v>
      </c>
      <c r="BK43" s="69">
        <v>0.0</v>
      </c>
      <c r="BL43" s="69">
        <v>0.0</v>
      </c>
      <c r="BM43" s="66">
        <v>0.0</v>
      </c>
      <c r="BN43" s="67" t="str">
        <f t="shared" si="4"/>
        <v>#REF!</v>
      </c>
      <c r="BO43" s="68" t="str">
        <f t="shared" si="5"/>
        <v>#REF!</v>
      </c>
      <c r="BP43" s="65">
        <v>250061.0</v>
      </c>
      <c r="BQ43" s="65">
        <v>0.0</v>
      </c>
      <c r="BR43" s="66">
        <v>250061.0</v>
      </c>
      <c r="BS43" s="67" t="str">
        <f t="shared" si="6"/>
        <v>#REF!</v>
      </c>
      <c r="BT43" s="68" t="str">
        <f>'[1]DATA CONSOLIDADA 2018-2025 '!$BR43-Hoja1!$BO43</f>
        <v>#REF!</v>
      </c>
      <c r="BU43" s="65">
        <v>1060730.0</v>
      </c>
      <c r="BV43" s="65">
        <v>0.0</v>
      </c>
      <c r="BW43" s="66">
        <v>1060730.0</v>
      </c>
      <c r="BX43" s="67" t="str">
        <f t="shared" si="7"/>
        <v>#REF!</v>
      </c>
      <c r="BY43" s="68" t="str">
        <f t="shared" si="8"/>
        <v>#REF!</v>
      </c>
      <c r="BZ43" s="65">
        <v>630000.0</v>
      </c>
      <c r="CA43" s="65">
        <v>0.0</v>
      </c>
      <c r="CB43" s="66">
        <v>630000.0</v>
      </c>
      <c r="CC43" s="67" t="str">
        <f t="shared" si="9"/>
        <v>#REF!</v>
      </c>
      <c r="CD43" s="68" t="str">
        <f>'[1]DATA CONSOLIDADA 2018-2025 '!$CB43-Hoja1!$BW43</f>
        <v>#REF!</v>
      </c>
      <c r="CE43" s="70">
        <v>0.0</v>
      </c>
      <c r="CF43" s="70">
        <v>0.0</v>
      </c>
      <c r="CG43" s="71">
        <v>0.0</v>
      </c>
      <c r="CH43" s="67" t="str">
        <f t="shared" si="10"/>
        <v>#REF!</v>
      </c>
      <c r="CI43" s="68" t="str">
        <f>'[1]DATA CONSOLIDADA 2018-2025 '!$CG43-Hoja1!$CB43</f>
        <v>#REF!</v>
      </c>
      <c r="CJ43" s="64" t="str">
        <f t="shared" si="11"/>
        <v>#REF!</v>
      </c>
      <c r="CK43" s="64">
        <v>435513.01</v>
      </c>
      <c r="CL43" s="64">
        <v>0.0</v>
      </c>
      <c r="CM43" s="64">
        <v>435513.01</v>
      </c>
      <c r="CN43" s="64" t="str">
        <f t="shared" si="12"/>
        <v>#REF!</v>
      </c>
      <c r="CO43" s="68" t="str">
        <f>'[1]DATA CONSOLIDADA 2018-2025 '!$CM43-Hoja1!$CG43</f>
        <v>#REF!</v>
      </c>
      <c r="CP43" s="70">
        <v>0.0</v>
      </c>
      <c r="CQ43" s="70">
        <v>630000.0</v>
      </c>
      <c r="CR43" s="70">
        <v>0.0</v>
      </c>
      <c r="CS43" s="70">
        <v>0.0</v>
      </c>
      <c r="CT43" s="70">
        <v>0.0</v>
      </c>
      <c r="CU43" s="70">
        <v>0.0</v>
      </c>
      <c r="CV43" s="64">
        <v>630000.0</v>
      </c>
      <c r="CW43" s="64">
        <v>0.0</v>
      </c>
      <c r="CX43" s="64">
        <v>0.0</v>
      </c>
      <c r="CY43" s="64">
        <v>0.0</v>
      </c>
      <c r="CZ43" s="64">
        <v>0.0</v>
      </c>
      <c r="DA43" s="64">
        <v>0.0</v>
      </c>
      <c r="DB43" s="64">
        <v>0.0</v>
      </c>
      <c r="DC43" s="72">
        <v>0.0</v>
      </c>
      <c r="DD43" s="72">
        <v>435513.01</v>
      </c>
      <c r="DE43" s="72">
        <v>0.0</v>
      </c>
      <c r="DF43" s="72">
        <v>0.0</v>
      </c>
      <c r="DG43" s="72">
        <v>0.0</v>
      </c>
      <c r="DH43" s="72">
        <v>435513.01</v>
      </c>
      <c r="DI43" s="73">
        <v>2.0491199769E10</v>
      </c>
      <c r="DJ43" s="74" t="s">
        <v>268</v>
      </c>
      <c r="DK43" s="74" t="s">
        <v>138</v>
      </c>
      <c r="DL43" s="75"/>
      <c r="DM43" s="7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75"/>
      <c r="EC43" s="75"/>
      <c r="ED43" s="75"/>
      <c r="EE43" s="75"/>
    </row>
    <row r="44" ht="47.25" hidden="1" customHeight="1">
      <c r="A44" s="55" t="s">
        <v>269</v>
      </c>
      <c r="B44" s="55" t="s">
        <v>236</v>
      </c>
      <c r="C44" s="55" t="s">
        <v>237</v>
      </c>
      <c r="D44" s="55" t="s">
        <v>227</v>
      </c>
      <c r="E44" s="55" t="s">
        <v>238</v>
      </c>
      <c r="F44" s="55" t="s">
        <v>227</v>
      </c>
      <c r="G44" s="55" t="s">
        <v>239</v>
      </c>
      <c r="H44" s="55" t="s">
        <v>240</v>
      </c>
      <c r="I44" s="56"/>
      <c r="J44" s="56"/>
      <c r="K44" s="56"/>
      <c r="L44" s="56">
        <v>1.0</v>
      </c>
      <c r="M44" s="56">
        <v>1.0</v>
      </c>
      <c r="N44" s="56">
        <v>1.0</v>
      </c>
      <c r="O44" s="56">
        <v>1.0</v>
      </c>
      <c r="P44" s="56">
        <v>1.0</v>
      </c>
      <c r="Q44" s="56" t="s">
        <v>131</v>
      </c>
      <c r="R44" s="58" t="str">
        <f t="shared" si="1"/>
        <v>2021-2022-2023-2024 - 2025</v>
      </c>
      <c r="S44" s="59" t="str">
        <f>SUM(Hoja1!$I44:$P44)</f>
        <v>5</v>
      </c>
      <c r="T44" s="59" t="str">
        <f>IF(OR(Hoja1!$J44=1,Hoja1!$K44=1,Hoja1!$L44=1,Hoja1!$M44=1,Hoja1!$N44=1,Hoja1!$O44=1,Hoja1!$P44=1),"SI","NO")</f>
        <v>SI</v>
      </c>
      <c r="U44" s="59" t="str">
        <f>IF(OR(Hoja1!$K44=1,Hoja1!$L44=1,Hoja1!$M44=1,Hoja1!$N44=1,Hoja1!$O44=1,Hoja1!$P44=1),"SI","NO")</f>
        <v>SI</v>
      </c>
      <c r="V44" s="60">
        <v>0.0</v>
      </c>
      <c r="W44" s="61">
        <v>0.0</v>
      </c>
      <c r="X44" s="61">
        <v>0.0</v>
      </c>
      <c r="Y44" s="60">
        <v>0.0</v>
      </c>
      <c r="Z44" s="61">
        <v>0.0</v>
      </c>
      <c r="AA44" s="61">
        <v>0.0</v>
      </c>
      <c r="AB44" s="60">
        <v>0.0</v>
      </c>
      <c r="AC44" s="61">
        <v>72.0</v>
      </c>
      <c r="AD44" s="61">
        <v>23.0</v>
      </c>
      <c r="AE44" s="60">
        <v>95.0</v>
      </c>
      <c r="AF44" s="61">
        <v>72.0</v>
      </c>
      <c r="AG44" s="61">
        <v>23.0</v>
      </c>
      <c r="AH44" s="60">
        <v>95.0</v>
      </c>
      <c r="AI44" s="61">
        <v>72.0</v>
      </c>
      <c r="AJ44" s="61">
        <v>23.0</v>
      </c>
      <c r="AK44" s="60">
        <v>95.0</v>
      </c>
      <c r="AL44" s="61">
        <v>60.0</v>
      </c>
      <c r="AM44" s="61">
        <v>25.0</v>
      </c>
      <c r="AN44" s="60">
        <v>85.0</v>
      </c>
      <c r="AO44" s="62">
        <v>76.0</v>
      </c>
      <c r="AP44" s="62">
        <v>26.0</v>
      </c>
      <c r="AQ44" s="60">
        <v>102.0</v>
      </c>
      <c r="AR44" s="60" t="str">
        <f>IF(Hoja1!$AQ44&gt;0,Hoja1!$AQ44,IF(Hoja1!$AN44&gt;0,Hoja1!$AN44,IF(Hoja1!$AK44&gt;0,Hoja1!$AK44,IF(Hoja1!$AH44&gt;0,Hoja1!$AH44,IF(Hoja1!$AE44&gt;0,Hoja1!$AE44,IF(Hoja1!$AB44&gt;0,Hoja1!$AB44,IF(Hoja1!$Y44&gt;0,Hoja1!$Y44,IF(Hoja1!$V44&gt;0,Hoja1!$V44," ---"))))))))</f>
        <v>102</v>
      </c>
      <c r="AS44" s="63">
        <v>0.0</v>
      </c>
      <c r="AT44" s="63">
        <v>0.0</v>
      </c>
      <c r="AU44" s="63">
        <v>60.0</v>
      </c>
      <c r="AV44" s="63">
        <v>8.0</v>
      </c>
      <c r="AW44" s="63">
        <v>21.0</v>
      </c>
      <c r="AX44" s="63">
        <v>2.0</v>
      </c>
      <c r="AY44" s="63">
        <v>26.0</v>
      </c>
      <c r="AZ44" s="63">
        <v>4.0</v>
      </c>
      <c r="BA44" s="63">
        <v>12.0</v>
      </c>
      <c r="BB44" s="63">
        <v>4.0</v>
      </c>
      <c r="BC44" s="63">
        <v>58.0</v>
      </c>
      <c r="BD44" s="63">
        <v>8.0</v>
      </c>
      <c r="BE44" s="64">
        <v>0.0</v>
      </c>
      <c r="BF44" s="69">
        <v>0.0</v>
      </c>
      <c r="BG44" s="69">
        <v>0.0</v>
      </c>
      <c r="BH44" s="64">
        <v>0.0</v>
      </c>
      <c r="BI44" s="67" t="str">
        <f t="shared" si="2"/>
        <v>#REF!</v>
      </c>
      <c r="BJ44" s="68" t="str">
        <f t="shared" si="3"/>
        <v>#REF!</v>
      </c>
      <c r="BK44" s="69">
        <v>0.0</v>
      </c>
      <c r="BL44" s="69">
        <v>0.0</v>
      </c>
      <c r="BM44" s="66">
        <v>0.0</v>
      </c>
      <c r="BN44" s="67" t="str">
        <f t="shared" si="4"/>
        <v>#REF!</v>
      </c>
      <c r="BO44" s="68" t="str">
        <f t="shared" si="5"/>
        <v>#REF!</v>
      </c>
      <c r="BP44" s="65">
        <v>216103.95</v>
      </c>
      <c r="BQ44" s="65">
        <v>0.0</v>
      </c>
      <c r="BR44" s="66">
        <v>216103.95</v>
      </c>
      <c r="BS44" s="67" t="str">
        <f t="shared" si="6"/>
        <v>#REF!</v>
      </c>
      <c r="BT44" s="68" t="str">
        <f>'[1]DATA CONSOLIDADA 2018-2025 '!$BR44-Hoja1!$BO44</f>
        <v>#REF!</v>
      </c>
      <c r="BU44" s="65">
        <v>377066.8</v>
      </c>
      <c r="BV44" s="65">
        <v>0.0</v>
      </c>
      <c r="BW44" s="66">
        <v>377066.8</v>
      </c>
      <c r="BX44" s="67" t="str">
        <f t="shared" si="7"/>
        <v>#REF!</v>
      </c>
      <c r="BY44" s="68" t="str">
        <f t="shared" si="8"/>
        <v>#REF!</v>
      </c>
      <c r="BZ44" s="65">
        <v>568018.75</v>
      </c>
      <c r="CA44" s="65">
        <v>0.0</v>
      </c>
      <c r="CB44" s="66">
        <v>568018.75</v>
      </c>
      <c r="CC44" s="67" t="str">
        <f t="shared" si="9"/>
        <v>#REF!</v>
      </c>
      <c r="CD44" s="68" t="str">
        <f>'[1]DATA CONSOLIDADA 2018-2025 '!$CB44-Hoja1!$BW44</f>
        <v>#REF!</v>
      </c>
      <c r="CE44" s="70">
        <v>1274243.5</v>
      </c>
      <c r="CF44" s="70">
        <v>0.0</v>
      </c>
      <c r="CG44" s="71">
        <v>1274243.5</v>
      </c>
      <c r="CH44" s="67" t="str">
        <f t="shared" si="10"/>
        <v>#REF!</v>
      </c>
      <c r="CI44" s="68" t="str">
        <f>'[1]DATA CONSOLIDADA 2018-2025 '!$CG44-Hoja1!$CB44</f>
        <v>#REF!</v>
      </c>
      <c r="CJ44" s="64" t="str">
        <f t="shared" si="11"/>
        <v>#REF!</v>
      </c>
      <c r="CK44" s="64">
        <v>3685880.5972047197</v>
      </c>
      <c r="CL44" s="64">
        <v>0.0</v>
      </c>
      <c r="CM44" s="64">
        <v>3685880.5972047197</v>
      </c>
      <c r="CN44" s="64" t="str">
        <f t="shared" si="12"/>
        <v>#REF!</v>
      </c>
      <c r="CO44" s="68" t="str">
        <f>'[1]DATA CONSOLIDADA 2018-2025 '!$CM44-Hoja1!$CG44</f>
        <v>#REF!</v>
      </c>
      <c r="CP44" s="70">
        <v>0.0</v>
      </c>
      <c r="CQ44" s="70">
        <v>0.0</v>
      </c>
      <c r="CR44" s="70">
        <v>0.0</v>
      </c>
      <c r="CS44" s="70">
        <v>568018.75</v>
      </c>
      <c r="CT44" s="70">
        <v>0.0</v>
      </c>
      <c r="CU44" s="70">
        <v>0.0</v>
      </c>
      <c r="CV44" s="64">
        <v>568018.75</v>
      </c>
      <c r="CW44" s="64">
        <v>0.0</v>
      </c>
      <c r="CX44" s="64">
        <v>0.0</v>
      </c>
      <c r="CY44" s="64">
        <v>1274243.5</v>
      </c>
      <c r="CZ44" s="64">
        <v>0.0</v>
      </c>
      <c r="DA44" s="64">
        <v>0.0</v>
      </c>
      <c r="DB44" s="64">
        <v>1274243.5</v>
      </c>
      <c r="DC44" s="72">
        <v>0.0</v>
      </c>
      <c r="DD44" s="72">
        <v>3673784.5972047197</v>
      </c>
      <c r="DE44" s="72">
        <v>12096.0</v>
      </c>
      <c r="DF44" s="72">
        <v>0.0</v>
      </c>
      <c r="DG44" s="72">
        <v>0.0</v>
      </c>
      <c r="DH44" s="72">
        <v>3685880.5972047197</v>
      </c>
      <c r="DI44" s="73">
        <v>2.0601006368E10</v>
      </c>
      <c r="DJ44" s="74" t="s">
        <v>270</v>
      </c>
      <c r="DK44" s="74" t="s">
        <v>132</v>
      </c>
      <c r="DL44" s="75"/>
      <c r="DM44" s="7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75"/>
      <c r="EC44" s="75"/>
      <c r="ED44" s="75"/>
      <c r="EE44" s="75"/>
    </row>
    <row r="45" ht="47.25" hidden="1" customHeight="1">
      <c r="A45" s="55" t="s">
        <v>271</v>
      </c>
      <c r="B45" s="55" t="s">
        <v>256</v>
      </c>
      <c r="C45" s="55" t="s">
        <v>272</v>
      </c>
      <c r="D45" s="55" t="s">
        <v>227</v>
      </c>
      <c r="E45" s="55" t="s">
        <v>238</v>
      </c>
      <c r="F45" s="55" t="s">
        <v>227</v>
      </c>
      <c r="G45" s="55" t="s">
        <v>239</v>
      </c>
      <c r="H45" s="55" t="s">
        <v>240</v>
      </c>
      <c r="I45" s="56"/>
      <c r="J45" s="56"/>
      <c r="K45" s="56">
        <v>1.0</v>
      </c>
      <c r="L45" s="56">
        <v>1.0</v>
      </c>
      <c r="M45" s="56">
        <v>1.0</v>
      </c>
      <c r="N45" s="56">
        <v>1.0</v>
      </c>
      <c r="O45" s="56"/>
      <c r="P45" s="56"/>
      <c r="Q45" s="56" t="s">
        <v>131</v>
      </c>
      <c r="R45" s="58" t="str">
        <f t="shared" si="1"/>
        <v>2020-2021-2022-2023</v>
      </c>
      <c r="S45" s="59" t="str">
        <f>SUM(Hoja1!$I45:$P45)</f>
        <v>4</v>
      </c>
      <c r="T45" s="59" t="str">
        <f>IF(OR(Hoja1!$J45=1,Hoja1!$K45=1,Hoja1!$L45=1,Hoja1!$M45=1,Hoja1!$N45=1,Hoja1!$O45=1,Hoja1!$P45=1),"SI","NO")</f>
        <v>SI</v>
      </c>
      <c r="U45" s="59" t="str">
        <f>IF(OR(Hoja1!$K45=1,Hoja1!$L45=1,Hoja1!$M45=1,Hoja1!$N45=1,Hoja1!$O45=1,Hoja1!$P45=1),"SI","NO")</f>
        <v>SI</v>
      </c>
      <c r="V45" s="60">
        <v>0.0</v>
      </c>
      <c r="W45" s="61">
        <v>0.0</v>
      </c>
      <c r="X45" s="61">
        <v>0.0</v>
      </c>
      <c r="Y45" s="60">
        <v>0.0</v>
      </c>
      <c r="Z45" s="61">
        <v>19.0</v>
      </c>
      <c r="AA45" s="61">
        <v>3.0</v>
      </c>
      <c r="AB45" s="60">
        <v>22.0</v>
      </c>
      <c r="AC45" s="61">
        <v>15.0</v>
      </c>
      <c r="AD45" s="61">
        <v>4.0</v>
      </c>
      <c r="AE45" s="60">
        <v>19.0</v>
      </c>
      <c r="AF45" s="61">
        <v>15.0</v>
      </c>
      <c r="AG45" s="61">
        <v>4.0</v>
      </c>
      <c r="AH45" s="60">
        <v>19.0</v>
      </c>
      <c r="AI45" s="61">
        <v>15.0</v>
      </c>
      <c r="AJ45" s="61">
        <v>4.0</v>
      </c>
      <c r="AK45" s="60">
        <v>19.0</v>
      </c>
      <c r="AL45" s="61">
        <v>0.0</v>
      </c>
      <c r="AM45" s="61">
        <v>0.0</v>
      </c>
      <c r="AN45" s="60">
        <v>0.0</v>
      </c>
      <c r="AO45" s="62">
        <v>0.0</v>
      </c>
      <c r="AP45" s="62">
        <v>0.0</v>
      </c>
      <c r="AQ45" s="60">
        <v>0.0</v>
      </c>
      <c r="AR45" s="60" t="str">
        <f>IF(Hoja1!$AQ45&gt;0,Hoja1!$AQ45,IF(Hoja1!$AN45&gt;0,Hoja1!$AN45,IF(Hoja1!$AK45&gt;0,Hoja1!$AK45,IF(Hoja1!$AH45&gt;0,Hoja1!$AH45,IF(Hoja1!$AE45&gt;0,Hoja1!$AE45,IF(Hoja1!$AB45&gt;0,Hoja1!$AB45,IF(Hoja1!$Y45&gt;0,Hoja1!$Y45,IF(Hoja1!$V45&gt;0,Hoja1!$V45," ---"))))))))</f>
        <v>19</v>
      </c>
      <c r="AS45" s="63">
        <v>0.0</v>
      </c>
      <c r="AT45" s="63">
        <v>2.0</v>
      </c>
      <c r="AU45" s="63">
        <v>50.0</v>
      </c>
      <c r="AV45" s="63">
        <v>7.0</v>
      </c>
      <c r="AW45" s="63">
        <v>14.0</v>
      </c>
      <c r="AX45" s="63">
        <v>2.0</v>
      </c>
      <c r="AY45" s="63">
        <v>14.0</v>
      </c>
      <c r="AZ45" s="63">
        <v>3.0</v>
      </c>
      <c r="BA45" s="63">
        <v>0.0</v>
      </c>
      <c r="BB45" s="63">
        <v>0.0</v>
      </c>
      <c r="BC45" s="63">
        <v>0.0</v>
      </c>
      <c r="BD45" s="63">
        <v>0.0</v>
      </c>
      <c r="BE45" s="64">
        <v>0.0</v>
      </c>
      <c r="BF45" s="69">
        <v>0.0</v>
      </c>
      <c r="BG45" s="69">
        <v>0.0</v>
      </c>
      <c r="BH45" s="64">
        <v>0.0</v>
      </c>
      <c r="BI45" s="67" t="str">
        <f t="shared" si="2"/>
        <v>#REF!</v>
      </c>
      <c r="BJ45" s="68" t="str">
        <f t="shared" si="3"/>
        <v>#REF!</v>
      </c>
      <c r="BK45" s="65">
        <v>0.0</v>
      </c>
      <c r="BL45" s="65">
        <v>0.0</v>
      </c>
      <c r="BM45" s="66">
        <v>0.0</v>
      </c>
      <c r="BN45" s="67" t="str">
        <f t="shared" si="4"/>
        <v>#REF!</v>
      </c>
      <c r="BO45" s="68" t="str">
        <f t="shared" si="5"/>
        <v>#REF!</v>
      </c>
      <c r="BP45" s="65">
        <v>267925.0</v>
      </c>
      <c r="BQ45" s="65">
        <v>0.0</v>
      </c>
      <c r="BR45" s="66">
        <v>267925.0</v>
      </c>
      <c r="BS45" s="67" t="str">
        <f t="shared" si="6"/>
        <v>#REF!</v>
      </c>
      <c r="BT45" s="68" t="str">
        <f>'[1]DATA CONSOLIDADA 2018-2025 '!$BR45-Hoja1!$BO45</f>
        <v>#REF!</v>
      </c>
      <c r="BU45" s="65">
        <v>157500.0</v>
      </c>
      <c r="BV45" s="65">
        <v>0.0</v>
      </c>
      <c r="BW45" s="66">
        <v>157500.0</v>
      </c>
      <c r="BX45" s="67" t="str">
        <f t="shared" si="7"/>
        <v>#REF!</v>
      </c>
      <c r="BY45" s="68" t="str">
        <f t="shared" si="8"/>
        <v>#REF!</v>
      </c>
      <c r="BZ45" s="65">
        <v>215680.0</v>
      </c>
      <c r="CA45" s="65">
        <v>0.0</v>
      </c>
      <c r="CB45" s="66">
        <v>215680.0</v>
      </c>
      <c r="CC45" s="67" t="str">
        <f t="shared" si="9"/>
        <v>#REF!</v>
      </c>
      <c r="CD45" s="68" t="str">
        <f>'[1]DATA CONSOLIDADA 2018-2025 '!$CB45-Hoja1!$BW45</f>
        <v>#REF!</v>
      </c>
      <c r="CE45" s="70">
        <v>0.0</v>
      </c>
      <c r="CF45" s="70">
        <v>0.0</v>
      </c>
      <c r="CG45" s="71">
        <v>0.0</v>
      </c>
      <c r="CH45" s="67" t="str">
        <f t="shared" si="10"/>
        <v>#REF!</v>
      </c>
      <c r="CI45" s="68" t="str">
        <f>'[1]DATA CONSOLIDADA 2018-2025 '!$CG45-Hoja1!$CB45</f>
        <v>#REF!</v>
      </c>
      <c r="CJ45" s="64" t="str">
        <f t="shared" si="11"/>
        <v>#REF!</v>
      </c>
      <c r="CK45" s="64">
        <v>0.0</v>
      </c>
      <c r="CL45" s="64">
        <v>0.0</v>
      </c>
      <c r="CM45" s="64">
        <v>0.0</v>
      </c>
      <c r="CN45" s="64" t="str">
        <f t="shared" si="12"/>
        <v>#REF!</v>
      </c>
      <c r="CO45" s="68" t="str">
        <f>'[1]DATA CONSOLIDADA 2018-2025 '!$CM45-Hoja1!$CG45</f>
        <v>#REF!</v>
      </c>
      <c r="CP45" s="70">
        <v>0.0</v>
      </c>
      <c r="CQ45" s="70">
        <v>215680.0</v>
      </c>
      <c r="CR45" s="70">
        <v>0.0</v>
      </c>
      <c r="CS45" s="70">
        <v>0.0</v>
      </c>
      <c r="CT45" s="70">
        <v>0.0</v>
      </c>
      <c r="CU45" s="70">
        <v>0.0</v>
      </c>
      <c r="CV45" s="64">
        <v>215680.0</v>
      </c>
      <c r="CW45" s="64">
        <v>0.0</v>
      </c>
      <c r="CX45" s="64">
        <v>0.0</v>
      </c>
      <c r="CY45" s="64">
        <v>0.0</v>
      </c>
      <c r="CZ45" s="64">
        <v>0.0</v>
      </c>
      <c r="DA45" s="64">
        <v>0.0</v>
      </c>
      <c r="DB45" s="64">
        <v>0.0</v>
      </c>
      <c r="DC45" s="72">
        <v>0.0</v>
      </c>
      <c r="DD45" s="72">
        <v>0.0</v>
      </c>
      <c r="DE45" s="72">
        <v>0.0</v>
      </c>
      <c r="DF45" s="72">
        <v>0.0</v>
      </c>
      <c r="DG45" s="72">
        <v>0.0</v>
      </c>
      <c r="DH45" s="72">
        <v>0.0</v>
      </c>
      <c r="DI45" s="73">
        <v>2.0490672835E10</v>
      </c>
      <c r="DJ45" s="74" t="s">
        <v>273</v>
      </c>
      <c r="DK45" s="74" t="s">
        <v>138</v>
      </c>
      <c r="DL45" s="75"/>
      <c r="DM45" s="7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75"/>
      <c r="EC45" s="75"/>
      <c r="ED45" s="75"/>
      <c r="EE45" s="75"/>
    </row>
    <row r="46" ht="47.25" hidden="1" customHeight="1">
      <c r="A46" s="55" t="s">
        <v>274</v>
      </c>
      <c r="B46" s="55" t="s">
        <v>256</v>
      </c>
      <c r="C46" s="55" t="s">
        <v>272</v>
      </c>
      <c r="D46" s="55" t="s">
        <v>227</v>
      </c>
      <c r="E46" s="55" t="s">
        <v>275</v>
      </c>
      <c r="F46" s="55" t="s">
        <v>227</v>
      </c>
      <c r="G46" s="55" t="s">
        <v>239</v>
      </c>
      <c r="H46" s="55" t="s">
        <v>276</v>
      </c>
      <c r="I46" s="56"/>
      <c r="J46" s="56"/>
      <c r="K46" s="56"/>
      <c r="L46" s="56"/>
      <c r="M46" s="56">
        <v>1.0</v>
      </c>
      <c r="N46" s="56">
        <v>1.0</v>
      </c>
      <c r="O46" s="56"/>
      <c r="P46" s="56"/>
      <c r="Q46" s="56" t="s">
        <v>131</v>
      </c>
      <c r="R46" s="58" t="str">
        <f t="shared" si="1"/>
        <v>2022-2023</v>
      </c>
      <c r="S46" s="59" t="str">
        <f>SUM(Hoja1!$I46:$P46)</f>
        <v>2</v>
      </c>
      <c r="T46" s="59" t="str">
        <f>IF(OR(Hoja1!$J46=1,Hoja1!$K46=1,Hoja1!$L46=1,Hoja1!$M46=1,Hoja1!$N46=1,Hoja1!$O46=1,Hoja1!$P46=1),"SI","NO")</f>
        <v>SI</v>
      </c>
      <c r="U46" s="59" t="str">
        <f>IF(OR(Hoja1!$K46=1,Hoja1!$L46=1,Hoja1!$M46=1,Hoja1!$N46=1,Hoja1!$O46=1,Hoja1!$P46=1),"SI","NO")</f>
        <v>SI</v>
      </c>
      <c r="V46" s="60">
        <v>0.0</v>
      </c>
      <c r="W46" s="61">
        <v>0.0</v>
      </c>
      <c r="X46" s="61">
        <v>0.0</v>
      </c>
      <c r="Y46" s="60">
        <v>0.0</v>
      </c>
      <c r="Z46" s="61">
        <v>0.0</v>
      </c>
      <c r="AA46" s="61">
        <v>0.0</v>
      </c>
      <c r="AB46" s="60">
        <v>0.0</v>
      </c>
      <c r="AC46" s="61">
        <v>0.0</v>
      </c>
      <c r="AD46" s="61">
        <v>0.0</v>
      </c>
      <c r="AE46" s="60">
        <v>0.0</v>
      </c>
      <c r="AF46" s="61">
        <v>17.0</v>
      </c>
      <c r="AG46" s="61">
        <v>10.0</v>
      </c>
      <c r="AH46" s="60">
        <v>27.0</v>
      </c>
      <c r="AI46" s="61">
        <v>17.0</v>
      </c>
      <c r="AJ46" s="61">
        <v>10.0</v>
      </c>
      <c r="AK46" s="60">
        <v>27.0</v>
      </c>
      <c r="AL46" s="61">
        <v>0.0</v>
      </c>
      <c r="AM46" s="61">
        <v>0.0</v>
      </c>
      <c r="AN46" s="60">
        <v>0.0</v>
      </c>
      <c r="AO46" s="62">
        <v>0.0</v>
      </c>
      <c r="AP46" s="62">
        <v>0.0</v>
      </c>
      <c r="AQ46" s="60">
        <v>0.0</v>
      </c>
      <c r="AR46" s="60" t="str">
        <f>IF(Hoja1!$AQ46&gt;0,Hoja1!$AQ46,IF(Hoja1!$AN46&gt;0,Hoja1!$AN46,IF(Hoja1!$AK46&gt;0,Hoja1!$AK46,IF(Hoja1!$AH46&gt;0,Hoja1!$AH46,IF(Hoja1!$AE46&gt;0,Hoja1!$AE46,IF(Hoja1!$AB46&gt;0,Hoja1!$AB46,IF(Hoja1!$Y46&gt;0,Hoja1!$Y46,IF(Hoja1!$V46&gt;0,Hoja1!$V46," ---"))))))))</f>
        <v>27</v>
      </c>
      <c r="AS46" s="63">
        <v>0.0</v>
      </c>
      <c r="AT46" s="63">
        <v>0.0</v>
      </c>
      <c r="AU46" s="63">
        <v>0.0</v>
      </c>
      <c r="AV46" s="63">
        <v>0.0</v>
      </c>
      <c r="AW46" s="63">
        <v>13.0</v>
      </c>
      <c r="AX46" s="63">
        <v>3.0</v>
      </c>
      <c r="AY46" s="63">
        <v>12.0</v>
      </c>
      <c r="AZ46" s="63">
        <v>2.0</v>
      </c>
      <c r="BA46" s="63">
        <v>0.0</v>
      </c>
      <c r="BB46" s="63">
        <v>0.0</v>
      </c>
      <c r="BC46" s="63">
        <v>0.0</v>
      </c>
      <c r="BD46" s="63">
        <v>0.0</v>
      </c>
      <c r="BE46" s="64">
        <v>0.0</v>
      </c>
      <c r="BF46" s="69">
        <v>0.0</v>
      </c>
      <c r="BG46" s="69">
        <v>0.0</v>
      </c>
      <c r="BH46" s="64">
        <v>0.0</v>
      </c>
      <c r="BI46" s="67" t="str">
        <f t="shared" si="2"/>
        <v>#REF!</v>
      </c>
      <c r="BJ46" s="68" t="str">
        <f t="shared" si="3"/>
        <v>#REF!</v>
      </c>
      <c r="BK46" s="69">
        <v>0.0</v>
      </c>
      <c r="BL46" s="69">
        <v>0.0</v>
      </c>
      <c r="BM46" s="64">
        <v>0.0</v>
      </c>
      <c r="BN46" s="67" t="str">
        <f t="shared" si="4"/>
        <v>#REF!</v>
      </c>
      <c r="BO46" s="68" t="str">
        <f t="shared" si="5"/>
        <v>#REF!</v>
      </c>
      <c r="BP46" s="65">
        <v>0.0</v>
      </c>
      <c r="BQ46" s="65">
        <v>0.0</v>
      </c>
      <c r="BR46" s="66">
        <v>0.0</v>
      </c>
      <c r="BS46" s="67" t="str">
        <f t="shared" si="6"/>
        <v>#REF!</v>
      </c>
      <c r="BT46" s="68" t="str">
        <f>'[1]DATA CONSOLIDADA 2018-2025 '!$BR46-Hoja1!$BO46</f>
        <v>#REF!</v>
      </c>
      <c r="BU46" s="65">
        <v>106710.0</v>
      </c>
      <c r="BV46" s="65">
        <v>0.0</v>
      </c>
      <c r="BW46" s="66">
        <v>106710.0</v>
      </c>
      <c r="BX46" s="67" t="str">
        <f t="shared" si="7"/>
        <v>#REF!</v>
      </c>
      <c r="BY46" s="68" t="str">
        <f t="shared" si="8"/>
        <v>#REF!</v>
      </c>
      <c r="BZ46" s="65">
        <v>148900.0</v>
      </c>
      <c r="CA46" s="65">
        <v>0.0</v>
      </c>
      <c r="CB46" s="66">
        <v>148900.0</v>
      </c>
      <c r="CC46" s="67" t="str">
        <f t="shared" si="9"/>
        <v>#REF!</v>
      </c>
      <c r="CD46" s="68" t="str">
        <f>'[1]DATA CONSOLIDADA 2018-2025 '!$CB46-Hoja1!$BW46</f>
        <v>#REF!</v>
      </c>
      <c r="CE46" s="70">
        <v>0.0</v>
      </c>
      <c r="CF46" s="70">
        <v>0.0</v>
      </c>
      <c r="CG46" s="71">
        <v>0.0</v>
      </c>
      <c r="CH46" s="67" t="str">
        <f t="shared" si="10"/>
        <v>#REF!</v>
      </c>
      <c r="CI46" s="68" t="str">
        <f>'[1]DATA CONSOLIDADA 2018-2025 '!$CG46-Hoja1!$CB46</f>
        <v>#REF!</v>
      </c>
      <c r="CJ46" s="64" t="str">
        <f t="shared" si="11"/>
        <v>#REF!</v>
      </c>
      <c r="CK46" s="64">
        <v>0.0</v>
      </c>
      <c r="CL46" s="64">
        <v>0.0</v>
      </c>
      <c r="CM46" s="64">
        <v>0.0</v>
      </c>
      <c r="CN46" s="64" t="str">
        <f t="shared" si="12"/>
        <v>#REF!</v>
      </c>
      <c r="CO46" s="68" t="str">
        <f>'[1]DATA CONSOLIDADA 2018-2025 '!$CM46-Hoja1!$CG46</f>
        <v>#REF!</v>
      </c>
      <c r="CP46" s="70">
        <v>38700.0</v>
      </c>
      <c r="CQ46" s="70">
        <v>110200.0</v>
      </c>
      <c r="CR46" s="70">
        <v>0.0</v>
      </c>
      <c r="CS46" s="70">
        <v>0.0</v>
      </c>
      <c r="CT46" s="70">
        <v>0.0</v>
      </c>
      <c r="CU46" s="70">
        <v>0.0</v>
      </c>
      <c r="CV46" s="64">
        <v>148900.0</v>
      </c>
      <c r="CW46" s="64">
        <v>0.0</v>
      </c>
      <c r="CX46" s="64">
        <v>0.0</v>
      </c>
      <c r="CY46" s="64">
        <v>0.0</v>
      </c>
      <c r="CZ46" s="64">
        <v>0.0</v>
      </c>
      <c r="DA46" s="64">
        <v>0.0</v>
      </c>
      <c r="DB46" s="64">
        <v>0.0</v>
      </c>
      <c r="DC46" s="72">
        <v>0.0</v>
      </c>
      <c r="DD46" s="72">
        <v>0.0</v>
      </c>
      <c r="DE46" s="72">
        <v>0.0</v>
      </c>
      <c r="DF46" s="72">
        <v>0.0</v>
      </c>
      <c r="DG46" s="72">
        <v>0.0</v>
      </c>
      <c r="DH46" s="72">
        <v>0.0</v>
      </c>
      <c r="DI46" s="73" t="s">
        <v>277</v>
      </c>
      <c r="DJ46" s="74" t="s">
        <v>274</v>
      </c>
      <c r="DK46" s="74" t="s">
        <v>138</v>
      </c>
      <c r="DL46" s="75"/>
      <c r="DM46" s="7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75"/>
      <c r="EC46" s="75"/>
      <c r="ED46" s="75"/>
      <c r="EE46" s="75"/>
    </row>
    <row r="47" ht="47.25" hidden="1" customHeight="1">
      <c r="A47" s="55" t="s">
        <v>278</v>
      </c>
      <c r="B47" s="55" t="s">
        <v>236</v>
      </c>
      <c r="C47" s="55" t="s">
        <v>237</v>
      </c>
      <c r="D47" s="55" t="s">
        <v>227</v>
      </c>
      <c r="E47" s="55" t="s">
        <v>279</v>
      </c>
      <c r="F47" s="55" t="s">
        <v>227</v>
      </c>
      <c r="G47" s="55" t="s">
        <v>239</v>
      </c>
      <c r="H47" s="55" t="s">
        <v>280</v>
      </c>
      <c r="I47" s="56"/>
      <c r="J47" s="56"/>
      <c r="K47" s="56"/>
      <c r="L47" s="56"/>
      <c r="M47" s="56">
        <v>1.0</v>
      </c>
      <c r="N47" s="56">
        <v>1.0</v>
      </c>
      <c r="O47" s="56"/>
      <c r="P47" s="56"/>
      <c r="Q47" s="56" t="s">
        <v>131</v>
      </c>
      <c r="R47" s="58" t="str">
        <f t="shared" si="1"/>
        <v>2022-2023</v>
      </c>
      <c r="S47" s="59" t="str">
        <f>SUM(Hoja1!$I47:$P47)</f>
        <v>2</v>
      </c>
      <c r="T47" s="59" t="str">
        <f>IF(OR(Hoja1!$J47=1,Hoja1!$K47=1,Hoja1!$L47=1,Hoja1!$M47=1,Hoja1!$N47=1,Hoja1!$O47=1,Hoja1!$P47=1),"SI","NO")</f>
        <v>SI</v>
      </c>
      <c r="U47" s="59" t="str">
        <f>IF(OR(Hoja1!$K47=1,Hoja1!$L47=1,Hoja1!$M47=1,Hoja1!$N47=1,Hoja1!$O47=1,Hoja1!$P47=1),"SI","NO")</f>
        <v>SI</v>
      </c>
      <c r="V47" s="60">
        <v>0.0</v>
      </c>
      <c r="W47" s="61">
        <v>0.0</v>
      </c>
      <c r="X47" s="61">
        <v>0.0</v>
      </c>
      <c r="Y47" s="60">
        <v>0.0</v>
      </c>
      <c r="Z47" s="61">
        <v>0.0</v>
      </c>
      <c r="AA47" s="61">
        <v>0.0</v>
      </c>
      <c r="AB47" s="60">
        <v>0.0</v>
      </c>
      <c r="AC47" s="61">
        <v>0.0</v>
      </c>
      <c r="AD47" s="61">
        <v>0.0</v>
      </c>
      <c r="AE47" s="60">
        <v>0.0</v>
      </c>
      <c r="AF47" s="61">
        <v>42.0</v>
      </c>
      <c r="AG47" s="61">
        <v>34.0</v>
      </c>
      <c r="AH47" s="60">
        <v>76.0</v>
      </c>
      <c r="AI47" s="61">
        <v>42.0</v>
      </c>
      <c r="AJ47" s="61">
        <v>34.0</v>
      </c>
      <c r="AK47" s="60">
        <v>76.0</v>
      </c>
      <c r="AL47" s="61">
        <v>0.0</v>
      </c>
      <c r="AM47" s="61">
        <v>0.0</v>
      </c>
      <c r="AN47" s="60">
        <v>0.0</v>
      </c>
      <c r="AO47" s="62">
        <v>0.0</v>
      </c>
      <c r="AP47" s="62">
        <v>0.0</v>
      </c>
      <c r="AQ47" s="60">
        <v>0.0</v>
      </c>
      <c r="AR47" s="60" t="str">
        <f>IF(Hoja1!$AQ47&gt;0,Hoja1!$AQ47,IF(Hoja1!$AN47&gt;0,Hoja1!$AN47,IF(Hoja1!$AK47&gt;0,Hoja1!$AK47,IF(Hoja1!$AH47&gt;0,Hoja1!$AH47,IF(Hoja1!$AE47&gt;0,Hoja1!$AE47,IF(Hoja1!$AB47&gt;0,Hoja1!$AB47,IF(Hoja1!$Y47&gt;0,Hoja1!$Y47,IF(Hoja1!$V47&gt;0,Hoja1!$V47," ---"))))))))</f>
        <v>76</v>
      </c>
      <c r="AS47" s="63">
        <v>0.0</v>
      </c>
      <c r="AT47" s="63">
        <v>0.0</v>
      </c>
      <c r="AU47" s="63">
        <v>0.0</v>
      </c>
      <c r="AV47" s="63">
        <v>0.0</v>
      </c>
      <c r="AW47" s="63">
        <v>19.0</v>
      </c>
      <c r="AX47" s="63">
        <v>2.0</v>
      </c>
      <c r="AY47" s="63">
        <v>16.0</v>
      </c>
      <c r="AZ47" s="63">
        <v>3.0</v>
      </c>
      <c r="BA47" s="63">
        <v>0.0</v>
      </c>
      <c r="BB47" s="63">
        <v>0.0</v>
      </c>
      <c r="BC47" s="63">
        <v>0.0</v>
      </c>
      <c r="BD47" s="63">
        <v>0.0</v>
      </c>
      <c r="BE47" s="64">
        <v>0.0</v>
      </c>
      <c r="BF47" s="69">
        <v>0.0</v>
      </c>
      <c r="BG47" s="69">
        <v>0.0</v>
      </c>
      <c r="BH47" s="64">
        <v>0.0</v>
      </c>
      <c r="BI47" s="67" t="str">
        <f t="shared" si="2"/>
        <v>#REF!</v>
      </c>
      <c r="BJ47" s="68" t="str">
        <f t="shared" si="3"/>
        <v>#REF!</v>
      </c>
      <c r="BK47" s="69">
        <v>0.0</v>
      </c>
      <c r="BL47" s="69">
        <v>0.0</v>
      </c>
      <c r="BM47" s="64">
        <v>0.0</v>
      </c>
      <c r="BN47" s="67" t="str">
        <f t="shared" si="4"/>
        <v>#REF!</v>
      </c>
      <c r="BO47" s="68" t="str">
        <f t="shared" si="5"/>
        <v>#REF!</v>
      </c>
      <c r="BP47" s="65">
        <v>0.0</v>
      </c>
      <c r="BQ47" s="65">
        <v>0.0</v>
      </c>
      <c r="BR47" s="66">
        <v>0.0</v>
      </c>
      <c r="BS47" s="67" t="str">
        <f t="shared" si="6"/>
        <v>#REF!</v>
      </c>
      <c r="BT47" s="68" t="str">
        <f>'[1]DATA CONSOLIDADA 2018-2025 '!$BR47-Hoja1!$BO47</f>
        <v>#REF!</v>
      </c>
      <c r="BU47" s="65">
        <v>0.0</v>
      </c>
      <c r="BV47" s="65">
        <v>0.0</v>
      </c>
      <c r="BW47" s="66">
        <v>0.0</v>
      </c>
      <c r="BX47" s="67" t="str">
        <f t="shared" si="7"/>
        <v>#REF!</v>
      </c>
      <c r="BY47" s="68" t="str">
        <f t="shared" si="8"/>
        <v>#REF!</v>
      </c>
      <c r="BZ47" s="65">
        <v>216575.5</v>
      </c>
      <c r="CA47" s="65">
        <v>0.0</v>
      </c>
      <c r="CB47" s="66">
        <v>216575.5</v>
      </c>
      <c r="CC47" s="67" t="str">
        <f t="shared" si="9"/>
        <v>#REF!</v>
      </c>
      <c r="CD47" s="68" t="str">
        <f>'[1]DATA CONSOLIDADA 2018-2025 '!$CB47-Hoja1!$BW47</f>
        <v>#REF!</v>
      </c>
      <c r="CE47" s="70">
        <v>0.0</v>
      </c>
      <c r="CF47" s="70">
        <v>0.0</v>
      </c>
      <c r="CG47" s="71">
        <v>0.0</v>
      </c>
      <c r="CH47" s="67" t="str">
        <f t="shared" si="10"/>
        <v>#REF!</v>
      </c>
      <c r="CI47" s="68" t="str">
        <f>'[1]DATA CONSOLIDADA 2018-2025 '!$CG47-Hoja1!$CB47</f>
        <v>#REF!</v>
      </c>
      <c r="CJ47" s="64" t="str">
        <f t="shared" si="11"/>
        <v>#REF!</v>
      </c>
      <c r="CK47" s="64">
        <v>0.0</v>
      </c>
      <c r="CL47" s="64">
        <v>0.0</v>
      </c>
      <c r="CM47" s="64">
        <v>0.0</v>
      </c>
      <c r="CN47" s="64" t="str">
        <f t="shared" si="12"/>
        <v>#REF!</v>
      </c>
      <c r="CO47" s="68" t="str">
        <f>'[1]DATA CONSOLIDADA 2018-2025 '!$CM47-Hoja1!$CG47</f>
        <v>#REF!</v>
      </c>
      <c r="CP47" s="70">
        <v>0.0</v>
      </c>
      <c r="CQ47" s="70">
        <v>216575.5</v>
      </c>
      <c r="CR47" s="70">
        <v>0.0</v>
      </c>
      <c r="CS47" s="70">
        <v>0.0</v>
      </c>
      <c r="CT47" s="70">
        <v>0.0</v>
      </c>
      <c r="CU47" s="70">
        <v>0.0</v>
      </c>
      <c r="CV47" s="64">
        <v>216575.5</v>
      </c>
      <c r="CW47" s="64">
        <v>0.0</v>
      </c>
      <c r="CX47" s="64">
        <v>0.0</v>
      </c>
      <c r="CY47" s="64">
        <v>0.0</v>
      </c>
      <c r="CZ47" s="64">
        <v>0.0</v>
      </c>
      <c r="DA47" s="64">
        <v>0.0</v>
      </c>
      <c r="DB47" s="64">
        <v>0.0</v>
      </c>
      <c r="DC47" s="72">
        <v>0.0</v>
      </c>
      <c r="DD47" s="72">
        <v>0.0</v>
      </c>
      <c r="DE47" s="72">
        <v>0.0</v>
      </c>
      <c r="DF47" s="72">
        <v>0.0</v>
      </c>
      <c r="DG47" s="72">
        <v>0.0</v>
      </c>
      <c r="DH47" s="72">
        <v>0.0</v>
      </c>
      <c r="DI47" s="73">
        <v>2.0606396849E10</v>
      </c>
      <c r="DJ47" s="74" t="s">
        <v>281</v>
      </c>
      <c r="DK47" s="74" t="s">
        <v>132</v>
      </c>
      <c r="DL47" s="75"/>
      <c r="DM47" s="7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75"/>
      <c r="EC47" s="75"/>
      <c r="ED47" s="75"/>
      <c r="EE47" s="75"/>
    </row>
    <row r="48" ht="47.25" hidden="1" customHeight="1">
      <c r="A48" s="55" t="s">
        <v>282</v>
      </c>
      <c r="B48" s="55" t="s">
        <v>256</v>
      </c>
      <c r="C48" s="55" t="s">
        <v>272</v>
      </c>
      <c r="D48" s="55" t="s">
        <v>227</v>
      </c>
      <c r="E48" s="55" t="s">
        <v>279</v>
      </c>
      <c r="F48" s="55" t="s">
        <v>227</v>
      </c>
      <c r="G48" s="55" t="s">
        <v>239</v>
      </c>
      <c r="H48" s="55" t="s">
        <v>280</v>
      </c>
      <c r="I48" s="56"/>
      <c r="J48" s="56"/>
      <c r="K48" s="56"/>
      <c r="L48" s="56"/>
      <c r="M48" s="56">
        <v>1.0</v>
      </c>
      <c r="N48" s="56">
        <v>1.0</v>
      </c>
      <c r="O48" s="56"/>
      <c r="P48" s="56"/>
      <c r="Q48" s="56" t="s">
        <v>131</v>
      </c>
      <c r="R48" s="58" t="str">
        <f t="shared" si="1"/>
        <v>2022-2023</v>
      </c>
      <c r="S48" s="59" t="str">
        <f>SUM(Hoja1!$I48:$P48)</f>
        <v>2</v>
      </c>
      <c r="T48" s="59" t="str">
        <f>IF(OR(Hoja1!$J48=1,Hoja1!$K48=1,Hoja1!$L48=1,Hoja1!$M48=1,Hoja1!$N48=1,Hoja1!$O48=1,Hoja1!$P48=1),"SI","NO")</f>
        <v>SI</v>
      </c>
      <c r="U48" s="59" t="str">
        <f>IF(OR(Hoja1!$K48=1,Hoja1!$L48=1,Hoja1!$M48=1,Hoja1!$N48=1,Hoja1!$O48=1,Hoja1!$P48=1),"SI","NO")</f>
        <v>SI</v>
      </c>
      <c r="V48" s="60">
        <v>0.0</v>
      </c>
      <c r="W48" s="61">
        <v>0.0</v>
      </c>
      <c r="X48" s="61">
        <v>0.0</v>
      </c>
      <c r="Y48" s="60">
        <v>0.0</v>
      </c>
      <c r="Z48" s="61">
        <v>0.0</v>
      </c>
      <c r="AA48" s="61">
        <v>0.0</v>
      </c>
      <c r="AB48" s="60">
        <v>0.0</v>
      </c>
      <c r="AC48" s="61">
        <v>0.0</v>
      </c>
      <c r="AD48" s="61">
        <v>0.0</v>
      </c>
      <c r="AE48" s="60">
        <v>0.0</v>
      </c>
      <c r="AF48" s="61">
        <v>17.0</v>
      </c>
      <c r="AG48" s="61">
        <v>8.0</v>
      </c>
      <c r="AH48" s="60">
        <v>25.0</v>
      </c>
      <c r="AI48" s="61">
        <v>17.0</v>
      </c>
      <c r="AJ48" s="61">
        <v>8.0</v>
      </c>
      <c r="AK48" s="60">
        <v>25.0</v>
      </c>
      <c r="AL48" s="61">
        <v>0.0</v>
      </c>
      <c r="AM48" s="61">
        <v>0.0</v>
      </c>
      <c r="AN48" s="60">
        <v>0.0</v>
      </c>
      <c r="AO48" s="62">
        <v>0.0</v>
      </c>
      <c r="AP48" s="62">
        <v>0.0</v>
      </c>
      <c r="AQ48" s="60">
        <v>0.0</v>
      </c>
      <c r="AR48" s="60" t="str">
        <f>IF(Hoja1!$AQ48&gt;0,Hoja1!$AQ48,IF(Hoja1!$AN48&gt;0,Hoja1!$AN48,IF(Hoja1!$AK48&gt;0,Hoja1!$AK48,IF(Hoja1!$AH48&gt;0,Hoja1!$AH48,IF(Hoja1!$AE48&gt;0,Hoja1!$AE48,IF(Hoja1!$AB48&gt;0,Hoja1!$AB48,IF(Hoja1!$Y48&gt;0,Hoja1!$Y48,IF(Hoja1!$V48&gt;0,Hoja1!$V48," ---"))))))))</f>
        <v>25</v>
      </c>
      <c r="AS48" s="63">
        <v>0.0</v>
      </c>
      <c r="AT48" s="63">
        <v>0.0</v>
      </c>
      <c r="AU48" s="63">
        <v>0.0</v>
      </c>
      <c r="AV48" s="63">
        <v>0.0</v>
      </c>
      <c r="AW48" s="63">
        <v>18.0</v>
      </c>
      <c r="AX48" s="63">
        <v>3.0</v>
      </c>
      <c r="AY48" s="63">
        <v>14.0</v>
      </c>
      <c r="AZ48" s="63">
        <v>3.0</v>
      </c>
      <c r="BA48" s="63">
        <v>0.0</v>
      </c>
      <c r="BB48" s="63">
        <v>0.0</v>
      </c>
      <c r="BC48" s="63">
        <v>0.0</v>
      </c>
      <c r="BD48" s="63">
        <v>0.0</v>
      </c>
      <c r="BE48" s="64">
        <v>0.0</v>
      </c>
      <c r="BF48" s="69">
        <v>0.0</v>
      </c>
      <c r="BG48" s="69">
        <v>0.0</v>
      </c>
      <c r="BH48" s="64">
        <v>0.0</v>
      </c>
      <c r="BI48" s="67" t="str">
        <f t="shared" si="2"/>
        <v>#REF!</v>
      </c>
      <c r="BJ48" s="68" t="str">
        <f t="shared" si="3"/>
        <v>#REF!</v>
      </c>
      <c r="BK48" s="69">
        <v>0.0</v>
      </c>
      <c r="BL48" s="69">
        <v>0.0</v>
      </c>
      <c r="BM48" s="64">
        <v>0.0</v>
      </c>
      <c r="BN48" s="67" t="str">
        <f t="shared" si="4"/>
        <v>#REF!</v>
      </c>
      <c r="BO48" s="68" t="str">
        <f t="shared" si="5"/>
        <v>#REF!</v>
      </c>
      <c r="BP48" s="65">
        <v>0.0</v>
      </c>
      <c r="BQ48" s="65">
        <v>0.0</v>
      </c>
      <c r="BR48" s="66">
        <v>0.0</v>
      </c>
      <c r="BS48" s="67" t="str">
        <f t="shared" si="6"/>
        <v>#REF!</v>
      </c>
      <c r="BT48" s="68" t="str">
        <f>'[1]DATA CONSOLIDADA 2018-2025 '!$BR48-Hoja1!$BO48</f>
        <v>#REF!</v>
      </c>
      <c r="BU48" s="65">
        <v>73000.0</v>
      </c>
      <c r="BV48" s="65">
        <v>0.0</v>
      </c>
      <c r="BW48" s="66">
        <v>73000.0</v>
      </c>
      <c r="BX48" s="67" t="str">
        <f t="shared" si="7"/>
        <v>#REF!</v>
      </c>
      <c r="BY48" s="68" t="str">
        <f t="shared" si="8"/>
        <v>#REF!</v>
      </c>
      <c r="BZ48" s="65">
        <v>216700.0</v>
      </c>
      <c r="CA48" s="65">
        <v>0.0</v>
      </c>
      <c r="CB48" s="66">
        <v>216700.0</v>
      </c>
      <c r="CC48" s="67" t="str">
        <f t="shared" si="9"/>
        <v>#REF!</v>
      </c>
      <c r="CD48" s="68" t="str">
        <f>'[1]DATA CONSOLIDADA 2018-2025 '!$CB48-Hoja1!$BW48</f>
        <v>#REF!</v>
      </c>
      <c r="CE48" s="70">
        <v>0.0</v>
      </c>
      <c r="CF48" s="70">
        <v>0.0</v>
      </c>
      <c r="CG48" s="71">
        <v>0.0</v>
      </c>
      <c r="CH48" s="67" t="str">
        <f t="shared" si="10"/>
        <v>#REF!</v>
      </c>
      <c r="CI48" s="68" t="str">
        <f>'[1]DATA CONSOLIDADA 2018-2025 '!$CG48-Hoja1!$CB48</f>
        <v>#REF!</v>
      </c>
      <c r="CJ48" s="64" t="str">
        <f t="shared" si="11"/>
        <v>#REF!</v>
      </c>
      <c r="CK48" s="64">
        <v>0.0</v>
      </c>
      <c r="CL48" s="64">
        <v>0.0</v>
      </c>
      <c r="CM48" s="64">
        <v>0.0</v>
      </c>
      <c r="CN48" s="64" t="str">
        <f t="shared" si="12"/>
        <v>#REF!</v>
      </c>
      <c r="CO48" s="68" t="str">
        <f>'[1]DATA CONSOLIDADA 2018-2025 '!$CM48-Hoja1!$CG48</f>
        <v>#REF!</v>
      </c>
      <c r="CP48" s="70">
        <v>0.0</v>
      </c>
      <c r="CQ48" s="70">
        <v>216700.0</v>
      </c>
      <c r="CR48" s="70">
        <v>0.0</v>
      </c>
      <c r="CS48" s="70">
        <v>0.0</v>
      </c>
      <c r="CT48" s="70">
        <v>0.0</v>
      </c>
      <c r="CU48" s="70">
        <v>0.0</v>
      </c>
      <c r="CV48" s="64">
        <v>216700.0</v>
      </c>
      <c r="CW48" s="64">
        <v>0.0</v>
      </c>
      <c r="CX48" s="64">
        <v>0.0</v>
      </c>
      <c r="CY48" s="64">
        <v>0.0</v>
      </c>
      <c r="CZ48" s="64">
        <v>0.0</v>
      </c>
      <c r="DA48" s="64">
        <v>0.0</v>
      </c>
      <c r="DB48" s="64">
        <v>0.0</v>
      </c>
      <c r="DC48" s="72">
        <v>0.0</v>
      </c>
      <c r="DD48" s="72">
        <v>0.0</v>
      </c>
      <c r="DE48" s="72">
        <v>0.0</v>
      </c>
      <c r="DF48" s="72">
        <v>0.0</v>
      </c>
      <c r="DG48" s="72">
        <v>0.0</v>
      </c>
      <c r="DH48" s="72">
        <v>0.0</v>
      </c>
      <c r="DI48" s="73">
        <v>2.0491164469E10</v>
      </c>
      <c r="DJ48" s="74" t="s">
        <v>282</v>
      </c>
      <c r="DK48" s="74" t="s">
        <v>138</v>
      </c>
      <c r="DL48" s="75"/>
      <c r="DM48" s="75"/>
      <c r="DN48" s="75"/>
      <c r="DO48" s="75"/>
      <c r="DP48" s="75"/>
      <c r="DQ48" s="75"/>
      <c r="DR48" s="75"/>
      <c r="DS48" s="75"/>
      <c r="DT48" s="75"/>
      <c r="DU48" s="75"/>
      <c r="DV48" s="75"/>
      <c r="DW48" s="75"/>
      <c r="DX48" s="75"/>
      <c r="DY48" s="75"/>
      <c r="DZ48" s="75"/>
      <c r="EA48" s="75"/>
      <c r="EB48" s="75"/>
      <c r="EC48" s="75"/>
      <c r="ED48" s="75"/>
      <c r="EE48" s="75"/>
    </row>
    <row r="49" ht="47.25" hidden="1" customHeight="1">
      <c r="A49" s="55" t="s">
        <v>283</v>
      </c>
      <c r="B49" s="55" t="s">
        <v>236</v>
      </c>
      <c r="C49" s="55" t="s">
        <v>237</v>
      </c>
      <c r="D49" s="55" t="s">
        <v>227</v>
      </c>
      <c r="E49" s="55" t="s">
        <v>284</v>
      </c>
      <c r="F49" s="55" t="s">
        <v>227</v>
      </c>
      <c r="G49" s="55" t="s">
        <v>229</v>
      </c>
      <c r="H49" s="55" t="s">
        <v>285</v>
      </c>
      <c r="I49" s="56"/>
      <c r="J49" s="56"/>
      <c r="K49" s="56"/>
      <c r="L49" s="56"/>
      <c r="M49" s="56">
        <v>1.0</v>
      </c>
      <c r="N49" s="56">
        <v>1.0</v>
      </c>
      <c r="O49" s="56">
        <v>1.0</v>
      </c>
      <c r="P49" s="56"/>
      <c r="Q49" s="56" t="s">
        <v>131</v>
      </c>
      <c r="R49" s="58" t="str">
        <f t="shared" si="1"/>
        <v>2022-2023-2024</v>
      </c>
      <c r="S49" s="59" t="str">
        <f>SUM(Hoja1!$I49:$P49)</f>
        <v>3</v>
      </c>
      <c r="T49" s="59" t="str">
        <f>IF(OR(Hoja1!$J49=1,Hoja1!$K49=1,Hoja1!$L49=1,Hoja1!$M49=1,Hoja1!$N49=1,Hoja1!$O49=1,Hoja1!$P49=1),"SI","NO")</f>
        <v>SI</v>
      </c>
      <c r="U49" s="59" t="str">
        <f>IF(OR(Hoja1!$K49=1,Hoja1!$L49=1,Hoja1!$M49=1,Hoja1!$N49=1,Hoja1!$O49=1,Hoja1!$P49=1),"SI","NO")</f>
        <v>SI</v>
      </c>
      <c r="V49" s="60">
        <v>0.0</v>
      </c>
      <c r="W49" s="61">
        <v>0.0</v>
      </c>
      <c r="X49" s="61">
        <v>0.0</v>
      </c>
      <c r="Y49" s="60">
        <v>0.0</v>
      </c>
      <c r="Z49" s="61">
        <v>0.0</v>
      </c>
      <c r="AA49" s="61">
        <v>0.0</v>
      </c>
      <c r="AB49" s="60">
        <v>0.0</v>
      </c>
      <c r="AC49" s="61">
        <v>0.0</v>
      </c>
      <c r="AD49" s="61">
        <v>0.0</v>
      </c>
      <c r="AE49" s="60">
        <v>0.0</v>
      </c>
      <c r="AF49" s="61">
        <v>474.0</v>
      </c>
      <c r="AG49" s="61">
        <v>129.0</v>
      </c>
      <c r="AH49" s="60">
        <v>603.0</v>
      </c>
      <c r="AI49" s="61">
        <v>474.0</v>
      </c>
      <c r="AJ49" s="61">
        <v>129.0</v>
      </c>
      <c r="AK49" s="60">
        <v>603.0</v>
      </c>
      <c r="AL49" s="61">
        <v>475.0</v>
      </c>
      <c r="AM49" s="61">
        <v>131.0</v>
      </c>
      <c r="AN49" s="60">
        <v>606.0</v>
      </c>
      <c r="AO49" s="62">
        <v>0.0</v>
      </c>
      <c r="AP49" s="62">
        <v>0.0</v>
      </c>
      <c r="AQ49" s="60">
        <v>0.0</v>
      </c>
      <c r="AR49" s="60" t="str">
        <f>IF(Hoja1!$AQ49&gt;0,Hoja1!$AQ49,IF(Hoja1!$AN49&gt;0,Hoja1!$AN49,IF(Hoja1!$AK49&gt;0,Hoja1!$AK49,IF(Hoja1!$AH49&gt;0,Hoja1!$AH49,IF(Hoja1!$AE49&gt;0,Hoja1!$AE49,IF(Hoja1!$AB49&gt;0,Hoja1!$AB49,IF(Hoja1!$Y49&gt;0,Hoja1!$Y49,IF(Hoja1!$V49&gt;0,Hoja1!$V49," ---"))))))))</f>
        <v>606</v>
      </c>
      <c r="AS49" s="63">
        <v>0.0</v>
      </c>
      <c r="AT49" s="63">
        <v>0.0</v>
      </c>
      <c r="AU49" s="63">
        <v>0.0</v>
      </c>
      <c r="AV49" s="63">
        <v>0.0</v>
      </c>
      <c r="AW49" s="63">
        <v>22.0</v>
      </c>
      <c r="AX49" s="63">
        <v>3.0</v>
      </c>
      <c r="AY49" s="63">
        <v>25.0</v>
      </c>
      <c r="AZ49" s="63">
        <v>12.0</v>
      </c>
      <c r="BA49" s="63">
        <v>12.0</v>
      </c>
      <c r="BB49" s="63">
        <v>0.0</v>
      </c>
      <c r="BC49" s="63">
        <v>0.0</v>
      </c>
      <c r="BD49" s="63">
        <v>0.0</v>
      </c>
      <c r="BE49" s="64">
        <v>0.0</v>
      </c>
      <c r="BF49" s="69">
        <v>0.0</v>
      </c>
      <c r="BG49" s="69">
        <v>0.0</v>
      </c>
      <c r="BH49" s="64">
        <v>0.0</v>
      </c>
      <c r="BI49" s="67" t="str">
        <f t="shared" si="2"/>
        <v>#REF!</v>
      </c>
      <c r="BJ49" s="68" t="str">
        <f t="shared" si="3"/>
        <v>#REF!</v>
      </c>
      <c r="BK49" s="69">
        <v>0.0</v>
      </c>
      <c r="BL49" s="69">
        <v>0.0</v>
      </c>
      <c r="BM49" s="64">
        <v>0.0</v>
      </c>
      <c r="BN49" s="67" t="str">
        <f t="shared" si="4"/>
        <v>#REF!</v>
      </c>
      <c r="BO49" s="68" t="str">
        <f t="shared" si="5"/>
        <v>#REF!</v>
      </c>
      <c r="BP49" s="65">
        <v>0.0</v>
      </c>
      <c r="BQ49" s="65">
        <v>0.0</v>
      </c>
      <c r="BR49" s="66">
        <v>0.0</v>
      </c>
      <c r="BS49" s="67" t="str">
        <f t="shared" si="6"/>
        <v>#REF!</v>
      </c>
      <c r="BT49" s="68" t="str">
        <f>'[1]DATA CONSOLIDADA 2018-2025 '!$BR49-Hoja1!$BO49</f>
        <v>#REF!</v>
      </c>
      <c r="BU49" s="65">
        <v>337573.42</v>
      </c>
      <c r="BV49" s="65">
        <v>0.0</v>
      </c>
      <c r="BW49" s="66">
        <v>337573.42</v>
      </c>
      <c r="BX49" s="67" t="str">
        <f t="shared" si="7"/>
        <v>#REF!</v>
      </c>
      <c r="BY49" s="68" t="str">
        <f t="shared" si="8"/>
        <v>#REF!</v>
      </c>
      <c r="BZ49" s="65">
        <v>269924.79</v>
      </c>
      <c r="CA49" s="65">
        <v>0.0</v>
      </c>
      <c r="CB49" s="66">
        <v>269924.79</v>
      </c>
      <c r="CC49" s="67" t="str">
        <f t="shared" si="9"/>
        <v>#REF!</v>
      </c>
      <c r="CD49" s="68" t="str">
        <f>'[1]DATA CONSOLIDADA 2018-2025 '!$CB49-Hoja1!$BW49</f>
        <v>#REF!</v>
      </c>
      <c r="CE49" s="70">
        <v>0.0</v>
      </c>
      <c r="CF49" s="70">
        <v>0.0</v>
      </c>
      <c r="CG49" s="71">
        <v>0.0</v>
      </c>
      <c r="CH49" s="67" t="str">
        <f t="shared" si="10"/>
        <v>#REF!</v>
      </c>
      <c r="CI49" s="68" t="str">
        <f>'[1]DATA CONSOLIDADA 2018-2025 '!$CG49-Hoja1!$CB49</f>
        <v>#REF!</v>
      </c>
      <c r="CJ49" s="64" t="str">
        <f t="shared" si="11"/>
        <v>#REF!</v>
      </c>
      <c r="CK49" s="64">
        <v>0.0</v>
      </c>
      <c r="CL49" s="64">
        <v>0.0</v>
      </c>
      <c r="CM49" s="64">
        <v>0.0</v>
      </c>
      <c r="CN49" s="64" t="str">
        <f t="shared" si="12"/>
        <v>#REF!</v>
      </c>
      <c r="CO49" s="68" t="str">
        <f>'[1]DATA CONSOLIDADA 2018-2025 '!$CM49-Hoja1!$CG49</f>
        <v>#REF!</v>
      </c>
      <c r="CP49" s="70">
        <v>0.0</v>
      </c>
      <c r="CQ49" s="70">
        <v>0.0</v>
      </c>
      <c r="CR49" s="70">
        <v>0.0</v>
      </c>
      <c r="CS49" s="70">
        <v>269924.83334029</v>
      </c>
      <c r="CT49" s="70">
        <v>0.0</v>
      </c>
      <c r="CU49" s="70">
        <v>0.0</v>
      </c>
      <c r="CV49" s="64">
        <v>269924.83334029</v>
      </c>
      <c r="CW49" s="64">
        <v>0.0</v>
      </c>
      <c r="CX49" s="64">
        <v>0.0</v>
      </c>
      <c r="CY49" s="64">
        <v>0.0</v>
      </c>
      <c r="CZ49" s="64">
        <v>0.0</v>
      </c>
      <c r="DA49" s="64">
        <v>0.0</v>
      </c>
      <c r="DB49" s="64">
        <v>0.0</v>
      </c>
      <c r="DC49" s="72">
        <v>0.0</v>
      </c>
      <c r="DD49" s="72">
        <v>0.0</v>
      </c>
      <c r="DE49" s="72">
        <v>0.0</v>
      </c>
      <c r="DF49" s="72">
        <v>0.0</v>
      </c>
      <c r="DG49" s="72">
        <v>0.0</v>
      </c>
      <c r="DH49" s="72">
        <v>0.0</v>
      </c>
      <c r="DI49" s="73">
        <v>2.0526888686E10</v>
      </c>
      <c r="DJ49" s="74" t="s">
        <v>283</v>
      </c>
      <c r="DK49" s="74" t="s">
        <v>138</v>
      </c>
      <c r="DL49" s="75"/>
      <c r="DM49" s="75"/>
      <c r="DN49" s="75"/>
      <c r="DO49" s="75"/>
      <c r="DP49" s="75"/>
      <c r="DQ49" s="75"/>
      <c r="DR49" s="75"/>
      <c r="DS49" s="75"/>
      <c r="DT49" s="75"/>
      <c r="DU49" s="75"/>
      <c r="DV49" s="75"/>
      <c r="DW49" s="75"/>
      <c r="DX49" s="75"/>
      <c r="DY49" s="75"/>
      <c r="DZ49" s="75"/>
      <c r="EA49" s="75"/>
      <c r="EB49" s="75"/>
      <c r="EC49" s="75"/>
      <c r="ED49" s="75"/>
      <c r="EE49" s="75"/>
    </row>
    <row r="50" ht="47.25" hidden="1" customHeight="1">
      <c r="A50" s="55" t="s">
        <v>286</v>
      </c>
      <c r="B50" s="55" t="s">
        <v>287</v>
      </c>
      <c r="C50" s="55" t="s">
        <v>288</v>
      </c>
      <c r="D50" s="55" t="s">
        <v>289</v>
      </c>
      <c r="E50" s="55" t="s">
        <v>290</v>
      </c>
      <c r="F50" s="55" t="s">
        <v>289</v>
      </c>
      <c r="G50" s="55" t="s">
        <v>291</v>
      </c>
      <c r="H50" s="55" t="s">
        <v>292</v>
      </c>
      <c r="I50" s="56">
        <v>1.0</v>
      </c>
      <c r="J50" s="56"/>
      <c r="K50" s="56"/>
      <c r="L50" s="56"/>
      <c r="M50" s="56"/>
      <c r="N50" s="56"/>
      <c r="O50" s="56"/>
      <c r="P50" s="56"/>
      <c r="Q50" s="56" t="s">
        <v>131</v>
      </c>
      <c r="R50" s="58" t="str">
        <f t="shared" si="1"/>
        <v>2018</v>
      </c>
      <c r="S50" s="59" t="str">
        <f>SUM(Hoja1!$I50:$P50)</f>
        <v>1</v>
      </c>
      <c r="T50" s="59" t="str">
        <f>IF(OR(Hoja1!$J50=1,Hoja1!$K50=1,Hoja1!$L50=1,Hoja1!$M50=1,Hoja1!$N50=1,Hoja1!$O50=1,Hoja1!$P50=1),"SI","NO")</f>
        <v>NO</v>
      </c>
      <c r="U50" s="59" t="str">
        <f>IF(OR(Hoja1!$K50=1,Hoja1!$L50=1,Hoja1!$M50=1,Hoja1!$N50=1,Hoja1!$O50=1,Hoja1!$P50=1),"SI","NO")</f>
        <v>NO</v>
      </c>
      <c r="V50" s="60">
        <v>84.0</v>
      </c>
      <c r="W50" s="61">
        <v>0.0</v>
      </c>
      <c r="X50" s="61">
        <v>0.0</v>
      </c>
      <c r="Y50" s="60">
        <v>0.0</v>
      </c>
      <c r="Z50" s="61">
        <v>0.0</v>
      </c>
      <c r="AA50" s="61">
        <v>0.0</v>
      </c>
      <c r="AB50" s="60">
        <v>0.0</v>
      </c>
      <c r="AC50" s="61">
        <v>0.0</v>
      </c>
      <c r="AD50" s="61">
        <v>0.0</v>
      </c>
      <c r="AE50" s="60">
        <v>0.0</v>
      </c>
      <c r="AF50" s="61">
        <v>0.0</v>
      </c>
      <c r="AG50" s="61">
        <v>0.0</v>
      </c>
      <c r="AH50" s="60">
        <v>0.0</v>
      </c>
      <c r="AI50" s="61">
        <v>0.0</v>
      </c>
      <c r="AJ50" s="61">
        <v>0.0</v>
      </c>
      <c r="AK50" s="60">
        <v>0.0</v>
      </c>
      <c r="AL50" s="61">
        <v>0.0</v>
      </c>
      <c r="AM50" s="61">
        <v>0.0</v>
      </c>
      <c r="AN50" s="60">
        <v>0.0</v>
      </c>
      <c r="AO50" s="62">
        <v>0.0</v>
      </c>
      <c r="AP50" s="62">
        <v>0.0</v>
      </c>
      <c r="AQ50" s="60">
        <v>0.0</v>
      </c>
      <c r="AR50" s="60" t="str">
        <f>IF(Hoja1!$AQ50&gt;0,Hoja1!$AQ50,IF(Hoja1!$AN50&gt;0,Hoja1!$AN50,IF(Hoja1!$AK50&gt;0,Hoja1!$AK50,IF(Hoja1!$AH50&gt;0,Hoja1!$AH50,IF(Hoja1!$AE50&gt;0,Hoja1!$AE50,IF(Hoja1!$AB50&gt;0,Hoja1!$AB50,IF(Hoja1!$Y50&gt;0,Hoja1!$Y50,IF(Hoja1!$V50&gt;0,Hoja1!$V50," ---"))))))))</f>
        <v>84</v>
      </c>
      <c r="AS50" s="63">
        <v>0.0</v>
      </c>
      <c r="AT50" s="63">
        <v>0.0</v>
      </c>
      <c r="AU50" s="63">
        <v>0.0</v>
      </c>
      <c r="AV50" s="63">
        <v>0.0</v>
      </c>
      <c r="AW50" s="63">
        <v>0.0</v>
      </c>
      <c r="AX50" s="63">
        <v>0.0</v>
      </c>
      <c r="AY50" s="63">
        <v>0.0</v>
      </c>
      <c r="AZ50" s="63">
        <v>0.0</v>
      </c>
      <c r="BA50" s="63">
        <v>0.0</v>
      </c>
      <c r="BB50" s="63">
        <v>0.0</v>
      </c>
      <c r="BC50" s="63">
        <v>0.0</v>
      </c>
      <c r="BD50" s="63">
        <v>0.0</v>
      </c>
      <c r="BE50" s="64">
        <v>0.0</v>
      </c>
      <c r="BF50" s="69">
        <v>0.0</v>
      </c>
      <c r="BG50" s="69">
        <v>0.0</v>
      </c>
      <c r="BH50" s="64">
        <v>0.0</v>
      </c>
      <c r="BI50" s="67" t="str">
        <f t="shared" si="2"/>
        <v>#REF!</v>
      </c>
      <c r="BJ50" s="68" t="str">
        <f t="shared" si="3"/>
        <v>#REF!</v>
      </c>
      <c r="BK50" s="69">
        <v>0.0</v>
      </c>
      <c r="BL50" s="69">
        <v>0.0</v>
      </c>
      <c r="BM50" s="64">
        <v>0.0</v>
      </c>
      <c r="BN50" s="67" t="str">
        <f t="shared" si="4"/>
        <v>#REF!</v>
      </c>
      <c r="BO50" s="68" t="str">
        <f t="shared" si="5"/>
        <v>#REF!</v>
      </c>
      <c r="BP50" s="65">
        <v>0.0</v>
      </c>
      <c r="BQ50" s="65">
        <v>0.0</v>
      </c>
      <c r="BR50" s="66">
        <v>0.0</v>
      </c>
      <c r="BS50" s="67" t="str">
        <f t="shared" si="6"/>
        <v>#REF!</v>
      </c>
      <c r="BT50" s="68" t="str">
        <f>'[1]DATA CONSOLIDADA 2018-2025 '!$BR50-Hoja1!$BO50</f>
        <v>#REF!</v>
      </c>
      <c r="BU50" s="65">
        <v>0.0</v>
      </c>
      <c r="BV50" s="65">
        <v>0.0</v>
      </c>
      <c r="BW50" s="66">
        <v>0.0</v>
      </c>
      <c r="BX50" s="67" t="str">
        <f t="shared" si="7"/>
        <v>#REF!</v>
      </c>
      <c r="BY50" s="68" t="str">
        <f t="shared" si="8"/>
        <v>#REF!</v>
      </c>
      <c r="BZ50" s="65">
        <v>0.0</v>
      </c>
      <c r="CA50" s="65">
        <v>0.0</v>
      </c>
      <c r="CB50" s="66">
        <v>0.0</v>
      </c>
      <c r="CC50" s="67" t="str">
        <f t="shared" si="9"/>
        <v>#REF!</v>
      </c>
      <c r="CD50" s="68" t="str">
        <f>'[1]DATA CONSOLIDADA 2018-2025 '!$CB50-Hoja1!$BW50</f>
        <v>#REF!</v>
      </c>
      <c r="CE50" s="70">
        <v>0.0</v>
      </c>
      <c r="CF50" s="70">
        <v>0.0</v>
      </c>
      <c r="CG50" s="71">
        <v>0.0</v>
      </c>
      <c r="CH50" s="67" t="str">
        <f t="shared" si="10"/>
        <v>#REF!</v>
      </c>
      <c r="CI50" s="68" t="str">
        <f>'[1]DATA CONSOLIDADA 2018-2025 '!$CG50-Hoja1!$CB50</f>
        <v>#REF!</v>
      </c>
      <c r="CJ50" s="64" t="str">
        <f t="shared" si="11"/>
        <v>#REF!</v>
      </c>
      <c r="CK50" s="64">
        <v>0.0</v>
      </c>
      <c r="CL50" s="64">
        <v>0.0</v>
      </c>
      <c r="CM50" s="64">
        <v>0.0</v>
      </c>
      <c r="CN50" s="64" t="str">
        <f t="shared" si="12"/>
        <v>#REF!</v>
      </c>
      <c r="CO50" s="68" t="str">
        <f>'[1]DATA CONSOLIDADA 2018-2025 '!$CM50-Hoja1!$CG50</f>
        <v>#REF!</v>
      </c>
      <c r="CP50" s="70">
        <v>0.0</v>
      </c>
      <c r="CQ50" s="70">
        <v>0.0</v>
      </c>
      <c r="CR50" s="70">
        <v>0.0</v>
      </c>
      <c r="CS50" s="70">
        <v>0.0</v>
      </c>
      <c r="CT50" s="70">
        <v>0.0</v>
      </c>
      <c r="CU50" s="70">
        <v>0.0</v>
      </c>
      <c r="CV50" s="64">
        <v>0.0</v>
      </c>
      <c r="CW50" s="64">
        <v>0.0</v>
      </c>
      <c r="CX50" s="64">
        <v>0.0</v>
      </c>
      <c r="CY50" s="64">
        <v>0.0</v>
      </c>
      <c r="CZ50" s="64">
        <v>0.0</v>
      </c>
      <c r="DA50" s="64">
        <v>0.0</v>
      </c>
      <c r="DB50" s="64">
        <v>0.0</v>
      </c>
      <c r="DC50" s="72">
        <v>0.0</v>
      </c>
      <c r="DD50" s="72">
        <v>0.0</v>
      </c>
      <c r="DE50" s="72">
        <v>0.0</v>
      </c>
      <c r="DF50" s="72">
        <v>0.0</v>
      </c>
      <c r="DG50" s="72">
        <v>0.0</v>
      </c>
      <c r="DH50" s="72">
        <v>0.0</v>
      </c>
      <c r="DI50" s="73">
        <v>2.060012233E10</v>
      </c>
      <c r="DJ50" s="74" t="s">
        <v>293</v>
      </c>
      <c r="DK50" s="74" t="s">
        <v>132</v>
      </c>
      <c r="DL50" s="75"/>
      <c r="DM50" s="75"/>
      <c r="DN50" s="75"/>
      <c r="DO50" s="75"/>
      <c r="DP50" s="75"/>
      <c r="DQ50" s="75"/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75"/>
      <c r="EC50" s="75"/>
      <c r="ED50" s="75"/>
      <c r="EE50" s="75"/>
    </row>
    <row r="51" ht="47.25" hidden="1" customHeight="1">
      <c r="A51" s="55" t="s">
        <v>294</v>
      </c>
      <c r="B51" s="55" t="s">
        <v>236</v>
      </c>
      <c r="C51" s="55" t="s">
        <v>237</v>
      </c>
      <c r="D51" s="55" t="s">
        <v>289</v>
      </c>
      <c r="E51" s="55" t="s">
        <v>295</v>
      </c>
      <c r="F51" s="55" t="s">
        <v>289</v>
      </c>
      <c r="G51" s="55" t="s">
        <v>296</v>
      </c>
      <c r="H51" s="55" t="s">
        <v>297</v>
      </c>
      <c r="I51" s="56">
        <v>1.0</v>
      </c>
      <c r="J51" s="56">
        <v>1.0</v>
      </c>
      <c r="K51" s="56">
        <v>1.0</v>
      </c>
      <c r="L51" s="56">
        <v>1.0</v>
      </c>
      <c r="M51" s="56">
        <v>1.0</v>
      </c>
      <c r="N51" s="56"/>
      <c r="O51" s="56"/>
      <c r="P51" s="56"/>
      <c r="Q51" s="56" t="s">
        <v>131</v>
      </c>
      <c r="R51" s="58" t="str">
        <f t="shared" si="1"/>
        <v>2018-2019-2020-2021-2022</v>
      </c>
      <c r="S51" s="59" t="str">
        <f>SUM(Hoja1!$I51:$P51)</f>
        <v>5</v>
      </c>
      <c r="T51" s="59" t="str">
        <f>IF(OR(Hoja1!$J51=1,Hoja1!$K51=1,Hoja1!$L51=1,Hoja1!$M51=1,Hoja1!$N51=1,Hoja1!$O51=1,Hoja1!$P51=1),"SI","NO")</f>
        <v>SI</v>
      </c>
      <c r="U51" s="59" t="str">
        <f>IF(OR(Hoja1!$K51=1,Hoja1!$L51=1,Hoja1!$M51=1,Hoja1!$N51=1,Hoja1!$O51=1,Hoja1!$P51=1),"SI","NO")</f>
        <v>SI</v>
      </c>
      <c r="V51" s="60">
        <v>14.0</v>
      </c>
      <c r="W51" s="61">
        <v>23.0</v>
      </c>
      <c r="X51" s="61">
        <v>3.0</v>
      </c>
      <c r="Y51" s="60">
        <v>26.0</v>
      </c>
      <c r="Z51" s="61">
        <v>22.0</v>
      </c>
      <c r="AA51" s="61">
        <v>1.0</v>
      </c>
      <c r="AB51" s="60">
        <v>23.0</v>
      </c>
      <c r="AC51" s="61">
        <v>22.0</v>
      </c>
      <c r="AD51" s="61">
        <v>1.0</v>
      </c>
      <c r="AE51" s="60">
        <v>23.0</v>
      </c>
      <c r="AF51" s="61">
        <v>22.0</v>
      </c>
      <c r="AG51" s="61">
        <v>1.0</v>
      </c>
      <c r="AH51" s="60">
        <v>23.0</v>
      </c>
      <c r="AI51" s="61">
        <v>0.0</v>
      </c>
      <c r="AJ51" s="61">
        <v>0.0</v>
      </c>
      <c r="AK51" s="60">
        <v>0.0</v>
      </c>
      <c r="AL51" s="61">
        <v>0.0</v>
      </c>
      <c r="AM51" s="61">
        <v>0.0</v>
      </c>
      <c r="AN51" s="60">
        <v>0.0</v>
      </c>
      <c r="AO51" s="62">
        <v>0.0</v>
      </c>
      <c r="AP51" s="62">
        <v>0.0</v>
      </c>
      <c r="AQ51" s="60">
        <v>0.0</v>
      </c>
      <c r="AR51" s="60" t="str">
        <f>IF(Hoja1!$AQ51&gt;0,Hoja1!$AQ51,IF(Hoja1!$AN51&gt;0,Hoja1!$AN51,IF(Hoja1!$AK51&gt;0,Hoja1!$AK51,IF(Hoja1!$AH51&gt;0,Hoja1!$AH51,IF(Hoja1!$AE51&gt;0,Hoja1!$AE51,IF(Hoja1!$AB51&gt;0,Hoja1!$AB51,IF(Hoja1!$Y51&gt;0,Hoja1!$Y51,IF(Hoja1!$V51&gt;0,Hoja1!$V51," ---"))))))))</f>
        <v>23</v>
      </c>
      <c r="AS51" s="63">
        <v>4.0</v>
      </c>
      <c r="AT51" s="63">
        <v>7.0</v>
      </c>
      <c r="AU51" s="63">
        <v>18.0</v>
      </c>
      <c r="AV51" s="63">
        <v>8.0</v>
      </c>
      <c r="AW51" s="63">
        <v>24.0</v>
      </c>
      <c r="AX51" s="63">
        <v>4.0</v>
      </c>
      <c r="AY51" s="63">
        <v>0.0</v>
      </c>
      <c r="AZ51" s="63">
        <v>0.0</v>
      </c>
      <c r="BA51" s="63">
        <v>0.0</v>
      </c>
      <c r="BB51" s="63">
        <v>0.0</v>
      </c>
      <c r="BC51" s="63">
        <v>0.0</v>
      </c>
      <c r="BD51" s="63">
        <v>0.0</v>
      </c>
      <c r="BE51" s="64">
        <v>0.0</v>
      </c>
      <c r="BF51" s="65">
        <v>245900.2</v>
      </c>
      <c r="BG51" s="65">
        <v>0.0</v>
      </c>
      <c r="BH51" s="66">
        <v>245900.2</v>
      </c>
      <c r="BI51" s="67" t="str">
        <f t="shared" si="2"/>
        <v>#REF!</v>
      </c>
      <c r="BJ51" s="68" t="str">
        <f t="shared" si="3"/>
        <v>#REF!</v>
      </c>
      <c r="BK51" s="65">
        <v>174050.0</v>
      </c>
      <c r="BL51" s="65">
        <v>0.0</v>
      </c>
      <c r="BM51" s="66">
        <v>174050.0</v>
      </c>
      <c r="BN51" s="67" t="str">
        <f t="shared" si="4"/>
        <v>#REF!</v>
      </c>
      <c r="BO51" s="68" t="str">
        <f t="shared" si="5"/>
        <v>#REF!</v>
      </c>
      <c r="BP51" s="65">
        <v>0.0</v>
      </c>
      <c r="BQ51" s="65">
        <v>0.0</v>
      </c>
      <c r="BR51" s="66">
        <v>0.0</v>
      </c>
      <c r="BS51" s="67" t="str">
        <f t="shared" si="6"/>
        <v>#REF!</v>
      </c>
      <c r="BT51" s="68" t="str">
        <f>'[1]DATA CONSOLIDADA 2018-2025 '!$BR51-Hoja1!$BO51</f>
        <v>#REF!</v>
      </c>
      <c r="BU51" s="65">
        <v>0.0</v>
      </c>
      <c r="BV51" s="65">
        <v>0.0</v>
      </c>
      <c r="BW51" s="66">
        <v>0.0</v>
      </c>
      <c r="BX51" s="67" t="str">
        <f t="shared" si="7"/>
        <v>#REF!</v>
      </c>
      <c r="BY51" s="68" t="str">
        <f t="shared" si="8"/>
        <v>#REF!</v>
      </c>
      <c r="BZ51" s="65">
        <v>0.0</v>
      </c>
      <c r="CA51" s="65">
        <v>0.0</v>
      </c>
      <c r="CB51" s="66">
        <v>0.0</v>
      </c>
      <c r="CC51" s="67" t="str">
        <f t="shared" si="9"/>
        <v>#REF!</v>
      </c>
      <c r="CD51" s="68" t="str">
        <f>'[1]DATA CONSOLIDADA 2018-2025 '!$CB51-Hoja1!$BW51</f>
        <v>#REF!</v>
      </c>
      <c r="CE51" s="70">
        <v>0.0</v>
      </c>
      <c r="CF51" s="70">
        <v>0.0</v>
      </c>
      <c r="CG51" s="71">
        <v>0.0</v>
      </c>
      <c r="CH51" s="67" t="str">
        <f t="shared" si="10"/>
        <v>#REF!</v>
      </c>
      <c r="CI51" s="68" t="str">
        <f>'[1]DATA CONSOLIDADA 2018-2025 '!$CG51-Hoja1!$CB51</f>
        <v>#REF!</v>
      </c>
      <c r="CJ51" s="64" t="str">
        <f t="shared" si="11"/>
        <v>#REF!</v>
      </c>
      <c r="CK51" s="64">
        <v>0.0</v>
      </c>
      <c r="CL51" s="64">
        <v>0.0</v>
      </c>
      <c r="CM51" s="64">
        <v>0.0</v>
      </c>
      <c r="CN51" s="64" t="str">
        <f t="shared" si="12"/>
        <v>#REF!</v>
      </c>
      <c r="CO51" s="68" t="str">
        <f>'[1]DATA CONSOLIDADA 2018-2025 '!$CM51-Hoja1!$CG51</f>
        <v>#REF!</v>
      </c>
      <c r="CP51" s="70">
        <v>0.0</v>
      </c>
      <c r="CQ51" s="70">
        <v>0.0</v>
      </c>
      <c r="CR51" s="70">
        <v>0.0</v>
      </c>
      <c r="CS51" s="70">
        <v>0.0</v>
      </c>
      <c r="CT51" s="70">
        <v>0.0</v>
      </c>
      <c r="CU51" s="70">
        <v>0.0</v>
      </c>
      <c r="CV51" s="64">
        <v>0.0</v>
      </c>
      <c r="CW51" s="64">
        <v>0.0</v>
      </c>
      <c r="CX51" s="64">
        <v>0.0</v>
      </c>
      <c r="CY51" s="64">
        <v>0.0</v>
      </c>
      <c r="CZ51" s="64">
        <v>0.0</v>
      </c>
      <c r="DA51" s="64">
        <v>0.0</v>
      </c>
      <c r="DB51" s="64">
        <v>0.0</v>
      </c>
      <c r="DC51" s="72">
        <v>0.0</v>
      </c>
      <c r="DD51" s="72">
        <v>0.0</v>
      </c>
      <c r="DE51" s="72">
        <v>0.0</v>
      </c>
      <c r="DF51" s="72">
        <v>0.0</v>
      </c>
      <c r="DG51" s="72">
        <v>0.0</v>
      </c>
      <c r="DH51" s="72">
        <v>0.0</v>
      </c>
      <c r="DI51" s="73">
        <v>2.0601106699E10</v>
      </c>
      <c r="DJ51" s="74" t="s">
        <v>298</v>
      </c>
      <c r="DK51" s="74" t="s">
        <v>132</v>
      </c>
      <c r="DL51" s="75"/>
      <c r="DM51" s="75"/>
      <c r="DN51" s="75"/>
      <c r="DO51" s="75"/>
      <c r="DP51" s="75"/>
      <c r="DQ51" s="75"/>
      <c r="DR51" s="75"/>
      <c r="DS51" s="75"/>
      <c r="DT51" s="75"/>
      <c r="DU51" s="75"/>
      <c r="DV51" s="75"/>
      <c r="DW51" s="75"/>
      <c r="DX51" s="75"/>
      <c r="DY51" s="75"/>
      <c r="DZ51" s="75"/>
      <c r="EA51" s="75"/>
      <c r="EB51" s="75"/>
      <c r="EC51" s="75"/>
      <c r="ED51" s="75"/>
      <c r="EE51" s="75"/>
    </row>
    <row r="52" ht="47.25" hidden="1" customHeight="1">
      <c r="A52" s="55" t="s">
        <v>293</v>
      </c>
      <c r="B52" s="55" t="s">
        <v>236</v>
      </c>
      <c r="C52" s="55" t="s">
        <v>237</v>
      </c>
      <c r="D52" s="55" t="s">
        <v>289</v>
      </c>
      <c r="E52" s="55" t="s">
        <v>299</v>
      </c>
      <c r="F52" s="55" t="s">
        <v>289</v>
      </c>
      <c r="G52" s="55" t="s">
        <v>291</v>
      </c>
      <c r="H52" s="55" t="s">
        <v>300</v>
      </c>
      <c r="I52" s="56">
        <v>1.0</v>
      </c>
      <c r="J52" s="56">
        <v>1.0</v>
      </c>
      <c r="K52" s="56">
        <v>1.0</v>
      </c>
      <c r="L52" s="56">
        <v>1.0</v>
      </c>
      <c r="M52" s="56">
        <v>1.0</v>
      </c>
      <c r="N52" s="56"/>
      <c r="O52" s="56"/>
      <c r="P52" s="56"/>
      <c r="Q52" s="56" t="s">
        <v>131</v>
      </c>
      <c r="R52" s="58" t="str">
        <f t="shared" si="1"/>
        <v>2018-2019-2020-2021-2022</v>
      </c>
      <c r="S52" s="59" t="str">
        <f>SUM(Hoja1!$I52:$P52)</f>
        <v>5</v>
      </c>
      <c r="T52" s="59" t="str">
        <f>IF(OR(Hoja1!$J52=1,Hoja1!$K52=1,Hoja1!$L52=1,Hoja1!$M52=1,Hoja1!$N52=1,Hoja1!$O52=1,Hoja1!$P52=1),"SI","NO")</f>
        <v>SI</v>
      </c>
      <c r="U52" s="59" t="str">
        <f>IF(OR(Hoja1!$K52=1,Hoja1!$L52=1,Hoja1!$M52=1,Hoja1!$N52=1,Hoja1!$O52=1,Hoja1!$P52=1),"SI","NO")</f>
        <v>SI</v>
      </c>
      <c r="V52" s="60">
        <v>100.0</v>
      </c>
      <c r="W52" s="61">
        <v>94.0</v>
      </c>
      <c r="X52" s="61">
        <v>23.0</v>
      </c>
      <c r="Y52" s="60">
        <v>117.0</v>
      </c>
      <c r="Z52" s="61">
        <v>68.0</v>
      </c>
      <c r="AA52" s="61">
        <v>23.0</v>
      </c>
      <c r="AB52" s="60">
        <v>91.0</v>
      </c>
      <c r="AC52" s="61">
        <v>28.0</v>
      </c>
      <c r="AD52" s="61">
        <v>3.0</v>
      </c>
      <c r="AE52" s="60">
        <v>31.0</v>
      </c>
      <c r="AF52" s="61">
        <v>28.0</v>
      </c>
      <c r="AG52" s="61">
        <v>3.0</v>
      </c>
      <c r="AH52" s="60">
        <v>31.0</v>
      </c>
      <c r="AI52" s="61">
        <v>0.0</v>
      </c>
      <c r="AJ52" s="61">
        <v>0.0</v>
      </c>
      <c r="AK52" s="60">
        <v>0.0</v>
      </c>
      <c r="AL52" s="61">
        <v>0.0</v>
      </c>
      <c r="AM52" s="61">
        <v>0.0</v>
      </c>
      <c r="AN52" s="60">
        <v>0.0</v>
      </c>
      <c r="AO52" s="62">
        <v>0.0</v>
      </c>
      <c r="AP52" s="62">
        <v>0.0</v>
      </c>
      <c r="AQ52" s="60">
        <v>0.0</v>
      </c>
      <c r="AR52" s="60" t="str">
        <f>IF(Hoja1!$AQ52&gt;0,Hoja1!$AQ52,IF(Hoja1!$AN52&gt;0,Hoja1!$AN52,IF(Hoja1!$AK52&gt;0,Hoja1!$AK52,IF(Hoja1!$AH52&gt;0,Hoja1!$AH52,IF(Hoja1!$AE52&gt;0,Hoja1!$AE52,IF(Hoja1!$AB52&gt;0,Hoja1!$AB52,IF(Hoja1!$Y52&gt;0,Hoja1!$Y52,IF(Hoja1!$V52&gt;0,Hoja1!$V52," ---"))))))))</f>
        <v>31</v>
      </c>
      <c r="AS52" s="63">
        <v>4.0</v>
      </c>
      <c r="AT52" s="63">
        <v>7.0</v>
      </c>
      <c r="AU52" s="63">
        <v>19.0</v>
      </c>
      <c r="AV52" s="63">
        <v>8.0</v>
      </c>
      <c r="AW52" s="63">
        <v>23.0</v>
      </c>
      <c r="AX52" s="63">
        <v>4.0</v>
      </c>
      <c r="AY52" s="63">
        <v>0.0</v>
      </c>
      <c r="AZ52" s="63">
        <v>0.0</v>
      </c>
      <c r="BA52" s="63">
        <v>0.0</v>
      </c>
      <c r="BB52" s="63">
        <v>0.0</v>
      </c>
      <c r="BC52" s="63">
        <v>0.0</v>
      </c>
      <c r="BD52" s="63">
        <v>0.0</v>
      </c>
      <c r="BE52" s="64">
        <v>0.0</v>
      </c>
      <c r="BF52" s="69">
        <v>264992.0</v>
      </c>
      <c r="BG52" s="65">
        <v>0.0</v>
      </c>
      <c r="BH52" s="66">
        <v>264992.0</v>
      </c>
      <c r="BI52" s="67" t="str">
        <f t="shared" si="2"/>
        <v>#REF!</v>
      </c>
      <c r="BJ52" s="68" t="str">
        <f t="shared" si="3"/>
        <v>#REF!</v>
      </c>
      <c r="BK52" s="65">
        <v>190334.0</v>
      </c>
      <c r="BL52" s="65">
        <v>0.0</v>
      </c>
      <c r="BM52" s="66">
        <v>190334.0</v>
      </c>
      <c r="BN52" s="67" t="str">
        <f t="shared" si="4"/>
        <v>#REF!</v>
      </c>
      <c r="BO52" s="68" t="str">
        <f t="shared" si="5"/>
        <v>#REF!</v>
      </c>
      <c r="BP52" s="65">
        <v>0.0</v>
      </c>
      <c r="BQ52" s="65">
        <v>0.0</v>
      </c>
      <c r="BR52" s="66">
        <v>0.0</v>
      </c>
      <c r="BS52" s="67" t="str">
        <f t="shared" si="6"/>
        <v>#REF!</v>
      </c>
      <c r="BT52" s="68" t="str">
        <f>'[1]DATA CONSOLIDADA 2018-2025 '!$BR52-Hoja1!$BO52</f>
        <v>#REF!</v>
      </c>
      <c r="BU52" s="65">
        <v>0.0</v>
      </c>
      <c r="BV52" s="65">
        <v>0.0</v>
      </c>
      <c r="BW52" s="66">
        <v>0.0</v>
      </c>
      <c r="BX52" s="67" t="str">
        <f t="shared" si="7"/>
        <v>#REF!</v>
      </c>
      <c r="BY52" s="68" t="str">
        <f t="shared" si="8"/>
        <v>#REF!</v>
      </c>
      <c r="BZ52" s="65">
        <v>0.0</v>
      </c>
      <c r="CA52" s="65">
        <v>0.0</v>
      </c>
      <c r="CB52" s="66">
        <v>0.0</v>
      </c>
      <c r="CC52" s="67" t="str">
        <f t="shared" si="9"/>
        <v>#REF!</v>
      </c>
      <c r="CD52" s="68" t="str">
        <f>'[1]DATA CONSOLIDADA 2018-2025 '!$CB52-Hoja1!$BW52</f>
        <v>#REF!</v>
      </c>
      <c r="CE52" s="70">
        <v>0.0</v>
      </c>
      <c r="CF52" s="70">
        <v>0.0</v>
      </c>
      <c r="CG52" s="71">
        <v>0.0</v>
      </c>
      <c r="CH52" s="67" t="str">
        <f t="shared" si="10"/>
        <v>#REF!</v>
      </c>
      <c r="CI52" s="68" t="str">
        <f>'[1]DATA CONSOLIDADA 2018-2025 '!$CG52-Hoja1!$CB52</f>
        <v>#REF!</v>
      </c>
      <c r="CJ52" s="64" t="str">
        <f t="shared" si="11"/>
        <v>#REF!</v>
      </c>
      <c r="CK52" s="64">
        <v>0.0</v>
      </c>
      <c r="CL52" s="64">
        <v>0.0</v>
      </c>
      <c r="CM52" s="64">
        <v>0.0</v>
      </c>
      <c r="CN52" s="64" t="str">
        <f t="shared" si="12"/>
        <v>#REF!</v>
      </c>
      <c r="CO52" s="68" t="str">
        <f>'[1]DATA CONSOLIDADA 2018-2025 '!$CM52-Hoja1!$CG52</f>
        <v>#REF!</v>
      </c>
      <c r="CP52" s="70">
        <v>0.0</v>
      </c>
      <c r="CQ52" s="70">
        <v>0.0</v>
      </c>
      <c r="CR52" s="70">
        <v>0.0</v>
      </c>
      <c r="CS52" s="70">
        <v>0.0</v>
      </c>
      <c r="CT52" s="70">
        <v>0.0</v>
      </c>
      <c r="CU52" s="70">
        <v>0.0</v>
      </c>
      <c r="CV52" s="64">
        <v>0.0</v>
      </c>
      <c r="CW52" s="64">
        <v>0.0</v>
      </c>
      <c r="CX52" s="64">
        <v>0.0</v>
      </c>
      <c r="CY52" s="64">
        <v>0.0</v>
      </c>
      <c r="CZ52" s="64">
        <v>0.0</v>
      </c>
      <c r="DA52" s="64">
        <v>0.0</v>
      </c>
      <c r="DB52" s="64">
        <v>0.0</v>
      </c>
      <c r="DC52" s="72">
        <v>0.0</v>
      </c>
      <c r="DD52" s="72">
        <v>0.0</v>
      </c>
      <c r="DE52" s="72">
        <v>0.0</v>
      </c>
      <c r="DF52" s="72">
        <v>0.0</v>
      </c>
      <c r="DG52" s="72">
        <v>0.0</v>
      </c>
      <c r="DH52" s="72">
        <v>0.0</v>
      </c>
      <c r="DI52" s="73">
        <v>2.060012233E10</v>
      </c>
      <c r="DJ52" s="74" t="s">
        <v>293</v>
      </c>
      <c r="DK52" s="74" t="s">
        <v>132</v>
      </c>
      <c r="DL52" s="75"/>
      <c r="DM52" s="75"/>
      <c r="DN52" s="75"/>
      <c r="DO52" s="75"/>
      <c r="DP52" s="75"/>
      <c r="DQ52" s="75"/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75"/>
      <c r="EC52" s="75"/>
      <c r="ED52" s="75"/>
      <c r="EE52" s="75"/>
    </row>
    <row r="53" ht="47.25" hidden="1" customHeight="1">
      <c r="A53" s="55" t="s">
        <v>301</v>
      </c>
      <c r="B53" s="55" t="s">
        <v>287</v>
      </c>
      <c r="C53" s="55" t="s">
        <v>287</v>
      </c>
      <c r="D53" s="55" t="s">
        <v>289</v>
      </c>
      <c r="E53" s="55" t="s">
        <v>302</v>
      </c>
      <c r="F53" s="55" t="s">
        <v>289</v>
      </c>
      <c r="G53" s="55" t="s">
        <v>303</v>
      </c>
      <c r="H53" s="55" t="s">
        <v>304</v>
      </c>
      <c r="I53" s="56">
        <v>1.0</v>
      </c>
      <c r="J53" s="56">
        <v>1.0</v>
      </c>
      <c r="K53" s="56">
        <v>1.0</v>
      </c>
      <c r="L53" s="56">
        <v>1.0</v>
      </c>
      <c r="M53" s="56">
        <v>1.0</v>
      </c>
      <c r="N53" s="56"/>
      <c r="O53" s="56"/>
      <c r="P53" s="56"/>
      <c r="Q53" s="56" t="s">
        <v>131</v>
      </c>
      <c r="R53" s="58" t="str">
        <f t="shared" si="1"/>
        <v>2018-2019-2020-2021-2022</v>
      </c>
      <c r="S53" s="59" t="str">
        <f>SUM(Hoja1!$I53:$P53)</f>
        <v>5</v>
      </c>
      <c r="T53" s="59" t="str">
        <f>IF(OR(Hoja1!$J53=1,Hoja1!$K53=1,Hoja1!$L53=1,Hoja1!$M53=1,Hoja1!$N53=1,Hoja1!$O53=1,Hoja1!$P53=1),"SI","NO")</f>
        <v>SI</v>
      </c>
      <c r="U53" s="59" t="str">
        <f>IF(OR(Hoja1!$K53=1,Hoja1!$L53=1,Hoja1!$M53=1,Hoja1!$N53=1,Hoja1!$O53=1,Hoja1!$P53=1),"SI","NO")</f>
        <v>SI</v>
      </c>
      <c r="V53" s="60">
        <v>62.0</v>
      </c>
      <c r="W53" s="61">
        <v>47.0</v>
      </c>
      <c r="X53" s="61">
        <v>15.0</v>
      </c>
      <c r="Y53" s="60">
        <v>62.0</v>
      </c>
      <c r="Z53" s="61">
        <v>49.0</v>
      </c>
      <c r="AA53" s="61">
        <v>13.0</v>
      </c>
      <c r="AB53" s="60">
        <v>62.0</v>
      </c>
      <c r="AC53" s="61">
        <v>47.0</v>
      </c>
      <c r="AD53" s="61">
        <v>15.0</v>
      </c>
      <c r="AE53" s="60">
        <v>62.0</v>
      </c>
      <c r="AF53" s="61">
        <v>47.0</v>
      </c>
      <c r="AG53" s="61">
        <v>15.0</v>
      </c>
      <c r="AH53" s="60">
        <v>62.0</v>
      </c>
      <c r="AI53" s="61">
        <v>0.0</v>
      </c>
      <c r="AJ53" s="61">
        <v>0.0</v>
      </c>
      <c r="AK53" s="60">
        <v>0.0</v>
      </c>
      <c r="AL53" s="61">
        <v>0.0</v>
      </c>
      <c r="AM53" s="61">
        <v>0.0</v>
      </c>
      <c r="AN53" s="60">
        <v>0.0</v>
      </c>
      <c r="AO53" s="62">
        <v>0.0</v>
      </c>
      <c r="AP53" s="62">
        <v>0.0</v>
      </c>
      <c r="AQ53" s="60">
        <v>0.0</v>
      </c>
      <c r="AR53" s="60" t="str">
        <f>IF(Hoja1!$AQ53&gt;0,Hoja1!$AQ53,IF(Hoja1!$AN53&gt;0,Hoja1!$AN53,IF(Hoja1!$AK53&gt;0,Hoja1!$AK53,IF(Hoja1!$AH53&gt;0,Hoja1!$AH53,IF(Hoja1!$AE53&gt;0,Hoja1!$AE53,IF(Hoja1!$AB53&gt;0,Hoja1!$AB53,IF(Hoja1!$Y53&gt;0,Hoja1!$Y53,IF(Hoja1!$V53&gt;0,Hoja1!$V53," ---"))))))))</f>
        <v>62</v>
      </c>
      <c r="AS53" s="63">
        <v>4.0</v>
      </c>
      <c r="AT53" s="63">
        <v>3.0</v>
      </c>
      <c r="AU53" s="63">
        <v>53.0</v>
      </c>
      <c r="AV53" s="63">
        <v>10.0</v>
      </c>
      <c r="AW53" s="63">
        <v>31.0</v>
      </c>
      <c r="AX53" s="63">
        <v>5.0</v>
      </c>
      <c r="AY53" s="63">
        <v>0.0</v>
      </c>
      <c r="AZ53" s="63">
        <v>0.0</v>
      </c>
      <c r="BA53" s="63">
        <v>0.0</v>
      </c>
      <c r="BB53" s="63">
        <v>0.0</v>
      </c>
      <c r="BC53" s="63">
        <v>0.0</v>
      </c>
      <c r="BD53" s="63">
        <v>0.0</v>
      </c>
      <c r="BE53" s="64">
        <v>0.0</v>
      </c>
      <c r="BF53" s="65">
        <v>39645.34</v>
      </c>
      <c r="BG53" s="65">
        <v>0.0</v>
      </c>
      <c r="BH53" s="66">
        <v>39645.34</v>
      </c>
      <c r="BI53" s="67" t="str">
        <f t="shared" si="2"/>
        <v>#REF!</v>
      </c>
      <c r="BJ53" s="68" t="str">
        <f t="shared" si="3"/>
        <v>#REF!</v>
      </c>
      <c r="BK53" s="65">
        <v>37660.8</v>
      </c>
      <c r="BL53" s="65">
        <v>0.0</v>
      </c>
      <c r="BM53" s="66">
        <v>37660.8</v>
      </c>
      <c r="BN53" s="67" t="str">
        <f t="shared" si="4"/>
        <v>#REF!</v>
      </c>
      <c r="BO53" s="68" t="str">
        <f t="shared" si="5"/>
        <v>#REF!</v>
      </c>
      <c r="BP53" s="65">
        <v>74362.4</v>
      </c>
      <c r="BQ53" s="65">
        <v>0.0</v>
      </c>
      <c r="BR53" s="66">
        <v>74362.4</v>
      </c>
      <c r="BS53" s="67" t="str">
        <f t="shared" si="6"/>
        <v>#REF!</v>
      </c>
      <c r="BT53" s="68" t="str">
        <f>'[1]DATA CONSOLIDADA 2018-2025 '!$BR53-Hoja1!$BO53</f>
        <v>#REF!</v>
      </c>
      <c r="BU53" s="65">
        <v>72365.99</v>
      </c>
      <c r="BV53" s="65">
        <v>0.0</v>
      </c>
      <c r="BW53" s="66">
        <v>72365.99</v>
      </c>
      <c r="BX53" s="67" t="str">
        <f t="shared" si="7"/>
        <v>#REF!</v>
      </c>
      <c r="BY53" s="68" t="str">
        <f t="shared" si="8"/>
        <v>#REF!</v>
      </c>
      <c r="BZ53" s="65">
        <v>0.0</v>
      </c>
      <c r="CA53" s="65">
        <v>0.0</v>
      </c>
      <c r="CB53" s="66">
        <v>0.0</v>
      </c>
      <c r="CC53" s="67" t="str">
        <f t="shared" si="9"/>
        <v>#REF!</v>
      </c>
      <c r="CD53" s="68" t="str">
        <f>'[1]DATA CONSOLIDADA 2018-2025 '!$CB53-Hoja1!$BW53</f>
        <v>#REF!</v>
      </c>
      <c r="CE53" s="70">
        <v>0.0</v>
      </c>
      <c r="CF53" s="70">
        <v>0.0</v>
      </c>
      <c r="CG53" s="71">
        <v>0.0</v>
      </c>
      <c r="CH53" s="67" t="str">
        <f t="shared" si="10"/>
        <v>#REF!</v>
      </c>
      <c r="CI53" s="68" t="str">
        <f>'[1]DATA CONSOLIDADA 2018-2025 '!$CG53-Hoja1!$CB53</f>
        <v>#REF!</v>
      </c>
      <c r="CJ53" s="64" t="str">
        <f t="shared" si="11"/>
        <v>#REF!</v>
      </c>
      <c r="CK53" s="64">
        <v>0.0</v>
      </c>
      <c r="CL53" s="64">
        <v>0.0</v>
      </c>
      <c r="CM53" s="64">
        <v>0.0</v>
      </c>
      <c r="CN53" s="64" t="str">
        <f t="shared" si="12"/>
        <v>#REF!</v>
      </c>
      <c r="CO53" s="68" t="str">
        <f>'[1]DATA CONSOLIDADA 2018-2025 '!$CM53-Hoja1!$CG53</f>
        <v>#REF!</v>
      </c>
      <c r="CP53" s="70">
        <v>0.0</v>
      </c>
      <c r="CQ53" s="70">
        <v>0.0</v>
      </c>
      <c r="CR53" s="70">
        <v>0.0</v>
      </c>
      <c r="CS53" s="70">
        <v>0.0</v>
      </c>
      <c r="CT53" s="70">
        <v>0.0</v>
      </c>
      <c r="CU53" s="70">
        <v>0.0</v>
      </c>
      <c r="CV53" s="64">
        <v>0.0</v>
      </c>
      <c r="CW53" s="64">
        <v>0.0</v>
      </c>
      <c r="CX53" s="64">
        <v>0.0</v>
      </c>
      <c r="CY53" s="64">
        <v>0.0</v>
      </c>
      <c r="CZ53" s="64">
        <v>0.0</v>
      </c>
      <c r="DA53" s="64">
        <v>0.0</v>
      </c>
      <c r="DB53" s="64">
        <v>0.0</v>
      </c>
      <c r="DC53" s="72">
        <v>0.0</v>
      </c>
      <c r="DD53" s="72">
        <v>0.0</v>
      </c>
      <c r="DE53" s="72">
        <v>0.0</v>
      </c>
      <c r="DF53" s="72">
        <v>0.0</v>
      </c>
      <c r="DG53" s="72">
        <v>0.0</v>
      </c>
      <c r="DH53" s="72">
        <v>0.0</v>
      </c>
      <c r="DI53" s="73">
        <v>2.0600690184E10</v>
      </c>
      <c r="DJ53" s="74" t="s">
        <v>305</v>
      </c>
      <c r="DK53" s="74" t="s">
        <v>306</v>
      </c>
      <c r="DL53" s="75"/>
      <c r="DM53" s="75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75"/>
      <c r="EC53" s="75"/>
      <c r="ED53" s="75"/>
      <c r="EE53" s="75"/>
    </row>
    <row r="54" ht="47.25" hidden="1" customHeight="1">
      <c r="A54" s="55" t="s">
        <v>307</v>
      </c>
      <c r="B54" s="55" t="s">
        <v>287</v>
      </c>
      <c r="C54" s="55" t="s">
        <v>287</v>
      </c>
      <c r="D54" s="55" t="s">
        <v>289</v>
      </c>
      <c r="E54" s="55" t="s">
        <v>302</v>
      </c>
      <c r="F54" s="55" t="s">
        <v>289</v>
      </c>
      <c r="G54" s="55" t="s">
        <v>303</v>
      </c>
      <c r="H54" s="55" t="s">
        <v>304</v>
      </c>
      <c r="I54" s="56">
        <v>1.0</v>
      </c>
      <c r="J54" s="56">
        <v>1.0</v>
      </c>
      <c r="K54" s="56"/>
      <c r="L54" s="56"/>
      <c r="M54" s="56"/>
      <c r="N54" s="56"/>
      <c r="O54" s="56"/>
      <c r="P54" s="56"/>
      <c r="Q54" s="56" t="s">
        <v>131</v>
      </c>
      <c r="R54" s="58" t="str">
        <f t="shared" si="1"/>
        <v>2018-2019</v>
      </c>
      <c r="S54" s="59" t="str">
        <f>SUM(Hoja1!$I54:$P54)</f>
        <v>2</v>
      </c>
      <c r="T54" s="59" t="str">
        <f>IF(OR(Hoja1!$J54=1,Hoja1!$K54=1,Hoja1!$L54=1,Hoja1!$M54=1,Hoja1!$N54=1,Hoja1!$O54=1,Hoja1!$P54=1),"SI","NO")</f>
        <v>SI</v>
      </c>
      <c r="U54" s="59" t="str">
        <f>IF(OR(Hoja1!$K54=1,Hoja1!$L54=1,Hoja1!$M54=1,Hoja1!$N54=1,Hoja1!$O54=1,Hoja1!$P54=1),"SI","NO")</f>
        <v>NO</v>
      </c>
      <c r="V54" s="60">
        <v>52.0</v>
      </c>
      <c r="W54" s="61">
        <v>43.0</v>
      </c>
      <c r="X54" s="61">
        <v>9.0</v>
      </c>
      <c r="Y54" s="60">
        <v>52.0</v>
      </c>
      <c r="Z54" s="61">
        <v>0.0</v>
      </c>
      <c r="AA54" s="61">
        <v>0.0</v>
      </c>
      <c r="AB54" s="60">
        <v>0.0</v>
      </c>
      <c r="AC54" s="61">
        <v>0.0</v>
      </c>
      <c r="AD54" s="61">
        <v>0.0</v>
      </c>
      <c r="AE54" s="60">
        <v>0.0</v>
      </c>
      <c r="AF54" s="61">
        <v>0.0</v>
      </c>
      <c r="AG54" s="61">
        <v>0.0</v>
      </c>
      <c r="AH54" s="60">
        <v>0.0</v>
      </c>
      <c r="AI54" s="61">
        <v>0.0</v>
      </c>
      <c r="AJ54" s="61">
        <v>0.0</v>
      </c>
      <c r="AK54" s="60">
        <v>0.0</v>
      </c>
      <c r="AL54" s="61">
        <v>0.0</v>
      </c>
      <c r="AM54" s="61">
        <v>0.0</v>
      </c>
      <c r="AN54" s="60">
        <v>0.0</v>
      </c>
      <c r="AO54" s="62">
        <v>0.0</v>
      </c>
      <c r="AP54" s="62">
        <v>0.0</v>
      </c>
      <c r="AQ54" s="60">
        <v>0.0</v>
      </c>
      <c r="AR54" s="60" t="str">
        <f>IF(Hoja1!$AQ54&gt;0,Hoja1!$AQ54,IF(Hoja1!$AN54&gt;0,Hoja1!$AN54,IF(Hoja1!$AK54&gt;0,Hoja1!$AK54,IF(Hoja1!$AH54&gt;0,Hoja1!$AH54,IF(Hoja1!$AE54&gt;0,Hoja1!$AE54,IF(Hoja1!$AB54&gt;0,Hoja1!$AB54,IF(Hoja1!$Y54&gt;0,Hoja1!$Y54,IF(Hoja1!$V54&gt;0,Hoja1!$V54," ---"))))))))</f>
        <v>52</v>
      </c>
      <c r="AS54" s="63">
        <v>0.0</v>
      </c>
      <c r="AT54" s="63">
        <v>0.0</v>
      </c>
      <c r="AU54" s="63">
        <v>0.0</v>
      </c>
      <c r="AV54" s="63">
        <v>0.0</v>
      </c>
      <c r="AW54" s="63">
        <v>0.0</v>
      </c>
      <c r="AX54" s="63">
        <v>0.0</v>
      </c>
      <c r="AY54" s="63">
        <v>0.0</v>
      </c>
      <c r="AZ54" s="63">
        <v>0.0</v>
      </c>
      <c r="BA54" s="63">
        <v>0.0</v>
      </c>
      <c r="BB54" s="63">
        <v>0.0</v>
      </c>
      <c r="BC54" s="63">
        <v>0.0</v>
      </c>
      <c r="BD54" s="63">
        <v>0.0</v>
      </c>
      <c r="BE54" s="64">
        <v>0.0</v>
      </c>
      <c r="BF54" s="65">
        <v>0.0</v>
      </c>
      <c r="BG54" s="65">
        <v>0.0</v>
      </c>
      <c r="BH54" s="66">
        <v>0.0</v>
      </c>
      <c r="BI54" s="67" t="str">
        <f t="shared" si="2"/>
        <v>#REF!</v>
      </c>
      <c r="BJ54" s="68" t="str">
        <f t="shared" si="3"/>
        <v>#REF!</v>
      </c>
      <c r="BK54" s="69">
        <v>0.0</v>
      </c>
      <c r="BL54" s="69">
        <v>0.0</v>
      </c>
      <c r="BM54" s="64">
        <v>0.0</v>
      </c>
      <c r="BN54" s="67" t="str">
        <f t="shared" si="4"/>
        <v>#REF!</v>
      </c>
      <c r="BO54" s="68" t="str">
        <f t="shared" si="5"/>
        <v>#REF!</v>
      </c>
      <c r="BP54" s="65">
        <v>0.0</v>
      </c>
      <c r="BQ54" s="65">
        <v>0.0</v>
      </c>
      <c r="BR54" s="66">
        <v>0.0</v>
      </c>
      <c r="BS54" s="67" t="str">
        <f t="shared" si="6"/>
        <v>#REF!</v>
      </c>
      <c r="BT54" s="68" t="str">
        <f>'[1]DATA CONSOLIDADA 2018-2025 '!$BR54-Hoja1!$BO54</f>
        <v>#REF!</v>
      </c>
      <c r="BU54" s="65">
        <v>0.0</v>
      </c>
      <c r="BV54" s="65">
        <v>0.0</v>
      </c>
      <c r="BW54" s="66">
        <v>0.0</v>
      </c>
      <c r="BX54" s="67" t="str">
        <f t="shared" si="7"/>
        <v>#REF!</v>
      </c>
      <c r="BY54" s="68" t="str">
        <f t="shared" si="8"/>
        <v>#REF!</v>
      </c>
      <c r="BZ54" s="65">
        <v>0.0</v>
      </c>
      <c r="CA54" s="65">
        <v>0.0</v>
      </c>
      <c r="CB54" s="66">
        <v>0.0</v>
      </c>
      <c r="CC54" s="67" t="str">
        <f t="shared" si="9"/>
        <v>#REF!</v>
      </c>
      <c r="CD54" s="68" t="str">
        <f>'[1]DATA CONSOLIDADA 2018-2025 '!$CB54-Hoja1!$BW54</f>
        <v>#REF!</v>
      </c>
      <c r="CE54" s="70">
        <v>0.0</v>
      </c>
      <c r="CF54" s="70">
        <v>0.0</v>
      </c>
      <c r="CG54" s="71">
        <v>0.0</v>
      </c>
      <c r="CH54" s="67" t="str">
        <f t="shared" si="10"/>
        <v>#REF!</v>
      </c>
      <c r="CI54" s="68" t="str">
        <f>'[1]DATA CONSOLIDADA 2018-2025 '!$CG54-Hoja1!$CB54</f>
        <v>#REF!</v>
      </c>
      <c r="CJ54" s="64" t="str">
        <f t="shared" si="11"/>
        <v>#REF!</v>
      </c>
      <c r="CK54" s="64">
        <v>0.0</v>
      </c>
      <c r="CL54" s="64">
        <v>0.0</v>
      </c>
      <c r="CM54" s="64">
        <v>0.0</v>
      </c>
      <c r="CN54" s="64" t="str">
        <f t="shared" si="12"/>
        <v>#REF!</v>
      </c>
      <c r="CO54" s="68" t="str">
        <f>'[1]DATA CONSOLIDADA 2018-2025 '!$CM54-Hoja1!$CG54</f>
        <v>#REF!</v>
      </c>
      <c r="CP54" s="70">
        <v>0.0</v>
      </c>
      <c r="CQ54" s="70">
        <v>0.0</v>
      </c>
      <c r="CR54" s="70">
        <v>0.0</v>
      </c>
      <c r="CS54" s="70">
        <v>0.0</v>
      </c>
      <c r="CT54" s="70">
        <v>0.0</v>
      </c>
      <c r="CU54" s="70">
        <v>0.0</v>
      </c>
      <c r="CV54" s="64">
        <v>0.0</v>
      </c>
      <c r="CW54" s="64">
        <v>0.0</v>
      </c>
      <c r="CX54" s="64">
        <v>0.0</v>
      </c>
      <c r="CY54" s="64">
        <v>0.0</v>
      </c>
      <c r="CZ54" s="64">
        <v>0.0</v>
      </c>
      <c r="DA54" s="64">
        <v>0.0</v>
      </c>
      <c r="DB54" s="64">
        <v>0.0</v>
      </c>
      <c r="DC54" s="72">
        <v>0.0</v>
      </c>
      <c r="DD54" s="72">
        <v>0.0</v>
      </c>
      <c r="DE54" s="72">
        <v>0.0</v>
      </c>
      <c r="DF54" s="72">
        <v>0.0</v>
      </c>
      <c r="DG54" s="72">
        <v>0.0</v>
      </c>
      <c r="DH54" s="72">
        <v>0.0</v>
      </c>
      <c r="DI54" s="73">
        <v>2.0600838947E10</v>
      </c>
      <c r="DJ54" s="74" t="s">
        <v>307</v>
      </c>
      <c r="DK54" s="74" t="s">
        <v>306</v>
      </c>
      <c r="DL54" s="75"/>
      <c r="DM54" s="7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75"/>
      <c r="EC54" s="75"/>
      <c r="ED54" s="75"/>
      <c r="EE54" s="75"/>
    </row>
    <row r="55" ht="47.25" hidden="1" customHeight="1">
      <c r="A55" s="55" t="s">
        <v>308</v>
      </c>
      <c r="B55" s="55" t="s">
        <v>250</v>
      </c>
      <c r="C55" s="55" t="s">
        <v>250</v>
      </c>
      <c r="D55" s="55" t="s">
        <v>289</v>
      </c>
      <c r="E55" s="55" t="s">
        <v>309</v>
      </c>
      <c r="F55" s="55" t="s">
        <v>289</v>
      </c>
      <c r="G55" s="55" t="s">
        <v>303</v>
      </c>
      <c r="H55" s="55" t="s">
        <v>310</v>
      </c>
      <c r="I55" s="56"/>
      <c r="J55" s="56">
        <v>1.0</v>
      </c>
      <c r="K55" s="56">
        <v>1.0</v>
      </c>
      <c r="L55" s="56">
        <v>1.0</v>
      </c>
      <c r="M55" s="56"/>
      <c r="N55" s="56"/>
      <c r="O55" s="56"/>
      <c r="P55" s="56"/>
      <c r="Q55" s="56" t="s">
        <v>131</v>
      </c>
      <c r="R55" s="58" t="str">
        <f t="shared" si="1"/>
        <v>2019-2020-2021</v>
      </c>
      <c r="S55" s="59" t="str">
        <f>SUM(Hoja1!$I55:$P55)</f>
        <v>3</v>
      </c>
      <c r="T55" s="59" t="str">
        <f>IF(OR(Hoja1!$J55=1,Hoja1!$K55=1,Hoja1!$L55=1,Hoja1!$M55=1,Hoja1!$N55=1,Hoja1!$O55=1,Hoja1!$P55=1),"SI","NO")</f>
        <v>SI</v>
      </c>
      <c r="U55" s="59" t="str">
        <f>IF(OR(Hoja1!$K55=1,Hoja1!$L55=1,Hoja1!$M55=1,Hoja1!$N55=1,Hoja1!$O55=1,Hoja1!$P55=1),"SI","NO")</f>
        <v>SI</v>
      </c>
      <c r="V55" s="60">
        <v>0.0</v>
      </c>
      <c r="W55" s="61">
        <v>25.0</v>
      </c>
      <c r="X55" s="61">
        <v>20.0</v>
      </c>
      <c r="Y55" s="60">
        <v>45.0</v>
      </c>
      <c r="Z55" s="61">
        <v>26.0</v>
      </c>
      <c r="AA55" s="61">
        <v>20.0</v>
      </c>
      <c r="AB55" s="60">
        <v>46.0</v>
      </c>
      <c r="AC55" s="61">
        <v>36.0</v>
      </c>
      <c r="AD55" s="61">
        <v>23.0</v>
      </c>
      <c r="AE55" s="60">
        <v>59.0</v>
      </c>
      <c r="AF55" s="61">
        <v>0.0</v>
      </c>
      <c r="AG55" s="61">
        <v>0.0</v>
      </c>
      <c r="AH55" s="60">
        <v>0.0</v>
      </c>
      <c r="AI55" s="61">
        <v>0.0</v>
      </c>
      <c r="AJ55" s="61">
        <v>0.0</v>
      </c>
      <c r="AK55" s="60">
        <v>0.0</v>
      </c>
      <c r="AL55" s="61">
        <v>0.0</v>
      </c>
      <c r="AM55" s="61">
        <v>0.0</v>
      </c>
      <c r="AN55" s="60">
        <v>0.0</v>
      </c>
      <c r="AO55" s="62">
        <v>0.0</v>
      </c>
      <c r="AP55" s="62">
        <v>0.0</v>
      </c>
      <c r="AQ55" s="60">
        <v>0.0</v>
      </c>
      <c r="AR55" s="60" t="str">
        <f>IF(Hoja1!$AQ55&gt;0,Hoja1!$AQ55,IF(Hoja1!$AN55&gt;0,Hoja1!$AN55,IF(Hoja1!$AK55&gt;0,Hoja1!$AK55,IF(Hoja1!$AH55&gt;0,Hoja1!$AH55,IF(Hoja1!$AE55&gt;0,Hoja1!$AE55,IF(Hoja1!$AB55&gt;0,Hoja1!$AB55,IF(Hoja1!$Y55&gt;0,Hoja1!$Y55,IF(Hoja1!$V55&gt;0,Hoja1!$V55," ---"))))))))</f>
        <v>59</v>
      </c>
      <c r="AS55" s="63">
        <v>10.0</v>
      </c>
      <c r="AT55" s="63">
        <v>4.0</v>
      </c>
      <c r="AU55" s="63">
        <v>22.0</v>
      </c>
      <c r="AV55" s="63">
        <v>2.0</v>
      </c>
      <c r="AW55" s="63">
        <v>0.0</v>
      </c>
      <c r="AX55" s="63">
        <v>0.0</v>
      </c>
      <c r="AY55" s="63">
        <v>0.0</v>
      </c>
      <c r="AZ55" s="63">
        <v>0.0</v>
      </c>
      <c r="BA55" s="63">
        <v>0.0</v>
      </c>
      <c r="BB55" s="63">
        <v>0.0</v>
      </c>
      <c r="BC55" s="63">
        <v>0.0</v>
      </c>
      <c r="BD55" s="63">
        <v>0.0</v>
      </c>
      <c r="BE55" s="64">
        <v>0.0</v>
      </c>
      <c r="BF55" s="65">
        <v>11063.04</v>
      </c>
      <c r="BG55" s="65">
        <v>0.0</v>
      </c>
      <c r="BH55" s="66">
        <v>11063.04</v>
      </c>
      <c r="BI55" s="67" t="str">
        <f t="shared" si="2"/>
        <v>#REF!</v>
      </c>
      <c r="BJ55" s="68" t="str">
        <f t="shared" si="3"/>
        <v>#REF!</v>
      </c>
      <c r="BK55" s="65">
        <v>88203.65</v>
      </c>
      <c r="BL55" s="65">
        <v>0.0</v>
      </c>
      <c r="BM55" s="66">
        <v>88203.65</v>
      </c>
      <c r="BN55" s="67" t="str">
        <f t="shared" si="4"/>
        <v>#REF!</v>
      </c>
      <c r="BO55" s="68" t="str">
        <f t="shared" si="5"/>
        <v>#REF!</v>
      </c>
      <c r="BP55" s="65">
        <v>0.0</v>
      </c>
      <c r="BQ55" s="65">
        <v>0.0</v>
      </c>
      <c r="BR55" s="66">
        <v>0.0</v>
      </c>
      <c r="BS55" s="67" t="str">
        <f t="shared" si="6"/>
        <v>#REF!</v>
      </c>
      <c r="BT55" s="68" t="str">
        <f>'[1]DATA CONSOLIDADA 2018-2025 '!$BR55-Hoja1!$BO55</f>
        <v>#REF!</v>
      </c>
      <c r="BU55" s="65">
        <v>0.0</v>
      </c>
      <c r="BV55" s="65">
        <v>0.0</v>
      </c>
      <c r="BW55" s="66">
        <v>0.0</v>
      </c>
      <c r="BX55" s="67" t="str">
        <f t="shared" si="7"/>
        <v>#REF!</v>
      </c>
      <c r="BY55" s="68" t="str">
        <f t="shared" si="8"/>
        <v>#REF!</v>
      </c>
      <c r="BZ55" s="65">
        <v>0.0</v>
      </c>
      <c r="CA55" s="65">
        <v>0.0</v>
      </c>
      <c r="CB55" s="66">
        <v>0.0</v>
      </c>
      <c r="CC55" s="67" t="str">
        <f t="shared" si="9"/>
        <v>#REF!</v>
      </c>
      <c r="CD55" s="68" t="str">
        <f>'[1]DATA CONSOLIDADA 2018-2025 '!$CB55-Hoja1!$BW55</f>
        <v>#REF!</v>
      </c>
      <c r="CE55" s="70">
        <v>0.0</v>
      </c>
      <c r="CF55" s="70">
        <v>0.0</v>
      </c>
      <c r="CG55" s="71">
        <v>0.0</v>
      </c>
      <c r="CH55" s="67" t="str">
        <f t="shared" si="10"/>
        <v>#REF!</v>
      </c>
      <c r="CI55" s="68" t="str">
        <f>'[1]DATA CONSOLIDADA 2018-2025 '!$CG55-Hoja1!$CB55</f>
        <v>#REF!</v>
      </c>
      <c r="CJ55" s="64" t="str">
        <f t="shared" si="11"/>
        <v>#REF!</v>
      </c>
      <c r="CK55" s="64">
        <v>0.0</v>
      </c>
      <c r="CL55" s="64">
        <v>0.0</v>
      </c>
      <c r="CM55" s="64">
        <v>0.0</v>
      </c>
      <c r="CN55" s="64" t="str">
        <f t="shared" si="12"/>
        <v>#REF!</v>
      </c>
      <c r="CO55" s="68" t="str">
        <f>'[1]DATA CONSOLIDADA 2018-2025 '!$CM55-Hoja1!$CG55</f>
        <v>#REF!</v>
      </c>
      <c r="CP55" s="70">
        <v>0.0</v>
      </c>
      <c r="CQ55" s="70">
        <v>0.0</v>
      </c>
      <c r="CR55" s="70">
        <v>0.0</v>
      </c>
      <c r="CS55" s="70">
        <v>0.0</v>
      </c>
      <c r="CT55" s="70">
        <v>0.0</v>
      </c>
      <c r="CU55" s="70">
        <v>0.0</v>
      </c>
      <c r="CV55" s="64">
        <v>0.0</v>
      </c>
      <c r="CW55" s="64">
        <v>0.0</v>
      </c>
      <c r="CX55" s="64">
        <v>0.0</v>
      </c>
      <c r="CY55" s="64">
        <v>0.0</v>
      </c>
      <c r="CZ55" s="64">
        <v>0.0</v>
      </c>
      <c r="DA55" s="64">
        <v>0.0</v>
      </c>
      <c r="DB55" s="64">
        <v>0.0</v>
      </c>
      <c r="DC55" s="72">
        <v>0.0</v>
      </c>
      <c r="DD55" s="72">
        <v>0.0</v>
      </c>
      <c r="DE55" s="72">
        <v>0.0</v>
      </c>
      <c r="DF55" s="72">
        <v>0.0</v>
      </c>
      <c r="DG55" s="72">
        <v>0.0</v>
      </c>
      <c r="DH55" s="72">
        <v>0.0</v>
      </c>
      <c r="DI55" s="73">
        <v>2.0455129321E10</v>
      </c>
      <c r="DJ55" s="74" t="s">
        <v>311</v>
      </c>
      <c r="DK55" s="74" t="s">
        <v>138</v>
      </c>
      <c r="DL55" s="75"/>
      <c r="DM55" s="75"/>
      <c r="DN55" s="75"/>
      <c r="DO55" s="75"/>
      <c r="DP55" s="75"/>
      <c r="DQ55" s="75"/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75"/>
      <c r="EC55" s="75"/>
      <c r="ED55" s="75"/>
      <c r="EE55" s="75"/>
    </row>
    <row r="56" ht="47.25" hidden="1" customHeight="1">
      <c r="A56" s="55" t="s">
        <v>312</v>
      </c>
      <c r="B56" s="55" t="s">
        <v>287</v>
      </c>
      <c r="C56" s="55" t="s">
        <v>287</v>
      </c>
      <c r="D56" s="55" t="s">
        <v>289</v>
      </c>
      <c r="E56" s="55" t="s">
        <v>299</v>
      </c>
      <c r="F56" s="55" t="s">
        <v>289</v>
      </c>
      <c r="G56" s="55" t="s">
        <v>291</v>
      </c>
      <c r="H56" s="55" t="s">
        <v>300</v>
      </c>
      <c r="I56" s="56"/>
      <c r="J56" s="56">
        <v>1.0</v>
      </c>
      <c r="K56" s="56">
        <v>1.0</v>
      </c>
      <c r="L56" s="56">
        <v>1.0</v>
      </c>
      <c r="M56" s="56"/>
      <c r="N56" s="56"/>
      <c r="O56" s="56"/>
      <c r="P56" s="56"/>
      <c r="Q56" s="56" t="s">
        <v>131</v>
      </c>
      <c r="R56" s="58" t="str">
        <f t="shared" si="1"/>
        <v>2019-2020-2021</v>
      </c>
      <c r="S56" s="59" t="str">
        <f>SUM(Hoja1!$I56:$P56)</f>
        <v>3</v>
      </c>
      <c r="T56" s="59" t="str">
        <f>IF(OR(Hoja1!$J56=1,Hoja1!$K56=1,Hoja1!$L56=1,Hoja1!$M56=1,Hoja1!$N56=1,Hoja1!$O56=1,Hoja1!$P56=1),"SI","NO")</f>
        <v>SI</v>
      </c>
      <c r="U56" s="59" t="str">
        <f>IF(OR(Hoja1!$K56=1,Hoja1!$L56=1,Hoja1!$M56=1,Hoja1!$N56=1,Hoja1!$O56=1,Hoja1!$P56=1),"SI","NO")</f>
        <v>SI</v>
      </c>
      <c r="V56" s="60">
        <v>0.0</v>
      </c>
      <c r="W56" s="61">
        <v>18.0</v>
      </c>
      <c r="X56" s="61">
        <v>5.0</v>
      </c>
      <c r="Y56" s="60">
        <v>23.0</v>
      </c>
      <c r="Z56" s="61">
        <v>16.0</v>
      </c>
      <c r="AA56" s="61">
        <v>6.0</v>
      </c>
      <c r="AB56" s="60">
        <v>22.0</v>
      </c>
      <c r="AC56" s="61">
        <v>16.0</v>
      </c>
      <c r="AD56" s="61">
        <v>6.0</v>
      </c>
      <c r="AE56" s="60">
        <v>22.0</v>
      </c>
      <c r="AF56" s="61">
        <v>0.0</v>
      </c>
      <c r="AG56" s="61">
        <v>0.0</v>
      </c>
      <c r="AH56" s="60">
        <v>0.0</v>
      </c>
      <c r="AI56" s="61">
        <v>0.0</v>
      </c>
      <c r="AJ56" s="61">
        <v>0.0</v>
      </c>
      <c r="AK56" s="60">
        <v>0.0</v>
      </c>
      <c r="AL56" s="61">
        <v>0.0</v>
      </c>
      <c r="AM56" s="61">
        <v>0.0</v>
      </c>
      <c r="AN56" s="60">
        <v>0.0</v>
      </c>
      <c r="AO56" s="62">
        <v>0.0</v>
      </c>
      <c r="AP56" s="62">
        <v>0.0</v>
      </c>
      <c r="AQ56" s="60">
        <v>0.0</v>
      </c>
      <c r="AR56" s="60" t="str">
        <f>IF(Hoja1!$AQ56&gt;0,Hoja1!$AQ56,IF(Hoja1!$AN56&gt;0,Hoja1!$AN56,IF(Hoja1!$AK56&gt;0,Hoja1!$AK56,IF(Hoja1!$AH56&gt;0,Hoja1!$AH56,IF(Hoja1!$AE56&gt;0,Hoja1!$AE56,IF(Hoja1!$AB56&gt;0,Hoja1!$AB56,IF(Hoja1!$Y56&gt;0,Hoja1!$Y56,IF(Hoja1!$V56&gt;0,Hoja1!$V56," ---"))))))))</f>
        <v>22</v>
      </c>
      <c r="AS56" s="63">
        <v>13.0</v>
      </c>
      <c r="AT56" s="63">
        <v>9.0</v>
      </c>
      <c r="AU56" s="63">
        <v>54.0</v>
      </c>
      <c r="AV56" s="63">
        <v>8.0</v>
      </c>
      <c r="AW56" s="63">
        <v>0.0</v>
      </c>
      <c r="AX56" s="63">
        <v>0.0</v>
      </c>
      <c r="AY56" s="63">
        <v>0.0</v>
      </c>
      <c r="AZ56" s="63">
        <v>0.0</v>
      </c>
      <c r="BA56" s="63">
        <v>0.0</v>
      </c>
      <c r="BB56" s="63">
        <v>0.0</v>
      </c>
      <c r="BC56" s="63">
        <v>0.0</v>
      </c>
      <c r="BD56" s="63">
        <v>0.0</v>
      </c>
      <c r="BE56" s="64">
        <v>0.0</v>
      </c>
      <c r="BF56" s="65">
        <v>273451.44</v>
      </c>
      <c r="BG56" s="65">
        <v>0.0</v>
      </c>
      <c r="BH56" s="66">
        <v>273451.44</v>
      </c>
      <c r="BI56" s="67" t="str">
        <f t="shared" si="2"/>
        <v>#REF!</v>
      </c>
      <c r="BJ56" s="68" t="str">
        <f t="shared" si="3"/>
        <v>#REF!</v>
      </c>
      <c r="BK56" s="65">
        <v>311900.96</v>
      </c>
      <c r="BL56" s="65">
        <v>0.0</v>
      </c>
      <c r="BM56" s="66">
        <v>311900.96</v>
      </c>
      <c r="BN56" s="67" t="str">
        <f t="shared" si="4"/>
        <v>#REF!</v>
      </c>
      <c r="BO56" s="68" t="str">
        <f t="shared" si="5"/>
        <v>#REF!</v>
      </c>
      <c r="BP56" s="65">
        <v>323919.98</v>
      </c>
      <c r="BQ56" s="65">
        <v>0.0</v>
      </c>
      <c r="BR56" s="66">
        <v>323919.98</v>
      </c>
      <c r="BS56" s="67" t="str">
        <f t="shared" si="6"/>
        <v>#REF!</v>
      </c>
      <c r="BT56" s="68" t="str">
        <f>'[1]DATA CONSOLIDADA 2018-2025 '!$BR56-Hoja1!$BO56</f>
        <v>#REF!</v>
      </c>
      <c r="BU56" s="65">
        <v>0.0</v>
      </c>
      <c r="BV56" s="65">
        <v>0.0</v>
      </c>
      <c r="BW56" s="66">
        <v>0.0</v>
      </c>
      <c r="BX56" s="67" t="str">
        <f t="shared" si="7"/>
        <v>#REF!</v>
      </c>
      <c r="BY56" s="68" t="str">
        <f t="shared" si="8"/>
        <v>#REF!</v>
      </c>
      <c r="BZ56" s="65">
        <v>0.0</v>
      </c>
      <c r="CA56" s="65">
        <v>0.0</v>
      </c>
      <c r="CB56" s="66">
        <v>0.0</v>
      </c>
      <c r="CC56" s="67" t="str">
        <f t="shared" si="9"/>
        <v>#REF!</v>
      </c>
      <c r="CD56" s="68" t="str">
        <f>'[1]DATA CONSOLIDADA 2018-2025 '!$CB56-Hoja1!$BW56</f>
        <v>#REF!</v>
      </c>
      <c r="CE56" s="70">
        <v>0.0</v>
      </c>
      <c r="CF56" s="70">
        <v>0.0</v>
      </c>
      <c r="CG56" s="71">
        <v>0.0</v>
      </c>
      <c r="CH56" s="67" t="str">
        <f t="shared" si="10"/>
        <v>#REF!</v>
      </c>
      <c r="CI56" s="68" t="str">
        <f>'[1]DATA CONSOLIDADA 2018-2025 '!$CG56-Hoja1!$CB56</f>
        <v>#REF!</v>
      </c>
      <c r="CJ56" s="64" t="str">
        <f t="shared" si="11"/>
        <v>#REF!</v>
      </c>
      <c r="CK56" s="64">
        <v>0.0</v>
      </c>
      <c r="CL56" s="64">
        <v>0.0</v>
      </c>
      <c r="CM56" s="64">
        <v>0.0</v>
      </c>
      <c r="CN56" s="64" t="str">
        <f t="shared" si="12"/>
        <v>#REF!</v>
      </c>
      <c r="CO56" s="68" t="str">
        <f>'[1]DATA CONSOLIDADA 2018-2025 '!$CM56-Hoja1!$CG56</f>
        <v>#REF!</v>
      </c>
      <c r="CP56" s="70">
        <v>0.0</v>
      </c>
      <c r="CQ56" s="70">
        <v>0.0</v>
      </c>
      <c r="CR56" s="70">
        <v>0.0</v>
      </c>
      <c r="CS56" s="70">
        <v>0.0</v>
      </c>
      <c r="CT56" s="70">
        <v>0.0</v>
      </c>
      <c r="CU56" s="70">
        <v>0.0</v>
      </c>
      <c r="CV56" s="64">
        <v>0.0</v>
      </c>
      <c r="CW56" s="64">
        <v>0.0</v>
      </c>
      <c r="CX56" s="64">
        <v>0.0</v>
      </c>
      <c r="CY56" s="64">
        <v>0.0</v>
      </c>
      <c r="CZ56" s="64">
        <v>0.0</v>
      </c>
      <c r="DA56" s="64">
        <v>0.0</v>
      </c>
      <c r="DB56" s="64">
        <v>0.0</v>
      </c>
      <c r="DC56" s="72">
        <v>0.0</v>
      </c>
      <c r="DD56" s="72">
        <v>0.0</v>
      </c>
      <c r="DE56" s="72">
        <v>0.0</v>
      </c>
      <c r="DF56" s="72">
        <v>0.0</v>
      </c>
      <c r="DG56" s="72">
        <v>0.0</v>
      </c>
      <c r="DH56" s="72">
        <v>0.0</v>
      </c>
      <c r="DI56" s="73">
        <v>2.0604817146E10</v>
      </c>
      <c r="DJ56" s="74" t="s">
        <v>313</v>
      </c>
      <c r="DK56" s="74" t="s">
        <v>138</v>
      </c>
      <c r="DL56" s="75"/>
      <c r="DM56" s="75"/>
      <c r="DN56" s="75"/>
      <c r="DO56" s="75"/>
      <c r="DP56" s="75"/>
      <c r="DQ56" s="75"/>
      <c r="DR56" s="75"/>
      <c r="DS56" s="75"/>
      <c r="DT56" s="75"/>
      <c r="DU56" s="75"/>
      <c r="DV56" s="75"/>
      <c r="DW56" s="75"/>
      <c r="DX56" s="75"/>
      <c r="DY56" s="75"/>
      <c r="DZ56" s="75"/>
      <c r="EA56" s="75"/>
      <c r="EB56" s="75"/>
      <c r="EC56" s="75"/>
      <c r="ED56" s="75"/>
      <c r="EE56" s="75"/>
    </row>
    <row r="57" ht="47.25" hidden="1" customHeight="1">
      <c r="A57" s="55" t="s">
        <v>314</v>
      </c>
      <c r="B57" s="55" t="s">
        <v>250</v>
      </c>
      <c r="C57" s="55" t="s">
        <v>250</v>
      </c>
      <c r="D57" s="55" t="s">
        <v>289</v>
      </c>
      <c r="E57" s="55" t="s">
        <v>315</v>
      </c>
      <c r="F57" s="55" t="s">
        <v>289</v>
      </c>
      <c r="G57" s="55" t="s">
        <v>303</v>
      </c>
      <c r="H57" s="55" t="s">
        <v>303</v>
      </c>
      <c r="I57" s="56">
        <v>1.0</v>
      </c>
      <c r="J57" s="56">
        <v>1.0</v>
      </c>
      <c r="K57" s="56">
        <v>1.0</v>
      </c>
      <c r="L57" s="56">
        <v>1.0</v>
      </c>
      <c r="M57" s="56"/>
      <c r="N57" s="56"/>
      <c r="O57" s="56"/>
      <c r="P57" s="56"/>
      <c r="Q57" s="56" t="s">
        <v>131</v>
      </c>
      <c r="R57" s="58" t="str">
        <f t="shared" si="1"/>
        <v>2018-2019-2020-2021</v>
      </c>
      <c r="S57" s="59" t="str">
        <f>SUM(Hoja1!$I57:$P57)</f>
        <v>4</v>
      </c>
      <c r="T57" s="59" t="str">
        <f>IF(OR(Hoja1!$J57=1,Hoja1!$K57=1,Hoja1!$L57=1,Hoja1!$M57=1,Hoja1!$N57=1,Hoja1!$O57=1,Hoja1!$P57=1),"SI","NO")</f>
        <v>SI</v>
      </c>
      <c r="U57" s="59" t="str">
        <f>IF(OR(Hoja1!$K57=1,Hoja1!$L57=1,Hoja1!$M57=1,Hoja1!$N57=1,Hoja1!$O57=1,Hoja1!$P57=1),"SI","NO")</f>
        <v>SI</v>
      </c>
      <c r="V57" s="60">
        <v>125.0</v>
      </c>
      <c r="W57" s="61">
        <v>107.0</v>
      </c>
      <c r="X57" s="61">
        <v>18.0</v>
      </c>
      <c r="Y57" s="60">
        <v>125.0</v>
      </c>
      <c r="Z57" s="61">
        <v>108.0</v>
      </c>
      <c r="AA57" s="61">
        <v>16.0</v>
      </c>
      <c r="AB57" s="60">
        <v>124.0</v>
      </c>
      <c r="AC57" s="61">
        <v>59.0</v>
      </c>
      <c r="AD57" s="61">
        <v>19.0</v>
      </c>
      <c r="AE57" s="60">
        <v>78.0</v>
      </c>
      <c r="AF57" s="61">
        <v>0.0</v>
      </c>
      <c r="AG57" s="61">
        <v>0.0</v>
      </c>
      <c r="AH57" s="60">
        <v>0.0</v>
      </c>
      <c r="AI57" s="61">
        <v>0.0</v>
      </c>
      <c r="AJ57" s="61">
        <v>0.0</v>
      </c>
      <c r="AK57" s="60">
        <v>0.0</v>
      </c>
      <c r="AL57" s="61">
        <v>0.0</v>
      </c>
      <c r="AM57" s="61">
        <v>0.0</v>
      </c>
      <c r="AN57" s="60">
        <v>0.0</v>
      </c>
      <c r="AO57" s="62">
        <v>0.0</v>
      </c>
      <c r="AP57" s="62">
        <v>0.0</v>
      </c>
      <c r="AQ57" s="60">
        <v>0.0</v>
      </c>
      <c r="AR57" s="60" t="str">
        <f>IF(Hoja1!$AQ57&gt;0,Hoja1!$AQ57,IF(Hoja1!$AN57&gt;0,Hoja1!$AN57,IF(Hoja1!$AK57&gt;0,Hoja1!$AK57,IF(Hoja1!$AH57&gt;0,Hoja1!$AH57,IF(Hoja1!$AE57&gt;0,Hoja1!$AE57,IF(Hoja1!$AB57&gt;0,Hoja1!$AB57,IF(Hoja1!$Y57&gt;0,Hoja1!$Y57,IF(Hoja1!$V57&gt;0,Hoja1!$V57," ---"))))))))</f>
        <v>78</v>
      </c>
      <c r="AS57" s="63">
        <v>5.0</v>
      </c>
      <c r="AT57" s="63">
        <v>3.0</v>
      </c>
      <c r="AU57" s="63">
        <v>52.0</v>
      </c>
      <c r="AV57" s="63">
        <v>1.0</v>
      </c>
      <c r="AW57" s="63">
        <v>0.0</v>
      </c>
      <c r="AX57" s="63">
        <v>0.0</v>
      </c>
      <c r="AY57" s="63">
        <v>0.0</v>
      </c>
      <c r="AZ57" s="63">
        <v>0.0</v>
      </c>
      <c r="BA57" s="63">
        <v>0.0</v>
      </c>
      <c r="BB57" s="63">
        <v>0.0</v>
      </c>
      <c r="BC57" s="63">
        <v>0.0</v>
      </c>
      <c r="BD57" s="63">
        <v>0.0</v>
      </c>
      <c r="BE57" s="64">
        <v>0.0</v>
      </c>
      <c r="BF57" s="65">
        <v>172935.79</v>
      </c>
      <c r="BG57" s="65">
        <v>0.0</v>
      </c>
      <c r="BH57" s="66">
        <v>172935.79</v>
      </c>
      <c r="BI57" s="67" t="str">
        <f t="shared" si="2"/>
        <v>#REF!</v>
      </c>
      <c r="BJ57" s="68" t="str">
        <f t="shared" si="3"/>
        <v>#REF!</v>
      </c>
      <c r="BK57" s="65">
        <v>37409.42</v>
      </c>
      <c r="BL57" s="65">
        <v>0.0</v>
      </c>
      <c r="BM57" s="66">
        <v>37409.42</v>
      </c>
      <c r="BN57" s="67" t="str">
        <f t="shared" si="4"/>
        <v>#REF!</v>
      </c>
      <c r="BO57" s="68" t="str">
        <f t="shared" si="5"/>
        <v>#REF!</v>
      </c>
      <c r="BP57" s="65">
        <v>211780.74</v>
      </c>
      <c r="BQ57" s="65">
        <v>0.0</v>
      </c>
      <c r="BR57" s="66">
        <v>211780.74</v>
      </c>
      <c r="BS57" s="67" t="str">
        <f t="shared" si="6"/>
        <v>#REF!</v>
      </c>
      <c r="BT57" s="68" t="str">
        <f>'[1]DATA CONSOLIDADA 2018-2025 '!$BR57-Hoja1!$BO57</f>
        <v>#REF!</v>
      </c>
      <c r="BU57" s="65">
        <v>0.0</v>
      </c>
      <c r="BV57" s="65">
        <v>0.0</v>
      </c>
      <c r="BW57" s="66">
        <v>0.0</v>
      </c>
      <c r="BX57" s="67" t="str">
        <f t="shared" si="7"/>
        <v>#REF!</v>
      </c>
      <c r="BY57" s="68" t="str">
        <f t="shared" si="8"/>
        <v>#REF!</v>
      </c>
      <c r="BZ57" s="65">
        <v>0.0</v>
      </c>
      <c r="CA57" s="65">
        <v>0.0</v>
      </c>
      <c r="CB57" s="66">
        <v>0.0</v>
      </c>
      <c r="CC57" s="67" t="str">
        <f t="shared" si="9"/>
        <v>#REF!</v>
      </c>
      <c r="CD57" s="68" t="str">
        <f>'[1]DATA CONSOLIDADA 2018-2025 '!$CB57-Hoja1!$BW57</f>
        <v>#REF!</v>
      </c>
      <c r="CE57" s="70">
        <v>0.0</v>
      </c>
      <c r="CF57" s="70">
        <v>0.0</v>
      </c>
      <c r="CG57" s="71">
        <v>0.0</v>
      </c>
      <c r="CH57" s="67" t="str">
        <f t="shared" si="10"/>
        <v>#REF!</v>
      </c>
      <c r="CI57" s="68" t="str">
        <f>'[1]DATA CONSOLIDADA 2018-2025 '!$CG57-Hoja1!$CB57</f>
        <v>#REF!</v>
      </c>
      <c r="CJ57" s="64" t="str">
        <f t="shared" si="11"/>
        <v>#REF!</v>
      </c>
      <c r="CK57" s="64">
        <v>0.0</v>
      </c>
      <c r="CL57" s="64">
        <v>0.0</v>
      </c>
      <c r="CM57" s="64">
        <v>0.0</v>
      </c>
      <c r="CN57" s="64" t="str">
        <f t="shared" si="12"/>
        <v>#REF!</v>
      </c>
      <c r="CO57" s="68" t="str">
        <f>'[1]DATA CONSOLIDADA 2018-2025 '!$CM57-Hoja1!$CG57</f>
        <v>#REF!</v>
      </c>
      <c r="CP57" s="70">
        <v>0.0</v>
      </c>
      <c r="CQ57" s="70">
        <v>0.0</v>
      </c>
      <c r="CR57" s="70">
        <v>0.0</v>
      </c>
      <c r="CS57" s="70">
        <v>0.0</v>
      </c>
      <c r="CT57" s="70">
        <v>0.0</v>
      </c>
      <c r="CU57" s="70">
        <v>0.0</v>
      </c>
      <c r="CV57" s="64">
        <v>0.0</v>
      </c>
      <c r="CW57" s="64">
        <v>0.0</v>
      </c>
      <c r="CX57" s="64">
        <v>0.0</v>
      </c>
      <c r="CY57" s="64">
        <v>0.0</v>
      </c>
      <c r="CZ57" s="64">
        <v>0.0</v>
      </c>
      <c r="DA57" s="64">
        <v>0.0</v>
      </c>
      <c r="DB57" s="64">
        <v>0.0</v>
      </c>
      <c r="DC57" s="72">
        <v>0.0</v>
      </c>
      <c r="DD57" s="72">
        <v>0.0</v>
      </c>
      <c r="DE57" s="72">
        <v>0.0</v>
      </c>
      <c r="DF57" s="72">
        <v>0.0</v>
      </c>
      <c r="DG57" s="72">
        <v>0.0</v>
      </c>
      <c r="DH57" s="72">
        <v>0.0</v>
      </c>
      <c r="DI57" s="73">
        <v>2.0539422881E10</v>
      </c>
      <c r="DJ57" s="74" t="s">
        <v>316</v>
      </c>
      <c r="DK57" s="74" t="s">
        <v>132</v>
      </c>
      <c r="DL57" s="75"/>
      <c r="DM57" s="75"/>
      <c r="DN57" s="75"/>
      <c r="DO57" s="75"/>
      <c r="DP57" s="75"/>
      <c r="DQ57" s="75"/>
      <c r="DR57" s="75"/>
      <c r="DS57" s="75"/>
      <c r="DT57" s="75"/>
      <c r="DU57" s="75"/>
      <c r="DV57" s="75"/>
      <c r="DW57" s="75"/>
      <c r="DX57" s="75"/>
      <c r="DY57" s="75"/>
      <c r="DZ57" s="75"/>
      <c r="EA57" s="75"/>
      <c r="EB57" s="75"/>
      <c r="EC57" s="75"/>
      <c r="ED57" s="75"/>
      <c r="EE57" s="75"/>
    </row>
    <row r="58" ht="47.25" hidden="1" customHeight="1">
      <c r="A58" s="55" t="s">
        <v>317</v>
      </c>
      <c r="B58" s="55" t="s">
        <v>250</v>
      </c>
      <c r="C58" s="55" t="s">
        <v>250</v>
      </c>
      <c r="D58" s="55" t="s">
        <v>289</v>
      </c>
      <c r="E58" s="55" t="s">
        <v>318</v>
      </c>
      <c r="F58" s="55" t="s">
        <v>289</v>
      </c>
      <c r="G58" s="55" t="s">
        <v>303</v>
      </c>
      <c r="H58" s="55" t="s">
        <v>319</v>
      </c>
      <c r="I58" s="56">
        <v>1.0</v>
      </c>
      <c r="J58" s="56">
        <v>1.0</v>
      </c>
      <c r="K58" s="56">
        <v>1.0</v>
      </c>
      <c r="L58" s="56">
        <v>1.0</v>
      </c>
      <c r="M58" s="56"/>
      <c r="N58" s="56"/>
      <c r="O58" s="56"/>
      <c r="P58" s="56"/>
      <c r="Q58" s="56" t="s">
        <v>131</v>
      </c>
      <c r="R58" s="58" t="str">
        <f t="shared" si="1"/>
        <v>2018-2019-2020-2021</v>
      </c>
      <c r="S58" s="59" t="str">
        <f>SUM(Hoja1!$I58:$P58)</f>
        <v>4</v>
      </c>
      <c r="T58" s="59" t="str">
        <f>IF(OR(Hoja1!$J58=1,Hoja1!$K58=1,Hoja1!$L58=1,Hoja1!$M58=1,Hoja1!$N58=1,Hoja1!$O58=1,Hoja1!$P58=1),"SI","NO")</f>
        <v>SI</v>
      </c>
      <c r="U58" s="59" t="str">
        <f>IF(OR(Hoja1!$K58=1,Hoja1!$L58=1,Hoja1!$M58=1,Hoja1!$N58=1,Hoja1!$O58=1,Hoja1!$P58=1),"SI","NO")</f>
        <v>SI</v>
      </c>
      <c r="V58" s="60">
        <v>74.0</v>
      </c>
      <c r="W58" s="61">
        <v>17.0</v>
      </c>
      <c r="X58" s="61">
        <v>10.0</v>
      </c>
      <c r="Y58" s="60">
        <v>27.0</v>
      </c>
      <c r="Z58" s="61">
        <v>19.0</v>
      </c>
      <c r="AA58" s="61">
        <v>8.0</v>
      </c>
      <c r="AB58" s="60">
        <v>27.0</v>
      </c>
      <c r="AC58" s="61">
        <v>20.0</v>
      </c>
      <c r="AD58" s="61">
        <v>10.0</v>
      </c>
      <c r="AE58" s="60">
        <v>30.0</v>
      </c>
      <c r="AF58" s="61">
        <v>0.0</v>
      </c>
      <c r="AG58" s="61">
        <v>0.0</v>
      </c>
      <c r="AH58" s="60">
        <v>0.0</v>
      </c>
      <c r="AI58" s="61">
        <v>0.0</v>
      </c>
      <c r="AJ58" s="61">
        <v>0.0</v>
      </c>
      <c r="AK58" s="60">
        <v>0.0</v>
      </c>
      <c r="AL58" s="61">
        <v>0.0</v>
      </c>
      <c r="AM58" s="61">
        <v>0.0</v>
      </c>
      <c r="AN58" s="60">
        <v>0.0</v>
      </c>
      <c r="AO58" s="62">
        <v>0.0</v>
      </c>
      <c r="AP58" s="62">
        <v>0.0</v>
      </c>
      <c r="AQ58" s="60">
        <v>0.0</v>
      </c>
      <c r="AR58" s="60" t="str">
        <f>IF(Hoja1!$AQ58&gt;0,Hoja1!$AQ58,IF(Hoja1!$AN58&gt;0,Hoja1!$AN58,IF(Hoja1!$AK58&gt;0,Hoja1!$AK58,IF(Hoja1!$AH58&gt;0,Hoja1!$AH58,IF(Hoja1!$AE58&gt;0,Hoja1!$AE58,IF(Hoja1!$AB58&gt;0,Hoja1!$AB58,IF(Hoja1!$Y58&gt;0,Hoja1!$Y58,IF(Hoja1!$V58&gt;0,Hoja1!$V58," ---"))))))))</f>
        <v>30</v>
      </c>
      <c r="AS58" s="63">
        <v>3.0</v>
      </c>
      <c r="AT58" s="63">
        <v>2.0</v>
      </c>
      <c r="AU58" s="63">
        <v>23.0</v>
      </c>
      <c r="AV58" s="63">
        <v>1.0</v>
      </c>
      <c r="AW58" s="63">
        <v>0.0</v>
      </c>
      <c r="AX58" s="63">
        <v>0.0</v>
      </c>
      <c r="AY58" s="63">
        <v>0.0</v>
      </c>
      <c r="AZ58" s="63">
        <v>0.0</v>
      </c>
      <c r="BA58" s="63">
        <v>0.0</v>
      </c>
      <c r="BB58" s="63">
        <v>0.0</v>
      </c>
      <c r="BC58" s="63">
        <v>0.0</v>
      </c>
      <c r="BD58" s="63">
        <v>0.0</v>
      </c>
      <c r="BE58" s="64">
        <v>0.0</v>
      </c>
      <c r="BF58" s="65">
        <v>25951.38</v>
      </c>
      <c r="BG58" s="65">
        <v>0.0</v>
      </c>
      <c r="BH58" s="66">
        <v>25951.38</v>
      </c>
      <c r="BI58" s="67" t="str">
        <f t="shared" si="2"/>
        <v>#REF!</v>
      </c>
      <c r="BJ58" s="68" t="str">
        <f t="shared" si="3"/>
        <v>#REF!</v>
      </c>
      <c r="BK58" s="65">
        <v>86614.81</v>
      </c>
      <c r="BL58" s="65">
        <v>0.0</v>
      </c>
      <c r="BM58" s="66">
        <v>86614.81</v>
      </c>
      <c r="BN58" s="67" t="str">
        <f t="shared" si="4"/>
        <v>#REF!</v>
      </c>
      <c r="BO58" s="68" t="str">
        <f t="shared" si="5"/>
        <v>#REF!</v>
      </c>
      <c r="BP58" s="65">
        <v>33169.38</v>
      </c>
      <c r="BQ58" s="65">
        <v>0.0</v>
      </c>
      <c r="BR58" s="66">
        <v>33169.38</v>
      </c>
      <c r="BS58" s="67" t="str">
        <f t="shared" si="6"/>
        <v>#REF!</v>
      </c>
      <c r="BT58" s="68" t="str">
        <f>'[1]DATA CONSOLIDADA 2018-2025 '!$BR58-Hoja1!$BO58</f>
        <v>#REF!</v>
      </c>
      <c r="BU58" s="65">
        <v>0.0</v>
      </c>
      <c r="BV58" s="65">
        <v>0.0</v>
      </c>
      <c r="BW58" s="66">
        <v>0.0</v>
      </c>
      <c r="BX58" s="67" t="str">
        <f t="shared" si="7"/>
        <v>#REF!</v>
      </c>
      <c r="BY58" s="68" t="str">
        <f t="shared" si="8"/>
        <v>#REF!</v>
      </c>
      <c r="BZ58" s="65">
        <v>0.0</v>
      </c>
      <c r="CA58" s="65">
        <v>0.0</v>
      </c>
      <c r="CB58" s="66">
        <v>0.0</v>
      </c>
      <c r="CC58" s="67" t="str">
        <f t="shared" si="9"/>
        <v>#REF!</v>
      </c>
      <c r="CD58" s="68" t="str">
        <f>'[1]DATA CONSOLIDADA 2018-2025 '!$CB58-Hoja1!$BW58</f>
        <v>#REF!</v>
      </c>
      <c r="CE58" s="70">
        <v>0.0</v>
      </c>
      <c r="CF58" s="70">
        <v>0.0</v>
      </c>
      <c r="CG58" s="71">
        <v>0.0</v>
      </c>
      <c r="CH58" s="67" t="str">
        <f t="shared" si="10"/>
        <v>#REF!</v>
      </c>
      <c r="CI58" s="68" t="str">
        <f>'[1]DATA CONSOLIDADA 2018-2025 '!$CG58-Hoja1!$CB58</f>
        <v>#REF!</v>
      </c>
      <c r="CJ58" s="64" t="str">
        <f t="shared" si="11"/>
        <v>#REF!</v>
      </c>
      <c r="CK58" s="64">
        <v>0.0</v>
      </c>
      <c r="CL58" s="64">
        <v>0.0</v>
      </c>
      <c r="CM58" s="64">
        <v>0.0</v>
      </c>
      <c r="CN58" s="64" t="str">
        <f t="shared" si="12"/>
        <v>#REF!</v>
      </c>
      <c r="CO58" s="68" t="str">
        <f>'[1]DATA CONSOLIDADA 2018-2025 '!$CM58-Hoja1!$CG58</f>
        <v>#REF!</v>
      </c>
      <c r="CP58" s="70">
        <v>0.0</v>
      </c>
      <c r="CQ58" s="70">
        <v>0.0</v>
      </c>
      <c r="CR58" s="70">
        <v>0.0</v>
      </c>
      <c r="CS58" s="70">
        <v>0.0</v>
      </c>
      <c r="CT58" s="70">
        <v>0.0</v>
      </c>
      <c r="CU58" s="70">
        <v>0.0</v>
      </c>
      <c r="CV58" s="64">
        <v>0.0</v>
      </c>
      <c r="CW58" s="64">
        <v>0.0</v>
      </c>
      <c r="CX58" s="64">
        <v>0.0</v>
      </c>
      <c r="CY58" s="64">
        <v>0.0</v>
      </c>
      <c r="CZ58" s="64">
        <v>0.0</v>
      </c>
      <c r="DA58" s="64">
        <v>0.0</v>
      </c>
      <c r="DB58" s="64">
        <v>0.0</v>
      </c>
      <c r="DC58" s="72">
        <v>0.0</v>
      </c>
      <c r="DD58" s="72">
        <v>0.0</v>
      </c>
      <c r="DE58" s="72">
        <v>0.0</v>
      </c>
      <c r="DF58" s="72">
        <v>0.0</v>
      </c>
      <c r="DG58" s="72">
        <v>0.0</v>
      </c>
      <c r="DH58" s="72">
        <v>0.0</v>
      </c>
      <c r="DI58" s="73">
        <v>2.0558183552E10</v>
      </c>
      <c r="DJ58" s="74" t="s">
        <v>320</v>
      </c>
      <c r="DK58" s="74" t="s">
        <v>132</v>
      </c>
      <c r="DL58" s="75"/>
      <c r="DM58" s="75"/>
      <c r="DN58" s="75"/>
      <c r="DO58" s="75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75"/>
      <c r="EC58" s="75"/>
      <c r="ED58" s="75"/>
      <c r="EE58" s="75"/>
    </row>
    <row r="59" ht="47.25" hidden="1" customHeight="1">
      <c r="A59" s="55" t="s">
        <v>321</v>
      </c>
      <c r="B59" s="55" t="s">
        <v>166</v>
      </c>
      <c r="C59" s="55" t="s">
        <v>166</v>
      </c>
      <c r="D59" s="55" t="s">
        <v>289</v>
      </c>
      <c r="E59" s="55" t="s">
        <v>322</v>
      </c>
      <c r="F59" s="55" t="s">
        <v>289</v>
      </c>
      <c r="G59" s="55" t="s">
        <v>289</v>
      </c>
      <c r="H59" s="55" t="s">
        <v>323</v>
      </c>
      <c r="I59" s="56">
        <v>1.0</v>
      </c>
      <c r="J59" s="56">
        <v>1.0</v>
      </c>
      <c r="K59" s="56">
        <v>1.0</v>
      </c>
      <c r="L59" s="56">
        <v>1.0</v>
      </c>
      <c r="M59" s="56">
        <v>1.0</v>
      </c>
      <c r="N59" s="56"/>
      <c r="O59" s="56"/>
      <c r="P59" s="56"/>
      <c r="Q59" s="56" t="s">
        <v>131</v>
      </c>
      <c r="R59" s="58" t="str">
        <f t="shared" si="1"/>
        <v>2018-2019-2020-2021-2022</v>
      </c>
      <c r="S59" s="59" t="str">
        <f>SUM(Hoja1!$I59:$P59)</f>
        <v>5</v>
      </c>
      <c r="T59" s="59" t="str">
        <f>IF(OR(Hoja1!$J59=1,Hoja1!$K59=1,Hoja1!$L59=1,Hoja1!$M59=1,Hoja1!$N59=1,Hoja1!$O59=1,Hoja1!$P59=1),"SI","NO")</f>
        <v>SI</v>
      </c>
      <c r="U59" s="59" t="str">
        <f>IF(OR(Hoja1!$K59=1,Hoja1!$L59=1,Hoja1!$M59=1,Hoja1!$N59=1,Hoja1!$O59=1,Hoja1!$P59=1),"SI","NO")</f>
        <v>SI</v>
      </c>
      <c r="V59" s="60">
        <v>120.0</v>
      </c>
      <c r="W59" s="61">
        <v>54.0</v>
      </c>
      <c r="X59" s="61">
        <v>24.0</v>
      </c>
      <c r="Y59" s="60">
        <v>78.0</v>
      </c>
      <c r="Z59" s="61">
        <v>53.0</v>
      </c>
      <c r="AA59" s="61">
        <v>20.0</v>
      </c>
      <c r="AB59" s="60">
        <v>73.0</v>
      </c>
      <c r="AC59" s="61">
        <v>48.0</v>
      </c>
      <c r="AD59" s="61">
        <v>21.0</v>
      </c>
      <c r="AE59" s="60">
        <v>69.0</v>
      </c>
      <c r="AF59" s="61">
        <v>48.0</v>
      </c>
      <c r="AG59" s="61">
        <v>21.0</v>
      </c>
      <c r="AH59" s="60">
        <v>69.0</v>
      </c>
      <c r="AI59" s="61">
        <v>0.0</v>
      </c>
      <c r="AJ59" s="61">
        <v>0.0</v>
      </c>
      <c r="AK59" s="60">
        <v>0.0</v>
      </c>
      <c r="AL59" s="61">
        <v>0.0</v>
      </c>
      <c r="AM59" s="61">
        <v>0.0</v>
      </c>
      <c r="AN59" s="60">
        <v>0.0</v>
      </c>
      <c r="AO59" s="62">
        <v>0.0</v>
      </c>
      <c r="AP59" s="62">
        <v>0.0</v>
      </c>
      <c r="AQ59" s="60">
        <v>0.0</v>
      </c>
      <c r="AR59" s="60" t="str">
        <f>IF(Hoja1!$AQ59&gt;0,Hoja1!$AQ59,IF(Hoja1!$AN59&gt;0,Hoja1!$AN59,IF(Hoja1!$AK59&gt;0,Hoja1!$AK59,IF(Hoja1!$AH59&gt;0,Hoja1!$AH59,IF(Hoja1!$AE59&gt;0,Hoja1!$AE59,IF(Hoja1!$AB59&gt;0,Hoja1!$AB59,IF(Hoja1!$Y59&gt;0,Hoja1!$Y59,IF(Hoja1!$V59&gt;0,Hoja1!$V59," ---"))))))))</f>
        <v>69</v>
      </c>
      <c r="AS59" s="63">
        <v>11.0</v>
      </c>
      <c r="AT59" s="63">
        <v>8.0</v>
      </c>
      <c r="AU59" s="63">
        <v>90.0</v>
      </c>
      <c r="AV59" s="63">
        <v>6.0</v>
      </c>
      <c r="AW59" s="63">
        <v>27.0</v>
      </c>
      <c r="AX59" s="63">
        <v>4.0</v>
      </c>
      <c r="AY59" s="63">
        <v>0.0</v>
      </c>
      <c r="AZ59" s="63">
        <v>0.0</v>
      </c>
      <c r="BA59" s="63">
        <v>0.0</v>
      </c>
      <c r="BB59" s="63">
        <v>0.0</v>
      </c>
      <c r="BC59" s="63">
        <v>0.0</v>
      </c>
      <c r="BD59" s="63">
        <v>0.0</v>
      </c>
      <c r="BE59" s="66">
        <v>307898.13</v>
      </c>
      <c r="BF59" s="65">
        <v>390389.84</v>
      </c>
      <c r="BG59" s="65">
        <v>0.0</v>
      </c>
      <c r="BH59" s="66">
        <v>390389.84</v>
      </c>
      <c r="BI59" s="67" t="str">
        <f t="shared" si="2"/>
        <v>#REF!</v>
      </c>
      <c r="BJ59" s="68" t="str">
        <f t="shared" si="3"/>
        <v>#REF!</v>
      </c>
      <c r="BK59" s="65">
        <v>290025.49</v>
      </c>
      <c r="BL59" s="65">
        <v>0.0</v>
      </c>
      <c r="BM59" s="66">
        <v>290025.49</v>
      </c>
      <c r="BN59" s="67" t="str">
        <f t="shared" si="4"/>
        <v>#REF!</v>
      </c>
      <c r="BO59" s="68" t="str">
        <f t="shared" si="5"/>
        <v>#REF!</v>
      </c>
      <c r="BP59" s="65">
        <v>1287636.0</v>
      </c>
      <c r="BQ59" s="65">
        <v>0.0</v>
      </c>
      <c r="BR59" s="66">
        <v>1287636.0</v>
      </c>
      <c r="BS59" s="67" t="str">
        <f t="shared" si="6"/>
        <v>#REF!</v>
      </c>
      <c r="BT59" s="68" t="str">
        <f>'[1]DATA CONSOLIDADA 2018-2025 '!$BR59-Hoja1!$BO59</f>
        <v>#REF!</v>
      </c>
      <c r="BU59" s="65">
        <v>706410.4</v>
      </c>
      <c r="BV59" s="65">
        <v>0.0</v>
      </c>
      <c r="BW59" s="66">
        <v>706410.4</v>
      </c>
      <c r="BX59" s="67" t="str">
        <f t="shared" si="7"/>
        <v>#REF!</v>
      </c>
      <c r="BY59" s="68" t="str">
        <f t="shared" si="8"/>
        <v>#REF!</v>
      </c>
      <c r="BZ59" s="65">
        <v>0.0</v>
      </c>
      <c r="CA59" s="65">
        <v>0.0</v>
      </c>
      <c r="CB59" s="66">
        <v>0.0</v>
      </c>
      <c r="CC59" s="67" t="str">
        <f t="shared" si="9"/>
        <v>#REF!</v>
      </c>
      <c r="CD59" s="68" t="str">
        <f>'[1]DATA CONSOLIDADA 2018-2025 '!$CB59-Hoja1!$BW59</f>
        <v>#REF!</v>
      </c>
      <c r="CE59" s="70">
        <v>0.0</v>
      </c>
      <c r="CF59" s="70">
        <v>0.0</v>
      </c>
      <c r="CG59" s="71">
        <v>0.0</v>
      </c>
      <c r="CH59" s="67" t="str">
        <f t="shared" si="10"/>
        <v>#REF!</v>
      </c>
      <c r="CI59" s="68" t="str">
        <f>'[1]DATA CONSOLIDADA 2018-2025 '!$CG59-Hoja1!$CB59</f>
        <v>#REF!</v>
      </c>
      <c r="CJ59" s="64" t="str">
        <f t="shared" si="11"/>
        <v>#REF!</v>
      </c>
      <c r="CK59" s="64">
        <v>0.0</v>
      </c>
      <c r="CL59" s="64">
        <v>0.0</v>
      </c>
      <c r="CM59" s="64">
        <v>0.0</v>
      </c>
      <c r="CN59" s="64" t="str">
        <f t="shared" si="12"/>
        <v>#REF!</v>
      </c>
      <c r="CO59" s="68" t="str">
        <f>'[1]DATA CONSOLIDADA 2018-2025 '!$CM59-Hoja1!$CG59</f>
        <v>#REF!</v>
      </c>
      <c r="CP59" s="70">
        <v>0.0</v>
      </c>
      <c r="CQ59" s="70">
        <v>0.0</v>
      </c>
      <c r="CR59" s="70">
        <v>0.0</v>
      </c>
      <c r="CS59" s="70">
        <v>0.0</v>
      </c>
      <c r="CT59" s="70">
        <v>0.0</v>
      </c>
      <c r="CU59" s="70">
        <v>0.0</v>
      </c>
      <c r="CV59" s="64">
        <v>0.0</v>
      </c>
      <c r="CW59" s="64">
        <v>0.0</v>
      </c>
      <c r="CX59" s="64">
        <v>0.0</v>
      </c>
      <c r="CY59" s="64">
        <v>0.0</v>
      </c>
      <c r="CZ59" s="64">
        <v>0.0</v>
      </c>
      <c r="DA59" s="64">
        <v>0.0</v>
      </c>
      <c r="DB59" s="64">
        <v>0.0</v>
      </c>
      <c r="DC59" s="72">
        <v>0.0</v>
      </c>
      <c r="DD59" s="72">
        <v>0.0</v>
      </c>
      <c r="DE59" s="72">
        <v>0.0</v>
      </c>
      <c r="DF59" s="72">
        <v>0.0</v>
      </c>
      <c r="DG59" s="72">
        <v>0.0</v>
      </c>
      <c r="DH59" s="72">
        <v>0.0</v>
      </c>
      <c r="DI59" s="73">
        <v>2.0559290336E10</v>
      </c>
      <c r="DJ59" s="74" t="s">
        <v>324</v>
      </c>
      <c r="DK59" s="74" t="s">
        <v>138</v>
      </c>
      <c r="DL59" s="75"/>
      <c r="DM59" s="75"/>
      <c r="DN59" s="75"/>
      <c r="DO59" s="75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75"/>
      <c r="EC59" s="75"/>
      <c r="ED59" s="75"/>
      <c r="EE59" s="75"/>
    </row>
    <row r="60" ht="47.25" hidden="1" customHeight="1">
      <c r="A60" s="55" t="s">
        <v>325</v>
      </c>
      <c r="B60" s="55" t="s">
        <v>166</v>
      </c>
      <c r="C60" s="55" t="s">
        <v>166</v>
      </c>
      <c r="D60" s="55" t="s">
        <v>289</v>
      </c>
      <c r="E60" s="55" t="s">
        <v>302</v>
      </c>
      <c r="F60" s="55" t="s">
        <v>289</v>
      </c>
      <c r="G60" s="55" t="s">
        <v>303</v>
      </c>
      <c r="H60" s="55" t="s">
        <v>304</v>
      </c>
      <c r="I60" s="56"/>
      <c r="J60" s="56">
        <v>1.0</v>
      </c>
      <c r="K60" s="56">
        <v>1.0</v>
      </c>
      <c r="L60" s="56">
        <v>1.0</v>
      </c>
      <c r="M60" s="56">
        <v>1.0</v>
      </c>
      <c r="N60" s="56"/>
      <c r="O60" s="56"/>
      <c r="P60" s="56"/>
      <c r="Q60" s="56" t="s">
        <v>131</v>
      </c>
      <c r="R60" s="58" t="str">
        <f t="shared" si="1"/>
        <v>2019-2020-2021-2022</v>
      </c>
      <c r="S60" s="59" t="str">
        <f>SUM(Hoja1!$I60:$P60)</f>
        <v>4</v>
      </c>
      <c r="T60" s="59" t="str">
        <f>IF(OR(Hoja1!$J60=1,Hoja1!$K60=1,Hoja1!$L60=1,Hoja1!$M60=1,Hoja1!$N60=1,Hoja1!$O60=1,Hoja1!$P60=1),"SI","NO")</f>
        <v>SI</v>
      </c>
      <c r="U60" s="59" t="str">
        <f>IF(OR(Hoja1!$K60=1,Hoja1!$L60=1,Hoja1!$M60=1,Hoja1!$N60=1,Hoja1!$O60=1,Hoja1!$P60=1),"SI","NO")</f>
        <v>SI</v>
      </c>
      <c r="V60" s="60">
        <v>0.0</v>
      </c>
      <c r="W60" s="61">
        <v>12.0</v>
      </c>
      <c r="X60" s="61">
        <v>8.0</v>
      </c>
      <c r="Y60" s="60">
        <v>20.0</v>
      </c>
      <c r="Z60" s="61">
        <v>12.0</v>
      </c>
      <c r="AA60" s="61">
        <v>8.0</v>
      </c>
      <c r="AB60" s="60">
        <v>20.0</v>
      </c>
      <c r="AC60" s="61">
        <v>9.0</v>
      </c>
      <c r="AD60" s="61">
        <v>3.0</v>
      </c>
      <c r="AE60" s="60">
        <v>12.0</v>
      </c>
      <c r="AF60" s="61">
        <v>9.0</v>
      </c>
      <c r="AG60" s="61">
        <v>3.0</v>
      </c>
      <c r="AH60" s="60">
        <v>12.0</v>
      </c>
      <c r="AI60" s="61">
        <v>0.0</v>
      </c>
      <c r="AJ60" s="61">
        <v>0.0</v>
      </c>
      <c r="AK60" s="60">
        <v>0.0</v>
      </c>
      <c r="AL60" s="61">
        <v>0.0</v>
      </c>
      <c r="AM60" s="61">
        <v>0.0</v>
      </c>
      <c r="AN60" s="60">
        <v>0.0</v>
      </c>
      <c r="AO60" s="62">
        <v>0.0</v>
      </c>
      <c r="AP60" s="62">
        <v>0.0</v>
      </c>
      <c r="AQ60" s="60">
        <v>0.0</v>
      </c>
      <c r="AR60" s="60" t="str">
        <f>IF(Hoja1!$AQ60&gt;0,Hoja1!$AQ60,IF(Hoja1!$AN60&gt;0,Hoja1!$AN60,IF(Hoja1!$AK60&gt;0,Hoja1!$AK60,IF(Hoja1!$AH60&gt;0,Hoja1!$AH60,IF(Hoja1!$AE60&gt;0,Hoja1!$AE60,IF(Hoja1!$AB60&gt;0,Hoja1!$AB60,IF(Hoja1!$Y60&gt;0,Hoja1!$Y60,IF(Hoja1!$V60&gt;0,Hoja1!$V60," ---"))))))))</f>
        <v>12</v>
      </c>
      <c r="AS60" s="63">
        <v>2.0</v>
      </c>
      <c r="AT60" s="63">
        <v>1.0</v>
      </c>
      <c r="AU60" s="63">
        <v>59.0</v>
      </c>
      <c r="AV60" s="63">
        <v>5.0</v>
      </c>
      <c r="AW60" s="63">
        <v>27.0</v>
      </c>
      <c r="AX60" s="63">
        <v>4.0</v>
      </c>
      <c r="AY60" s="63">
        <v>0.0</v>
      </c>
      <c r="AZ60" s="63">
        <v>0.0</v>
      </c>
      <c r="BA60" s="63">
        <v>0.0</v>
      </c>
      <c r="BB60" s="63">
        <v>0.0</v>
      </c>
      <c r="BC60" s="63">
        <v>0.0</v>
      </c>
      <c r="BD60" s="63">
        <v>0.0</v>
      </c>
      <c r="BE60" s="64">
        <v>0.0</v>
      </c>
      <c r="BF60" s="65">
        <v>148371.5</v>
      </c>
      <c r="BG60" s="65">
        <v>0.0</v>
      </c>
      <c r="BH60" s="66">
        <v>148371.5</v>
      </c>
      <c r="BI60" s="67" t="str">
        <f t="shared" si="2"/>
        <v>#REF!</v>
      </c>
      <c r="BJ60" s="68" t="str">
        <f t="shared" si="3"/>
        <v>#REF!</v>
      </c>
      <c r="BK60" s="65">
        <v>0.0</v>
      </c>
      <c r="BL60" s="65">
        <v>0.0</v>
      </c>
      <c r="BM60" s="66">
        <v>0.0</v>
      </c>
      <c r="BN60" s="67" t="str">
        <f t="shared" si="4"/>
        <v>#REF!</v>
      </c>
      <c r="BO60" s="68" t="str">
        <f t="shared" si="5"/>
        <v>#REF!</v>
      </c>
      <c r="BP60" s="65">
        <v>19137.93</v>
      </c>
      <c r="BQ60" s="65">
        <v>0.0</v>
      </c>
      <c r="BR60" s="66">
        <v>19137.93</v>
      </c>
      <c r="BS60" s="67" t="str">
        <f t="shared" si="6"/>
        <v>#REF!</v>
      </c>
      <c r="BT60" s="68" t="str">
        <f>'[1]DATA CONSOLIDADA 2018-2025 '!$BR60-Hoja1!$BO60</f>
        <v>#REF!</v>
      </c>
      <c r="BU60" s="65">
        <v>73796.83</v>
      </c>
      <c r="BV60" s="65">
        <v>0.0</v>
      </c>
      <c r="BW60" s="66">
        <v>73796.83</v>
      </c>
      <c r="BX60" s="67" t="str">
        <f t="shared" si="7"/>
        <v>#REF!</v>
      </c>
      <c r="BY60" s="68" t="str">
        <f t="shared" si="8"/>
        <v>#REF!</v>
      </c>
      <c r="BZ60" s="65">
        <v>0.0</v>
      </c>
      <c r="CA60" s="65">
        <v>0.0</v>
      </c>
      <c r="CB60" s="66">
        <v>0.0</v>
      </c>
      <c r="CC60" s="67" t="str">
        <f t="shared" si="9"/>
        <v>#REF!</v>
      </c>
      <c r="CD60" s="68" t="str">
        <f>'[1]DATA CONSOLIDADA 2018-2025 '!$CB60-Hoja1!$BW60</f>
        <v>#REF!</v>
      </c>
      <c r="CE60" s="70">
        <v>0.0</v>
      </c>
      <c r="CF60" s="70">
        <v>0.0</v>
      </c>
      <c r="CG60" s="71">
        <v>0.0</v>
      </c>
      <c r="CH60" s="67" t="str">
        <f t="shared" si="10"/>
        <v>#REF!</v>
      </c>
      <c r="CI60" s="68" t="str">
        <f>'[1]DATA CONSOLIDADA 2018-2025 '!$CG60-Hoja1!$CB60</f>
        <v>#REF!</v>
      </c>
      <c r="CJ60" s="64" t="str">
        <f t="shared" si="11"/>
        <v>#REF!</v>
      </c>
      <c r="CK60" s="64">
        <v>0.0</v>
      </c>
      <c r="CL60" s="64">
        <v>0.0</v>
      </c>
      <c r="CM60" s="64">
        <v>0.0</v>
      </c>
      <c r="CN60" s="64" t="str">
        <f t="shared" si="12"/>
        <v>#REF!</v>
      </c>
      <c r="CO60" s="68" t="str">
        <f>'[1]DATA CONSOLIDADA 2018-2025 '!$CM60-Hoja1!$CG60</f>
        <v>#REF!</v>
      </c>
      <c r="CP60" s="70">
        <v>0.0</v>
      </c>
      <c r="CQ60" s="70">
        <v>0.0</v>
      </c>
      <c r="CR60" s="70">
        <v>0.0</v>
      </c>
      <c r="CS60" s="70">
        <v>0.0</v>
      </c>
      <c r="CT60" s="70">
        <v>0.0</v>
      </c>
      <c r="CU60" s="70">
        <v>0.0</v>
      </c>
      <c r="CV60" s="64">
        <v>0.0</v>
      </c>
      <c r="CW60" s="64">
        <v>0.0</v>
      </c>
      <c r="CX60" s="64">
        <v>0.0</v>
      </c>
      <c r="CY60" s="64">
        <v>0.0</v>
      </c>
      <c r="CZ60" s="64">
        <v>0.0</v>
      </c>
      <c r="DA60" s="64">
        <v>0.0</v>
      </c>
      <c r="DB60" s="64">
        <v>0.0</v>
      </c>
      <c r="DC60" s="72">
        <v>0.0</v>
      </c>
      <c r="DD60" s="72">
        <v>0.0</v>
      </c>
      <c r="DE60" s="72">
        <v>0.0</v>
      </c>
      <c r="DF60" s="72">
        <v>0.0</v>
      </c>
      <c r="DG60" s="72">
        <v>0.0</v>
      </c>
      <c r="DH60" s="72">
        <v>0.0</v>
      </c>
      <c r="DI60" s="73">
        <v>2.0454864604E10</v>
      </c>
      <c r="DJ60" s="74" t="s">
        <v>326</v>
      </c>
      <c r="DK60" s="74" t="s">
        <v>138</v>
      </c>
      <c r="DL60" s="75"/>
      <c r="DM60" s="75"/>
      <c r="DN60" s="75"/>
      <c r="DO60" s="75"/>
      <c r="DP60" s="75"/>
      <c r="DQ60" s="75"/>
      <c r="DR60" s="75"/>
      <c r="DS60" s="75"/>
      <c r="DT60" s="75"/>
      <c r="DU60" s="75"/>
      <c r="DV60" s="75"/>
      <c r="DW60" s="75"/>
      <c r="DX60" s="75"/>
      <c r="DY60" s="75"/>
      <c r="DZ60" s="75"/>
      <c r="EA60" s="75"/>
      <c r="EB60" s="75"/>
      <c r="EC60" s="75"/>
      <c r="ED60" s="75"/>
      <c r="EE60" s="75"/>
    </row>
    <row r="61" ht="47.25" hidden="1" customHeight="1">
      <c r="A61" s="55" t="s">
        <v>327</v>
      </c>
      <c r="B61" s="55" t="s">
        <v>166</v>
      </c>
      <c r="C61" s="55" t="s">
        <v>166</v>
      </c>
      <c r="D61" s="55" t="s">
        <v>289</v>
      </c>
      <c r="E61" s="55" t="s">
        <v>302</v>
      </c>
      <c r="F61" s="55" t="s">
        <v>289</v>
      </c>
      <c r="G61" s="55" t="s">
        <v>303</v>
      </c>
      <c r="H61" s="55" t="s">
        <v>304</v>
      </c>
      <c r="I61" s="56"/>
      <c r="J61" s="56">
        <v>1.0</v>
      </c>
      <c r="K61" s="56">
        <v>1.0</v>
      </c>
      <c r="L61" s="56">
        <v>1.0</v>
      </c>
      <c r="M61" s="56">
        <v>1.0</v>
      </c>
      <c r="N61" s="56"/>
      <c r="O61" s="56"/>
      <c r="P61" s="56"/>
      <c r="Q61" s="56" t="s">
        <v>131</v>
      </c>
      <c r="R61" s="58" t="str">
        <f t="shared" si="1"/>
        <v>2019-2020-2021-2022</v>
      </c>
      <c r="S61" s="59" t="str">
        <f>SUM(Hoja1!$I61:$P61)</f>
        <v>4</v>
      </c>
      <c r="T61" s="59" t="str">
        <f>IF(OR(Hoja1!$J61=1,Hoja1!$K61=1,Hoja1!$L61=1,Hoja1!$M61=1,Hoja1!$N61=1,Hoja1!$O61=1,Hoja1!$P61=1),"SI","NO")</f>
        <v>SI</v>
      </c>
      <c r="U61" s="59" t="str">
        <f>IF(OR(Hoja1!$K61=1,Hoja1!$L61=1,Hoja1!$M61=1,Hoja1!$N61=1,Hoja1!$O61=1,Hoja1!$P61=1),"SI","NO")</f>
        <v>SI</v>
      </c>
      <c r="V61" s="60">
        <v>0.0</v>
      </c>
      <c r="W61" s="61">
        <v>15.0</v>
      </c>
      <c r="X61" s="61">
        <v>2.0</v>
      </c>
      <c r="Y61" s="60">
        <v>17.0</v>
      </c>
      <c r="Z61" s="61">
        <v>13.0</v>
      </c>
      <c r="AA61" s="61">
        <v>2.0</v>
      </c>
      <c r="AB61" s="60">
        <v>15.0</v>
      </c>
      <c r="AC61" s="61">
        <v>15.0</v>
      </c>
      <c r="AD61" s="61">
        <v>2.0</v>
      </c>
      <c r="AE61" s="60">
        <v>17.0</v>
      </c>
      <c r="AF61" s="61">
        <v>15.0</v>
      </c>
      <c r="AG61" s="61">
        <v>2.0</v>
      </c>
      <c r="AH61" s="60">
        <v>17.0</v>
      </c>
      <c r="AI61" s="61">
        <v>0.0</v>
      </c>
      <c r="AJ61" s="61">
        <v>0.0</v>
      </c>
      <c r="AK61" s="60">
        <v>0.0</v>
      </c>
      <c r="AL61" s="61">
        <v>0.0</v>
      </c>
      <c r="AM61" s="61">
        <v>0.0</v>
      </c>
      <c r="AN61" s="60">
        <v>0.0</v>
      </c>
      <c r="AO61" s="62">
        <v>0.0</v>
      </c>
      <c r="AP61" s="62">
        <v>0.0</v>
      </c>
      <c r="AQ61" s="60">
        <v>0.0</v>
      </c>
      <c r="AR61" s="60" t="str">
        <f>IF(Hoja1!$AQ61&gt;0,Hoja1!$AQ61,IF(Hoja1!$AN61&gt;0,Hoja1!$AN61,IF(Hoja1!$AK61&gt;0,Hoja1!$AK61,IF(Hoja1!$AH61&gt;0,Hoja1!$AH61,IF(Hoja1!$AE61&gt;0,Hoja1!$AE61,IF(Hoja1!$AB61&gt;0,Hoja1!$AB61,IF(Hoja1!$Y61&gt;0,Hoja1!$Y61,IF(Hoja1!$V61&gt;0,Hoja1!$V61," ---"))))))))</f>
        <v>17</v>
      </c>
      <c r="AS61" s="63">
        <v>0.0</v>
      </c>
      <c r="AT61" s="63">
        <v>1.0</v>
      </c>
      <c r="AU61" s="63">
        <v>61.0</v>
      </c>
      <c r="AV61" s="63">
        <v>5.0</v>
      </c>
      <c r="AW61" s="63">
        <v>27.0</v>
      </c>
      <c r="AX61" s="63">
        <v>4.0</v>
      </c>
      <c r="AY61" s="63">
        <v>0.0</v>
      </c>
      <c r="AZ61" s="63">
        <v>0.0</v>
      </c>
      <c r="BA61" s="63">
        <v>0.0</v>
      </c>
      <c r="BB61" s="63">
        <v>0.0</v>
      </c>
      <c r="BC61" s="63">
        <v>0.0</v>
      </c>
      <c r="BD61" s="63">
        <v>0.0</v>
      </c>
      <c r="BE61" s="64">
        <v>0.0</v>
      </c>
      <c r="BF61" s="65">
        <v>907143.59</v>
      </c>
      <c r="BG61" s="65">
        <v>0.0</v>
      </c>
      <c r="BH61" s="66">
        <v>907143.59</v>
      </c>
      <c r="BI61" s="67" t="str">
        <f t="shared" si="2"/>
        <v>#REF!</v>
      </c>
      <c r="BJ61" s="68" t="str">
        <f t="shared" si="3"/>
        <v>#REF!</v>
      </c>
      <c r="BK61" s="65">
        <v>0.0</v>
      </c>
      <c r="BL61" s="65">
        <v>0.0</v>
      </c>
      <c r="BM61" s="66">
        <v>0.0</v>
      </c>
      <c r="BN61" s="67" t="str">
        <f t="shared" si="4"/>
        <v>#REF!</v>
      </c>
      <c r="BO61" s="68" t="str">
        <f t="shared" si="5"/>
        <v>#REF!</v>
      </c>
      <c r="BP61" s="65">
        <v>380303.5</v>
      </c>
      <c r="BQ61" s="65">
        <v>0.0</v>
      </c>
      <c r="BR61" s="66">
        <v>380303.5</v>
      </c>
      <c r="BS61" s="67" t="str">
        <f t="shared" si="6"/>
        <v>#REF!</v>
      </c>
      <c r="BT61" s="68" t="str">
        <f>'[1]DATA CONSOLIDADA 2018-2025 '!$BR61-Hoja1!$BO61</f>
        <v>#REF!</v>
      </c>
      <c r="BU61" s="65">
        <v>239803.31</v>
      </c>
      <c r="BV61" s="65">
        <v>0.0</v>
      </c>
      <c r="BW61" s="66">
        <v>239803.31</v>
      </c>
      <c r="BX61" s="67" t="str">
        <f t="shared" si="7"/>
        <v>#REF!</v>
      </c>
      <c r="BY61" s="68" t="str">
        <f t="shared" si="8"/>
        <v>#REF!</v>
      </c>
      <c r="BZ61" s="65">
        <v>0.0</v>
      </c>
      <c r="CA61" s="65">
        <v>0.0</v>
      </c>
      <c r="CB61" s="66">
        <v>0.0</v>
      </c>
      <c r="CC61" s="67" t="str">
        <f t="shared" si="9"/>
        <v>#REF!</v>
      </c>
      <c r="CD61" s="68" t="str">
        <f>'[1]DATA CONSOLIDADA 2018-2025 '!$CB61-Hoja1!$BW61</f>
        <v>#REF!</v>
      </c>
      <c r="CE61" s="70">
        <v>0.0</v>
      </c>
      <c r="CF61" s="70">
        <v>0.0</v>
      </c>
      <c r="CG61" s="71">
        <v>0.0</v>
      </c>
      <c r="CH61" s="67" t="str">
        <f t="shared" si="10"/>
        <v>#REF!</v>
      </c>
      <c r="CI61" s="68" t="str">
        <f>'[1]DATA CONSOLIDADA 2018-2025 '!$CG61-Hoja1!$CB61</f>
        <v>#REF!</v>
      </c>
      <c r="CJ61" s="64" t="str">
        <f t="shared" si="11"/>
        <v>#REF!</v>
      </c>
      <c r="CK61" s="64">
        <v>0.0</v>
      </c>
      <c r="CL61" s="64">
        <v>0.0</v>
      </c>
      <c r="CM61" s="64">
        <v>0.0</v>
      </c>
      <c r="CN61" s="64" t="str">
        <f t="shared" si="12"/>
        <v>#REF!</v>
      </c>
      <c r="CO61" s="68" t="str">
        <f>'[1]DATA CONSOLIDADA 2018-2025 '!$CM61-Hoja1!$CG61</f>
        <v>#REF!</v>
      </c>
      <c r="CP61" s="70">
        <v>0.0</v>
      </c>
      <c r="CQ61" s="70">
        <v>0.0</v>
      </c>
      <c r="CR61" s="70">
        <v>0.0</v>
      </c>
      <c r="CS61" s="70">
        <v>0.0</v>
      </c>
      <c r="CT61" s="70">
        <v>0.0</v>
      </c>
      <c r="CU61" s="70">
        <v>0.0</v>
      </c>
      <c r="CV61" s="64">
        <v>0.0</v>
      </c>
      <c r="CW61" s="64">
        <v>0.0</v>
      </c>
      <c r="CX61" s="64">
        <v>0.0</v>
      </c>
      <c r="CY61" s="64">
        <v>0.0</v>
      </c>
      <c r="CZ61" s="64">
        <v>0.0</v>
      </c>
      <c r="DA61" s="64">
        <v>0.0</v>
      </c>
      <c r="DB61" s="64">
        <v>0.0</v>
      </c>
      <c r="DC61" s="72">
        <v>0.0</v>
      </c>
      <c r="DD61" s="72">
        <v>0.0</v>
      </c>
      <c r="DE61" s="72">
        <v>0.0</v>
      </c>
      <c r="DF61" s="72">
        <v>0.0</v>
      </c>
      <c r="DG61" s="72">
        <v>0.0</v>
      </c>
      <c r="DH61" s="72">
        <v>0.0</v>
      </c>
      <c r="DI61" s="73">
        <v>2.045542912E10</v>
      </c>
      <c r="DJ61" s="74" t="s">
        <v>327</v>
      </c>
      <c r="DK61" s="74" t="s">
        <v>138</v>
      </c>
      <c r="DL61" s="75"/>
      <c r="DM61" s="75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75"/>
      <c r="EC61" s="75"/>
      <c r="ED61" s="75"/>
      <c r="EE61" s="75"/>
    </row>
    <row r="62" ht="47.25" hidden="1" customHeight="1">
      <c r="A62" s="55" t="s">
        <v>328</v>
      </c>
      <c r="B62" s="55" t="s">
        <v>287</v>
      </c>
      <c r="C62" s="55" t="s">
        <v>287</v>
      </c>
      <c r="D62" s="55" t="s">
        <v>289</v>
      </c>
      <c r="E62" s="55" t="s">
        <v>329</v>
      </c>
      <c r="F62" s="55" t="s">
        <v>289</v>
      </c>
      <c r="G62" s="55" t="s">
        <v>296</v>
      </c>
      <c r="H62" s="55" t="s">
        <v>330</v>
      </c>
      <c r="I62" s="56"/>
      <c r="J62" s="56"/>
      <c r="K62" s="56"/>
      <c r="L62" s="56">
        <v>1.0</v>
      </c>
      <c r="M62" s="56">
        <v>1.0</v>
      </c>
      <c r="N62" s="56">
        <v>1.0</v>
      </c>
      <c r="O62" s="56"/>
      <c r="P62" s="56"/>
      <c r="Q62" s="56" t="s">
        <v>131</v>
      </c>
      <c r="R62" s="58" t="str">
        <f t="shared" si="1"/>
        <v>2021-2022-2023</v>
      </c>
      <c r="S62" s="59" t="str">
        <f>SUM(Hoja1!$I62:$P62)</f>
        <v>3</v>
      </c>
      <c r="T62" s="59" t="str">
        <f>IF(OR(Hoja1!$J62=1,Hoja1!$K62=1,Hoja1!$L62=1,Hoja1!$M62=1,Hoja1!$N62=1,Hoja1!$O62=1,Hoja1!$P62=1),"SI","NO")</f>
        <v>SI</v>
      </c>
      <c r="U62" s="59" t="str">
        <f>IF(OR(Hoja1!$K62=1,Hoja1!$L62=1,Hoja1!$M62=1,Hoja1!$N62=1,Hoja1!$O62=1,Hoja1!$P62=1),"SI","NO")</f>
        <v>SI</v>
      </c>
      <c r="V62" s="60">
        <v>0.0</v>
      </c>
      <c r="W62" s="61">
        <v>0.0</v>
      </c>
      <c r="X62" s="61">
        <v>0.0</v>
      </c>
      <c r="Y62" s="60">
        <v>0.0</v>
      </c>
      <c r="Z62" s="61">
        <v>0.0</v>
      </c>
      <c r="AA62" s="61">
        <v>0.0</v>
      </c>
      <c r="AB62" s="60">
        <v>0.0</v>
      </c>
      <c r="AC62" s="61">
        <v>13.0</v>
      </c>
      <c r="AD62" s="61">
        <v>13.0</v>
      </c>
      <c r="AE62" s="60">
        <v>26.0</v>
      </c>
      <c r="AF62" s="61">
        <v>13.0</v>
      </c>
      <c r="AG62" s="61">
        <v>13.0</v>
      </c>
      <c r="AH62" s="60">
        <v>26.0</v>
      </c>
      <c r="AI62" s="61">
        <v>13.0</v>
      </c>
      <c r="AJ62" s="61">
        <v>13.0</v>
      </c>
      <c r="AK62" s="60">
        <v>26.0</v>
      </c>
      <c r="AL62" s="61">
        <v>0.0</v>
      </c>
      <c r="AM62" s="61">
        <v>0.0</v>
      </c>
      <c r="AN62" s="60">
        <v>0.0</v>
      </c>
      <c r="AO62" s="62">
        <v>0.0</v>
      </c>
      <c r="AP62" s="62">
        <v>0.0</v>
      </c>
      <c r="AQ62" s="60">
        <v>0.0</v>
      </c>
      <c r="AR62" s="60" t="str">
        <f>IF(Hoja1!$AQ62&gt;0,Hoja1!$AQ62,IF(Hoja1!$AN62&gt;0,Hoja1!$AN62,IF(Hoja1!$AK62&gt;0,Hoja1!$AK62,IF(Hoja1!$AH62&gt;0,Hoja1!$AH62,IF(Hoja1!$AE62&gt;0,Hoja1!$AE62,IF(Hoja1!$AB62&gt;0,Hoja1!$AB62,IF(Hoja1!$Y62&gt;0,Hoja1!$Y62,IF(Hoja1!$V62&gt;0,Hoja1!$V62," ---"))))))))</f>
        <v>26</v>
      </c>
      <c r="AS62" s="63">
        <v>0.0</v>
      </c>
      <c r="AT62" s="63">
        <v>0.0</v>
      </c>
      <c r="AU62" s="63">
        <v>37.0</v>
      </c>
      <c r="AV62" s="63">
        <v>8.0</v>
      </c>
      <c r="AW62" s="63">
        <v>33.0</v>
      </c>
      <c r="AX62" s="63">
        <v>5.0</v>
      </c>
      <c r="AY62" s="63">
        <v>54.0</v>
      </c>
      <c r="AZ62" s="63">
        <v>3.0</v>
      </c>
      <c r="BA62" s="63">
        <v>0.0</v>
      </c>
      <c r="BB62" s="63">
        <v>0.0</v>
      </c>
      <c r="BC62" s="63">
        <v>0.0</v>
      </c>
      <c r="BD62" s="63">
        <v>0.0</v>
      </c>
      <c r="BE62" s="64">
        <v>0.0</v>
      </c>
      <c r="BF62" s="69">
        <v>0.0</v>
      </c>
      <c r="BG62" s="69">
        <v>0.0</v>
      </c>
      <c r="BH62" s="64">
        <v>0.0</v>
      </c>
      <c r="BI62" s="67" t="str">
        <f t="shared" si="2"/>
        <v>#REF!</v>
      </c>
      <c r="BJ62" s="68" t="str">
        <f t="shared" si="3"/>
        <v>#REF!</v>
      </c>
      <c r="BK62" s="69">
        <v>0.0</v>
      </c>
      <c r="BL62" s="69">
        <v>0.0</v>
      </c>
      <c r="BM62" s="66">
        <v>0.0</v>
      </c>
      <c r="BN62" s="67" t="str">
        <f t="shared" si="4"/>
        <v>#REF!</v>
      </c>
      <c r="BO62" s="68" t="str">
        <f t="shared" si="5"/>
        <v>#REF!</v>
      </c>
      <c r="BP62" s="65">
        <v>27212.23</v>
      </c>
      <c r="BQ62" s="65">
        <v>0.0</v>
      </c>
      <c r="BR62" s="66">
        <v>27212.23</v>
      </c>
      <c r="BS62" s="67" t="str">
        <f t="shared" si="6"/>
        <v>#REF!</v>
      </c>
      <c r="BT62" s="68" t="str">
        <f>'[1]DATA CONSOLIDADA 2018-2025 '!$BR62-Hoja1!$BO62</f>
        <v>#REF!</v>
      </c>
      <c r="BU62" s="65">
        <v>163160.02</v>
      </c>
      <c r="BV62" s="65">
        <v>0.0</v>
      </c>
      <c r="BW62" s="66">
        <v>163160.02</v>
      </c>
      <c r="BX62" s="67" t="str">
        <f t="shared" si="7"/>
        <v>#REF!</v>
      </c>
      <c r="BY62" s="68" t="str">
        <f t="shared" si="8"/>
        <v>#REF!</v>
      </c>
      <c r="BZ62" s="65">
        <v>343399.0</v>
      </c>
      <c r="CA62" s="65">
        <v>0.0</v>
      </c>
      <c r="CB62" s="66">
        <v>343399.0</v>
      </c>
      <c r="CC62" s="67" t="str">
        <f t="shared" si="9"/>
        <v>#REF!</v>
      </c>
      <c r="CD62" s="68" t="str">
        <f>'[1]DATA CONSOLIDADA 2018-2025 '!$CB62-Hoja1!$BW62</f>
        <v>#REF!</v>
      </c>
      <c r="CE62" s="70">
        <v>0.0</v>
      </c>
      <c r="CF62" s="70">
        <v>0.0</v>
      </c>
      <c r="CG62" s="71">
        <v>0.0</v>
      </c>
      <c r="CH62" s="67" t="str">
        <f t="shared" si="10"/>
        <v>#REF!</v>
      </c>
      <c r="CI62" s="68" t="str">
        <f>'[1]DATA CONSOLIDADA 2018-2025 '!$CG62-Hoja1!$CB62</f>
        <v>#REF!</v>
      </c>
      <c r="CJ62" s="64" t="str">
        <f t="shared" si="11"/>
        <v>#REF!</v>
      </c>
      <c r="CK62" s="64">
        <v>0.0</v>
      </c>
      <c r="CL62" s="64">
        <v>0.0</v>
      </c>
      <c r="CM62" s="64">
        <v>0.0</v>
      </c>
      <c r="CN62" s="64" t="str">
        <f t="shared" si="12"/>
        <v>#REF!</v>
      </c>
      <c r="CO62" s="68" t="str">
        <f>'[1]DATA CONSOLIDADA 2018-2025 '!$CM62-Hoja1!$CG62</f>
        <v>#REF!</v>
      </c>
      <c r="CP62" s="70">
        <v>0.0</v>
      </c>
      <c r="CQ62" s="70">
        <v>342889.0</v>
      </c>
      <c r="CR62" s="70">
        <v>0.0</v>
      </c>
      <c r="CS62" s="70">
        <v>510.00024799999994</v>
      </c>
      <c r="CT62" s="70">
        <v>0.0</v>
      </c>
      <c r="CU62" s="70">
        <v>0.0</v>
      </c>
      <c r="CV62" s="64">
        <v>343399.000248</v>
      </c>
      <c r="CW62" s="64">
        <v>0.0</v>
      </c>
      <c r="CX62" s="64">
        <v>0.0</v>
      </c>
      <c r="CY62" s="64">
        <v>0.0</v>
      </c>
      <c r="CZ62" s="64">
        <v>0.0</v>
      </c>
      <c r="DA62" s="64">
        <v>0.0</v>
      </c>
      <c r="DB62" s="64">
        <v>0.0</v>
      </c>
      <c r="DC62" s="72">
        <v>0.0</v>
      </c>
      <c r="DD62" s="72">
        <v>0.0</v>
      </c>
      <c r="DE62" s="72">
        <v>0.0</v>
      </c>
      <c r="DF62" s="72">
        <v>0.0</v>
      </c>
      <c r="DG62" s="72">
        <v>0.0</v>
      </c>
      <c r="DH62" s="72">
        <v>0.0</v>
      </c>
      <c r="DI62" s="73" t="s">
        <v>331</v>
      </c>
      <c r="DJ62" s="74" t="s">
        <v>328</v>
      </c>
      <c r="DK62" s="74" t="s">
        <v>138</v>
      </c>
      <c r="DL62" s="75"/>
      <c r="DM62" s="75"/>
      <c r="DN62" s="75"/>
      <c r="DO62" s="75"/>
      <c r="DP62" s="75"/>
      <c r="DQ62" s="75"/>
      <c r="DR62" s="75"/>
      <c r="DS62" s="75"/>
      <c r="DT62" s="75"/>
      <c r="DU62" s="75"/>
      <c r="DV62" s="75"/>
      <c r="DW62" s="75"/>
      <c r="DX62" s="75"/>
      <c r="DY62" s="75"/>
      <c r="DZ62" s="75"/>
      <c r="EA62" s="75"/>
      <c r="EB62" s="75"/>
      <c r="EC62" s="75"/>
      <c r="ED62" s="75"/>
      <c r="EE62" s="75"/>
    </row>
    <row r="63" ht="47.25" hidden="1" customHeight="1">
      <c r="A63" s="55" t="s">
        <v>332</v>
      </c>
      <c r="B63" s="55" t="s">
        <v>250</v>
      </c>
      <c r="C63" s="55" t="s">
        <v>250</v>
      </c>
      <c r="D63" s="55" t="s">
        <v>289</v>
      </c>
      <c r="E63" s="55" t="s">
        <v>318</v>
      </c>
      <c r="F63" s="55" t="s">
        <v>289</v>
      </c>
      <c r="G63" s="55" t="s">
        <v>303</v>
      </c>
      <c r="H63" s="55" t="s">
        <v>319</v>
      </c>
      <c r="I63" s="56"/>
      <c r="J63" s="56"/>
      <c r="K63" s="56"/>
      <c r="L63" s="56">
        <v>1.0</v>
      </c>
      <c r="M63" s="56">
        <v>1.0</v>
      </c>
      <c r="N63" s="56">
        <v>1.0</v>
      </c>
      <c r="O63" s="56"/>
      <c r="P63" s="56"/>
      <c r="Q63" s="56" t="s">
        <v>131</v>
      </c>
      <c r="R63" s="58" t="str">
        <f t="shared" si="1"/>
        <v>2021-2022-2023</v>
      </c>
      <c r="S63" s="59" t="str">
        <f>SUM(Hoja1!$I63:$P63)</f>
        <v>3</v>
      </c>
      <c r="T63" s="59" t="str">
        <f>IF(OR(Hoja1!$J63=1,Hoja1!$K63=1,Hoja1!$L63=1,Hoja1!$M63=1,Hoja1!$N63=1,Hoja1!$O63=1,Hoja1!$P63=1),"SI","NO")</f>
        <v>SI</v>
      </c>
      <c r="U63" s="59" t="str">
        <f>IF(OR(Hoja1!$K63=1,Hoja1!$L63=1,Hoja1!$M63=1,Hoja1!$N63=1,Hoja1!$O63=1,Hoja1!$P63=1),"SI","NO")</f>
        <v>SI</v>
      </c>
      <c r="V63" s="60">
        <v>0.0</v>
      </c>
      <c r="W63" s="61">
        <v>0.0</v>
      </c>
      <c r="X63" s="61">
        <v>0.0</v>
      </c>
      <c r="Y63" s="60">
        <v>0.0</v>
      </c>
      <c r="Z63" s="61">
        <v>0.0</v>
      </c>
      <c r="AA63" s="61">
        <v>0.0</v>
      </c>
      <c r="AB63" s="60">
        <v>0.0</v>
      </c>
      <c r="AC63" s="61">
        <v>23.0</v>
      </c>
      <c r="AD63" s="61">
        <v>4.0</v>
      </c>
      <c r="AE63" s="60">
        <v>27.0</v>
      </c>
      <c r="AF63" s="61">
        <v>23.0</v>
      </c>
      <c r="AG63" s="61">
        <v>4.0</v>
      </c>
      <c r="AH63" s="60">
        <v>27.0</v>
      </c>
      <c r="AI63" s="61">
        <v>23.0</v>
      </c>
      <c r="AJ63" s="61">
        <v>4.0</v>
      </c>
      <c r="AK63" s="60">
        <v>27.0</v>
      </c>
      <c r="AL63" s="61">
        <v>0.0</v>
      </c>
      <c r="AM63" s="61">
        <v>0.0</v>
      </c>
      <c r="AN63" s="60">
        <v>0.0</v>
      </c>
      <c r="AO63" s="62">
        <v>0.0</v>
      </c>
      <c r="AP63" s="62">
        <v>0.0</v>
      </c>
      <c r="AQ63" s="60">
        <v>0.0</v>
      </c>
      <c r="AR63" s="60" t="str">
        <f>IF(Hoja1!$AQ63&gt;0,Hoja1!$AQ63,IF(Hoja1!$AN63&gt;0,Hoja1!$AN63,IF(Hoja1!$AK63&gt;0,Hoja1!$AK63,IF(Hoja1!$AH63&gt;0,Hoja1!$AH63,IF(Hoja1!$AE63&gt;0,Hoja1!$AE63,IF(Hoja1!$AB63&gt;0,Hoja1!$AB63,IF(Hoja1!$Y63&gt;0,Hoja1!$Y63,IF(Hoja1!$V63&gt;0,Hoja1!$V63," ---"))))))))</f>
        <v>27</v>
      </c>
      <c r="AS63" s="63">
        <v>0.0</v>
      </c>
      <c r="AT63" s="63">
        <v>0.0</v>
      </c>
      <c r="AU63" s="63">
        <v>36.0</v>
      </c>
      <c r="AV63" s="63">
        <v>2.0</v>
      </c>
      <c r="AW63" s="63">
        <v>37.0</v>
      </c>
      <c r="AX63" s="63">
        <v>0.0</v>
      </c>
      <c r="AY63" s="63">
        <v>28.0</v>
      </c>
      <c r="AZ63" s="63">
        <v>0.0</v>
      </c>
      <c r="BA63" s="63">
        <v>0.0</v>
      </c>
      <c r="BB63" s="63">
        <v>0.0</v>
      </c>
      <c r="BC63" s="63">
        <v>0.0</v>
      </c>
      <c r="BD63" s="63">
        <v>0.0</v>
      </c>
      <c r="BE63" s="64">
        <v>0.0</v>
      </c>
      <c r="BF63" s="69">
        <v>0.0</v>
      </c>
      <c r="BG63" s="69">
        <v>0.0</v>
      </c>
      <c r="BH63" s="64">
        <v>0.0</v>
      </c>
      <c r="BI63" s="67" t="str">
        <f t="shared" si="2"/>
        <v>#REF!</v>
      </c>
      <c r="BJ63" s="68" t="str">
        <f t="shared" si="3"/>
        <v>#REF!</v>
      </c>
      <c r="BK63" s="69">
        <v>0.0</v>
      </c>
      <c r="BL63" s="69">
        <v>0.0</v>
      </c>
      <c r="BM63" s="66">
        <v>0.0</v>
      </c>
      <c r="BN63" s="67" t="str">
        <f t="shared" si="4"/>
        <v>#REF!</v>
      </c>
      <c r="BO63" s="68" t="str">
        <f t="shared" si="5"/>
        <v>#REF!</v>
      </c>
      <c r="BP63" s="65">
        <v>34432.32</v>
      </c>
      <c r="BQ63" s="65">
        <v>0.0</v>
      </c>
      <c r="BR63" s="66">
        <v>34432.32</v>
      </c>
      <c r="BS63" s="67" t="str">
        <f t="shared" si="6"/>
        <v>#REF!</v>
      </c>
      <c r="BT63" s="68" t="str">
        <f>'[1]DATA CONSOLIDADA 2018-2025 '!$BR63-Hoja1!$BO63</f>
        <v>#REF!</v>
      </c>
      <c r="BU63" s="65">
        <v>73097.25</v>
      </c>
      <c r="BV63" s="65">
        <v>0.0</v>
      </c>
      <c r="BW63" s="66">
        <v>73097.25</v>
      </c>
      <c r="BX63" s="67" t="str">
        <f t="shared" si="7"/>
        <v>#REF!</v>
      </c>
      <c r="BY63" s="68" t="str">
        <f t="shared" si="8"/>
        <v>#REF!</v>
      </c>
      <c r="BZ63" s="65">
        <v>145431.44</v>
      </c>
      <c r="CA63" s="65">
        <v>0.0</v>
      </c>
      <c r="CB63" s="66">
        <v>145431.44</v>
      </c>
      <c r="CC63" s="67" t="str">
        <f t="shared" si="9"/>
        <v>#REF!</v>
      </c>
      <c r="CD63" s="68" t="str">
        <f>'[1]DATA CONSOLIDADA 2018-2025 '!$CB63-Hoja1!$BW63</f>
        <v>#REF!</v>
      </c>
      <c r="CE63" s="70">
        <v>0.0</v>
      </c>
      <c r="CF63" s="70">
        <v>0.0</v>
      </c>
      <c r="CG63" s="71">
        <v>0.0</v>
      </c>
      <c r="CH63" s="67" t="str">
        <f t="shared" si="10"/>
        <v>#REF!</v>
      </c>
      <c r="CI63" s="68" t="str">
        <f>'[1]DATA CONSOLIDADA 2018-2025 '!$CG63-Hoja1!$CB63</f>
        <v>#REF!</v>
      </c>
      <c r="CJ63" s="64" t="str">
        <f t="shared" si="11"/>
        <v>#REF!</v>
      </c>
      <c r="CK63" s="64">
        <v>0.0</v>
      </c>
      <c r="CL63" s="64">
        <v>0.0</v>
      </c>
      <c r="CM63" s="64">
        <v>0.0</v>
      </c>
      <c r="CN63" s="64" t="str">
        <f t="shared" si="12"/>
        <v>#REF!</v>
      </c>
      <c r="CO63" s="68" t="str">
        <f>'[1]DATA CONSOLIDADA 2018-2025 '!$CM63-Hoja1!$CG63</f>
        <v>#REF!</v>
      </c>
      <c r="CP63" s="70">
        <v>0.0</v>
      </c>
      <c r="CQ63" s="70">
        <v>145431.44003039</v>
      </c>
      <c r="CR63" s="70">
        <v>0.0</v>
      </c>
      <c r="CS63" s="70">
        <v>0.0</v>
      </c>
      <c r="CT63" s="70">
        <v>0.0</v>
      </c>
      <c r="CU63" s="70">
        <v>0.0</v>
      </c>
      <c r="CV63" s="64">
        <v>145431.44003039</v>
      </c>
      <c r="CW63" s="64">
        <v>0.0</v>
      </c>
      <c r="CX63" s="64">
        <v>0.0</v>
      </c>
      <c r="CY63" s="64">
        <v>0.0</v>
      </c>
      <c r="CZ63" s="64">
        <v>0.0</v>
      </c>
      <c r="DA63" s="64">
        <v>0.0</v>
      </c>
      <c r="DB63" s="64">
        <v>0.0</v>
      </c>
      <c r="DC63" s="72">
        <v>0.0</v>
      </c>
      <c r="DD63" s="72">
        <v>0.0</v>
      </c>
      <c r="DE63" s="72">
        <v>0.0</v>
      </c>
      <c r="DF63" s="72">
        <v>0.0</v>
      </c>
      <c r="DG63" s="72">
        <v>0.0</v>
      </c>
      <c r="DH63" s="72">
        <v>0.0</v>
      </c>
      <c r="DI63" s="73" t="s">
        <v>333</v>
      </c>
      <c r="DJ63" s="74" t="s">
        <v>332</v>
      </c>
      <c r="DK63" s="74" t="s">
        <v>138</v>
      </c>
      <c r="DL63" s="75"/>
      <c r="DM63" s="75"/>
      <c r="DN63" s="75"/>
      <c r="DO63" s="75"/>
      <c r="DP63" s="75"/>
      <c r="DQ63" s="75"/>
      <c r="DR63" s="75"/>
      <c r="DS63" s="75"/>
      <c r="DT63" s="75"/>
      <c r="DU63" s="75"/>
      <c r="DV63" s="75"/>
      <c r="DW63" s="75"/>
      <c r="DX63" s="75"/>
      <c r="DY63" s="75"/>
      <c r="DZ63" s="75"/>
      <c r="EA63" s="75"/>
      <c r="EB63" s="75"/>
      <c r="EC63" s="75"/>
      <c r="ED63" s="75"/>
      <c r="EE63" s="75"/>
    </row>
    <row r="64" ht="47.25" hidden="1" customHeight="1">
      <c r="A64" s="55" t="s">
        <v>334</v>
      </c>
      <c r="B64" s="55" t="s">
        <v>236</v>
      </c>
      <c r="C64" s="55" t="s">
        <v>237</v>
      </c>
      <c r="D64" s="55" t="s">
        <v>289</v>
      </c>
      <c r="E64" s="55" t="s">
        <v>335</v>
      </c>
      <c r="F64" s="55" t="s">
        <v>289</v>
      </c>
      <c r="G64" s="55" t="s">
        <v>296</v>
      </c>
      <c r="H64" s="55" t="s">
        <v>336</v>
      </c>
      <c r="I64" s="56"/>
      <c r="J64" s="56"/>
      <c r="K64" s="56"/>
      <c r="L64" s="56">
        <v>1.0</v>
      </c>
      <c r="M64" s="56">
        <v>1.0</v>
      </c>
      <c r="N64" s="56">
        <v>1.0</v>
      </c>
      <c r="O64" s="56">
        <v>1.0</v>
      </c>
      <c r="P64" s="56"/>
      <c r="Q64" s="56" t="s">
        <v>131</v>
      </c>
      <c r="R64" s="58" t="str">
        <f t="shared" si="1"/>
        <v>2021-2022-2023-2024</v>
      </c>
      <c r="S64" s="59" t="str">
        <f>SUM(Hoja1!$I64:$P64)</f>
        <v>4</v>
      </c>
      <c r="T64" s="59" t="str">
        <f>IF(OR(Hoja1!$J64=1,Hoja1!$K64=1,Hoja1!$L64=1,Hoja1!$M64=1,Hoja1!$N64=1,Hoja1!$O64=1,Hoja1!$P64=1),"SI","NO")</f>
        <v>SI</v>
      </c>
      <c r="U64" s="59" t="str">
        <f>IF(OR(Hoja1!$K64=1,Hoja1!$L64=1,Hoja1!$M64=1,Hoja1!$N64=1,Hoja1!$O64=1,Hoja1!$P64=1),"SI","NO")</f>
        <v>SI</v>
      </c>
      <c r="V64" s="60">
        <v>0.0</v>
      </c>
      <c r="W64" s="61">
        <v>0.0</v>
      </c>
      <c r="X64" s="61">
        <v>0.0</v>
      </c>
      <c r="Y64" s="60">
        <v>0.0</v>
      </c>
      <c r="Z64" s="61">
        <v>0.0</v>
      </c>
      <c r="AA64" s="61">
        <v>0.0</v>
      </c>
      <c r="AB64" s="60">
        <v>0.0</v>
      </c>
      <c r="AC64" s="61">
        <v>24.0</v>
      </c>
      <c r="AD64" s="61">
        <v>9.0</v>
      </c>
      <c r="AE64" s="60">
        <v>33.0</v>
      </c>
      <c r="AF64" s="61">
        <v>24.0</v>
      </c>
      <c r="AG64" s="61">
        <v>9.0</v>
      </c>
      <c r="AH64" s="60">
        <v>33.0</v>
      </c>
      <c r="AI64" s="61">
        <v>24.0</v>
      </c>
      <c r="AJ64" s="61">
        <v>9.0</v>
      </c>
      <c r="AK64" s="60">
        <v>33.0</v>
      </c>
      <c r="AL64" s="61">
        <v>24.0</v>
      </c>
      <c r="AM64" s="61">
        <v>9.0</v>
      </c>
      <c r="AN64" s="60">
        <v>33.0</v>
      </c>
      <c r="AO64" s="62">
        <v>0.0</v>
      </c>
      <c r="AP64" s="62">
        <v>0.0</v>
      </c>
      <c r="AQ64" s="60">
        <v>0.0</v>
      </c>
      <c r="AR64" s="60" t="str">
        <f>IF(Hoja1!$AQ64&gt;0,Hoja1!$AQ64,IF(Hoja1!$AN64&gt;0,Hoja1!$AN64,IF(Hoja1!$AK64&gt;0,Hoja1!$AK64,IF(Hoja1!$AH64&gt;0,Hoja1!$AH64,IF(Hoja1!$AE64&gt;0,Hoja1!$AE64,IF(Hoja1!$AB64&gt;0,Hoja1!$AB64,IF(Hoja1!$Y64&gt;0,Hoja1!$Y64,IF(Hoja1!$V64&gt;0,Hoja1!$V64," ---"))))))))</f>
        <v>33</v>
      </c>
      <c r="AS64" s="63">
        <v>0.0</v>
      </c>
      <c r="AT64" s="63">
        <v>0.0</v>
      </c>
      <c r="AU64" s="63">
        <v>17.0</v>
      </c>
      <c r="AV64" s="63">
        <v>7.0</v>
      </c>
      <c r="AW64" s="63">
        <v>23.0</v>
      </c>
      <c r="AX64" s="63">
        <v>2.0</v>
      </c>
      <c r="AY64" s="63">
        <v>26.0</v>
      </c>
      <c r="AZ64" s="63">
        <v>4.0</v>
      </c>
      <c r="BA64" s="63">
        <v>37.0</v>
      </c>
      <c r="BB64" s="63">
        <v>1.0</v>
      </c>
      <c r="BC64" s="63">
        <v>0.0</v>
      </c>
      <c r="BD64" s="63">
        <v>0.0</v>
      </c>
      <c r="BE64" s="64">
        <v>0.0</v>
      </c>
      <c r="BF64" s="69">
        <v>0.0</v>
      </c>
      <c r="BG64" s="69">
        <v>0.0</v>
      </c>
      <c r="BH64" s="64">
        <v>0.0</v>
      </c>
      <c r="BI64" s="67" t="str">
        <f t="shared" si="2"/>
        <v>#REF!</v>
      </c>
      <c r="BJ64" s="68" t="str">
        <f t="shared" si="3"/>
        <v>#REF!</v>
      </c>
      <c r="BK64" s="69">
        <v>0.0</v>
      </c>
      <c r="BL64" s="69">
        <v>0.0</v>
      </c>
      <c r="BM64" s="64">
        <v>0.0</v>
      </c>
      <c r="BN64" s="67" t="str">
        <f t="shared" si="4"/>
        <v>#REF!</v>
      </c>
      <c r="BO64" s="68" t="str">
        <f t="shared" si="5"/>
        <v>#REF!</v>
      </c>
      <c r="BP64" s="65">
        <v>0.0</v>
      </c>
      <c r="BQ64" s="65">
        <v>0.0</v>
      </c>
      <c r="BR64" s="66">
        <v>0.0</v>
      </c>
      <c r="BS64" s="67" t="str">
        <f t="shared" si="6"/>
        <v>#REF!</v>
      </c>
      <c r="BT64" s="68" t="str">
        <f>'[1]DATA CONSOLIDADA 2018-2025 '!$BR64-Hoja1!$BO64</f>
        <v>#REF!</v>
      </c>
      <c r="BU64" s="65">
        <v>0.0</v>
      </c>
      <c r="BV64" s="65">
        <v>0.0</v>
      </c>
      <c r="BW64" s="66">
        <v>0.0</v>
      </c>
      <c r="BX64" s="67" t="str">
        <f t="shared" si="7"/>
        <v>#REF!</v>
      </c>
      <c r="BY64" s="68" t="str">
        <f t="shared" si="8"/>
        <v>#REF!</v>
      </c>
      <c r="BZ64" s="65">
        <v>0.0</v>
      </c>
      <c r="CA64" s="65">
        <v>0.0</v>
      </c>
      <c r="CB64" s="66">
        <v>0.0</v>
      </c>
      <c r="CC64" s="67" t="str">
        <f t="shared" si="9"/>
        <v>#REF!</v>
      </c>
      <c r="CD64" s="68" t="str">
        <f>'[1]DATA CONSOLIDADA 2018-2025 '!$CB64-Hoja1!$BW64</f>
        <v>#REF!</v>
      </c>
      <c r="CE64" s="70">
        <v>476733.9495</v>
      </c>
      <c r="CF64" s="70">
        <v>0.0</v>
      </c>
      <c r="CG64" s="71">
        <v>476733.9495</v>
      </c>
      <c r="CH64" s="67" t="str">
        <f t="shared" si="10"/>
        <v>#REF!</v>
      </c>
      <c r="CI64" s="68" t="str">
        <f>'[1]DATA CONSOLIDADA 2018-2025 '!$CG64-Hoja1!$CB64</f>
        <v>#REF!</v>
      </c>
      <c r="CJ64" s="64" t="str">
        <f t="shared" si="11"/>
        <v>#REF!</v>
      </c>
      <c r="CK64" s="64">
        <v>0.0</v>
      </c>
      <c r="CL64" s="64">
        <v>0.0</v>
      </c>
      <c r="CM64" s="64">
        <v>0.0</v>
      </c>
      <c r="CN64" s="64" t="str">
        <f t="shared" si="12"/>
        <v>#REF!</v>
      </c>
      <c r="CO64" s="68" t="str">
        <f>'[1]DATA CONSOLIDADA 2018-2025 '!$CM64-Hoja1!$CG64</f>
        <v>#REF!</v>
      </c>
      <c r="CP64" s="70">
        <v>0.0</v>
      </c>
      <c r="CQ64" s="70">
        <v>0.0</v>
      </c>
      <c r="CR64" s="70">
        <v>0.0</v>
      </c>
      <c r="CS64" s="70">
        <v>0.0</v>
      </c>
      <c r="CT64" s="70">
        <v>0.0</v>
      </c>
      <c r="CU64" s="70">
        <v>0.0</v>
      </c>
      <c r="CV64" s="64">
        <v>0.0</v>
      </c>
      <c r="CW64" s="64">
        <v>0.0</v>
      </c>
      <c r="CX64" s="64">
        <v>476733.9495</v>
      </c>
      <c r="CY64" s="64">
        <v>0.0</v>
      </c>
      <c r="CZ64" s="64">
        <v>0.0</v>
      </c>
      <c r="DA64" s="64">
        <v>0.0</v>
      </c>
      <c r="DB64" s="64">
        <v>476733.9495</v>
      </c>
      <c r="DC64" s="72">
        <v>0.0</v>
      </c>
      <c r="DD64" s="72">
        <v>0.0</v>
      </c>
      <c r="DE64" s="72">
        <v>0.0</v>
      </c>
      <c r="DF64" s="72">
        <v>0.0</v>
      </c>
      <c r="DG64" s="72">
        <v>0.0</v>
      </c>
      <c r="DH64" s="72">
        <v>0.0</v>
      </c>
      <c r="DI64" s="73">
        <v>2.0605161678E10</v>
      </c>
      <c r="DJ64" s="74" t="s">
        <v>334</v>
      </c>
      <c r="DK64" s="74" t="s">
        <v>132</v>
      </c>
      <c r="DL64" s="75"/>
      <c r="DM64" s="75"/>
      <c r="DN64" s="75"/>
      <c r="DO64" s="75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75"/>
      <c r="EC64" s="75"/>
      <c r="ED64" s="75"/>
      <c r="EE64" s="75"/>
    </row>
    <row r="65" ht="47.25" hidden="1" customHeight="1">
      <c r="A65" s="55" t="s">
        <v>337</v>
      </c>
      <c r="B65" s="55" t="s">
        <v>287</v>
      </c>
      <c r="C65" s="55" t="s">
        <v>287</v>
      </c>
      <c r="D65" s="55" t="s">
        <v>289</v>
      </c>
      <c r="E65" s="55" t="s">
        <v>302</v>
      </c>
      <c r="F65" s="55" t="s">
        <v>289</v>
      </c>
      <c r="G65" s="55" t="s">
        <v>303</v>
      </c>
      <c r="H65" s="55" t="s">
        <v>304</v>
      </c>
      <c r="I65" s="56"/>
      <c r="J65" s="56"/>
      <c r="K65" s="56"/>
      <c r="L65" s="56"/>
      <c r="M65" s="56">
        <v>1.0</v>
      </c>
      <c r="N65" s="56">
        <v>1.0</v>
      </c>
      <c r="O65" s="56">
        <v>1.0</v>
      </c>
      <c r="P65" s="56">
        <v>1.0</v>
      </c>
      <c r="Q65" s="56" t="s">
        <v>131</v>
      </c>
      <c r="R65" s="58" t="str">
        <f t="shared" si="1"/>
        <v>2022-2023-2024 - 2025</v>
      </c>
      <c r="S65" s="59" t="str">
        <f>SUM(Hoja1!$I65:$P65)</f>
        <v>4</v>
      </c>
      <c r="T65" s="59" t="str">
        <f>IF(OR(Hoja1!$J65=1,Hoja1!$K65=1,Hoja1!$L65=1,Hoja1!$M65=1,Hoja1!$N65=1,Hoja1!$O65=1,Hoja1!$P65=1),"SI","NO")</f>
        <v>SI</v>
      </c>
      <c r="U65" s="59" t="str">
        <f>IF(OR(Hoja1!$K65=1,Hoja1!$L65=1,Hoja1!$M65=1,Hoja1!$N65=1,Hoja1!$O65=1,Hoja1!$P65=1),"SI","NO")</f>
        <v>SI</v>
      </c>
      <c r="V65" s="60">
        <v>0.0</v>
      </c>
      <c r="W65" s="61">
        <v>0.0</v>
      </c>
      <c r="X65" s="61">
        <v>0.0</v>
      </c>
      <c r="Y65" s="60">
        <v>0.0</v>
      </c>
      <c r="Z65" s="61">
        <v>0.0</v>
      </c>
      <c r="AA65" s="61">
        <v>0.0</v>
      </c>
      <c r="AB65" s="60">
        <v>0.0</v>
      </c>
      <c r="AC65" s="61">
        <v>0.0</v>
      </c>
      <c r="AD65" s="61">
        <v>0.0</v>
      </c>
      <c r="AE65" s="60">
        <v>0.0</v>
      </c>
      <c r="AF65" s="61">
        <v>49.0</v>
      </c>
      <c r="AG65" s="61">
        <v>19.0</v>
      </c>
      <c r="AH65" s="60">
        <v>68.0</v>
      </c>
      <c r="AI65" s="61">
        <v>49.0</v>
      </c>
      <c r="AJ65" s="61">
        <v>19.0</v>
      </c>
      <c r="AK65" s="60">
        <v>68.0</v>
      </c>
      <c r="AL65" s="61">
        <v>48.0</v>
      </c>
      <c r="AM65" s="61">
        <v>21.0</v>
      </c>
      <c r="AN65" s="60">
        <v>69.0</v>
      </c>
      <c r="AO65" s="62">
        <v>48.0</v>
      </c>
      <c r="AP65" s="62">
        <v>21.0</v>
      </c>
      <c r="AQ65" s="60">
        <v>69.0</v>
      </c>
      <c r="AR65" s="60" t="str">
        <f>IF(Hoja1!$AQ65&gt;0,Hoja1!$AQ65,IF(Hoja1!$AN65&gt;0,Hoja1!$AN65,IF(Hoja1!$AK65&gt;0,Hoja1!$AK65,IF(Hoja1!$AH65&gt;0,Hoja1!$AH65,IF(Hoja1!$AE65&gt;0,Hoja1!$AE65,IF(Hoja1!$AB65&gt;0,Hoja1!$AB65,IF(Hoja1!$Y65&gt;0,Hoja1!$Y65,IF(Hoja1!$V65&gt;0,Hoja1!$V65," ---"))))))))</f>
        <v>69</v>
      </c>
      <c r="AS65" s="63">
        <v>0.0</v>
      </c>
      <c r="AT65" s="63">
        <v>0.0</v>
      </c>
      <c r="AU65" s="63">
        <v>0.0</v>
      </c>
      <c r="AV65" s="63">
        <v>0.0</v>
      </c>
      <c r="AW65" s="63">
        <v>30.0</v>
      </c>
      <c r="AX65" s="63">
        <v>5.0</v>
      </c>
      <c r="AY65" s="63">
        <v>49.0</v>
      </c>
      <c r="AZ65" s="63">
        <v>4.0</v>
      </c>
      <c r="BA65" s="63">
        <v>51.0</v>
      </c>
      <c r="BB65" s="63">
        <v>3.0</v>
      </c>
      <c r="BC65" s="63">
        <v>42.0</v>
      </c>
      <c r="BD65" s="63">
        <v>2.0</v>
      </c>
      <c r="BE65" s="64">
        <v>0.0</v>
      </c>
      <c r="BF65" s="69">
        <v>0.0</v>
      </c>
      <c r="BG65" s="69">
        <v>0.0</v>
      </c>
      <c r="BH65" s="64">
        <v>0.0</v>
      </c>
      <c r="BI65" s="67" t="str">
        <f t="shared" si="2"/>
        <v>#REF!</v>
      </c>
      <c r="BJ65" s="68" t="str">
        <f t="shared" si="3"/>
        <v>#REF!</v>
      </c>
      <c r="BK65" s="69">
        <v>0.0</v>
      </c>
      <c r="BL65" s="69">
        <v>0.0</v>
      </c>
      <c r="BM65" s="64">
        <v>0.0</v>
      </c>
      <c r="BN65" s="67" t="str">
        <f t="shared" si="4"/>
        <v>#REF!</v>
      </c>
      <c r="BO65" s="68" t="str">
        <f t="shared" si="5"/>
        <v>#REF!</v>
      </c>
      <c r="BP65" s="65">
        <v>0.0</v>
      </c>
      <c r="BQ65" s="65">
        <v>0.0</v>
      </c>
      <c r="BR65" s="66">
        <v>0.0</v>
      </c>
      <c r="BS65" s="67" t="str">
        <f t="shared" si="6"/>
        <v>#REF!</v>
      </c>
      <c r="BT65" s="68" t="str">
        <f>'[1]DATA CONSOLIDADA 2018-2025 '!$BR65-Hoja1!$BO65</f>
        <v>#REF!</v>
      </c>
      <c r="BU65" s="65">
        <v>58403.51</v>
      </c>
      <c r="BV65" s="65">
        <v>0.0</v>
      </c>
      <c r="BW65" s="66">
        <v>58403.51</v>
      </c>
      <c r="BX65" s="67" t="str">
        <f t="shared" si="7"/>
        <v>#REF!</v>
      </c>
      <c r="BY65" s="68" t="str">
        <f t="shared" si="8"/>
        <v>#REF!</v>
      </c>
      <c r="BZ65" s="65">
        <v>219073.56</v>
      </c>
      <c r="CA65" s="65">
        <v>0.0</v>
      </c>
      <c r="CB65" s="66">
        <v>219073.56</v>
      </c>
      <c r="CC65" s="67" t="str">
        <f t="shared" si="9"/>
        <v>#REF!</v>
      </c>
      <c r="CD65" s="68" t="str">
        <f>'[1]DATA CONSOLIDADA 2018-2025 '!$CB65-Hoja1!$BW65</f>
        <v>#REF!</v>
      </c>
      <c r="CE65" s="70">
        <v>394769.85758633004</v>
      </c>
      <c r="CF65" s="70">
        <v>0.0</v>
      </c>
      <c r="CG65" s="71">
        <v>394769.85758633004</v>
      </c>
      <c r="CH65" s="67" t="str">
        <f t="shared" si="10"/>
        <v>#REF!</v>
      </c>
      <c r="CI65" s="68" t="str">
        <f>'[1]DATA CONSOLIDADA 2018-2025 '!$CG65-Hoja1!$CB65</f>
        <v>#REF!</v>
      </c>
      <c r="CJ65" s="64" t="str">
        <f t="shared" si="11"/>
        <v>#REF!</v>
      </c>
      <c r="CK65" s="64">
        <v>338125.16184475995</v>
      </c>
      <c r="CL65" s="64">
        <v>0.0</v>
      </c>
      <c r="CM65" s="64">
        <v>338125.16184475995</v>
      </c>
      <c r="CN65" s="64" t="str">
        <f t="shared" si="12"/>
        <v>#REF!</v>
      </c>
      <c r="CO65" s="68" t="str">
        <f>'[1]DATA CONSOLIDADA 2018-2025 '!$CM65-Hoja1!$CG65</f>
        <v>#REF!</v>
      </c>
      <c r="CP65" s="70">
        <v>0.0</v>
      </c>
      <c r="CQ65" s="70">
        <v>0.0</v>
      </c>
      <c r="CR65" s="70">
        <v>0.0</v>
      </c>
      <c r="CS65" s="70">
        <v>219073.55177301003</v>
      </c>
      <c r="CT65" s="70">
        <v>0.0</v>
      </c>
      <c r="CU65" s="70">
        <v>0.0</v>
      </c>
      <c r="CV65" s="64">
        <v>219073.55177301003</v>
      </c>
      <c r="CW65" s="64">
        <v>0.0</v>
      </c>
      <c r="CX65" s="64">
        <v>0.0</v>
      </c>
      <c r="CY65" s="64">
        <v>394769.85758633004</v>
      </c>
      <c r="CZ65" s="64">
        <v>0.0</v>
      </c>
      <c r="DA65" s="64">
        <v>0.0</v>
      </c>
      <c r="DB65" s="64">
        <v>394769.85758633004</v>
      </c>
      <c r="DC65" s="72">
        <v>0.0</v>
      </c>
      <c r="DD65" s="72">
        <v>0.0</v>
      </c>
      <c r="DE65" s="72">
        <v>338125.16184475995</v>
      </c>
      <c r="DF65" s="72">
        <v>0.0</v>
      </c>
      <c r="DG65" s="72">
        <v>0.0</v>
      </c>
      <c r="DH65" s="72">
        <v>338125.16184475995</v>
      </c>
      <c r="DI65" s="73">
        <v>2.03267674E10</v>
      </c>
      <c r="DJ65" s="74" t="s">
        <v>338</v>
      </c>
      <c r="DK65" s="74" t="s">
        <v>138</v>
      </c>
      <c r="DL65" s="75"/>
      <c r="DM65" s="75"/>
      <c r="DN65" s="75"/>
      <c r="DO65" s="75"/>
      <c r="DP65" s="75"/>
      <c r="DQ65" s="75"/>
      <c r="DR65" s="75"/>
      <c r="DS65" s="75"/>
      <c r="DT65" s="75"/>
      <c r="DU65" s="75"/>
      <c r="DV65" s="75"/>
      <c r="DW65" s="75"/>
      <c r="DX65" s="75"/>
      <c r="DY65" s="75"/>
      <c r="DZ65" s="75"/>
      <c r="EA65" s="75"/>
      <c r="EB65" s="75"/>
      <c r="EC65" s="75"/>
      <c r="ED65" s="75"/>
      <c r="EE65" s="75"/>
    </row>
    <row r="66" ht="47.25" hidden="1" customHeight="1">
      <c r="A66" s="55" t="s">
        <v>339</v>
      </c>
      <c r="B66" s="55" t="s">
        <v>256</v>
      </c>
      <c r="C66" s="55" t="s">
        <v>256</v>
      </c>
      <c r="D66" s="55" t="s">
        <v>340</v>
      </c>
      <c r="E66" s="55" t="s">
        <v>341</v>
      </c>
      <c r="F66" s="55" t="s">
        <v>340</v>
      </c>
      <c r="G66" s="55" t="s">
        <v>342</v>
      </c>
      <c r="H66" s="55" t="s">
        <v>343</v>
      </c>
      <c r="I66" s="56">
        <v>1.0</v>
      </c>
      <c r="J66" s="56"/>
      <c r="K66" s="56"/>
      <c r="L66" s="56"/>
      <c r="M66" s="56"/>
      <c r="N66" s="56"/>
      <c r="O66" s="56"/>
      <c r="P66" s="56"/>
      <c r="Q66" s="56" t="s">
        <v>131</v>
      </c>
      <c r="R66" s="58" t="str">
        <f t="shared" si="1"/>
        <v>2018</v>
      </c>
      <c r="S66" s="59" t="str">
        <f>SUM(Hoja1!$I66:$P66)</f>
        <v>1</v>
      </c>
      <c r="T66" s="59" t="str">
        <f>IF(OR(Hoja1!$J66=1,Hoja1!$K66=1,Hoja1!$L66=1,Hoja1!$M66=1,Hoja1!$N66=1,Hoja1!$O66=1,Hoja1!$P66=1),"SI","NO")</f>
        <v>NO</v>
      </c>
      <c r="U66" s="59" t="str">
        <f>IF(OR(Hoja1!$K66=1,Hoja1!$L66=1,Hoja1!$M66=1,Hoja1!$N66=1,Hoja1!$O66=1,Hoja1!$P66=1),"SI","NO")</f>
        <v>NO</v>
      </c>
      <c r="V66" s="60">
        <v>54.0</v>
      </c>
      <c r="W66" s="61">
        <v>0.0</v>
      </c>
      <c r="X66" s="61">
        <v>0.0</v>
      </c>
      <c r="Y66" s="60">
        <v>0.0</v>
      </c>
      <c r="Z66" s="61">
        <v>0.0</v>
      </c>
      <c r="AA66" s="61">
        <v>0.0</v>
      </c>
      <c r="AB66" s="60">
        <v>0.0</v>
      </c>
      <c r="AC66" s="61">
        <v>0.0</v>
      </c>
      <c r="AD66" s="61">
        <v>0.0</v>
      </c>
      <c r="AE66" s="60">
        <v>0.0</v>
      </c>
      <c r="AF66" s="61">
        <v>0.0</v>
      </c>
      <c r="AG66" s="61">
        <v>0.0</v>
      </c>
      <c r="AH66" s="60">
        <v>0.0</v>
      </c>
      <c r="AI66" s="61">
        <v>0.0</v>
      </c>
      <c r="AJ66" s="61">
        <v>0.0</v>
      </c>
      <c r="AK66" s="60">
        <v>0.0</v>
      </c>
      <c r="AL66" s="61">
        <v>0.0</v>
      </c>
      <c r="AM66" s="61">
        <v>0.0</v>
      </c>
      <c r="AN66" s="60">
        <v>0.0</v>
      </c>
      <c r="AO66" s="62">
        <v>0.0</v>
      </c>
      <c r="AP66" s="62">
        <v>0.0</v>
      </c>
      <c r="AQ66" s="60">
        <v>0.0</v>
      </c>
      <c r="AR66" s="60" t="str">
        <f>IF(Hoja1!$AQ66&gt;0,Hoja1!$AQ66,IF(Hoja1!$AN66&gt;0,Hoja1!$AN66,IF(Hoja1!$AK66&gt;0,Hoja1!$AK66,IF(Hoja1!$AH66&gt;0,Hoja1!$AH66,IF(Hoja1!$AE66&gt;0,Hoja1!$AE66,IF(Hoja1!$AB66&gt;0,Hoja1!$AB66,IF(Hoja1!$Y66&gt;0,Hoja1!$Y66,IF(Hoja1!$V66&gt;0,Hoja1!$V66," ---"))))))))</f>
        <v>54</v>
      </c>
      <c r="AS66" s="63">
        <v>0.0</v>
      </c>
      <c r="AT66" s="63">
        <v>0.0</v>
      </c>
      <c r="AU66" s="63">
        <v>0.0</v>
      </c>
      <c r="AV66" s="63">
        <v>0.0</v>
      </c>
      <c r="AW66" s="63">
        <v>0.0</v>
      </c>
      <c r="AX66" s="63">
        <v>0.0</v>
      </c>
      <c r="AY66" s="63">
        <v>0.0</v>
      </c>
      <c r="AZ66" s="63">
        <v>0.0</v>
      </c>
      <c r="BA66" s="63">
        <v>0.0</v>
      </c>
      <c r="BB66" s="63">
        <v>0.0</v>
      </c>
      <c r="BC66" s="63">
        <v>0.0</v>
      </c>
      <c r="BD66" s="63">
        <v>0.0</v>
      </c>
      <c r="BE66" s="64">
        <v>0.0</v>
      </c>
      <c r="BF66" s="69">
        <v>0.0</v>
      </c>
      <c r="BG66" s="69">
        <v>0.0</v>
      </c>
      <c r="BH66" s="64">
        <v>0.0</v>
      </c>
      <c r="BI66" s="67" t="str">
        <f t="shared" si="2"/>
        <v>#REF!</v>
      </c>
      <c r="BJ66" s="68" t="str">
        <f t="shared" si="3"/>
        <v>#REF!</v>
      </c>
      <c r="BK66" s="69">
        <v>0.0</v>
      </c>
      <c r="BL66" s="69">
        <v>0.0</v>
      </c>
      <c r="BM66" s="64">
        <v>0.0</v>
      </c>
      <c r="BN66" s="67" t="str">
        <f t="shared" si="4"/>
        <v>#REF!</v>
      </c>
      <c r="BO66" s="68" t="str">
        <f t="shared" si="5"/>
        <v>#REF!</v>
      </c>
      <c r="BP66" s="65">
        <v>0.0</v>
      </c>
      <c r="BQ66" s="65">
        <v>0.0</v>
      </c>
      <c r="BR66" s="66">
        <v>0.0</v>
      </c>
      <c r="BS66" s="67" t="str">
        <f t="shared" si="6"/>
        <v>#REF!</v>
      </c>
      <c r="BT66" s="68" t="str">
        <f>'[1]DATA CONSOLIDADA 2018-2025 '!$BR66-Hoja1!$BO66</f>
        <v>#REF!</v>
      </c>
      <c r="BU66" s="65">
        <v>0.0</v>
      </c>
      <c r="BV66" s="65">
        <v>0.0</v>
      </c>
      <c r="BW66" s="66">
        <v>0.0</v>
      </c>
      <c r="BX66" s="67" t="str">
        <f t="shared" si="7"/>
        <v>#REF!</v>
      </c>
      <c r="BY66" s="68" t="str">
        <f t="shared" si="8"/>
        <v>#REF!</v>
      </c>
      <c r="BZ66" s="65">
        <v>0.0</v>
      </c>
      <c r="CA66" s="65">
        <v>0.0</v>
      </c>
      <c r="CB66" s="66">
        <v>0.0</v>
      </c>
      <c r="CC66" s="67" t="str">
        <f t="shared" si="9"/>
        <v>#REF!</v>
      </c>
      <c r="CD66" s="68" t="str">
        <f>'[1]DATA CONSOLIDADA 2018-2025 '!$CB66-Hoja1!$BW66</f>
        <v>#REF!</v>
      </c>
      <c r="CE66" s="70">
        <v>0.0</v>
      </c>
      <c r="CF66" s="70">
        <v>0.0</v>
      </c>
      <c r="CG66" s="71">
        <v>0.0</v>
      </c>
      <c r="CH66" s="67" t="str">
        <f t="shared" si="10"/>
        <v>#REF!</v>
      </c>
      <c r="CI66" s="68" t="str">
        <f>'[1]DATA CONSOLIDADA 2018-2025 '!$CG66-Hoja1!$CB66</f>
        <v>#REF!</v>
      </c>
      <c r="CJ66" s="64" t="str">
        <f t="shared" si="11"/>
        <v>#REF!</v>
      </c>
      <c r="CK66" s="64">
        <v>0.0</v>
      </c>
      <c r="CL66" s="64">
        <v>0.0</v>
      </c>
      <c r="CM66" s="64">
        <v>0.0</v>
      </c>
      <c r="CN66" s="64" t="str">
        <f t="shared" si="12"/>
        <v>#REF!</v>
      </c>
      <c r="CO66" s="68" t="str">
        <f>'[1]DATA CONSOLIDADA 2018-2025 '!$CM66-Hoja1!$CG66</f>
        <v>#REF!</v>
      </c>
      <c r="CP66" s="70">
        <v>0.0</v>
      </c>
      <c r="CQ66" s="70">
        <v>0.0</v>
      </c>
      <c r="CR66" s="70">
        <v>0.0</v>
      </c>
      <c r="CS66" s="70">
        <v>0.0</v>
      </c>
      <c r="CT66" s="70">
        <v>0.0</v>
      </c>
      <c r="CU66" s="70">
        <v>0.0</v>
      </c>
      <c r="CV66" s="64">
        <v>0.0</v>
      </c>
      <c r="CW66" s="64">
        <v>0.0</v>
      </c>
      <c r="CX66" s="64">
        <v>0.0</v>
      </c>
      <c r="CY66" s="64">
        <v>0.0</v>
      </c>
      <c r="CZ66" s="64">
        <v>0.0</v>
      </c>
      <c r="DA66" s="64">
        <v>0.0</v>
      </c>
      <c r="DB66" s="64">
        <v>0.0</v>
      </c>
      <c r="DC66" s="72">
        <v>0.0</v>
      </c>
      <c r="DD66" s="72">
        <v>0.0</v>
      </c>
      <c r="DE66" s="72">
        <v>0.0</v>
      </c>
      <c r="DF66" s="72">
        <v>0.0</v>
      </c>
      <c r="DG66" s="72">
        <v>0.0</v>
      </c>
      <c r="DH66" s="72">
        <v>0.0</v>
      </c>
      <c r="DI66" s="73">
        <v>2.0517247805E10</v>
      </c>
      <c r="DJ66" s="74" t="s">
        <v>339</v>
      </c>
      <c r="DK66" s="74" t="s">
        <v>138</v>
      </c>
      <c r="DL66" s="75"/>
      <c r="DM66" s="7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75"/>
      <c r="EC66" s="75"/>
      <c r="ED66" s="75"/>
      <c r="EE66" s="75"/>
    </row>
    <row r="67" ht="47.25" hidden="1" customHeight="1">
      <c r="A67" s="55" t="s">
        <v>344</v>
      </c>
      <c r="B67" s="55" t="s">
        <v>287</v>
      </c>
      <c r="C67" s="55" t="s">
        <v>287</v>
      </c>
      <c r="D67" s="55" t="s">
        <v>340</v>
      </c>
      <c r="E67" s="55" t="s">
        <v>345</v>
      </c>
      <c r="F67" s="55" t="s">
        <v>340</v>
      </c>
      <c r="G67" s="55" t="s">
        <v>346</v>
      </c>
      <c r="H67" s="55" t="s">
        <v>347</v>
      </c>
      <c r="I67" s="56">
        <v>1.0</v>
      </c>
      <c r="J67" s="56">
        <v>1.0</v>
      </c>
      <c r="K67" s="56"/>
      <c r="L67" s="56"/>
      <c r="M67" s="56"/>
      <c r="N67" s="56"/>
      <c r="O67" s="56"/>
      <c r="P67" s="56"/>
      <c r="Q67" s="56" t="s">
        <v>131</v>
      </c>
      <c r="R67" s="58" t="str">
        <f t="shared" si="1"/>
        <v>2018-2019</v>
      </c>
      <c r="S67" s="59" t="str">
        <f>SUM(Hoja1!$I67:$P67)</f>
        <v>2</v>
      </c>
      <c r="T67" s="59" t="str">
        <f>IF(OR(Hoja1!$J67=1,Hoja1!$K67=1,Hoja1!$L67=1,Hoja1!$M67=1,Hoja1!$N67=1,Hoja1!$O67=1,Hoja1!$P67=1),"SI","NO")</f>
        <v>SI</v>
      </c>
      <c r="U67" s="59" t="str">
        <f>IF(OR(Hoja1!$K67=1,Hoja1!$L67=1,Hoja1!$M67=1,Hoja1!$N67=1,Hoja1!$O67=1,Hoja1!$P67=1),"SI","NO")</f>
        <v>NO</v>
      </c>
      <c r="V67" s="60">
        <v>41.0</v>
      </c>
      <c r="W67" s="61">
        <v>11.0</v>
      </c>
      <c r="X67" s="61">
        <v>20.0</v>
      </c>
      <c r="Y67" s="60">
        <v>31.0</v>
      </c>
      <c r="Z67" s="61">
        <v>0.0</v>
      </c>
      <c r="AA67" s="61">
        <v>0.0</v>
      </c>
      <c r="AB67" s="60">
        <v>0.0</v>
      </c>
      <c r="AC67" s="61">
        <v>0.0</v>
      </c>
      <c r="AD67" s="61">
        <v>0.0</v>
      </c>
      <c r="AE67" s="60">
        <v>0.0</v>
      </c>
      <c r="AF67" s="61">
        <v>0.0</v>
      </c>
      <c r="AG67" s="61">
        <v>0.0</v>
      </c>
      <c r="AH67" s="60">
        <v>0.0</v>
      </c>
      <c r="AI67" s="61">
        <v>0.0</v>
      </c>
      <c r="AJ67" s="61">
        <v>0.0</v>
      </c>
      <c r="AK67" s="60">
        <v>0.0</v>
      </c>
      <c r="AL67" s="61">
        <v>0.0</v>
      </c>
      <c r="AM67" s="61">
        <v>0.0</v>
      </c>
      <c r="AN67" s="60">
        <v>0.0</v>
      </c>
      <c r="AO67" s="62">
        <v>0.0</v>
      </c>
      <c r="AP67" s="62">
        <v>0.0</v>
      </c>
      <c r="AQ67" s="60">
        <v>0.0</v>
      </c>
      <c r="AR67" s="60" t="str">
        <f>IF(Hoja1!$AQ67&gt;0,Hoja1!$AQ67,IF(Hoja1!$AN67&gt;0,Hoja1!$AN67,IF(Hoja1!$AK67&gt;0,Hoja1!$AK67,IF(Hoja1!$AH67&gt;0,Hoja1!$AH67,IF(Hoja1!$AE67&gt;0,Hoja1!$AE67,IF(Hoja1!$AB67&gt;0,Hoja1!$AB67,IF(Hoja1!$Y67&gt;0,Hoja1!$Y67,IF(Hoja1!$V67&gt;0,Hoja1!$V67," ---"))))))))</f>
        <v>31</v>
      </c>
      <c r="AS67" s="63">
        <v>0.0</v>
      </c>
      <c r="AT67" s="63">
        <v>0.0</v>
      </c>
      <c r="AU67" s="63">
        <v>0.0</v>
      </c>
      <c r="AV67" s="63">
        <v>0.0</v>
      </c>
      <c r="AW67" s="63">
        <v>0.0</v>
      </c>
      <c r="AX67" s="63">
        <v>0.0</v>
      </c>
      <c r="AY67" s="63">
        <v>0.0</v>
      </c>
      <c r="AZ67" s="63">
        <v>0.0</v>
      </c>
      <c r="BA67" s="63">
        <v>0.0</v>
      </c>
      <c r="BB67" s="63">
        <v>0.0</v>
      </c>
      <c r="BC67" s="63">
        <v>0.0</v>
      </c>
      <c r="BD67" s="63">
        <v>0.0</v>
      </c>
      <c r="BE67" s="66">
        <v>25955.6</v>
      </c>
      <c r="BF67" s="65">
        <v>23741.88</v>
      </c>
      <c r="BG67" s="65">
        <v>0.0</v>
      </c>
      <c r="BH67" s="66">
        <v>23741.88</v>
      </c>
      <c r="BI67" s="67" t="str">
        <f t="shared" si="2"/>
        <v>#REF!</v>
      </c>
      <c r="BJ67" s="68" t="str">
        <f t="shared" si="3"/>
        <v>#REF!</v>
      </c>
      <c r="BK67" s="69">
        <v>0.0</v>
      </c>
      <c r="BL67" s="69">
        <v>0.0</v>
      </c>
      <c r="BM67" s="64">
        <v>0.0</v>
      </c>
      <c r="BN67" s="67" t="str">
        <f t="shared" si="4"/>
        <v>#REF!</v>
      </c>
      <c r="BO67" s="68" t="str">
        <f t="shared" si="5"/>
        <v>#REF!</v>
      </c>
      <c r="BP67" s="65">
        <v>0.0</v>
      </c>
      <c r="BQ67" s="65">
        <v>0.0</v>
      </c>
      <c r="BR67" s="66">
        <v>0.0</v>
      </c>
      <c r="BS67" s="67" t="str">
        <f t="shared" si="6"/>
        <v>#REF!</v>
      </c>
      <c r="BT67" s="68" t="str">
        <f>'[1]DATA CONSOLIDADA 2018-2025 '!$BR67-Hoja1!$BO67</f>
        <v>#REF!</v>
      </c>
      <c r="BU67" s="65">
        <v>0.0</v>
      </c>
      <c r="BV67" s="65">
        <v>0.0</v>
      </c>
      <c r="BW67" s="66">
        <v>0.0</v>
      </c>
      <c r="BX67" s="67" t="str">
        <f t="shared" si="7"/>
        <v>#REF!</v>
      </c>
      <c r="BY67" s="68" t="str">
        <f t="shared" si="8"/>
        <v>#REF!</v>
      </c>
      <c r="BZ67" s="65">
        <v>0.0</v>
      </c>
      <c r="CA67" s="65">
        <v>0.0</v>
      </c>
      <c r="CB67" s="66">
        <v>0.0</v>
      </c>
      <c r="CC67" s="67" t="str">
        <f t="shared" si="9"/>
        <v>#REF!</v>
      </c>
      <c r="CD67" s="68" t="str">
        <f>'[1]DATA CONSOLIDADA 2018-2025 '!$CB67-Hoja1!$BW67</f>
        <v>#REF!</v>
      </c>
      <c r="CE67" s="70">
        <v>0.0</v>
      </c>
      <c r="CF67" s="70">
        <v>0.0</v>
      </c>
      <c r="CG67" s="71">
        <v>0.0</v>
      </c>
      <c r="CH67" s="67" t="str">
        <f t="shared" si="10"/>
        <v>#REF!</v>
      </c>
      <c r="CI67" s="68" t="str">
        <f>'[1]DATA CONSOLIDADA 2018-2025 '!$CG67-Hoja1!$CB67</f>
        <v>#REF!</v>
      </c>
      <c r="CJ67" s="64" t="str">
        <f t="shared" si="11"/>
        <v>#REF!</v>
      </c>
      <c r="CK67" s="64">
        <v>0.0</v>
      </c>
      <c r="CL67" s="64">
        <v>0.0</v>
      </c>
      <c r="CM67" s="64">
        <v>0.0</v>
      </c>
      <c r="CN67" s="64" t="str">
        <f t="shared" si="12"/>
        <v>#REF!</v>
      </c>
      <c r="CO67" s="68" t="str">
        <f>'[1]DATA CONSOLIDADA 2018-2025 '!$CM67-Hoja1!$CG67</f>
        <v>#REF!</v>
      </c>
      <c r="CP67" s="70">
        <v>0.0</v>
      </c>
      <c r="CQ67" s="70">
        <v>0.0</v>
      </c>
      <c r="CR67" s="70">
        <v>0.0</v>
      </c>
      <c r="CS67" s="70">
        <v>0.0</v>
      </c>
      <c r="CT67" s="70">
        <v>0.0</v>
      </c>
      <c r="CU67" s="70">
        <v>0.0</v>
      </c>
      <c r="CV67" s="64">
        <v>0.0</v>
      </c>
      <c r="CW67" s="64">
        <v>0.0</v>
      </c>
      <c r="CX67" s="64">
        <v>0.0</v>
      </c>
      <c r="CY67" s="64">
        <v>0.0</v>
      </c>
      <c r="CZ67" s="64">
        <v>0.0</v>
      </c>
      <c r="DA67" s="64">
        <v>0.0</v>
      </c>
      <c r="DB67" s="64">
        <v>0.0</v>
      </c>
      <c r="DC67" s="72">
        <v>0.0</v>
      </c>
      <c r="DD67" s="72">
        <v>0.0</v>
      </c>
      <c r="DE67" s="72">
        <v>0.0</v>
      </c>
      <c r="DF67" s="72">
        <v>0.0</v>
      </c>
      <c r="DG67" s="72">
        <v>0.0</v>
      </c>
      <c r="DH67" s="72">
        <v>0.0</v>
      </c>
      <c r="DI67" s="73">
        <v>2.0534487801E10</v>
      </c>
      <c r="DJ67" s="74" t="s">
        <v>348</v>
      </c>
      <c r="DK67" s="74" t="s">
        <v>138</v>
      </c>
      <c r="DL67" s="75"/>
      <c r="DM67" s="75"/>
      <c r="DN67" s="75"/>
      <c r="DO67" s="75"/>
      <c r="DP67" s="75"/>
      <c r="DQ67" s="75"/>
      <c r="DR67" s="75"/>
      <c r="DS67" s="75"/>
      <c r="DT67" s="75"/>
      <c r="DU67" s="75"/>
      <c r="DV67" s="75"/>
      <c r="DW67" s="75"/>
      <c r="DX67" s="75"/>
      <c r="DY67" s="75"/>
      <c r="DZ67" s="75"/>
      <c r="EA67" s="75"/>
      <c r="EB67" s="75"/>
      <c r="EC67" s="75"/>
      <c r="ED67" s="75"/>
      <c r="EE67" s="75"/>
    </row>
    <row r="68" ht="47.25" hidden="1" customHeight="1">
      <c r="A68" s="55" t="s">
        <v>349</v>
      </c>
      <c r="B68" s="55" t="s">
        <v>236</v>
      </c>
      <c r="C68" s="55" t="s">
        <v>237</v>
      </c>
      <c r="D68" s="55" t="s">
        <v>340</v>
      </c>
      <c r="E68" s="55" t="s">
        <v>350</v>
      </c>
      <c r="F68" s="55" t="s">
        <v>340</v>
      </c>
      <c r="G68" s="55" t="s">
        <v>342</v>
      </c>
      <c r="H68" s="55" t="s">
        <v>351</v>
      </c>
      <c r="I68" s="56"/>
      <c r="J68" s="56">
        <v>1.0</v>
      </c>
      <c r="K68" s="56">
        <v>1.0</v>
      </c>
      <c r="L68" s="56"/>
      <c r="M68" s="56"/>
      <c r="N68" s="56"/>
      <c r="O68" s="56"/>
      <c r="P68" s="56"/>
      <c r="Q68" s="56" t="s">
        <v>131</v>
      </c>
      <c r="R68" s="58" t="str">
        <f t="shared" si="1"/>
        <v>2019-2020</v>
      </c>
      <c r="S68" s="59" t="str">
        <f>SUM(Hoja1!$I68:$P68)</f>
        <v>2</v>
      </c>
      <c r="T68" s="59" t="str">
        <f>IF(OR(Hoja1!$J68=1,Hoja1!$K68=1,Hoja1!$L68=1,Hoja1!$M68=1,Hoja1!$N68=1,Hoja1!$O68=1,Hoja1!$P68=1),"SI","NO")</f>
        <v>SI</v>
      </c>
      <c r="U68" s="59" t="str">
        <f>IF(OR(Hoja1!$K68=1,Hoja1!$L68=1,Hoja1!$M68=1,Hoja1!$N68=1,Hoja1!$O68=1,Hoja1!$P68=1),"SI","NO")</f>
        <v>SI</v>
      </c>
      <c r="V68" s="60">
        <v>0.0</v>
      </c>
      <c r="W68" s="61">
        <v>80.0</v>
      </c>
      <c r="X68" s="61">
        <v>6.0</v>
      </c>
      <c r="Y68" s="60">
        <v>86.0</v>
      </c>
      <c r="Z68" s="61">
        <v>73.0</v>
      </c>
      <c r="AA68" s="61">
        <v>12.0</v>
      </c>
      <c r="AB68" s="60">
        <v>85.0</v>
      </c>
      <c r="AC68" s="61">
        <v>0.0</v>
      </c>
      <c r="AD68" s="61">
        <v>0.0</v>
      </c>
      <c r="AE68" s="60">
        <v>0.0</v>
      </c>
      <c r="AF68" s="61">
        <v>0.0</v>
      </c>
      <c r="AG68" s="61">
        <v>0.0</v>
      </c>
      <c r="AH68" s="60">
        <v>0.0</v>
      </c>
      <c r="AI68" s="61">
        <v>0.0</v>
      </c>
      <c r="AJ68" s="61">
        <v>0.0</v>
      </c>
      <c r="AK68" s="60">
        <v>0.0</v>
      </c>
      <c r="AL68" s="61">
        <v>0.0</v>
      </c>
      <c r="AM68" s="61">
        <v>0.0</v>
      </c>
      <c r="AN68" s="60">
        <v>0.0</v>
      </c>
      <c r="AO68" s="62">
        <v>0.0</v>
      </c>
      <c r="AP68" s="62">
        <v>0.0</v>
      </c>
      <c r="AQ68" s="60">
        <v>0.0</v>
      </c>
      <c r="AR68" s="60" t="str">
        <f>IF(Hoja1!$AQ68&gt;0,Hoja1!$AQ68,IF(Hoja1!$AN68&gt;0,Hoja1!$AN68,IF(Hoja1!$AK68&gt;0,Hoja1!$AK68,IF(Hoja1!$AH68&gt;0,Hoja1!$AH68,IF(Hoja1!$AE68&gt;0,Hoja1!$AE68,IF(Hoja1!$AB68&gt;0,Hoja1!$AB68,IF(Hoja1!$Y68&gt;0,Hoja1!$Y68,IF(Hoja1!$V68&gt;0,Hoja1!$V68," ---"))))))))</f>
        <v>85</v>
      </c>
      <c r="AS68" s="63">
        <v>0.0</v>
      </c>
      <c r="AT68" s="63">
        <v>4.0</v>
      </c>
      <c r="AU68" s="63">
        <v>0.0</v>
      </c>
      <c r="AV68" s="63">
        <v>0.0</v>
      </c>
      <c r="AW68" s="63">
        <v>0.0</v>
      </c>
      <c r="AX68" s="63">
        <v>0.0</v>
      </c>
      <c r="AY68" s="63">
        <v>0.0</v>
      </c>
      <c r="AZ68" s="63">
        <v>0.0</v>
      </c>
      <c r="BA68" s="63">
        <v>0.0</v>
      </c>
      <c r="BB68" s="63">
        <v>0.0</v>
      </c>
      <c r="BC68" s="63">
        <v>0.0</v>
      </c>
      <c r="BD68" s="63">
        <v>0.0</v>
      </c>
      <c r="BE68" s="64">
        <v>0.0</v>
      </c>
      <c r="BF68" s="65">
        <v>304383.65</v>
      </c>
      <c r="BG68" s="65">
        <v>0.0</v>
      </c>
      <c r="BH68" s="66">
        <v>304383.65</v>
      </c>
      <c r="BI68" s="67" t="str">
        <f t="shared" si="2"/>
        <v>#REF!</v>
      </c>
      <c r="BJ68" s="68" t="str">
        <f t="shared" si="3"/>
        <v>#REF!</v>
      </c>
      <c r="BK68" s="65">
        <v>0.0</v>
      </c>
      <c r="BL68" s="65">
        <v>0.0</v>
      </c>
      <c r="BM68" s="66">
        <v>0.0</v>
      </c>
      <c r="BN68" s="67" t="str">
        <f t="shared" si="4"/>
        <v>#REF!</v>
      </c>
      <c r="BO68" s="68" t="str">
        <f t="shared" si="5"/>
        <v>#REF!</v>
      </c>
      <c r="BP68" s="65">
        <v>0.0</v>
      </c>
      <c r="BQ68" s="65">
        <v>0.0</v>
      </c>
      <c r="BR68" s="66">
        <v>0.0</v>
      </c>
      <c r="BS68" s="67" t="str">
        <f t="shared" si="6"/>
        <v>#REF!</v>
      </c>
      <c r="BT68" s="68" t="str">
        <f>'[1]DATA CONSOLIDADA 2018-2025 '!$BR68-Hoja1!$BO68</f>
        <v>#REF!</v>
      </c>
      <c r="BU68" s="65">
        <v>0.0</v>
      </c>
      <c r="BV68" s="65">
        <v>0.0</v>
      </c>
      <c r="BW68" s="66">
        <v>0.0</v>
      </c>
      <c r="BX68" s="67" t="str">
        <f t="shared" si="7"/>
        <v>#REF!</v>
      </c>
      <c r="BY68" s="68" t="str">
        <f t="shared" si="8"/>
        <v>#REF!</v>
      </c>
      <c r="BZ68" s="65">
        <v>0.0</v>
      </c>
      <c r="CA68" s="65">
        <v>0.0</v>
      </c>
      <c r="CB68" s="66">
        <v>0.0</v>
      </c>
      <c r="CC68" s="67" t="str">
        <f t="shared" si="9"/>
        <v>#REF!</v>
      </c>
      <c r="CD68" s="68" t="str">
        <f>'[1]DATA CONSOLIDADA 2018-2025 '!$CB68-Hoja1!$BW68</f>
        <v>#REF!</v>
      </c>
      <c r="CE68" s="70">
        <v>0.0</v>
      </c>
      <c r="CF68" s="70">
        <v>0.0</v>
      </c>
      <c r="CG68" s="71">
        <v>0.0</v>
      </c>
      <c r="CH68" s="67" t="str">
        <f t="shared" si="10"/>
        <v>#REF!</v>
      </c>
      <c r="CI68" s="68" t="str">
        <f>'[1]DATA CONSOLIDADA 2018-2025 '!$CG68-Hoja1!$CB68</f>
        <v>#REF!</v>
      </c>
      <c r="CJ68" s="64" t="str">
        <f t="shared" si="11"/>
        <v>#REF!</v>
      </c>
      <c r="CK68" s="64">
        <v>0.0</v>
      </c>
      <c r="CL68" s="64">
        <v>0.0</v>
      </c>
      <c r="CM68" s="64">
        <v>0.0</v>
      </c>
      <c r="CN68" s="64" t="str">
        <f t="shared" si="12"/>
        <v>#REF!</v>
      </c>
      <c r="CO68" s="68" t="str">
        <f>'[1]DATA CONSOLIDADA 2018-2025 '!$CM68-Hoja1!$CG68</f>
        <v>#REF!</v>
      </c>
      <c r="CP68" s="70">
        <v>0.0</v>
      </c>
      <c r="CQ68" s="70">
        <v>0.0</v>
      </c>
      <c r="CR68" s="70">
        <v>0.0</v>
      </c>
      <c r="CS68" s="70">
        <v>0.0</v>
      </c>
      <c r="CT68" s="70">
        <v>0.0</v>
      </c>
      <c r="CU68" s="70">
        <v>0.0</v>
      </c>
      <c r="CV68" s="64">
        <v>0.0</v>
      </c>
      <c r="CW68" s="64">
        <v>0.0</v>
      </c>
      <c r="CX68" s="64">
        <v>0.0</v>
      </c>
      <c r="CY68" s="64">
        <v>0.0</v>
      </c>
      <c r="CZ68" s="64">
        <v>0.0</v>
      </c>
      <c r="DA68" s="64">
        <v>0.0</v>
      </c>
      <c r="DB68" s="64">
        <v>0.0</v>
      </c>
      <c r="DC68" s="72">
        <v>0.0</v>
      </c>
      <c r="DD68" s="72">
        <v>0.0</v>
      </c>
      <c r="DE68" s="72">
        <v>0.0</v>
      </c>
      <c r="DF68" s="72">
        <v>0.0</v>
      </c>
      <c r="DG68" s="72">
        <v>0.0</v>
      </c>
      <c r="DH68" s="72">
        <v>0.0</v>
      </c>
      <c r="DI68" s="73">
        <v>2.0574629226E10</v>
      </c>
      <c r="DJ68" s="74" t="s">
        <v>352</v>
      </c>
      <c r="DK68" s="74" t="s">
        <v>138</v>
      </c>
      <c r="DL68" s="75"/>
      <c r="DM68" s="7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75"/>
      <c r="EC68" s="75"/>
      <c r="ED68" s="75"/>
      <c r="EE68" s="75"/>
    </row>
    <row r="69" ht="47.25" hidden="1" customHeight="1">
      <c r="A69" s="55" t="s">
        <v>353</v>
      </c>
      <c r="B69" s="55" t="s">
        <v>236</v>
      </c>
      <c r="C69" s="55" t="s">
        <v>237</v>
      </c>
      <c r="D69" s="55" t="s">
        <v>340</v>
      </c>
      <c r="E69" s="55" t="s">
        <v>354</v>
      </c>
      <c r="F69" s="55" t="s">
        <v>340</v>
      </c>
      <c r="G69" s="55" t="s">
        <v>355</v>
      </c>
      <c r="H69" s="55" t="s">
        <v>356</v>
      </c>
      <c r="I69" s="56">
        <v>1.0</v>
      </c>
      <c r="J69" s="56">
        <v>1.0</v>
      </c>
      <c r="K69" s="56">
        <v>1.0</v>
      </c>
      <c r="L69" s="56"/>
      <c r="M69" s="56"/>
      <c r="N69" s="56"/>
      <c r="O69" s="56"/>
      <c r="P69" s="56"/>
      <c r="Q69" s="56" t="s">
        <v>131</v>
      </c>
      <c r="R69" s="58" t="str">
        <f t="shared" si="1"/>
        <v>2018-2019-2020</v>
      </c>
      <c r="S69" s="59" t="str">
        <f>SUM(Hoja1!$I69:$P69)</f>
        <v>3</v>
      </c>
      <c r="T69" s="59" t="str">
        <f>IF(OR(Hoja1!$J69=1,Hoja1!$K69=1,Hoja1!$L69=1,Hoja1!$M69=1,Hoja1!$N69=1,Hoja1!$O69=1,Hoja1!$P69=1),"SI","NO")</f>
        <v>SI</v>
      </c>
      <c r="U69" s="59" t="str">
        <f>IF(OR(Hoja1!$K69=1,Hoja1!$L69=1,Hoja1!$M69=1,Hoja1!$N69=1,Hoja1!$O69=1,Hoja1!$P69=1),"SI","NO")</f>
        <v>SI</v>
      </c>
      <c r="V69" s="60">
        <v>103.0</v>
      </c>
      <c r="W69" s="61">
        <v>72.0</v>
      </c>
      <c r="X69" s="61">
        <v>30.0</v>
      </c>
      <c r="Y69" s="60">
        <v>102.0</v>
      </c>
      <c r="Z69" s="61">
        <v>93.0</v>
      </c>
      <c r="AA69" s="61">
        <v>23.0</v>
      </c>
      <c r="AB69" s="60">
        <v>116.0</v>
      </c>
      <c r="AC69" s="61">
        <v>0.0</v>
      </c>
      <c r="AD69" s="61">
        <v>0.0</v>
      </c>
      <c r="AE69" s="60">
        <v>0.0</v>
      </c>
      <c r="AF69" s="61">
        <v>0.0</v>
      </c>
      <c r="AG69" s="61">
        <v>0.0</v>
      </c>
      <c r="AH69" s="60">
        <v>0.0</v>
      </c>
      <c r="AI69" s="61">
        <v>0.0</v>
      </c>
      <c r="AJ69" s="61">
        <v>0.0</v>
      </c>
      <c r="AK69" s="60">
        <v>0.0</v>
      </c>
      <c r="AL69" s="61">
        <v>0.0</v>
      </c>
      <c r="AM69" s="61">
        <v>0.0</v>
      </c>
      <c r="AN69" s="60">
        <v>0.0</v>
      </c>
      <c r="AO69" s="62">
        <v>0.0</v>
      </c>
      <c r="AP69" s="62">
        <v>0.0</v>
      </c>
      <c r="AQ69" s="60">
        <v>0.0</v>
      </c>
      <c r="AR69" s="60" t="str">
        <f>IF(Hoja1!$AQ69&gt;0,Hoja1!$AQ69,IF(Hoja1!$AN69&gt;0,Hoja1!$AN69,IF(Hoja1!$AK69&gt;0,Hoja1!$AK69,IF(Hoja1!$AH69&gt;0,Hoja1!$AH69,IF(Hoja1!$AE69&gt;0,Hoja1!$AE69,IF(Hoja1!$AB69&gt;0,Hoja1!$AB69,IF(Hoja1!$Y69&gt;0,Hoja1!$Y69,IF(Hoja1!$V69&gt;0,Hoja1!$V69," ---"))))))))</f>
        <v>116</v>
      </c>
      <c r="AS69" s="63">
        <v>0.0</v>
      </c>
      <c r="AT69" s="63">
        <v>4.0</v>
      </c>
      <c r="AU69" s="63">
        <v>0.0</v>
      </c>
      <c r="AV69" s="63">
        <v>0.0</v>
      </c>
      <c r="AW69" s="63">
        <v>0.0</v>
      </c>
      <c r="AX69" s="63">
        <v>0.0</v>
      </c>
      <c r="AY69" s="63">
        <v>0.0</v>
      </c>
      <c r="AZ69" s="63">
        <v>0.0</v>
      </c>
      <c r="BA69" s="63">
        <v>0.0</v>
      </c>
      <c r="BB69" s="63">
        <v>0.0</v>
      </c>
      <c r="BC69" s="63">
        <v>0.0</v>
      </c>
      <c r="BD69" s="63">
        <v>0.0</v>
      </c>
      <c r="BE69" s="64">
        <v>0.0</v>
      </c>
      <c r="BF69" s="65">
        <v>3451951.34</v>
      </c>
      <c r="BG69" s="65">
        <v>0.0</v>
      </c>
      <c r="BH69" s="66">
        <v>3451951.34</v>
      </c>
      <c r="BI69" s="67" t="str">
        <f t="shared" si="2"/>
        <v>#REF!</v>
      </c>
      <c r="BJ69" s="68" t="str">
        <f t="shared" si="3"/>
        <v>#REF!</v>
      </c>
      <c r="BK69" s="65">
        <v>0.0</v>
      </c>
      <c r="BL69" s="65">
        <v>0.0</v>
      </c>
      <c r="BM69" s="66">
        <v>0.0</v>
      </c>
      <c r="BN69" s="67" t="str">
        <f t="shared" si="4"/>
        <v>#REF!</v>
      </c>
      <c r="BO69" s="68" t="str">
        <f t="shared" si="5"/>
        <v>#REF!</v>
      </c>
      <c r="BP69" s="65">
        <v>0.0</v>
      </c>
      <c r="BQ69" s="65">
        <v>0.0</v>
      </c>
      <c r="BR69" s="66">
        <v>0.0</v>
      </c>
      <c r="BS69" s="67" t="str">
        <f t="shared" si="6"/>
        <v>#REF!</v>
      </c>
      <c r="BT69" s="68" t="str">
        <f>'[1]DATA CONSOLIDADA 2018-2025 '!$BR69-Hoja1!$BO69</f>
        <v>#REF!</v>
      </c>
      <c r="BU69" s="65">
        <v>0.0</v>
      </c>
      <c r="BV69" s="65">
        <v>0.0</v>
      </c>
      <c r="BW69" s="66">
        <v>0.0</v>
      </c>
      <c r="BX69" s="67" t="str">
        <f t="shared" si="7"/>
        <v>#REF!</v>
      </c>
      <c r="BY69" s="68" t="str">
        <f t="shared" si="8"/>
        <v>#REF!</v>
      </c>
      <c r="BZ69" s="65">
        <v>0.0</v>
      </c>
      <c r="CA69" s="65">
        <v>0.0</v>
      </c>
      <c r="CB69" s="66">
        <v>0.0</v>
      </c>
      <c r="CC69" s="67" t="str">
        <f t="shared" si="9"/>
        <v>#REF!</v>
      </c>
      <c r="CD69" s="68" t="str">
        <f>'[1]DATA CONSOLIDADA 2018-2025 '!$CB69-Hoja1!$BW69</f>
        <v>#REF!</v>
      </c>
      <c r="CE69" s="70">
        <v>0.0</v>
      </c>
      <c r="CF69" s="70">
        <v>0.0</v>
      </c>
      <c r="CG69" s="71">
        <v>0.0</v>
      </c>
      <c r="CH69" s="67" t="str">
        <f t="shared" si="10"/>
        <v>#REF!</v>
      </c>
      <c r="CI69" s="68" t="str">
        <f>'[1]DATA CONSOLIDADA 2018-2025 '!$CG69-Hoja1!$CB69</f>
        <v>#REF!</v>
      </c>
      <c r="CJ69" s="64" t="str">
        <f t="shared" si="11"/>
        <v>#REF!</v>
      </c>
      <c r="CK69" s="64">
        <v>0.0</v>
      </c>
      <c r="CL69" s="64">
        <v>0.0</v>
      </c>
      <c r="CM69" s="64">
        <v>0.0</v>
      </c>
      <c r="CN69" s="64" t="str">
        <f t="shared" si="12"/>
        <v>#REF!</v>
      </c>
      <c r="CO69" s="68" t="str">
        <f>'[1]DATA CONSOLIDADA 2018-2025 '!$CM69-Hoja1!$CG69</f>
        <v>#REF!</v>
      </c>
      <c r="CP69" s="70">
        <v>0.0</v>
      </c>
      <c r="CQ69" s="70">
        <v>0.0</v>
      </c>
      <c r="CR69" s="70">
        <v>0.0</v>
      </c>
      <c r="CS69" s="70">
        <v>0.0</v>
      </c>
      <c r="CT69" s="70">
        <v>0.0</v>
      </c>
      <c r="CU69" s="70">
        <v>0.0</v>
      </c>
      <c r="CV69" s="64">
        <v>0.0</v>
      </c>
      <c r="CW69" s="64">
        <v>0.0</v>
      </c>
      <c r="CX69" s="64">
        <v>0.0</v>
      </c>
      <c r="CY69" s="64">
        <v>0.0</v>
      </c>
      <c r="CZ69" s="64">
        <v>0.0</v>
      </c>
      <c r="DA69" s="64">
        <v>0.0</v>
      </c>
      <c r="DB69" s="64">
        <v>0.0</v>
      </c>
      <c r="DC69" s="72">
        <v>0.0</v>
      </c>
      <c r="DD69" s="72">
        <v>0.0</v>
      </c>
      <c r="DE69" s="72">
        <v>0.0</v>
      </c>
      <c r="DF69" s="72">
        <v>0.0</v>
      </c>
      <c r="DG69" s="72">
        <v>0.0</v>
      </c>
      <c r="DH69" s="72">
        <v>0.0</v>
      </c>
      <c r="DI69" s="73">
        <v>2.0602545025E10</v>
      </c>
      <c r="DJ69" s="74" t="s">
        <v>357</v>
      </c>
      <c r="DK69" s="74" t="s">
        <v>138</v>
      </c>
      <c r="DL69" s="75"/>
      <c r="DM69" s="7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75"/>
      <c r="EC69" s="75"/>
      <c r="ED69" s="75"/>
      <c r="EE69" s="75"/>
    </row>
    <row r="70" ht="47.25" hidden="1" customHeight="1">
      <c r="A70" s="55" t="s">
        <v>358</v>
      </c>
      <c r="B70" s="55" t="s">
        <v>236</v>
      </c>
      <c r="C70" s="55" t="s">
        <v>237</v>
      </c>
      <c r="D70" s="55" t="s">
        <v>340</v>
      </c>
      <c r="E70" s="55" t="s">
        <v>359</v>
      </c>
      <c r="F70" s="55" t="s">
        <v>340</v>
      </c>
      <c r="G70" s="55" t="s">
        <v>360</v>
      </c>
      <c r="H70" s="55" t="s">
        <v>360</v>
      </c>
      <c r="I70" s="56">
        <v>1.0</v>
      </c>
      <c r="J70" s="56">
        <v>1.0</v>
      </c>
      <c r="K70" s="56">
        <v>1.0</v>
      </c>
      <c r="L70" s="56">
        <v>1.0</v>
      </c>
      <c r="M70" s="56">
        <v>1.0</v>
      </c>
      <c r="N70" s="56">
        <v>1.0</v>
      </c>
      <c r="O70" s="56"/>
      <c r="P70" s="56">
        <v>1.0</v>
      </c>
      <c r="Q70" s="56" t="s">
        <v>131</v>
      </c>
      <c r="R70" s="58" t="str">
        <f t="shared" si="1"/>
        <v>2018-2019-2020-2021-2022-2023 - 2025</v>
      </c>
      <c r="S70" s="59" t="str">
        <f>SUM(Hoja1!$I70:$P70)</f>
        <v>7</v>
      </c>
      <c r="T70" s="59" t="str">
        <f>IF(OR(Hoja1!$J70=1,Hoja1!$K70=1,Hoja1!$L70=1,Hoja1!$M70=1,Hoja1!$N70=1,Hoja1!$O70=1,Hoja1!$P70=1),"SI","NO")</f>
        <v>SI</v>
      </c>
      <c r="U70" s="59" t="str">
        <f>IF(OR(Hoja1!$K70=1,Hoja1!$L70=1,Hoja1!$M70=1,Hoja1!$N70=1,Hoja1!$O70=1,Hoja1!$P70=1),"SI","NO")</f>
        <v>SI</v>
      </c>
      <c r="V70" s="60">
        <v>20.0</v>
      </c>
      <c r="W70" s="61">
        <v>12.0</v>
      </c>
      <c r="X70" s="61">
        <v>8.0</v>
      </c>
      <c r="Y70" s="60">
        <v>20.0</v>
      </c>
      <c r="Z70" s="61">
        <v>36.0</v>
      </c>
      <c r="AA70" s="61">
        <v>16.0</v>
      </c>
      <c r="AB70" s="60">
        <v>52.0</v>
      </c>
      <c r="AC70" s="61">
        <v>36.0</v>
      </c>
      <c r="AD70" s="61">
        <v>16.0</v>
      </c>
      <c r="AE70" s="60">
        <v>52.0</v>
      </c>
      <c r="AF70" s="61">
        <v>36.0</v>
      </c>
      <c r="AG70" s="61">
        <v>16.0</v>
      </c>
      <c r="AH70" s="60">
        <v>52.0</v>
      </c>
      <c r="AI70" s="61">
        <v>36.0</v>
      </c>
      <c r="AJ70" s="61">
        <v>16.0</v>
      </c>
      <c r="AK70" s="60">
        <v>52.0</v>
      </c>
      <c r="AL70" s="61">
        <v>0.0</v>
      </c>
      <c r="AM70" s="61">
        <v>0.0</v>
      </c>
      <c r="AN70" s="60">
        <v>0.0</v>
      </c>
      <c r="AO70" s="62">
        <v>0.0</v>
      </c>
      <c r="AP70" s="62">
        <v>0.0</v>
      </c>
      <c r="AQ70" s="60">
        <v>0.0</v>
      </c>
      <c r="AR70" s="60" t="str">
        <f>IF(Hoja1!$AQ70&gt;0,Hoja1!$AQ70,IF(Hoja1!$AN70&gt;0,Hoja1!$AN70,IF(Hoja1!$AK70&gt;0,Hoja1!$AK70,IF(Hoja1!$AH70&gt;0,Hoja1!$AH70,IF(Hoja1!$AE70&gt;0,Hoja1!$AE70,IF(Hoja1!$AB70&gt;0,Hoja1!$AB70,IF(Hoja1!$Y70&gt;0,Hoja1!$Y70,IF(Hoja1!$V70&gt;0,Hoja1!$V70," ---"))))))))</f>
        <v>52</v>
      </c>
      <c r="AS70" s="63">
        <v>0.0</v>
      </c>
      <c r="AT70" s="63">
        <v>0.0</v>
      </c>
      <c r="AU70" s="63">
        <v>5.0</v>
      </c>
      <c r="AV70" s="63">
        <v>0.0</v>
      </c>
      <c r="AW70" s="63">
        <v>25.0</v>
      </c>
      <c r="AX70" s="63">
        <v>2.0</v>
      </c>
      <c r="AY70" s="63">
        <v>27.0</v>
      </c>
      <c r="AZ70" s="63">
        <v>3.0</v>
      </c>
      <c r="BA70" s="63">
        <v>0.0</v>
      </c>
      <c r="BB70" s="63">
        <v>0.0</v>
      </c>
      <c r="BC70" s="63">
        <v>0.0</v>
      </c>
      <c r="BD70" s="63">
        <v>0.0</v>
      </c>
      <c r="BE70" s="64">
        <v>0.0</v>
      </c>
      <c r="BF70" s="65">
        <v>45876.16</v>
      </c>
      <c r="BG70" s="65">
        <v>0.0</v>
      </c>
      <c r="BH70" s="66">
        <v>45876.16</v>
      </c>
      <c r="BI70" s="67" t="str">
        <f t="shared" si="2"/>
        <v>#REF!</v>
      </c>
      <c r="BJ70" s="68" t="str">
        <f t="shared" si="3"/>
        <v>#REF!</v>
      </c>
      <c r="BK70" s="65">
        <v>42161.0</v>
      </c>
      <c r="BL70" s="65">
        <v>0.0</v>
      </c>
      <c r="BM70" s="66">
        <v>42161.0</v>
      </c>
      <c r="BN70" s="67" t="str">
        <f t="shared" si="4"/>
        <v>#REF!</v>
      </c>
      <c r="BO70" s="68" t="str">
        <f t="shared" si="5"/>
        <v>#REF!</v>
      </c>
      <c r="BP70" s="65">
        <v>65962.72</v>
      </c>
      <c r="BQ70" s="65">
        <v>0.0</v>
      </c>
      <c r="BR70" s="66">
        <v>65962.72</v>
      </c>
      <c r="BS70" s="67" t="str">
        <f t="shared" si="6"/>
        <v>#REF!</v>
      </c>
      <c r="BT70" s="68" t="str">
        <f>'[1]DATA CONSOLIDADA 2018-2025 '!$BR70-Hoja1!$BO70</f>
        <v>#REF!</v>
      </c>
      <c r="BU70" s="65">
        <v>141305.43</v>
      </c>
      <c r="BV70" s="65">
        <v>0.0</v>
      </c>
      <c r="BW70" s="66">
        <v>141305.43</v>
      </c>
      <c r="BX70" s="67" t="str">
        <f t="shared" si="7"/>
        <v>#REF!</v>
      </c>
      <c r="BY70" s="68" t="str">
        <f t="shared" si="8"/>
        <v>#REF!</v>
      </c>
      <c r="BZ70" s="65">
        <v>63999.0</v>
      </c>
      <c r="CA70" s="65">
        <v>0.0</v>
      </c>
      <c r="CB70" s="66">
        <v>63999.0</v>
      </c>
      <c r="CC70" s="67" t="str">
        <f t="shared" si="9"/>
        <v>#REF!</v>
      </c>
      <c r="CD70" s="68" t="str">
        <f>'[1]DATA CONSOLIDADA 2018-2025 '!$CB70-Hoja1!$BW70</f>
        <v>#REF!</v>
      </c>
      <c r="CE70" s="70">
        <v>0.0</v>
      </c>
      <c r="CF70" s="70">
        <v>0.0</v>
      </c>
      <c r="CG70" s="71">
        <v>0.0</v>
      </c>
      <c r="CH70" s="67" t="str">
        <f t="shared" si="10"/>
        <v>#REF!</v>
      </c>
      <c r="CI70" s="68" t="str">
        <f>'[1]DATA CONSOLIDADA 2018-2025 '!$CG70-Hoja1!$CB70</f>
        <v>#REF!</v>
      </c>
      <c r="CJ70" s="64" t="str">
        <f t="shared" si="11"/>
        <v>#REF!</v>
      </c>
      <c r="CK70" s="64">
        <v>161187.0</v>
      </c>
      <c r="CL70" s="64">
        <v>0.0</v>
      </c>
      <c r="CM70" s="64">
        <v>161187.0</v>
      </c>
      <c r="CN70" s="64" t="str">
        <f t="shared" si="12"/>
        <v>#REF!</v>
      </c>
      <c r="CO70" s="68" t="str">
        <f>'[1]DATA CONSOLIDADA 2018-2025 '!$CM70-Hoja1!$CG70</f>
        <v>#REF!</v>
      </c>
      <c r="CP70" s="70">
        <v>0.0</v>
      </c>
      <c r="CQ70" s="70">
        <v>0.0</v>
      </c>
      <c r="CR70" s="70">
        <v>0.0</v>
      </c>
      <c r="CS70" s="70">
        <v>63999.0</v>
      </c>
      <c r="CT70" s="70">
        <v>0.0</v>
      </c>
      <c r="CU70" s="70">
        <v>0.0</v>
      </c>
      <c r="CV70" s="64">
        <v>63999.0</v>
      </c>
      <c r="CW70" s="64">
        <v>0.0</v>
      </c>
      <c r="CX70" s="64">
        <v>0.0</v>
      </c>
      <c r="CY70" s="64">
        <v>0.0</v>
      </c>
      <c r="CZ70" s="64">
        <v>0.0</v>
      </c>
      <c r="DA70" s="64">
        <v>0.0</v>
      </c>
      <c r="DB70" s="64">
        <v>0.0</v>
      </c>
      <c r="DC70" s="72">
        <v>0.0</v>
      </c>
      <c r="DD70" s="72">
        <v>0.0</v>
      </c>
      <c r="DE70" s="72">
        <v>161187.0</v>
      </c>
      <c r="DF70" s="72">
        <v>0.0</v>
      </c>
      <c r="DG70" s="72">
        <v>0.0</v>
      </c>
      <c r="DH70" s="72">
        <v>161187.0</v>
      </c>
      <c r="DI70" s="73">
        <v>2.0600675487E10</v>
      </c>
      <c r="DJ70" s="74" t="s">
        <v>361</v>
      </c>
      <c r="DK70" s="74" t="s">
        <v>138</v>
      </c>
      <c r="DL70" s="75"/>
      <c r="DM70" s="75"/>
      <c r="DN70" s="75"/>
      <c r="DO70" s="75"/>
      <c r="DP70" s="75"/>
      <c r="DQ70" s="75"/>
      <c r="DR70" s="75"/>
      <c r="DS70" s="75"/>
      <c r="DT70" s="75"/>
      <c r="DU70" s="75"/>
      <c r="DV70" s="75"/>
      <c r="DW70" s="75"/>
      <c r="DX70" s="75"/>
      <c r="DY70" s="75"/>
      <c r="DZ70" s="75"/>
      <c r="EA70" s="75"/>
      <c r="EB70" s="75"/>
      <c r="EC70" s="75"/>
      <c r="ED70" s="75"/>
      <c r="EE70" s="75"/>
    </row>
    <row r="71" ht="47.25" hidden="1" customHeight="1">
      <c r="A71" s="55" t="s">
        <v>362</v>
      </c>
      <c r="B71" s="55" t="s">
        <v>236</v>
      </c>
      <c r="C71" s="55" t="s">
        <v>237</v>
      </c>
      <c r="D71" s="55" t="s">
        <v>340</v>
      </c>
      <c r="E71" s="55" t="s">
        <v>363</v>
      </c>
      <c r="F71" s="55" t="s">
        <v>340</v>
      </c>
      <c r="G71" s="55" t="s">
        <v>364</v>
      </c>
      <c r="H71" s="55" t="s">
        <v>364</v>
      </c>
      <c r="I71" s="56"/>
      <c r="J71" s="56">
        <v>1.0</v>
      </c>
      <c r="K71" s="56">
        <v>1.0</v>
      </c>
      <c r="L71" s="56"/>
      <c r="M71" s="56"/>
      <c r="N71" s="56"/>
      <c r="O71" s="56"/>
      <c r="P71" s="56"/>
      <c r="Q71" s="56" t="s">
        <v>131</v>
      </c>
      <c r="R71" s="58" t="str">
        <f t="shared" si="1"/>
        <v>2019-2020</v>
      </c>
      <c r="S71" s="59" t="str">
        <f>SUM(Hoja1!$I71:$P71)</f>
        <v>2</v>
      </c>
      <c r="T71" s="59" t="str">
        <f>IF(OR(Hoja1!$J71=1,Hoja1!$K71=1,Hoja1!$L71=1,Hoja1!$M71=1,Hoja1!$N71=1,Hoja1!$O71=1,Hoja1!$P71=1),"SI","NO")</f>
        <v>SI</v>
      </c>
      <c r="U71" s="59" t="str">
        <f>IF(OR(Hoja1!$K71=1,Hoja1!$L71=1,Hoja1!$M71=1,Hoja1!$N71=1,Hoja1!$O71=1,Hoja1!$P71=1),"SI","NO")</f>
        <v>SI</v>
      </c>
      <c r="V71" s="60">
        <v>0.0</v>
      </c>
      <c r="W71" s="61">
        <v>96.0</v>
      </c>
      <c r="X71" s="61">
        <v>24.0</v>
      </c>
      <c r="Y71" s="60">
        <v>120.0</v>
      </c>
      <c r="Z71" s="61">
        <v>95.0</v>
      </c>
      <c r="AA71" s="61">
        <v>25.0</v>
      </c>
      <c r="AB71" s="60">
        <v>120.0</v>
      </c>
      <c r="AC71" s="61">
        <v>0.0</v>
      </c>
      <c r="AD71" s="61">
        <v>0.0</v>
      </c>
      <c r="AE71" s="60">
        <v>0.0</v>
      </c>
      <c r="AF71" s="61">
        <v>0.0</v>
      </c>
      <c r="AG71" s="61">
        <v>0.0</v>
      </c>
      <c r="AH71" s="60">
        <v>0.0</v>
      </c>
      <c r="AI71" s="61">
        <v>0.0</v>
      </c>
      <c r="AJ71" s="61">
        <v>0.0</v>
      </c>
      <c r="AK71" s="60">
        <v>0.0</v>
      </c>
      <c r="AL71" s="61">
        <v>0.0</v>
      </c>
      <c r="AM71" s="61">
        <v>0.0</v>
      </c>
      <c r="AN71" s="60">
        <v>0.0</v>
      </c>
      <c r="AO71" s="62">
        <v>0.0</v>
      </c>
      <c r="AP71" s="62">
        <v>0.0</v>
      </c>
      <c r="AQ71" s="60">
        <v>0.0</v>
      </c>
      <c r="AR71" s="60" t="str">
        <f>IF(Hoja1!$AQ71&gt;0,Hoja1!$AQ71,IF(Hoja1!$AN71&gt;0,Hoja1!$AN71,IF(Hoja1!$AK71&gt;0,Hoja1!$AK71,IF(Hoja1!$AH71&gt;0,Hoja1!$AH71,IF(Hoja1!$AE71&gt;0,Hoja1!$AE71,IF(Hoja1!$AB71&gt;0,Hoja1!$AB71,IF(Hoja1!$Y71&gt;0,Hoja1!$Y71,IF(Hoja1!$V71&gt;0,Hoja1!$V71," ---"))))))))</f>
        <v>120</v>
      </c>
      <c r="AS71" s="63">
        <v>0.0</v>
      </c>
      <c r="AT71" s="63">
        <v>4.0</v>
      </c>
      <c r="AU71" s="63">
        <v>0.0</v>
      </c>
      <c r="AV71" s="63">
        <v>0.0</v>
      </c>
      <c r="AW71" s="63">
        <v>0.0</v>
      </c>
      <c r="AX71" s="63">
        <v>0.0</v>
      </c>
      <c r="AY71" s="63">
        <v>0.0</v>
      </c>
      <c r="AZ71" s="63">
        <v>0.0</v>
      </c>
      <c r="BA71" s="63">
        <v>0.0</v>
      </c>
      <c r="BB71" s="63">
        <v>0.0</v>
      </c>
      <c r="BC71" s="63">
        <v>0.0</v>
      </c>
      <c r="BD71" s="63">
        <v>0.0</v>
      </c>
      <c r="BE71" s="64">
        <v>0.0</v>
      </c>
      <c r="BF71" s="65">
        <v>443932.0</v>
      </c>
      <c r="BG71" s="65">
        <v>0.0</v>
      </c>
      <c r="BH71" s="66">
        <v>443932.0</v>
      </c>
      <c r="BI71" s="67" t="str">
        <f t="shared" si="2"/>
        <v>#REF!</v>
      </c>
      <c r="BJ71" s="68" t="str">
        <f t="shared" si="3"/>
        <v>#REF!</v>
      </c>
      <c r="BK71" s="65">
        <v>562200.0</v>
      </c>
      <c r="BL71" s="65">
        <v>0.0</v>
      </c>
      <c r="BM71" s="66">
        <v>562200.0</v>
      </c>
      <c r="BN71" s="67" t="str">
        <f t="shared" si="4"/>
        <v>#REF!</v>
      </c>
      <c r="BO71" s="68" t="str">
        <f t="shared" si="5"/>
        <v>#REF!</v>
      </c>
      <c r="BP71" s="65">
        <v>0.0</v>
      </c>
      <c r="BQ71" s="65">
        <v>0.0</v>
      </c>
      <c r="BR71" s="66">
        <v>0.0</v>
      </c>
      <c r="BS71" s="67" t="str">
        <f t="shared" si="6"/>
        <v>#REF!</v>
      </c>
      <c r="BT71" s="68" t="str">
        <f>'[1]DATA CONSOLIDADA 2018-2025 '!$BR71-Hoja1!$BO71</f>
        <v>#REF!</v>
      </c>
      <c r="BU71" s="65">
        <v>0.0</v>
      </c>
      <c r="BV71" s="65">
        <v>0.0</v>
      </c>
      <c r="BW71" s="66">
        <v>0.0</v>
      </c>
      <c r="BX71" s="67" t="str">
        <f t="shared" si="7"/>
        <v>#REF!</v>
      </c>
      <c r="BY71" s="68" t="str">
        <f t="shared" si="8"/>
        <v>#REF!</v>
      </c>
      <c r="BZ71" s="65">
        <v>0.0</v>
      </c>
      <c r="CA71" s="65">
        <v>0.0</v>
      </c>
      <c r="CB71" s="66">
        <v>0.0</v>
      </c>
      <c r="CC71" s="67" t="str">
        <f t="shared" si="9"/>
        <v>#REF!</v>
      </c>
      <c r="CD71" s="68" t="str">
        <f>'[1]DATA CONSOLIDADA 2018-2025 '!$CB71-Hoja1!$BW71</f>
        <v>#REF!</v>
      </c>
      <c r="CE71" s="70">
        <v>0.0</v>
      </c>
      <c r="CF71" s="70">
        <v>0.0</v>
      </c>
      <c r="CG71" s="71">
        <v>0.0</v>
      </c>
      <c r="CH71" s="67" t="str">
        <f t="shared" si="10"/>
        <v>#REF!</v>
      </c>
      <c r="CI71" s="68" t="str">
        <f>'[1]DATA CONSOLIDADA 2018-2025 '!$CG71-Hoja1!$CB71</f>
        <v>#REF!</v>
      </c>
      <c r="CJ71" s="64" t="str">
        <f t="shared" si="11"/>
        <v>#REF!</v>
      </c>
      <c r="CK71" s="64">
        <v>0.0</v>
      </c>
      <c r="CL71" s="64">
        <v>0.0</v>
      </c>
      <c r="CM71" s="64">
        <v>0.0</v>
      </c>
      <c r="CN71" s="64" t="str">
        <f t="shared" si="12"/>
        <v>#REF!</v>
      </c>
      <c r="CO71" s="68" t="str">
        <f>'[1]DATA CONSOLIDADA 2018-2025 '!$CM71-Hoja1!$CG71</f>
        <v>#REF!</v>
      </c>
      <c r="CP71" s="70">
        <v>0.0</v>
      </c>
      <c r="CQ71" s="70">
        <v>0.0</v>
      </c>
      <c r="CR71" s="70">
        <v>0.0</v>
      </c>
      <c r="CS71" s="70">
        <v>0.0</v>
      </c>
      <c r="CT71" s="70">
        <v>0.0</v>
      </c>
      <c r="CU71" s="70">
        <v>0.0</v>
      </c>
      <c r="CV71" s="64">
        <v>0.0</v>
      </c>
      <c r="CW71" s="64">
        <v>0.0</v>
      </c>
      <c r="CX71" s="64">
        <v>0.0</v>
      </c>
      <c r="CY71" s="64">
        <v>0.0</v>
      </c>
      <c r="CZ71" s="64">
        <v>0.0</v>
      </c>
      <c r="DA71" s="64">
        <v>0.0</v>
      </c>
      <c r="DB71" s="64">
        <v>0.0</v>
      </c>
      <c r="DC71" s="72">
        <v>0.0</v>
      </c>
      <c r="DD71" s="72">
        <v>0.0</v>
      </c>
      <c r="DE71" s="72">
        <v>0.0</v>
      </c>
      <c r="DF71" s="72">
        <v>0.0</v>
      </c>
      <c r="DG71" s="72">
        <v>0.0</v>
      </c>
      <c r="DH71" s="72">
        <v>0.0</v>
      </c>
      <c r="DI71" s="73">
        <v>2.049493916E10</v>
      </c>
      <c r="DJ71" s="74" t="s">
        <v>365</v>
      </c>
      <c r="DK71" s="74" t="s">
        <v>138</v>
      </c>
      <c r="DL71" s="75"/>
      <c r="DM71" s="75"/>
      <c r="DN71" s="75"/>
      <c r="DO71" s="75"/>
      <c r="DP71" s="75"/>
      <c r="DQ71" s="75"/>
      <c r="DR71" s="75"/>
      <c r="DS71" s="75"/>
      <c r="DT71" s="75"/>
      <c r="DU71" s="75"/>
      <c r="DV71" s="75"/>
      <c r="DW71" s="75"/>
      <c r="DX71" s="75"/>
      <c r="DY71" s="75"/>
      <c r="DZ71" s="75"/>
      <c r="EA71" s="75"/>
      <c r="EB71" s="75"/>
      <c r="EC71" s="75"/>
      <c r="ED71" s="75"/>
      <c r="EE71" s="75"/>
    </row>
    <row r="72" ht="47.25" hidden="1" customHeight="1">
      <c r="A72" s="55" t="s">
        <v>366</v>
      </c>
      <c r="B72" s="55" t="s">
        <v>287</v>
      </c>
      <c r="C72" s="55" t="s">
        <v>287</v>
      </c>
      <c r="D72" s="55" t="s">
        <v>340</v>
      </c>
      <c r="E72" s="55" t="s">
        <v>367</v>
      </c>
      <c r="F72" s="55" t="s">
        <v>340</v>
      </c>
      <c r="G72" s="55" t="s">
        <v>360</v>
      </c>
      <c r="H72" s="55" t="s">
        <v>368</v>
      </c>
      <c r="I72" s="56">
        <v>1.0</v>
      </c>
      <c r="J72" s="56">
        <v>1.0</v>
      </c>
      <c r="K72" s="56">
        <v>1.0</v>
      </c>
      <c r="L72" s="56">
        <v>1.0</v>
      </c>
      <c r="M72" s="56"/>
      <c r="N72" s="56"/>
      <c r="O72" s="56"/>
      <c r="P72" s="56"/>
      <c r="Q72" s="56" t="s">
        <v>131</v>
      </c>
      <c r="R72" s="58" t="str">
        <f t="shared" si="1"/>
        <v>2018-2019-2020-2021</v>
      </c>
      <c r="S72" s="59" t="str">
        <f>SUM(Hoja1!$I72:$P72)</f>
        <v>4</v>
      </c>
      <c r="T72" s="59" t="str">
        <f>IF(OR(Hoja1!$J72=1,Hoja1!$K72=1,Hoja1!$L72=1,Hoja1!$M72=1,Hoja1!$N72=1,Hoja1!$O72=1,Hoja1!$P72=1),"SI","NO")</f>
        <v>SI</v>
      </c>
      <c r="U72" s="59" t="str">
        <f>IF(OR(Hoja1!$K72=1,Hoja1!$L72=1,Hoja1!$M72=1,Hoja1!$N72=1,Hoja1!$O72=1,Hoja1!$P72=1),"SI","NO")</f>
        <v>SI</v>
      </c>
      <c r="V72" s="60">
        <v>23.0</v>
      </c>
      <c r="W72" s="61">
        <v>20.0</v>
      </c>
      <c r="X72" s="61">
        <v>3.0</v>
      </c>
      <c r="Y72" s="60">
        <v>23.0</v>
      </c>
      <c r="Z72" s="61">
        <v>20.0</v>
      </c>
      <c r="AA72" s="61">
        <v>3.0</v>
      </c>
      <c r="AB72" s="60">
        <v>23.0</v>
      </c>
      <c r="AC72" s="61">
        <v>20.0</v>
      </c>
      <c r="AD72" s="61">
        <v>3.0</v>
      </c>
      <c r="AE72" s="60">
        <v>23.0</v>
      </c>
      <c r="AF72" s="61">
        <v>0.0</v>
      </c>
      <c r="AG72" s="61">
        <v>0.0</v>
      </c>
      <c r="AH72" s="60">
        <v>0.0</v>
      </c>
      <c r="AI72" s="61">
        <v>0.0</v>
      </c>
      <c r="AJ72" s="61">
        <v>0.0</v>
      </c>
      <c r="AK72" s="60">
        <v>0.0</v>
      </c>
      <c r="AL72" s="61">
        <v>0.0</v>
      </c>
      <c r="AM72" s="61">
        <v>0.0</v>
      </c>
      <c r="AN72" s="60">
        <v>0.0</v>
      </c>
      <c r="AO72" s="62">
        <v>0.0</v>
      </c>
      <c r="AP72" s="62">
        <v>0.0</v>
      </c>
      <c r="AQ72" s="60">
        <v>0.0</v>
      </c>
      <c r="AR72" s="60" t="str">
        <f>IF(Hoja1!$AQ72&gt;0,Hoja1!$AQ72,IF(Hoja1!$AN72&gt;0,Hoja1!$AN72,IF(Hoja1!$AK72&gt;0,Hoja1!$AK72,IF(Hoja1!$AH72&gt;0,Hoja1!$AH72,IF(Hoja1!$AE72&gt;0,Hoja1!$AE72,IF(Hoja1!$AB72&gt;0,Hoja1!$AB72,IF(Hoja1!$Y72&gt;0,Hoja1!$Y72,IF(Hoja1!$V72&gt;0,Hoja1!$V72," ---"))))))))</f>
        <v>23</v>
      </c>
      <c r="AS72" s="63">
        <v>0.0</v>
      </c>
      <c r="AT72" s="63">
        <v>0.0</v>
      </c>
      <c r="AU72" s="63">
        <v>31.0</v>
      </c>
      <c r="AV72" s="63">
        <v>9.0</v>
      </c>
      <c r="AW72" s="63">
        <v>0.0</v>
      </c>
      <c r="AX72" s="63">
        <v>0.0</v>
      </c>
      <c r="AY72" s="63">
        <v>0.0</v>
      </c>
      <c r="AZ72" s="63">
        <v>0.0</v>
      </c>
      <c r="BA72" s="63">
        <v>0.0</v>
      </c>
      <c r="BB72" s="63">
        <v>0.0</v>
      </c>
      <c r="BC72" s="63">
        <v>0.0</v>
      </c>
      <c r="BD72" s="63">
        <v>0.0</v>
      </c>
      <c r="BE72" s="64">
        <v>0.0</v>
      </c>
      <c r="BF72" s="65">
        <v>5125.39</v>
      </c>
      <c r="BG72" s="65">
        <v>0.0</v>
      </c>
      <c r="BH72" s="66">
        <v>5125.39</v>
      </c>
      <c r="BI72" s="67" t="str">
        <f t="shared" si="2"/>
        <v>#REF!</v>
      </c>
      <c r="BJ72" s="68" t="str">
        <f t="shared" si="3"/>
        <v>#REF!</v>
      </c>
      <c r="BK72" s="65">
        <v>0.0</v>
      </c>
      <c r="BL72" s="65">
        <v>0.0</v>
      </c>
      <c r="BM72" s="66">
        <v>0.0</v>
      </c>
      <c r="BN72" s="67" t="str">
        <f t="shared" si="4"/>
        <v>#REF!</v>
      </c>
      <c r="BO72" s="68" t="str">
        <f t="shared" si="5"/>
        <v>#REF!</v>
      </c>
      <c r="BP72" s="65">
        <v>9517.8</v>
      </c>
      <c r="BQ72" s="65">
        <v>0.0</v>
      </c>
      <c r="BR72" s="66">
        <v>9517.8</v>
      </c>
      <c r="BS72" s="67" t="str">
        <f t="shared" si="6"/>
        <v>#REF!</v>
      </c>
      <c r="BT72" s="68" t="str">
        <f>'[1]DATA CONSOLIDADA 2018-2025 '!$BR72-Hoja1!$BO72</f>
        <v>#REF!</v>
      </c>
      <c r="BU72" s="65">
        <v>0.0</v>
      </c>
      <c r="BV72" s="65">
        <v>0.0</v>
      </c>
      <c r="BW72" s="66">
        <v>0.0</v>
      </c>
      <c r="BX72" s="67" t="str">
        <f t="shared" si="7"/>
        <v>#REF!</v>
      </c>
      <c r="BY72" s="68" t="str">
        <f t="shared" si="8"/>
        <v>#REF!</v>
      </c>
      <c r="BZ72" s="65">
        <v>0.0</v>
      </c>
      <c r="CA72" s="65">
        <v>0.0</v>
      </c>
      <c r="CB72" s="66">
        <v>0.0</v>
      </c>
      <c r="CC72" s="67" t="str">
        <f t="shared" si="9"/>
        <v>#REF!</v>
      </c>
      <c r="CD72" s="68" t="str">
        <f>'[1]DATA CONSOLIDADA 2018-2025 '!$CB72-Hoja1!$BW72</f>
        <v>#REF!</v>
      </c>
      <c r="CE72" s="70">
        <v>0.0</v>
      </c>
      <c r="CF72" s="70">
        <v>0.0</v>
      </c>
      <c r="CG72" s="71">
        <v>0.0</v>
      </c>
      <c r="CH72" s="67" t="str">
        <f t="shared" si="10"/>
        <v>#REF!</v>
      </c>
      <c r="CI72" s="68" t="str">
        <f>'[1]DATA CONSOLIDADA 2018-2025 '!$CG72-Hoja1!$CB72</f>
        <v>#REF!</v>
      </c>
      <c r="CJ72" s="64" t="str">
        <f t="shared" si="11"/>
        <v>#REF!</v>
      </c>
      <c r="CK72" s="64">
        <v>0.0</v>
      </c>
      <c r="CL72" s="64">
        <v>0.0</v>
      </c>
      <c r="CM72" s="64">
        <v>0.0</v>
      </c>
      <c r="CN72" s="64" t="str">
        <f t="shared" si="12"/>
        <v>#REF!</v>
      </c>
      <c r="CO72" s="68" t="str">
        <f>'[1]DATA CONSOLIDADA 2018-2025 '!$CM72-Hoja1!$CG72</f>
        <v>#REF!</v>
      </c>
      <c r="CP72" s="70">
        <v>0.0</v>
      </c>
      <c r="CQ72" s="70">
        <v>0.0</v>
      </c>
      <c r="CR72" s="70">
        <v>0.0</v>
      </c>
      <c r="CS72" s="70">
        <v>0.0</v>
      </c>
      <c r="CT72" s="70">
        <v>0.0</v>
      </c>
      <c r="CU72" s="70">
        <v>0.0</v>
      </c>
      <c r="CV72" s="64">
        <v>0.0</v>
      </c>
      <c r="CW72" s="64">
        <v>0.0</v>
      </c>
      <c r="CX72" s="64">
        <v>0.0</v>
      </c>
      <c r="CY72" s="64">
        <v>0.0</v>
      </c>
      <c r="CZ72" s="64">
        <v>0.0</v>
      </c>
      <c r="DA72" s="64">
        <v>0.0</v>
      </c>
      <c r="DB72" s="64">
        <v>0.0</v>
      </c>
      <c r="DC72" s="72">
        <v>0.0</v>
      </c>
      <c r="DD72" s="72">
        <v>0.0</v>
      </c>
      <c r="DE72" s="72">
        <v>0.0</v>
      </c>
      <c r="DF72" s="72">
        <v>0.0</v>
      </c>
      <c r="DG72" s="72">
        <v>0.0</v>
      </c>
      <c r="DH72" s="72">
        <v>0.0</v>
      </c>
      <c r="DI72" s="73">
        <v>2.0601590621E10</v>
      </c>
      <c r="DJ72" s="74" t="s">
        <v>369</v>
      </c>
      <c r="DK72" s="74" t="s">
        <v>132</v>
      </c>
      <c r="DL72" s="75"/>
      <c r="DM72" s="75"/>
      <c r="DN72" s="75"/>
      <c r="DO72" s="75"/>
      <c r="DP72" s="75"/>
      <c r="DQ72" s="75"/>
      <c r="DR72" s="75"/>
      <c r="DS72" s="75"/>
      <c r="DT72" s="75"/>
      <c r="DU72" s="75"/>
      <c r="DV72" s="75"/>
      <c r="DW72" s="75"/>
      <c r="DX72" s="75"/>
      <c r="DY72" s="75"/>
      <c r="DZ72" s="75"/>
      <c r="EA72" s="75"/>
      <c r="EB72" s="75"/>
      <c r="EC72" s="75"/>
      <c r="ED72" s="75"/>
      <c r="EE72" s="75"/>
    </row>
    <row r="73" ht="47.25" hidden="1" customHeight="1">
      <c r="A73" s="55" t="s">
        <v>370</v>
      </c>
      <c r="B73" s="55" t="s">
        <v>166</v>
      </c>
      <c r="C73" s="55" t="s">
        <v>166</v>
      </c>
      <c r="D73" s="55" t="s">
        <v>340</v>
      </c>
      <c r="E73" s="55" t="s">
        <v>371</v>
      </c>
      <c r="F73" s="55" t="s">
        <v>340</v>
      </c>
      <c r="G73" s="55" t="s">
        <v>342</v>
      </c>
      <c r="H73" s="55" t="s">
        <v>372</v>
      </c>
      <c r="I73" s="56">
        <v>1.0</v>
      </c>
      <c r="J73" s="56">
        <v>1.0</v>
      </c>
      <c r="K73" s="56">
        <v>1.0</v>
      </c>
      <c r="L73" s="56">
        <v>1.0</v>
      </c>
      <c r="M73" s="56">
        <v>1.0</v>
      </c>
      <c r="N73" s="56"/>
      <c r="O73" s="56"/>
      <c r="P73" s="56"/>
      <c r="Q73" s="56" t="s">
        <v>131</v>
      </c>
      <c r="R73" s="58" t="str">
        <f t="shared" si="1"/>
        <v>2018-2019-2020-2021-2022</v>
      </c>
      <c r="S73" s="59" t="str">
        <f>SUM(Hoja1!$I73:$P73)</f>
        <v>5</v>
      </c>
      <c r="T73" s="59" t="str">
        <f>IF(OR(Hoja1!$J73=1,Hoja1!$K73=1,Hoja1!$L73=1,Hoja1!$M73=1,Hoja1!$N73=1,Hoja1!$O73=1,Hoja1!$P73=1),"SI","NO")</f>
        <v>SI</v>
      </c>
      <c r="U73" s="59" t="str">
        <f>IF(OR(Hoja1!$K73=1,Hoja1!$L73=1,Hoja1!$M73=1,Hoja1!$N73=1,Hoja1!$O73=1,Hoja1!$P73=1),"SI","NO")</f>
        <v>SI</v>
      </c>
      <c r="V73" s="60">
        <v>76.0</v>
      </c>
      <c r="W73" s="61">
        <v>67.0</v>
      </c>
      <c r="X73" s="61">
        <v>9.0</v>
      </c>
      <c r="Y73" s="60">
        <v>76.0</v>
      </c>
      <c r="Z73" s="61">
        <v>48.0</v>
      </c>
      <c r="AA73" s="61">
        <v>7.0</v>
      </c>
      <c r="AB73" s="60">
        <v>55.0</v>
      </c>
      <c r="AC73" s="61">
        <v>64.0</v>
      </c>
      <c r="AD73" s="61">
        <v>10.0</v>
      </c>
      <c r="AE73" s="60">
        <v>74.0</v>
      </c>
      <c r="AF73" s="61">
        <v>64.0</v>
      </c>
      <c r="AG73" s="61">
        <v>10.0</v>
      </c>
      <c r="AH73" s="60">
        <v>74.0</v>
      </c>
      <c r="AI73" s="61">
        <v>0.0</v>
      </c>
      <c r="AJ73" s="61">
        <v>0.0</v>
      </c>
      <c r="AK73" s="60">
        <v>0.0</v>
      </c>
      <c r="AL73" s="61">
        <v>0.0</v>
      </c>
      <c r="AM73" s="61">
        <v>0.0</v>
      </c>
      <c r="AN73" s="60">
        <v>0.0</v>
      </c>
      <c r="AO73" s="62">
        <v>0.0</v>
      </c>
      <c r="AP73" s="62">
        <v>0.0</v>
      </c>
      <c r="AQ73" s="60">
        <v>0.0</v>
      </c>
      <c r="AR73" s="60" t="str">
        <f>IF(Hoja1!$AQ73&gt;0,Hoja1!$AQ73,IF(Hoja1!$AN73&gt;0,Hoja1!$AN73,IF(Hoja1!$AK73&gt;0,Hoja1!$AK73,IF(Hoja1!$AH73&gt;0,Hoja1!$AH73,IF(Hoja1!$AE73&gt;0,Hoja1!$AE73,IF(Hoja1!$AB73&gt;0,Hoja1!$AB73,IF(Hoja1!$Y73&gt;0,Hoja1!$Y73,IF(Hoja1!$V73&gt;0,Hoja1!$V73," ---"))))))))</f>
        <v>74</v>
      </c>
      <c r="AS73" s="63">
        <v>0.0</v>
      </c>
      <c r="AT73" s="63">
        <v>3.0</v>
      </c>
      <c r="AU73" s="63">
        <v>23.0</v>
      </c>
      <c r="AV73" s="63">
        <v>7.0</v>
      </c>
      <c r="AW73" s="63">
        <v>17.0</v>
      </c>
      <c r="AX73" s="63">
        <v>2.0</v>
      </c>
      <c r="AY73" s="63">
        <v>0.0</v>
      </c>
      <c r="AZ73" s="63">
        <v>0.0</v>
      </c>
      <c r="BA73" s="63">
        <v>0.0</v>
      </c>
      <c r="BB73" s="63">
        <v>0.0</v>
      </c>
      <c r="BC73" s="63">
        <v>0.0</v>
      </c>
      <c r="BD73" s="63">
        <v>0.0</v>
      </c>
      <c r="BE73" s="64">
        <v>0.0</v>
      </c>
      <c r="BF73" s="65">
        <v>0.0</v>
      </c>
      <c r="BG73" s="65">
        <v>0.0</v>
      </c>
      <c r="BH73" s="66">
        <v>0.0</v>
      </c>
      <c r="BI73" s="67" t="str">
        <f t="shared" si="2"/>
        <v>#REF!</v>
      </c>
      <c r="BJ73" s="68" t="str">
        <f t="shared" si="3"/>
        <v>#REF!</v>
      </c>
      <c r="BK73" s="65">
        <v>201381.5</v>
      </c>
      <c r="BL73" s="65">
        <v>0.0</v>
      </c>
      <c r="BM73" s="66">
        <v>201381.5</v>
      </c>
      <c r="BN73" s="67" t="str">
        <f t="shared" si="4"/>
        <v>#REF!</v>
      </c>
      <c r="BO73" s="68" t="str">
        <f t="shared" si="5"/>
        <v>#REF!</v>
      </c>
      <c r="BP73" s="65">
        <v>473731.18</v>
      </c>
      <c r="BQ73" s="65">
        <v>0.0</v>
      </c>
      <c r="BR73" s="66">
        <v>473731.18</v>
      </c>
      <c r="BS73" s="67" t="str">
        <f t="shared" si="6"/>
        <v>#REF!</v>
      </c>
      <c r="BT73" s="68" t="str">
        <f>'[1]DATA CONSOLIDADA 2018-2025 '!$BR73-Hoja1!$BO73</f>
        <v>#REF!</v>
      </c>
      <c r="BU73" s="65">
        <v>688066.53</v>
      </c>
      <c r="BV73" s="65">
        <v>0.0</v>
      </c>
      <c r="BW73" s="66">
        <v>688066.53</v>
      </c>
      <c r="BX73" s="67" t="str">
        <f t="shared" si="7"/>
        <v>#REF!</v>
      </c>
      <c r="BY73" s="68" t="str">
        <f t="shared" si="8"/>
        <v>#REF!</v>
      </c>
      <c r="BZ73" s="65">
        <v>0.0</v>
      </c>
      <c r="CA73" s="65">
        <v>0.0</v>
      </c>
      <c r="CB73" s="66">
        <v>0.0</v>
      </c>
      <c r="CC73" s="67" t="str">
        <f t="shared" si="9"/>
        <v>#REF!</v>
      </c>
      <c r="CD73" s="68" t="str">
        <f>'[1]DATA CONSOLIDADA 2018-2025 '!$CB73-Hoja1!$BW73</f>
        <v>#REF!</v>
      </c>
      <c r="CE73" s="70">
        <v>0.0</v>
      </c>
      <c r="CF73" s="70">
        <v>0.0</v>
      </c>
      <c r="CG73" s="71">
        <v>0.0</v>
      </c>
      <c r="CH73" s="67" t="str">
        <f t="shared" si="10"/>
        <v>#REF!</v>
      </c>
      <c r="CI73" s="68" t="str">
        <f>'[1]DATA CONSOLIDADA 2018-2025 '!$CG73-Hoja1!$CB73</f>
        <v>#REF!</v>
      </c>
      <c r="CJ73" s="64" t="str">
        <f t="shared" si="11"/>
        <v>#REF!</v>
      </c>
      <c r="CK73" s="64">
        <v>0.0</v>
      </c>
      <c r="CL73" s="64">
        <v>0.0</v>
      </c>
      <c r="CM73" s="64">
        <v>0.0</v>
      </c>
      <c r="CN73" s="64" t="str">
        <f t="shared" si="12"/>
        <v>#REF!</v>
      </c>
      <c r="CO73" s="68" t="str">
        <f>'[1]DATA CONSOLIDADA 2018-2025 '!$CM73-Hoja1!$CG73</f>
        <v>#REF!</v>
      </c>
      <c r="CP73" s="70">
        <v>0.0</v>
      </c>
      <c r="CQ73" s="70">
        <v>0.0</v>
      </c>
      <c r="CR73" s="70">
        <v>0.0</v>
      </c>
      <c r="CS73" s="70">
        <v>0.0</v>
      </c>
      <c r="CT73" s="70">
        <v>0.0</v>
      </c>
      <c r="CU73" s="70">
        <v>0.0</v>
      </c>
      <c r="CV73" s="64">
        <v>0.0</v>
      </c>
      <c r="CW73" s="64">
        <v>0.0</v>
      </c>
      <c r="CX73" s="64">
        <v>0.0</v>
      </c>
      <c r="CY73" s="64">
        <v>0.0</v>
      </c>
      <c r="CZ73" s="64">
        <v>0.0</v>
      </c>
      <c r="DA73" s="64">
        <v>0.0</v>
      </c>
      <c r="DB73" s="64">
        <v>0.0</v>
      </c>
      <c r="DC73" s="72">
        <v>0.0</v>
      </c>
      <c r="DD73" s="72">
        <v>0.0</v>
      </c>
      <c r="DE73" s="72">
        <v>0.0</v>
      </c>
      <c r="DF73" s="72">
        <v>0.0</v>
      </c>
      <c r="DG73" s="72">
        <v>0.0</v>
      </c>
      <c r="DH73" s="72">
        <v>0.0</v>
      </c>
      <c r="DI73" s="73">
        <v>2.0534847352E10</v>
      </c>
      <c r="DJ73" s="74" t="s">
        <v>370</v>
      </c>
      <c r="DK73" s="74" t="s">
        <v>132</v>
      </c>
      <c r="DL73" s="75"/>
      <c r="DM73" s="75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75"/>
      <c r="EC73" s="75"/>
      <c r="ED73" s="75"/>
      <c r="EE73" s="75"/>
    </row>
    <row r="74" ht="47.25" hidden="1" customHeight="1">
      <c r="A74" s="55" t="s">
        <v>373</v>
      </c>
      <c r="B74" s="55" t="s">
        <v>166</v>
      </c>
      <c r="C74" s="55" t="s">
        <v>166</v>
      </c>
      <c r="D74" s="55" t="s">
        <v>340</v>
      </c>
      <c r="E74" s="55" t="s">
        <v>374</v>
      </c>
      <c r="F74" s="55" t="s">
        <v>340</v>
      </c>
      <c r="G74" s="55" t="s">
        <v>375</v>
      </c>
      <c r="H74" s="55" t="s">
        <v>376</v>
      </c>
      <c r="I74" s="56"/>
      <c r="J74" s="56">
        <v>1.0</v>
      </c>
      <c r="K74" s="56">
        <v>1.0</v>
      </c>
      <c r="L74" s="56">
        <v>1.0</v>
      </c>
      <c r="M74" s="56">
        <v>1.0</v>
      </c>
      <c r="N74" s="56"/>
      <c r="O74" s="56"/>
      <c r="P74" s="56"/>
      <c r="Q74" s="56" t="s">
        <v>131</v>
      </c>
      <c r="R74" s="58" t="str">
        <f t="shared" si="1"/>
        <v>2019-2020-2021-2022</v>
      </c>
      <c r="S74" s="59" t="str">
        <f>SUM(Hoja1!$I74:$P74)</f>
        <v>4</v>
      </c>
      <c r="T74" s="59" t="str">
        <f>IF(OR(Hoja1!$J74=1,Hoja1!$K74=1,Hoja1!$L74=1,Hoja1!$M74=1,Hoja1!$N74=1,Hoja1!$O74=1,Hoja1!$P74=1),"SI","NO")</f>
        <v>SI</v>
      </c>
      <c r="U74" s="59" t="str">
        <f>IF(OR(Hoja1!$K74=1,Hoja1!$L74=1,Hoja1!$M74=1,Hoja1!$N74=1,Hoja1!$O74=1,Hoja1!$P74=1),"SI","NO")</f>
        <v>SI</v>
      </c>
      <c r="V74" s="60">
        <v>0.0</v>
      </c>
      <c r="W74" s="61">
        <v>30.0</v>
      </c>
      <c r="X74" s="61">
        <v>11.0</v>
      </c>
      <c r="Y74" s="60">
        <v>41.0</v>
      </c>
      <c r="Z74" s="61">
        <v>23.0</v>
      </c>
      <c r="AA74" s="61">
        <v>4.0</v>
      </c>
      <c r="AB74" s="60">
        <v>27.0</v>
      </c>
      <c r="AC74" s="61">
        <v>23.0</v>
      </c>
      <c r="AD74" s="61">
        <v>5.0</v>
      </c>
      <c r="AE74" s="60">
        <v>28.0</v>
      </c>
      <c r="AF74" s="61">
        <v>23.0</v>
      </c>
      <c r="AG74" s="61">
        <v>5.0</v>
      </c>
      <c r="AH74" s="60">
        <v>28.0</v>
      </c>
      <c r="AI74" s="61">
        <v>0.0</v>
      </c>
      <c r="AJ74" s="61">
        <v>0.0</v>
      </c>
      <c r="AK74" s="60">
        <v>0.0</v>
      </c>
      <c r="AL74" s="61">
        <v>0.0</v>
      </c>
      <c r="AM74" s="61">
        <v>0.0</v>
      </c>
      <c r="AN74" s="60">
        <v>0.0</v>
      </c>
      <c r="AO74" s="62">
        <v>0.0</v>
      </c>
      <c r="AP74" s="62">
        <v>0.0</v>
      </c>
      <c r="AQ74" s="60">
        <v>0.0</v>
      </c>
      <c r="AR74" s="60" t="str">
        <f>IF(Hoja1!$AQ74&gt;0,Hoja1!$AQ74,IF(Hoja1!$AN74&gt;0,Hoja1!$AN74,IF(Hoja1!$AK74&gt;0,Hoja1!$AK74,IF(Hoja1!$AH74&gt;0,Hoja1!$AH74,IF(Hoja1!$AE74&gt;0,Hoja1!$AE74,IF(Hoja1!$AB74&gt;0,Hoja1!$AB74,IF(Hoja1!$Y74&gt;0,Hoja1!$Y74,IF(Hoja1!$V74&gt;0,Hoja1!$V74," ---"))))))))</f>
        <v>28</v>
      </c>
      <c r="AS74" s="63">
        <v>0.0</v>
      </c>
      <c r="AT74" s="63">
        <v>3.0</v>
      </c>
      <c r="AU74" s="63">
        <v>23.0</v>
      </c>
      <c r="AV74" s="63">
        <v>6.0</v>
      </c>
      <c r="AW74" s="63">
        <v>17.0</v>
      </c>
      <c r="AX74" s="63">
        <v>2.0</v>
      </c>
      <c r="AY74" s="63">
        <v>0.0</v>
      </c>
      <c r="AZ74" s="63">
        <v>0.0</v>
      </c>
      <c r="BA74" s="63">
        <v>0.0</v>
      </c>
      <c r="BB74" s="63">
        <v>0.0</v>
      </c>
      <c r="BC74" s="63">
        <v>0.0</v>
      </c>
      <c r="BD74" s="63">
        <v>0.0</v>
      </c>
      <c r="BE74" s="64">
        <v>0.0</v>
      </c>
      <c r="BF74" s="65">
        <v>137850.31</v>
      </c>
      <c r="BG74" s="65">
        <v>0.0</v>
      </c>
      <c r="BH74" s="66">
        <v>137850.31</v>
      </c>
      <c r="BI74" s="67" t="str">
        <f t="shared" si="2"/>
        <v>#REF!</v>
      </c>
      <c r="BJ74" s="68" t="str">
        <f t="shared" si="3"/>
        <v>#REF!</v>
      </c>
      <c r="BK74" s="65">
        <v>437011.87</v>
      </c>
      <c r="BL74" s="65">
        <v>0.0</v>
      </c>
      <c r="BM74" s="66">
        <v>437011.87</v>
      </c>
      <c r="BN74" s="67" t="str">
        <f t="shared" si="4"/>
        <v>#REF!</v>
      </c>
      <c r="BO74" s="68" t="str">
        <f t="shared" si="5"/>
        <v>#REF!</v>
      </c>
      <c r="BP74" s="65">
        <v>712710.03</v>
      </c>
      <c r="BQ74" s="65">
        <v>0.0</v>
      </c>
      <c r="BR74" s="66">
        <v>712710.03</v>
      </c>
      <c r="BS74" s="67" t="str">
        <f t="shared" si="6"/>
        <v>#REF!</v>
      </c>
      <c r="BT74" s="68" t="str">
        <f>'[1]DATA CONSOLIDADA 2018-2025 '!$BR74-Hoja1!$BO74</f>
        <v>#REF!</v>
      </c>
      <c r="BU74" s="65">
        <v>275523.33</v>
      </c>
      <c r="BV74" s="65">
        <v>0.0</v>
      </c>
      <c r="BW74" s="66">
        <v>275523.33</v>
      </c>
      <c r="BX74" s="67" t="str">
        <f t="shared" si="7"/>
        <v>#REF!</v>
      </c>
      <c r="BY74" s="68" t="str">
        <f t="shared" si="8"/>
        <v>#REF!</v>
      </c>
      <c r="BZ74" s="65">
        <v>0.0</v>
      </c>
      <c r="CA74" s="65">
        <v>0.0</v>
      </c>
      <c r="CB74" s="66">
        <v>0.0</v>
      </c>
      <c r="CC74" s="67" t="str">
        <f t="shared" si="9"/>
        <v>#REF!</v>
      </c>
      <c r="CD74" s="68" t="str">
        <f>'[1]DATA CONSOLIDADA 2018-2025 '!$CB74-Hoja1!$BW74</f>
        <v>#REF!</v>
      </c>
      <c r="CE74" s="70">
        <v>0.0</v>
      </c>
      <c r="CF74" s="70">
        <v>0.0</v>
      </c>
      <c r="CG74" s="71">
        <v>0.0</v>
      </c>
      <c r="CH74" s="67" t="str">
        <f t="shared" si="10"/>
        <v>#REF!</v>
      </c>
      <c r="CI74" s="68" t="str">
        <f>'[1]DATA CONSOLIDADA 2018-2025 '!$CG74-Hoja1!$CB74</f>
        <v>#REF!</v>
      </c>
      <c r="CJ74" s="64" t="str">
        <f t="shared" si="11"/>
        <v>#REF!</v>
      </c>
      <c r="CK74" s="64">
        <v>0.0</v>
      </c>
      <c r="CL74" s="64">
        <v>0.0</v>
      </c>
      <c r="CM74" s="64">
        <v>0.0</v>
      </c>
      <c r="CN74" s="64" t="str">
        <f t="shared" si="12"/>
        <v>#REF!</v>
      </c>
      <c r="CO74" s="68" t="str">
        <f>'[1]DATA CONSOLIDADA 2018-2025 '!$CM74-Hoja1!$CG74</f>
        <v>#REF!</v>
      </c>
      <c r="CP74" s="70">
        <v>0.0</v>
      </c>
      <c r="CQ74" s="70">
        <v>0.0</v>
      </c>
      <c r="CR74" s="70">
        <v>0.0</v>
      </c>
      <c r="CS74" s="70">
        <v>0.0</v>
      </c>
      <c r="CT74" s="70">
        <v>0.0</v>
      </c>
      <c r="CU74" s="70">
        <v>0.0</v>
      </c>
      <c r="CV74" s="64">
        <v>0.0</v>
      </c>
      <c r="CW74" s="64">
        <v>0.0</v>
      </c>
      <c r="CX74" s="64">
        <v>0.0</v>
      </c>
      <c r="CY74" s="64">
        <v>0.0</v>
      </c>
      <c r="CZ74" s="64">
        <v>0.0</v>
      </c>
      <c r="DA74" s="64">
        <v>0.0</v>
      </c>
      <c r="DB74" s="64">
        <v>0.0</v>
      </c>
      <c r="DC74" s="72">
        <v>0.0</v>
      </c>
      <c r="DD74" s="72">
        <v>0.0</v>
      </c>
      <c r="DE74" s="72">
        <v>0.0</v>
      </c>
      <c r="DF74" s="72">
        <v>0.0</v>
      </c>
      <c r="DG74" s="72">
        <v>0.0</v>
      </c>
      <c r="DH74" s="72">
        <v>0.0</v>
      </c>
      <c r="DI74" s="73">
        <v>2.0574683867E10</v>
      </c>
      <c r="DJ74" s="74" t="s">
        <v>373</v>
      </c>
      <c r="DK74" s="74" t="s">
        <v>138</v>
      </c>
      <c r="DL74" s="75"/>
      <c r="DM74" s="75"/>
      <c r="DN74" s="75"/>
      <c r="DO74" s="75"/>
      <c r="DP74" s="75"/>
      <c r="DQ74" s="75"/>
      <c r="DR74" s="75"/>
      <c r="DS74" s="75"/>
      <c r="DT74" s="75"/>
      <c r="DU74" s="75"/>
      <c r="DV74" s="75"/>
      <c r="DW74" s="75"/>
      <c r="DX74" s="75"/>
      <c r="DY74" s="75"/>
      <c r="DZ74" s="75"/>
      <c r="EA74" s="75"/>
      <c r="EB74" s="75"/>
      <c r="EC74" s="75"/>
      <c r="ED74" s="75"/>
      <c r="EE74" s="75"/>
    </row>
    <row r="75" ht="47.25" hidden="1" customHeight="1">
      <c r="A75" s="55" t="s">
        <v>377</v>
      </c>
      <c r="B75" s="55" t="s">
        <v>166</v>
      </c>
      <c r="C75" s="55" t="s">
        <v>166</v>
      </c>
      <c r="D75" s="55" t="s">
        <v>340</v>
      </c>
      <c r="E75" s="55" t="s">
        <v>374</v>
      </c>
      <c r="F75" s="55" t="s">
        <v>340</v>
      </c>
      <c r="G75" s="55" t="s">
        <v>375</v>
      </c>
      <c r="H75" s="55" t="s">
        <v>376</v>
      </c>
      <c r="I75" s="56"/>
      <c r="J75" s="56">
        <v>1.0</v>
      </c>
      <c r="K75" s="56">
        <v>1.0</v>
      </c>
      <c r="L75" s="56">
        <v>1.0</v>
      </c>
      <c r="M75" s="56">
        <v>1.0</v>
      </c>
      <c r="N75" s="56"/>
      <c r="O75" s="56"/>
      <c r="P75" s="56"/>
      <c r="Q75" s="56" t="s">
        <v>131</v>
      </c>
      <c r="R75" s="58" t="str">
        <f t="shared" si="1"/>
        <v>2019-2020-2021-2022</v>
      </c>
      <c r="S75" s="59" t="str">
        <f>SUM(Hoja1!$I75:$P75)</f>
        <v>4</v>
      </c>
      <c r="T75" s="59" t="str">
        <f>IF(OR(Hoja1!$J75=1,Hoja1!$K75=1,Hoja1!$L75=1,Hoja1!$M75=1,Hoja1!$N75=1,Hoja1!$O75=1,Hoja1!$P75=1),"SI","NO")</f>
        <v>SI</v>
      </c>
      <c r="U75" s="59" t="str">
        <f>IF(OR(Hoja1!$K75=1,Hoja1!$L75=1,Hoja1!$M75=1,Hoja1!$N75=1,Hoja1!$O75=1,Hoja1!$P75=1),"SI","NO")</f>
        <v>SI</v>
      </c>
      <c r="V75" s="60">
        <v>0.0</v>
      </c>
      <c r="W75" s="61">
        <v>47.0</v>
      </c>
      <c r="X75" s="61">
        <v>20.0</v>
      </c>
      <c r="Y75" s="60">
        <v>67.0</v>
      </c>
      <c r="Z75" s="61">
        <v>33.0</v>
      </c>
      <c r="AA75" s="61">
        <v>15.0</v>
      </c>
      <c r="AB75" s="60">
        <v>48.0</v>
      </c>
      <c r="AC75" s="61">
        <v>30.0</v>
      </c>
      <c r="AD75" s="61">
        <v>20.0</v>
      </c>
      <c r="AE75" s="60">
        <v>50.0</v>
      </c>
      <c r="AF75" s="61">
        <v>30.0</v>
      </c>
      <c r="AG75" s="61">
        <v>20.0</v>
      </c>
      <c r="AH75" s="60">
        <v>50.0</v>
      </c>
      <c r="AI75" s="61">
        <v>0.0</v>
      </c>
      <c r="AJ75" s="61">
        <v>0.0</v>
      </c>
      <c r="AK75" s="60">
        <v>0.0</v>
      </c>
      <c r="AL75" s="61">
        <v>0.0</v>
      </c>
      <c r="AM75" s="61">
        <v>0.0</v>
      </c>
      <c r="AN75" s="60">
        <v>0.0</v>
      </c>
      <c r="AO75" s="62">
        <v>0.0</v>
      </c>
      <c r="AP75" s="62">
        <v>0.0</v>
      </c>
      <c r="AQ75" s="60">
        <v>0.0</v>
      </c>
      <c r="AR75" s="60" t="str">
        <f>IF(Hoja1!$AQ75&gt;0,Hoja1!$AQ75,IF(Hoja1!$AN75&gt;0,Hoja1!$AN75,IF(Hoja1!$AK75&gt;0,Hoja1!$AK75,IF(Hoja1!$AH75&gt;0,Hoja1!$AH75,IF(Hoja1!$AE75&gt;0,Hoja1!$AE75,IF(Hoja1!$AB75&gt;0,Hoja1!$AB75,IF(Hoja1!$Y75&gt;0,Hoja1!$Y75,IF(Hoja1!$V75&gt;0,Hoja1!$V75," ---"))))))))</f>
        <v>50</v>
      </c>
      <c r="AS75" s="63">
        <v>0.0</v>
      </c>
      <c r="AT75" s="63">
        <v>3.0</v>
      </c>
      <c r="AU75" s="63">
        <v>26.0</v>
      </c>
      <c r="AV75" s="63">
        <v>7.0</v>
      </c>
      <c r="AW75" s="63">
        <v>17.0</v>
      </c>
      <c r="AX75" s="63">
        <v>3.0</v>
      </c>
      <c r="AY75" s="63">
        <v>0.0</v>
      </c>
      <c r="AZ75" s="63">
        <v>0.0</v>
      </c>
      <c r="BA75" s="63">
        <v>0.0</v>
      </c>
      <c r="BB75" s="63">
        <v>0.0</v>
      </c>
      <c r="BC75" s="63">
        <v>0.0</v>
      </c>
      <c r="BD75" s="63">
        <v>0.0</v>
      </c>
      <c r="BE75" s="64">
        <v>0.0</v>
      </c>
      <c r="BF75" s="65">
        <v>1045488.32</v>
      </c>
      <c r="BG75" s="65">
        <v>0.0</v>
      </c>
      <c r="BH75" s="66">
        <v>1045488.32</v>
      </c>
      <c r="BI75" s="67" t="str">
        <f t="shared" si="2"/>
        <v>#REF!</v>
      </c>
      <c r="BJ75" s="68" t="str">
        <f t="shared" si="3"/>
        <v>#REF!</v>
      </c>
      <c r="BK75" s="65">
        <v>1322966.5</v>
      </c>
      <c r="BL75" s="65">
        <v>0.0</v>
      </c>
      <c r="BM75" s="66">
        <v>1322966.5</v>
      </c>
      <c r="BN75" s="67" t="str">
        <f t="shared" si="4"/>
        <v>#REF!</v>
      </c>
      <c r="BO75" s="68" t="str">
        <f t="shared" si="5"/>
        <v>#REF!</v>
      </c>
      <c r="BP75" s="65">
        <v>2174933.4</v>
      </c>
      <c r="BQ75" s="65">
        <v>0.0</v>
      </c>
      <c r="BR75" s="66">
        <v>2174933.4</v>
      </c>
      <c r="BS75" s="67" t="str">
        <f t="shared" si="6"/>
        <v>#REF!</v>
      </c>
      <c r="BT75" s="68" t="str">
        <f>'[1]DATA CONSOLIDADA 2018-2025 '!$BR75-Hoja1!$BO75</f>
        <v>#REF!</v>
      </c>
      <c r="BU75" s="65">
        <v>551925.99</v>
      </c>
      <c r="BV75" s="65">
        <v>0.0</v>
      </c>
      <c r="BW75" s="66">
        <v>551925.99</v>
      </c>
      <c r="BX75" s="67" t="str">
        <f t="shared" si="7"/>
        <v>#REF!</v>
      </c>
      <c r="BY75" s="68" t="str">
        <f t="shared" si="8"/>
        <v>#REF!</v>
      </c>
      <c r="BZ75" s="65">
        <v>0.0</v>
      </c>
      <c r="CA75" s="65">
        <v>0.0</v>
      </c>
      <c r="CB75" s="66">
        <v>0.0</v>
      </c>
      <c r="CC75" s="67" t="str">
        <f t="shared" si="9"/>
        <v>#REF!</v>
      </c>
      <c r="CD75" s="68" t="str">
        <f>'[1]DATA CONSOLIDADA 2018-2025 '!$CB75-Hoja1!$BW75</f>
        <v>#REF!</v>
      </c>
      <c r="CE75" s="70">
        <v>0.0</v>
      </c>
      <c r="CF75" s="70">
        <v>0.0</v>
      </c>
      <c r="CG75" s="71">
        <v>0.0</v>
      </c>
      <c r="CH75" s="67" t="str">
        <f t="shared" si="10"/>
        <v>#REF!</v>
      </c>
      <c r="CI75" s="68" t="str">
        <f>'[1]DATA CONSOLIDADA 2018-2025 '!$CG75-Hoja1!$CB75</f>
        <v>#REF!</v>
      </c>
      <c r="CJ75" s="64" t="str">
        <f t="shared" si="11"/>
        <v>#REF!</v>
      </c>
      <c r="CK75" s="64">
        <v>0.0</v>
      </c>
      <c r="CL75" s="64">
        <v>0.0</v>
      </c>
      <c r="CM75" s="64">
        <v>0.0</v>
      </c>
      <c r="CN75" s="64" t="str">
        <f t="shared" si="12"/>
        <v>#REF!</v>
      </c>
      <c r="CO75" s="68" t="str">
        <f>'[1]DATA CONSOLIDADA 2018-2025 '!$CM75-Hoja1!$CG75</f>
        <v>#REF!</v>
      </c>
      <c r="CP75" s="70">
        <v>0.0</v>
      </c>
      <c r="CQ75" s="70">
        <v>0.0</v>
      </c>
      <c r="CR75" s="70">
        <v>0.0</v>
      </c>
      <c r="CS75" s="70">
        <v>0.0</v>
      </c>
      <c r="CT75" s="70">
        <v>0.0</v>
      </c>
      <c r="CU75" s="70">
        <v>0.0</v>
      </c>
      <c r="CV75" s="64">
        <v>0.0</v>
      </c>
      <c r="CW75" s="64">
        <v>0.0</v>
      </c>
      <c r="CX75" s="64">
        <v>0.0</v>
      </c>
      <c r="CY75" s="64">
        <v>0.0</v>
      </c>
      <c r="CZ75" s="64">
        <v>0.0</v>
      </c>
      <c r="DA75" s="64">
        <v>0.0</v>
      </c>
      <c r="DB75" s="64">
        <v>0.0</v>
      </c>
      <c r="DC75" s="72">
        <v>0.0</v>
      </c>
      <c r="DD75" s="72">
        <v>0.0</v>
      </c>
      <c r="DE75" s="72">
        <v>0.0</v>
      </c>
      <c r="DF75" s="72">
        <v>0.0</v>
      </c>
      <c r="DG75" s="72">
        <v>0.0</v>
      </c>
      <c r="DH75" s="72">
        <v>0.0</v>
      </c>
      <c r="DI75" s="73">
        <v>2.0449558902E10</v>
      </c>
      <c r="DJ75" s="74" t="s">
        <v>377</v>
      </c>
      <c r="DK75" s="74" t="s">
        <v>138</v>
      </c>
      <c r="DL75" s="75"/>
      <c r="DM75" s="75"/>
      <c r="DN75" s="75"/>
      <c r="DO75" s="75"/>
      <c r="DP75" s="75"/>
      <c r="DQ75" s="75"/>
      <c r="DR75" s="75"/>
      <c r="DS75" s="75"/>
      <c r="DT75" s="75"/>
      <c r="DU75" s="75"/>
      <c r="DV75" s="75"/>
      <c r="DW75" s="75"/>
      <c r="DX75" s="75"/>
      <c r="DY75" s="75"/>
      <c r="DZ75" s="75"/>
      <c r="EA75" s="75"/>
      <c r="EB75" s="75"/>
      <c r="EC75" s="75"/>
      <c r="ED75" s="75"/>
      <c r="EE75" s="75"/>
    </row>
    <row r="76" ht="47.25" customHeight="1">
      <c r="A76" s="55" t="s">
        <v>378</v>
      </c>
      <c r="B76" s="55" t="s">
        <v>146</v>
      </c>
      <c r="C76" s="55" t="s">
        <v>146</v>
      </c>
      <c r="D76" s="55" t="s">
        <v>340</v>
      </c>
      <c r="E76" s="55" t="s">
        <v>379</v>
      </c>
      <c r="F76" s="55" t="s">
        <v>340</v>
      </c>
      <c r="G76" s="55" t="s">
        <v>380</v>
      </c>
      <c r="H76" s="55" t="s">
        <v>381</v>
      </c>
      <c r="I76" s="56">
        <v>1.0</v>
      </c>
      <c r="J76" s="56">
        <v>1.0</v>
      </c>
      <c r="K76" s="56"/>
      <c r="L76" s="56"/>
      <c r="M76" s="56"/>
      <c r="N76" s="56"/>
      <c r="O76" s="56"/>
      <c r="P76" s="56"/>
      <c r="Q76" s="56" t="s">
        <v>131</v>
      </c>
      <c r="R76" s="58" t="str">
        <f t="shared" si="1"/>
        <v>2018-2019</v>
      </c>
      <c r="S76" s="59" t="str">
        <f>SUM(Hoja1!$I76:$P76)</f>
        <v>2</v>
      </c>
      <c r="T76" s="59" t="str">
        <f>IF(OR(Hoja1!$J76=1,Hoja1!$K76=1,Hoja1!$L76=1,Hoja1!$M76=1,Hoja1!$N76=1,Hoja1!$O76=1,Hoja1!$P76=1),"SI","NO")</f>
        <v>SI</v>
      </c>
      <c r="U76" s="59" t="str">
        <f>IF(OR(Hoja1!$K76=1,Hoja1!$L76=1,Hoja1!$M76=1,Hoja1!$N76=1,Hoja1!$O76=1,Hoja1!$P76=1),"SI","NO")</f>
        <v>NO</v>
      </c>
      <c r="V76" s="60">
        <v>33.0</v>
      </c>
      <c r="W76" s="61">
        <v>21.0</v>
      </c>
      <c r="X76" s="61">
        <v>12.0</v>
      </c>
      <c r="Y76" s="60">
        <v>33.0</v>
      </c>
      <c r="Z76" s="61">
        <v>0.0</v>
      </c>
      <c r="AA76" s="61">
        <v>0.0</v>
      </c>
      <c r="AB76" s="60">
        <v>0.0</v>
      </c>
      <c r="AC76" s="61">
        <v>0.0</v>
      </c>
      <c r="AD76" s="61">
        <v>0.0</v>
      </c>
      <c r="AE76" s="60">
        <v>0.0</v>
      </c>
      <c r="AF76" s="61">
        <v>0.0</v>
      </c>
      <c r="AG76" s="61">
        <v>0.0</v>
      </c>
      <c r="AH76" s="60">
        <v>0.0</v>
      </c>
      <c r="AI76" s="61">
        <v>0.0</v>
      </c>
      <c r="AJ76" s="61">
        <v>0.0</v>
      </c>
      <c r="AK76" s="60">
        <v>0.0</v>
      </c>
      <c r="AL76" s="61">
        <v>0.0</v>
      </c>
      <c r="AM76" s="61">
        <v>0.0</v>
      </c>
      <c r="AN76" s="60">
        <v>0.0</v>
      </c>
      <c r="AO76" s="62">
        <v>0.0</v>
      </c>
      <c r="AP76" s="62">
        <v>0.0</v>
      </c>
      <c r="AQ76" s="60">
        <v>0.0</v>
      </c>
      <c r="AR76" s="60" t="str">
        <f>IF(Hoja1!$AQ76&gt;0,Hoja1!$AQ76,IF(Hoja1!$AN76&gt;0,Hoja1!$AN76,IF(Hoja1!$AK76&gt;0,Hoja1!$AK76,IF(Hoja1!$AH76&gt;0,Hoja1!$AH76,IF(Hoja1!$AE76&gt;0,Hoja1!$AE76,IF(Hoja1!$AB76&gt;0,Hoja1!$AB76,IF(Hoja1!$Y76&gt;0,Hoja1!$Y76,IF(Hoja1!$V76&gt;0,Hoja1!$V76," ---"))))))))</f>
        <v>33</v>
      </c>
      <c r="AS76" s="63">
        <v>0.0</v>
      </c>
      <c r="AT76" s="63">
        <v>0.0</v>
      </c>
      <c r="AU76" s="63">
        <v>0.0</v>
      </c>
      <c r="AV76" s="63">
        <v>0.0</v>
      </c>
      <c r="AW76" s="63">
        <v>0.0</v>
      </c>
      <c r="AX76" s="63">
        <v>0.0</v>
      </c>
      <c r="AY76" s="63">
        <v>0.0</v>
      </c>
      <c r="AZ76" s="63">
        <v>0.0</v>
      </c>
      <c r="BA76" s="63">
        <v>0.0</v>
      </c>
      <c r="BB76" s="63">
        <v>0.0</v>
      </c>
      <c r="BC76" s="63">
        <v>0.0</v>
      </c>
      <c r="BD76" s="63">
        <v>0.0</v>
      </c>
      <c r="BE76" s="64">
        <v>0.0</v>
      </c>
      <c r="BF76" s="65">
        <v>59766.0</v>
      </c>
      <c r="BG76" s="65">
        <v>0.0</v>
      </c>
      <c r="BH76" s="66">
        <v>59766.0</v>
      </c>
      <c r="BI76" s="67" t="str">
        <f t="shared" si="2"/>
        <v>#REF!</v>
      </c>
      <c r="BJ76" s="68" t="str">
        <f t="shared" si="3"/>
        <v>#REF!</v>
      </c>
      <c r="BK76" s="65">
        <v>0.0</v>
      </c>
      <c r="BL76" s="65">
        <v>0.0</v>
      </c>
      <c r="BM76" s="66">
        <v>0.0</v>
      </c>
      <c r="BN76" s="67" t="str">
        <f t="shared" si="4"/>
        <v>#REF!</v>
      </c>
      <c r="BO76" s="68" t="str">
        <f t="shared" si="5"/>
        <v>#REF!</v>
      </c>
      <c r="BP76" s="65">
        <v>0.0</v>
      </c>
      <c r="BQ76" s="65">
        <v>0.0</v>
      </c>
      <c r="BR76" s="66">
        <v>0.0</v>
      </c>
      <c r="BS76" s="67" t="str">
        <f t="shared" si="6"/>
        <v>#REF!</v>
      </c>
      <c r="BT76" s="68" t="str">
        <f>'[1]DATA CONSOLIDADA 2018-2025 '!$BR76-Hoja1!$BO76</f>
        <v>#REF!</v>
      </c>
      <c r="BU76" s="65">
        <v>0.0</v>
      </c>
      <c r="BV76" s="65">
        <v>0.0</v>
      </c>
      <c r="BW76" s="66">
        <v>0.0</v>
      </c>
      <c r="BX76" s="67" t="str">
        <f t="shared" si="7"/>
        <v>#REF!</v>
      </c>
      <c r="BY76" s="68" t="str">
        <f t="shared" si="8"/>
        <v>#REF!</v>
      </c>
      <c r="BZ76" s="65">
        <v>0.0</v>
      </c>
      <c r="CA76" s="65">
        <v>0.0</v>
      </c>
      <c r="CB76" s="66">
        <v>0.0</v>
      </c>
      <c r="CC76" s="67" t="str">
        <f t="shared" si="9"/>
        <v>#REF!</v>
      </c>
      <c r="CD76" s="68" t="str">
        <f>'[1]DATA CONSOLIDADA 2018-2025 '!$CB76-Hoja1!$BW76</f>
        <v>#REF!</v>
      </c>
      <c r="CE76" s="70">
        <v>0.0</v>
      </c>
      <c r="CF76" s="70">
        <v>0.0</v>
      </c>
      <c r="CG76" s="71">
        <v>0.0</v>
      </c>
      <c r="CH76" s="67" t="str">
        <f t="shared" si="10"/>
        <v>#REF!</v>
      </c>
      <c r="CI76" s="68" t="str">
        <f>'[1]DATA CONSOLIDADA 2018-2025 '!$CG76-Hoja1!$CB76</f>
        <v>#REF!</v>
      </c>
      <c r="CJ76" s="64" t="str">
        <f t="shared" si="11"/>
        <v>#REF!</v>
      </c>
      <c r="CK76" s="64">
        <v>0.0</v>
      </c>
      <c r="CL76" s="64">
        <v>0.0</v>
      </c>
      <c r="CM76" s="64">
        <v>0.0</v>
      </c>
      <c r="CN76" s="64" t="str">
        <f t="shared" si="12"/>
        <v>#REF!</v>
      </c>
      <c r="CO76" s="68" t="str">
        <f>'[1]DATA CONSOLIDADA 2018-2025 '!$CM76-Hoja1!$CG76</f>
        <v>#REF!</v>
      </c>
      <c r="CP76" s="70">
        <v>0.0</v>
      </c>
      <c r="CQ76" s="70">
        <v>0.0</v>
      </c>
      <c r="CR76" s="70">
        <v>0.0</v>
      </c>
      <c r="CS76" s="70">
        <v>0.0</v>
      </c>
      <c r="CT76" s="70">
        <v>0.0</v>
      </c>
      <c r="CU76" s="70">
        <v>0.0</v>
      </c>
      <c r="CV76" s="64">
        <v>0.0</v>
      </c>
      <c r="CW76" s="64">
        <v>0.0</v>
      </c>
      <c r="CX76" s="64">
        <v>0.0</v>
      </c>
      <c r="CY76" s="64">
        <v>0.0</v>
      </c>
      <c r="CZ76" s="64">
        <v>0.0</v>
      </c>
      <c r="DA76" s="64">
        <v>0.0</v>
      </c>
      <c r="DB76" s="64">
        <v>0.0</v>
      </c>
      <c r="DC76" s="72">
        <v>0.0</v>
      </c>
      <c r="DD76" s="72">
        <v>0.0</v>
      </c>
      <c r="DE76" s="72">
        <v>0.0</v>
      </c>
      <c r="DF76" s="72">
        <v>0.0</v>
      </c>
      <c r="DG76" s="72">
        <v>0.0</v>
      </c>
      <c r="DH76" s="72">
        <v>0.0</v>
      </c>
      <c r="DI76" s="73">
        <v>2.0600529693E10</v>
      </c>
      <c r="DJ76" s="74" t="s">
        <v>382</v>
      </c>
      <c r="DK76" s="74" t="s">
        <v>138</v>
      </c>
      <c r="DL76" s="75"/>
      <c r="DM76" s="75"/>
      <c r="DN76" s="75"/>
      <c r="DO76" s="75"/>
      <c r="DP76" s="75"/>
      <c r="DQ76" s="75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75"/>
      <c r="EC76" s="75"/>
      <c r="ED76" s="75"/>
      <c r="EE76" s="75"/>
    </row>
    <row r="77" ht="47.25" customHeight="1">
      <c r="A77" s="55" t="s">
        <v>383</v>
      </c>
      <c r="B77" s="55" t="s">
        <v>146</v>
      </c>
      <c r="C77" s="55" t="s">
        <v>146</v>
      </c>
      <c r="D77" s="55" t="s">
        <v>340</v>
      </c>
      <c r="E77" s="55" t="s">
        <v>384</v>
      </c>
      <c r="F77" s="55" t="s">
        <v>340</v>
      </c>
      <c r="G77" s="55" t="s">
        <v>375</v>
      </c>
      <c r="H77" s="55" t="s">
        <v>385</v>
      </c>
      <c r="I77" s="56">
        <v>1.0</v>
      </c>
      <c r="J77" s="56">
        <v>1.0</v>
      </c>
      <c r="K77" s="56">
        <v>1.0</v>
      </c>
      <c r="L77" s="56">
        <v>1.0</v>
      </c>
      <c r="M77" s="56"/>
      <c r="N77" s="56">
        <v>1.0</v>
      </c>
      <c r="O77" s="56"/>
      <c r="P77" s="56"/>
      <c r="Q77" s="56" t="s">
        <v>131</v>
      </c>
      <c r="R77" s="58" t="str">
        <f t="shared" si="1"/>
        <v>2018-2019-2020-2021-2023</v>
      </c>
      <c r="S77" s="59" t="str">
        <f>SUM(Hoja1!$I77:$P77)</f>
        <v>5</v>
      </c>
      <c r="T77" s="59" t="str">
        <f>IF(OR(Hoja1!$J77=1,Hoja1!$K77=1,Hoja1!$L77=1,Hoja1!$M77=1,Hoja1!$N77=1,Hoja1!$O77=1,Hoja1!$P77=1),"SI","NO")</f>
        <v>SI</v>
      </c>
      <c r="U77" s="59" t="str">
        <f>IF(OR(Hoja1!$K77=1,Hoja1!$L77=1,Hoja1!$M77=1,Hoja1!$N77=1,Hoja1!$O77=1,Hoja1!$P77=1),"SI","NO")</f>
        <v>SI</v>
      </c>
      <c r="V77" s="60">
        <v>153.0</v>
      </c>
      <c r="W77" s="61">
        <v>139.0</v>
      </c>
      <c r="X77" s="61">
        <v>11.0</v>
      </c>
      <c r="Y77" s="60">
        <v>150.0</v>
      </c>
      <c r="Z77" s="61">
        <v>133.0</v>
      </c>
      <c r="AA77" s="61">
        <v>11.0</v>
      </c>
      <c r="AB77" s="60">
        <v>144.0</v>
      </c>
      <c r="AC77" s="61">
        <v>174.0</v>
      </c>
      <c r="AD77" s="61">
        <v>19.0</v>
      </c>
      <c r="AE77" s="60">
        <v>193.0</v>
      </c>
      <c r="AF77" s="61">
        <v>0.0</v>
      </c>
      <c r="AG77" s="61">
        <v>0.0</v>
      </c>
      <c r="AH77" s="60">
        <v>0.0</v>
      </c>
      <c r="AI77" s="61">
        <v>20.0</v>
      </c>
      <c r="AJ77" s="61">
        <v>5.0</v>
      </c>
      <c r="AK77" s="60">
        <v>25.0</v>
      </c>
      <c r="AL77" s="61">
        <v>0.0</v>
      </c>
      <c r="AM77" s="61">
        <v>0.0</v>
      </c>
      <c r="AN77" s="60">
        <v>0.0</v>
      </c>
      <c r="AO77" s="62">
        <v>0.0</v>
      </c>
      <c r="AP77" s="62">
        <v>0.0</v>
      </c>
      <c r="AQ77" s="60">
        <v>0.0</v>
      </c>
      <c r="AR77" s="60" t="str">
        <f>IF(Hoja1!$AQ77&gt;0,Hoja1!$AQ77,IF(Hoja1!$AN77&gt;0,Hoja1!$AN77,IF(Hoja1!$AK77&gt;0,Hoja1!$AK77,IF(Hoja1!$AH77&gt;0,Hoja1!$AH77,IF(Hoja1!$AE77&gt;0,Hoja1!$AE77,IF(Hoja1!$AB77&gt;0,Hoja1!$AB77,IF(Hoja1!$Y77&gt;0,Hoja1!$Y77,IF(Hoja1!$V77&gt;0,Hoja1!$V77," ---"))))))))</f>
        <v>25</v>
      </c>
      <c r="AS77" s="63">
        <v>0.0</v>
      </c>
      <c r="AT77" s="63">
        <v>0.0</v>
      </c>
      <c r="AU77" s="63">
        <v>65.0</v>
      </c>
      <c r="AV77" s="63">
        <v>9.0</v>
      </c>
      <c r="AW77" s="63">
        <v>0.0</v>
      </c>
      <c r="AX77" s="63">
        <v>0.0</v>
      </c>
      <c r="AY77" s="63">
        <v>16.0</v>
      </c>
      <c r="AZ77" s="63">
        <v>0.0</v>
      </c>
      <c r="BA77" s="63">
        <v>0.0</v>
      </c>
      <c r="BB77" s="63">
        <v>0.0</v>
      </c>
      <c r="BC77" s="63">
        <v>0.0</v>
      </c>
      <c r="BD77" s="63">
        <v>0.0</v>
      </c>
      <c r="BE77" s="64">
        <v>0.0</v>
      </c>
      <c r="BF77" s="65">
        <v>227811.39</v>
      </c>
      <c r="BG77" s="65">
        <v>489143.26</v>
      </c>
      <c r="BH77" s="66">
        <v>716954.65</v>
      </c>
      <c r="BI77" s="67" t="str">
        <f t="shared" si="2"/>
        <v>#REF!</v>
      </c>
      <c r="BJ77" s="68" t="str">
        <f t="shared" si="3"/>
        <v>#REF!</v>
      </c>
      <c r="BK77" s="65">
        <v>230338.0</v>
      </c>
      <c r="BL77" s="65">
        <v>0.0</v>
      </c>
      <c r="BM77" s="66">
        <v>230338.0</v>
      </c>
      <c r="BN77" s="67" t="str">
        <f t="shared" si="4"/>
        <v>#REF!</v>
      </c>
      <c r="BO77" s="68" t="str">
        <f t="shared" si="5"/>
        <v>#REF!</v>
      </c>
      <c r="BP77" s="65">
        <v>1300.0</v>
      </c>
      <c r="BQ77" s="65">
        <v>0.0</v>
      </c>
      <c r="BR77" s="66">
        <v>1300.0</v>
      </c>
      <c r="BS77" s="67" t="str">
        <f t="shared" si="6"/>
        <v>#REF!</v>
      </c>
      <c r="BT77" s="68" t="str">
        <f>'[1]DATA CONSOLIDADA 2018-2025 '!$BR77-Hoja1!$BO77</f>
        <v>#REF!</v>
      </c>
      <c r="BU77" s="65">
        <v>0.0</v>
      </c>
      <c r="BV77" s="65">
        <v>0.0</v>
      </c>
      <c r="BW77" s="66">
        <v>0.0</v>
      </c>
      <c r="BX77" s="67" t="str">
        <f t="shared" si="7"/>
        <v>#REF!</v>
      </c>
      <c r="BY77" s="68" t="str">
        <f t="shared" si="8"/>
        <v>#REF!</v>
      </c>
      <c r="BZ77" s="65">
        <v>112621.8</v>
      </c>
      <c r="CA77" s="65">
        <v>0.0</v>
      </c>
      <c r="CB77" s="66">
        <v>112621.8</v>
      </c>
      <c r="CC77" s="67" t="str">
        <f t="shared" si="9"/>
        <v>#REF!</v>
      </c>
      <c r="CD77" s="68" t="str">
        <f>'[1]DATA CONSOLIDADA 2018-2025 '!$CB77-Hoja1!$BW77</f>
        <v>#REF!</v>
      </c>
      <c r="CE77" s="70">
        <v>0.0</v>
      </c>
      <c r="CF77" s="70">
        <v>0.0</v>
      </c>
      <c r="CG77" s="71">
        <v>0.0</v>
      </c>
      <c r="CH77" s="67" t="str">
        <f t="shared" si="10"/>
        <v>#REF!</v>
      </c>
      <c r="CI77" s="68" t="str">
        <f>'[1]DATA CONSOLIDADA 2018-2025 '!$CG77-Hoja1!$CB77</f>
        <v>#REF!</v>
      </c>
      <c r="CJ77" s="64" t="str">
        <f t="shared" si="11"/>
        <v>#REF!</v>
      </c>
      <c r="CK77" s="64">
        <v>0.0</v>
      </c>
      <c r="CL77" s="64">
        <v>0.0</v>
      </c>
      <c r="CM77" s="64">
        <v>0.0</v>
      </c>
      <c r="CN77" s="64" t="str">
        <f t="shared" si="12"/>
        <v>#REF!</v>
      </c>
      <c r="CO77" s="68" t="str">
        <f>'[1]DATA CONSOLIDADA 2018-2025 '!$CM77-Hoja1!$CG77</f>
        <v>#REF!</v>
      </c>
      <c r="CP77" s="70">
        <v>2390.0</v>
      </c>
      <c r="CQ77" s="70">
        <v>0.0</v>
      </c>
      <c r="CR77" s="70">
        <v>0.0</v>
      </c>
      <c r="CS77" s="70">
        <v>110231.8</v>
      </c>
      <c r="CT77" s="70">
        <v>0.0</v>
      </c>
      <c r="CU77" s="70">
        <v>0.0</v>
      </c>
      <c r="CV77" s="64">
        <v>112621.8</v>
      </c>
      <c r="CW77" s="64">
        <v>0.0</v>
      </c>
      <c r="CX77" s="64">
        <v>0.0</v>
      </c>
      <c r="CY77" s="64">
        <v>0.0</v>
      </c>
      <c r="CZ77" s="64">
        <v>0.0</v>
      </c>
      <c r="DA77" s="64">
        <v>0.0</v>
      </c>
      <c r="DB77" s="64">
        <v>0.0</v>
      </c>
      <c r="DC77" s="72">
        <v>0.0</v>
      </c>
      <c r="DD77" s="72">
        <v>0.0</v>
      </c>
      <c r="DE77" s="72">
        <v>0.0</v>
      </c>
      <c r="DF77" s="72">
        <v>0.0</v>
      </c>
      <c r="DG77" s="72">
        <v>0.0</v>
      </c>
      <c r="DH77" s="72">
        <v>0.0</v>
      </c>
      <c r="DI77" s="73">
        <v>2.0129156083E10</v>
      </c>
      <c r="DJ77" s="74" t="s">
        <v>386</v>
      </c>
      <c r="DK77" s="74" t="s">
        <v>132</v>
      </c>
      <c r="DL77" s="75"/>
      <c r="DM77" s="75"/>
      <c r="DN77" s="75"/>
      <c r="DO77" s="75"/>
      <c r="DP77" s="75"/>
      <c r="DQ77" s="75"/>
      <c r="DR77" s="75"/>
      <c r="DS77" s="75"/>
      <c r="DT77" s="75"/>
      <c r="DU77" s="75"/>
      <c r="DV77" s="75"/>
      <c r="DW77" s="75"/>
      <c r="DX77" s="75"/>
      <c r="DY77" s="75"/>
      <c r="DZ77" s="75"/>
      <c r="EA77" s="75"/>
      <c r="EB77" s="75"/>
      <c r="EC77" s="75"/>
      <c r="ED77" s="75"/>
      <c r="EE77" s="75"/>
    </row>
    <row r="78" ht="47.25" customHeight="1">
      <c r="A78" s="55" t="s">
        <v>387</v>
      </c>
      <c r="B78" s="55" t="s">
        <v>146</v>
      </c>
      <c r="C78" s="55" t="s">
        <v>146</v>
      </c>
      <c r="D78" s="55" t="s">
        <v>340</v>
      </c>
      <c r="E78" s="55" t="s">
        <v>388</v>
      </c>
      <c r="F78" s="55" t="s">
        <v>340</v>
      </c>
      <c r="G78" s="55" t="s">
        <v>375</v>
      </c>
      <c r="H78" s="55" t="s">
        <v>389</v>
      </c>
      <c r="I78" s="56">
        <v>1.0</v>
      </c>
      <c r="J78" s="56">
        <v>1.0</v>
      </c>
      <c r="K78" s="56">
        <v>1.0</v>
      </c>
      <c r="L78" s="56"/>
      <c r="M78" s="56"/>
      <c r="N78" s="56"/>
      <c r="O78" s="56"/>
      <c r="P78" s="56"/>
      <c r="Q78" s="56" t="s">
        <v>131</v>
      </c>
      <c r="R78" s="58" t="str">
        <f t="shared" si="1"/>
        <v>2018-2019-2020</v>
      </c>
      <c r="S78" s="59" t="str">
        <f>SUM(Hoja1!$I78:$P78)</f>
        <v>3</v>
      </c>
      <c r="T78" s="59" t="str">
        <f>IF(OR(Hoja1!$J78=1,Hoja1!$K78=1,Hoja1!$L78=1,Hoja1!$M78=1,Hoja1!$N78=1,Hoja1!$O78=1,Hoja1!$P78=1),"SI","NO")</f>
        <v>SI</v>
      </c>
      <c r="U78" s="59" t="str">
        <f>IF(OR(Hoja1!$K78=1,Hoja1!$L78=1,Hoja1!$M78=1,Hoja1!$N78=1,Hoja1!$O78=1,Hoja1!$P78=1),"SI","NO")</f>
        <v>SI</v>
      </c>
      <c r="V78" s="60">
        <v>17.0</v>
      </c>
      <c r="W78" s="61">
        <v>12.0</v>
      </c>
      <c r="X78" s="61">
        <v>5.0</v>
      </c>
      <c r="Y78" s="60">
        <v>17.0</v>
      </c>
      <c r="Z78" s="61">
        <v>36.0</v>
      </c>
      <c r="AA78" s="61">
        <v>20.0</v>
      </c>
      <c r="AB78" s="60">
        <v>56.0</v>
      </c>
      <c r="AC78" s="61">
        <v>0.0</v>
      </c>
      <c r="AD78" s="61">
        <v>0.0</v>
      </c>
      <c r="AE78" s="60">
        <v>0.0</v>
      </c>
      <c r="AF78" s="61">
        <v>0.0</v>
      </c>
      <c r="AG78" s="61">
        <v>0.0</v>
      </c>
      <c r="AH78" s="60">
        <v>0.0</v>
      </c>
      <c r="AI78" s="61">
        <v>0.0</v>
      </c>
      <c r="AJ78" s="61">
        <v>0.0</v>
      </c>
      <c r="AK78" s="60">
        <v>0.0</v>
      </c>
      <c r="AL78" s="61">
        <v>0.0</v>
      </c>
      <c r="AM78" s="61">
        <v>0.0</v>
      </c>
      <c r="AN78" s="60">
        <v>0.0</v>
      </c>
      <c r="AO78" s="62">
        <v>0.0</v>
      </c>
      <c r="AP78" s="62">
        <v>0.0</v>
      </c>
      <c r="AQ78" s="60">
        <v>0.0</v>
      </c>
      <c r="AR78" s="60" t="str">
        <f>IF(Hoja1!$AQ78&gt;0,Hoja1!$AQ78,IF(Hoja1!$AN78&gt;0,Hoja1!$AN78,IF(Hoja1!$AK78&gt;0,Hoja1!$AK78,IF(Hoja1!$AH78&gt;0,Hoja1!$AH78,IF(Hoja1!$AE78&gt;0,Hoja1!$AE78,IF(Hoja1!$AB78&gt;0,Hoja1!$AB78,IF(Hoja1!$Y78&gt;0,Hoja1!$Y78,IF(Hoja1!$V78&gt;0,Hoja1!$V78," ---"))))))))</f>
        <v>56</v>
      </c>
      <c r="AS78" s="63">
        <v>0.0</v>
      </c>
      <c r="AT78" s="63">
        <v>0.0</v>
      </c>
      <c r="AU78" s="63">
        <v>0.0</v>
      </c>
      <c r="AV78" s="63">
        <v>0.0</v>
      </c>
      <c r="AW78" s="63">
        <v>0.0</v>
      </c>
      <c r="AX78" s="63">
        <v>0.0</v>
      </c>
      <c r="AY78" s="63">
        <v>0.0</v>
      </c>
      <c r="AZ78" s="63">
        <v>0.0</v>
      </c>
      <c r="BA78" s="63">
        <v>0.0</v>
      </c>
      <c r="BB78" s="63">
        <v>0.0</v>
      </c>
      <c r="BC78" s="63">
        <v>0.0</v>
      </c>
      <c r="BD78" s="63">
        <v>0.0</v>
      </c>
      <c r="BE78" s="64">
        <v>0.0</v>
      </c>
      <c r="BF78" s="65">
        <v>69404.0</v>
      </c>
      <c r="BG78" s="65">
        <v>0.0</v>
      </c>
      <c r="BH78" s="66">
        <v>69404.0</v>
      </c>
      <c r="BI78" s="67" t="str">
        <f t="shared" si="2"/>
        <v>#REF!</v>
      </c>
      <c r="BJ78" s="68" t="str">
        <f t="shared" si="3"/>
        <v>#REF!</v>
      </c>
      <c r="BK78" s="65">
        <v>0.0</v>
      </c>
      <c r="BL78" s="65">
        <v>0.0</v>
      </c>
      <c r="BM78" s="66">
        <v>0.0</v>
      </c>
      <c r="BN78" s="67" t="str">
        <f t="shared" si="4"/>
        <v>#REF!</v>
      </c>
      <c r="BO78" s="68" t="str">
        <f t="shared" si="5"/>
        <v>#REF!</v>
      </c>
      <c r="BP78" s="65">
        <v>0.0</v>
      </c>
      <c r="BQ78" s="65">
        <v>0.0</v>
      </c>
      <c r="BR78" s="66">
        <v>0.0</v>
      </c>
      <c r="BS78" s="67" t="str">
        <f t="shared" si="6"/>
        <v>#REF!</v>
      </c>
      <c r="BT78" s="68" t="str">
        <f>'[1]DATA CONSOLIDADA 2018-2025 '!$BR78-Hoja1!$BO78</f>
        <v>#REF!</v>
      </c>
      <c r="BU78" s="65">
        <v>0.0</v>
      </c>
      <c r="BV78" s="65">
        <v>0.0</v>
      </c>
      <c r="BW78" s="66">
        <v>0.0</v>
      </c>
      <c r="BX78" s="67" t="str">
        <f t="shared" si="7"/>
        <v>#REF!</v>
      </c>
      <c r="BY78" s="68" t="str">
        <f t="shared" si="8"/>
        <v>#REF!</v>
      </c>
      <c r="BZ78" s="65">
        <v>0.0</v>
      </c>
      <c r="CA78" s="65">
        <v>0.0</v>
      </c>
      <c r="CB78" s="66">
        <v>0.0</v>
      </c>
      <c r="CC78" s="67" t="str">
        <f t="shared" si="9"/>
        <v>#REF!</v>
      </c>
      <c r="CD78" s="68" t="str">
        <f>'[1]DATA CONSOLIDADA 2018-2025 '!$CB78-Hoja1!$BW78</f>
        <v>#REF!</v>
      </c>
      <c r="CE78" s="70">
        <v>0.0</v>
      </c>
      <c r="CF78" s="70">
        <v>0.0</v>
      </c>
      <c r="CG78" s="71">
        <v>0.0</v>
      </c>
      <c r="CH78" s="67" t="str">
        <f t="shared" si="10"/>
        <v>#REF!</v>
      </c>
      <c r="CI78" s="68" t="str">
        <f>'[1]DATA CONSOLIDADA 2018-2025 '!$CG78-Hoja1!$CB78</f>
        <v>#REF!</v>
      </c>
      <c r="CJ78" s="64" t="str">
        <f t="shared" si="11"/>
        <v>#REF!</v>
      </c>
      <c r="CK78" s="64">
        <v>0.0</v>
      </c>
      <c r="CL78" s="64">
        <v>0.0</v>
      </c>
      <c r="CM78" s="64">
        <v>0.0</v>
      </c>
      <c r="CN78" s="64" t="str">
        <f t="shared" si="12"/>
        <v>#REF!</v>
      </c>
      <c r="CO78" s="68" t="str">
        <f>'[1]DATA CONSOLIDADA 2018-2025 '!$CM78-Hoja1!$CG78</f>
        <v>#REF!</v>
      </c>
      <c r="CP78" s="70">
        <v>0.0</v>
      </c>
      <c r="CQ78" s="70">
        <v>0.0</v>
      </c>
      <c r="CR78" s="70">
        <v>0.0</v>
      </c>
      <c r="CS78" s="70">
        <v>0.0</v>
      </c>
      <c r="CT78" s="70">
        <v>0.0</v>
      </c>
      <c r="CU78" s="70">
        <v>0.0</v>
      </c>
      <c r="CV78" s="64">
        <v>0.0</v>
      </c>
      <c r="CW78" s="64">
        <v>0.0</v>
      </c>
      <c r="CX78" s="64">
        <v>0.0</v>
      </c>
      <c r="CY78" s="64">
        <v>0.0</v>
      </c>
      <c r="CZ78" s="64">
        <v>0.0</v>
      </c>
      <c r="DA78" s="64">
        <v>0.0</v>
      </c>
      <c r="DB78" s="64">
        <v>0.0</v>
      </c>
      <c r="DC78" s="72">
        <v>0.0</v>
      </c>
      <c r="DD78" s="72">
        <v>0.0</v>
      </c>
      <c r="DE78" s="72">
        <v>0.0</v>
      </c>
      <c r="DF78" s="72">
        <v>0.0</v>
      </c>
      <c r="DG78" s="72">
        <v>0.0</v>
      </c>
      <c r="DH78" s="72">
        <v>0.0</v>
      </c>
      <c r="DI78" s="73">
        <v>2.0574734011E10</v>
      </c>
      <c r="DJ78" s="74" t="s">
        <v>387</v>
      </c>
      <c r="DK78" s="74" t="s">
        <v>138</v>
      </c>
      <c r="DL78" s="75"/>
      <c r="DM78" s="75"/>
      <c r="DN78" s="75"/>
      <c r="DO78" s="75"/>
      <c r="DP78" s="75"/>
      <c r="DQ78" s="75"/>
      <c r="DR78" s="75"/>
      <c r="DS78" s="75"/>
      <c r="DT78" s="75"/>
      <c r="DU78" s="75"/>
      <c r="DV78" s="75"/>
      <c r="DW78" s="75"/>
      <c r="DX78" s="75"/>
      <c r="DY78" s="75"/>
      <c r="DZ78" s="75"/>
      <c r="EA78" s="75"/>
      <c r="EB78" s="75"/>
      <c r="EC78" s="75"/>
      <c r="ED78" s="75"/>
      <c r="EE78" s="75"/>
    </row>
    <row r="79" ht="47.25" customHeight="1">
      <c r="A79" s="55" t="s">
        <v>390</v>
      </c>
      <c r="B79" s="55" t="s">
        <v>146</v>
      </c>
      <c r="C79" s="55" t="s">
        <v>146</v>
      </c>
      <c r="D79" s="55" t="s">
        <v>340</v>
      </c>
      <c r="E79" s="55" t="s">
        <v>391</v>
      </c>
      <c r="F79" s="55" t="s">
        <v>340</v>
      </c>
      <c r="G79" s="55" t="s">
        <v>380</v>
      </c>
      <c r="H79" s="55" t="s">
        <v>392</v>
      </c>
      <c r="I79" s="56"/>
      <c r="J79" s="56"/>
      <c r="K79" s="56">
        <v>1.0</v>
      </c>
      <c r="L79" s="56">
        <v>1.0</v>
      </c>
      <c r="M79" s="56">
        <v>1.0</v>
      </c>
      <c r="N79" s="56">
        <v>1.0</v>
      </c>
      <c r="O79" s="56"/>
      <c r="P79" s="56">
        <v>1.0</v>
      </c>
      <c r="Q79" s="56" t="s">
        <v>393</v>
      </c>
      <c r="R79" s="58" t="str">
        <f t="shared" si="1"/>
        <v>2020-2021-2022-2023 - 2025</v>
      </c>
      <c r="S79" s="59" t="str">
        <f>SUM(Hoja1!$I79:$P79)</f>
        <v>5</v>
      </c>
      <c r="T79" s="59" t="str">
        <f>IF(OR(Hoja1!$J79=1,Hoja1!$K79=1,Hoja1!$L79=1,Hoja1!$M79=1,Hoja1!$N79=1,Hoja1!$O79=1,Hoja1!$P79=1),"SI","NO")</f>
        <v>SI</v>
      </c>
      <c r="U79" s="59" t="str">
        <f>IF(OR(Hoja1!$K79=1,Hoja1!$L79=1,Hoja1!$M79=1,Hoja1!$N79=1,Hoja1!$O79=1,Hoja1!$P79=1),"SI","NO")</f>
        <v>SI</v>
      </c>
      <c r="V79" s="60">
        <v>0.0</v>
      </c>
      <c r="W79" s="61">
        <v>0.0</v>
      </c>
      <c r="X79" s="61">
        <v>0.0</v>
      </c>
      <c r="Y79" s="60">
        <v>0.0</v>
      </c>
      <c r="Z79" s="61">
        <v>93.0</v>
      </c>
      <c r="AA79" s="61">
        <v>52.0</v>
      </c>
      <c r="AB79" s="60">
        <v>145.0</v>
      </c>
      <c r="AC79" s="61">
        <v>108.0</v>
      </c>
      <c r="AD79" s="61">
        <v>46.0</v>
      </c>
      <c r="AE79" s="60">
        <v>154.0</v>
      </c>
      <c r="AF79" s="61">
        <v>104.0</v>
      </c>
      <c r="AG79" s="61">
        <v>50.0</v>
      </c>
      <c r="AH79" s="60">
        <v>154.0</v>
      </c>
      <c r="AI79" s="61">
        <v>104.0</v>
      </c>
      <c r="AJ79" s="61">
        <v>50.0</v>
      </c>
      <c r="AK79" s="60">
        <v>154.0</v>
      </c>
      <c r="AL79" s="61">
        <v>0.0</v>
      </c>
      <c r="AM79" s="61">
        <v>0.0</v>
      </c>
      <c r="AN79" s="60">
        <v>0.0</v>
      </c>
      <c r="AO79" s="62">
        <v>0.0</v>
      </c>
      <c r="AP79" s="62">
        <v>0.0</v>
      </c>
      <c r="AQ79" s="60">
        <v>0.0</v>
      </c>
      <c r="AR79" s="60" t="str">
        <f>IF(Hoja1!$AQ79&gt;0,Hoja1!$AQ79,IF(Hoja1!$AN79&gt;0,Hoja1!$AN79,IF(Hoja1!$AK79&gt;0,Hoja1!$AK79,IF(Hoja1!$AH79&gt;0,Hoja1!$AH79,IF(Hoja1!$AE79&gt;0,Hoja1!$AE79,IF(Hoja1!$AB79&gt;0,Hoja1!$AB79,IF(Hoja1!$Y79&gt;0,Hoja1!$Y79,IF(Hoja1!$V79&gt;0,Hoja1!$V79," ---"))))))))</f>
        <v>154</v>
      </c>
      <c r="AS79" s="63">
        <v>0.0</v>
      </c>
      <c r="AT79" s="63">
        <v>0.0</v>
      </c>
      <c r="AU79" s="63">
        <v>62.0</v>
      </c>
      <c r="AV79" s="63">
        <v>9.0</v>
      </c>
      <c r="AW79" s="63">
        <v>31.0</v>
      </c>
      <c r="AX79" s="63">
        <v>10.0</v>
      </c>
      <c r="AY79" s="63">
        <v>11.0</v>
      </c>
      <c r="AZ79" s="63">
        <v>0.0</v>
      </c>
      <c r="BA79" s="63">
        <v>0.0</v>
      </c>
      <c r="BB79" s="63">
        <v>0.0</v>
      </c>
      <c r="BC79" s="63">
        <v>0.0</v>
      </c>
      <c r="BD79" s="63">
        <v>0.0</v>
      </c>
      <c r="BE79" s="66">
        <v>0.0</v>
      </c>
      <c r="BF79" s="65">
        <v>0.0</v>
      </c>
      <c r="BG79" s="65">
        <v>0.0</v>
      </c>
      <c r="BH79" s="66">
        <v>0.0</v>
      </c>
      <c r="BI79" s="67" t="str">
        <f t="shared" si="2"/>
        <v>#REF!</v>
      </c>
      <c r="BJ79" s="68" t="str">
        <f t="shared" si="3"/>
        <v>#REF!</v>
      </c>
      <c r="BK79" s="65">
        <v>0.0</v>
      </c>
      <c r="BL79" s="65">
        <v>3459563.94</v>
      </c>
      <c r="BM79" s="66">
        <v>3459563.94</v>
      </c>
      <c r="BN79" s="67" t="str">
        <f t="shared" si="4"/>
        <v>#REF!</v>
      </c>
      <c r="BO79" s="68" t="str">
        <f t="shared" si="5"/>
        <v>#REF!</v>
      </c>
      <c r="BP79" s="65">
        <v>0.0</v>
      </c>
      <c r="BQ79" s="65">
        <v>2752409.1</v>
      </c>
      <c r="BR79" s="66">
        <v>2752409.1</v>
      </c>
      <c r="BS79" s="67" t="str">
        <f t="shared" si="6"/>
        <v>#REF!</v>
      </c>
      <c r="BT79" s="68" t="str">
        <f>'[1]DATA CONSOLIDADA 2018-2025 '!$BR79-Hoja1!$BO79</f>
        <v>#REF!</v>
      </c>
      <c r="BU79" s="65">
        <v>508928.25</v>
      </c>
      <c r="BV79" s="65">
        <v>2876295.89</v>
      </c>
      <c r="BW79" s="66">
        <v>3385224.14</v>
      </c>
      <c r="BX79" s="67" t="str">
        <f t="shared" si="7"/>
        <v>#REF!</v>
      </c>
      <c r="BY79" s="68" t="str">
        <f t="shared" si="8"/>
        <v>#REF!</v>
      </c>
      <c r="BZ79" s="65">
        <v>0.0</v>
      </c>
      <c r="CA79" s="65">
        <v>3313766.32</v>
      </c>
      <c r="CB79" s="66">
        <v>3313766.32</v>
      </c>
      <c r="CC79" s="67" t="str">
        <f t="shared" si="9"/>
        <v>#REF!</v>
      </c>
      <c r="CD79" s="68" t="str">
        <f>'[1]DATA CONSOLIDADA 2018-2025 '!$CB79-Hoja1!$BW79</f>
        <v>#REF!</v>
      </c>
      <c r="CE79" s="70">
        <v>0.0</v>
      </c>
      <c r="CF79" s="70">
        <v>0.0</v>
      </c>
      <c r="CG79" s="71">
        <v>0.0</v>
      </c>
      <c r="CH79" s="67" t="str">
        <f t="shared" si="10"/>
        <v>#REF!</v>
      </c>
      <c r="CI79" s="68" t="str">
        <f>'[1]DATA CONSOLIDADA 2018-2025 '!$CG79-Hoja1!$CB79</f>
        <v>#REF!</v>
      </c>
      <c r="CJ79" s="64" t="str">
        <f t="shared" si="11"/>
        <v>#REF!</v>
      </c>
      <c r="CK79" s="64">
        <v>0.0</v>
      </c>
      <c r="CL79" s="64">
        <v>3073770.65988</v>
      </c>
      <c r="CM79" s="64">
        <v>3073770.65988</v>
      </c>
      <c r="CN79" s="64" t="str">
        <f t="shared" si="12"/>
        <v>#REF!</v>
      </c>
      <c r="CO79" s="68" t="str">
        <f>'[1]DATA CONSOLIDADA 2018-2025 '!$CM79-Hoja1!$CG79</f>
        <v>#REF!</v>
      </c>
      <c r="CP79" s="70">
        <v>0.0</v>
      </c>
      <c r="CQ79" s="70">
        <v>0.0</v>
      </c>
      <c r="CR79" s="70">
        <v>0.0</v>
      </c>
      <c r="CS79" s="70">
        <v>3313766.32</v>
      </c>
      <c r="CT79" s="70">
        <v>0.0</v>
      </c>
      <c r="CU79" s="70">
        <v>0.0</v>
      </c>
      <c r="CV79" s="64">
        <v>3313766.32</v>
      </c>
      <c r="CW79" s="64">
        <v>0.0</v>
      </c>
      <c r="CX79" s="64">
        <v>0.0</v>
      </c>
      <c r="CY79" s="64">
        <v>0.0</v>
      </c>
      <c r="CZ79" s="64">
        <v>0.0</v>
      </c>
      <c r="DA79" s="64">
        <v>0.0</v>
      </c>
      <c r="DB79" s="64">
        <v>0.0</v>
      </c>
      <c r="DC79" s="72">
        <v>0.0</v>
      </c>
      <c r="DD79" s="72">
        <v>0.0</v>
      </c>
      <c r="DE79" s="72">
        <v>3073770.65988</v>
      </c>
      <c r="DF79" s="72">
        <v>0.0</v>
      </c>
      <c r="DG79" s="72">
        <v>0.0</v>
      </c>
      <c r="DH79" s="72">
        <v>3073770.65988</v>
      </c>
      <c r="DI79" s="73">
        <v>2.014369201E10</v>
      </c>
      <c r="DJ79" s="74" t="s">
        <v>394</v>
      </c>
      <c r="DK79" s="74" t="s">
        <v>132</v>
      </c>
      <c r="DL79" s="75"/>
      <c r="DM79" s="75"/>
      <c r="DN79" s="75"/>
      <c r="DO79" s="75"/>
      <c r="DP79" s="75"/>
      <c r="DQ79" s="75"/>
      <c r="DR79" s="75"/>
      <c r="DS79" s="75"/>
      <c r="DT79" s="75"/>
      <c r="DU79" s="75"/>
      <c r="DV79" s="75"/>
      <c r="DW79" s="75"/>
      <c r="DX79" s="75"/>
      <c r="DY79" s="75"/>
      <c r="DZ79" s="75"/>
      <c r="EA79" s="75"/>
      <c r="EB79" s="75"/>
      <c r="EC79" s="75"/>
      <c r="ED79" s="75"/>
      <c r="EE79" s="75"/>
    </row>
    <row r="80" ht="47.25" hidden="1" customHeight="1">
      <c r="A80" s="55" t="s">
        <v>395</v>
      </c>
      <c r="B80" s="55" t="s">
        <v>166</v>
      </c>
      <c r="C80" s="55" t="s">
        <v>166</v>
      </c>
      <c r="D80" s="55" t="s">
        <v>340</v>
      </c>
      <c r="E80" s="55" t="s">
        <v>374</v>
      </c>
      <c r="F80" s="55" t="s">
        <v>340</v>
      </c>
      <c r="G80" s="55" t="s">
        <v>375</v>
      </c>
      <c r="H80" s="55" t="s">
        <v>376</v>
      </c>
      <c r="I80" s="56"/>
      <c r="J80" s="56"/>
      <c r="K80" s="56"/>
      <c r="L80" s="56">
        <v>1.0</v>
      </c>
      <c r="M80" s="56">
        <v>1.0</v>
      </c>
      <c r="N80" s="56"/>
      <c r="O80" s="56"/>
      <c r="P80" s="56"/>
      <c r="Q80" s="56" t="s">
        <v>131</v>
      </c>
      <c r="R80" s="58" t="str">
        <f t="shared" si="1"/>
        <v>2021-2022</v>
      </c>
      <c r="S80" s="59" t="str">
        <f>SUM(Hoja1!$I80:$P80)</f>
        <v>2</v>
      </c>
      <c r="T80" s="59" t="str">
        <f>IF(OR(Hoja1!$J80=1,Hoja1!$K80=1,Hoja1!$L80=1,Hoja1!$M80=1,Hoja1!$N80=1,Hoja1!$O80=1,Hoja1!$P80=1),"SI","NO")</f>
        <v>SI</v>
      </c>
      <c r="U80" s="59" t="str">
        <f>IF(OR(Hoja1!$K80=1,Hoja1!$L80=1,Hoja1!$M80=1,Hoja1!$N80=1,Hoja1!$O80=1,Hoja1!$P80=1),"SI","NO")</f>
        <v>SI</v>
      </c>
      <c r="V80" s="60">
        <v>0.0</v>
      </c>
      <c r="W80" s="61">
        <v>0.0</v>
      </c>
      <c r="X80" s="61">
        <v>0.0</v>
      </c>
      <c r="Y80" s="60">
        <v>0.0</v>
      </c>
      <c r="Z80" s="61">
        <v>0.0</v>
      </c>
      <c r="AA80" s="61">
        <v>0.0</v>
      </c>
      <c r="AB80" s="60">
        <v>0.0</v>
      </c>
      <c r="AC80" s="61">
        <v>6.0</v>
      </c>
      <c r="AD80" s="61">
        <v>3.0</v>
      </c>
      <c r="AE80" s="60">
        <v>9.0</v>
      </c>
      <c r="AF80" s="61">
        <v>6.0</v>
      </c>
      <c r="AG80" s="61">
        <v>3.0</v>
      </c>
      <c r="AH80" s="60">
        <v>9.0</v>
      </c>
      <c r="AI80" s="61">
        <v>0.0</v>
      </c>
      <c r="AJ80" s="61">
        <v>0.0</v>
      </c>
      <c r="AK80" s="60">
        <v>0.0</v>
      </c>
      <c r="AL80" s="61">
        <v>0.0</v>
      </c>
      <c r="AM80" s="61">
        <v>0.0</v>
      </c>
      <c r="AN80" s="60">
        <v>0.0</v>
      </c>
      <c r="AO80" s="62">
        <v>0.0</v>
      </c>
      <c r="AP80" s="62">
        <v>0.0</v>
      </c>
      <c r="AQ80" s="60">
        <v>0.0</v>
      </c>
      <c r="AR80" s="60" t="str">
        <f>IF(Hoja1!$AQ80&gt;0,Hoja1!$AQ80,IF(Hoja1!$AN80&gt;0,Hoja1!$AN80,IF(Hoja1!$AK80&gt;0,Hoja1!$AK80,IF(Hoja1!$AH80&gt;0,Hoja1!$AH80,IF(Hoja1!$AE80&gt;0,Hoja1!$AE80,IF(Hoja1!$AB80&gt;0,Hoja1!$AB80,IF(Hoja1!$Y80&gt;0,Hoja1!$Y80,IF(Hoja1!$V80&gt;0,Hoja1!$V80," ---"))))))))</f>
        <v>9</v>
      </c>
      <c r="AS80" s="63">
        <v>0.0</v>
      </c>
      <c r="AT80" s="63">
        <v>0.0</v>
      </c>
      <c r="AU80" s="63">
        <v>28.0</v>
      </c>
      <c r="AV80" s="63">
        <v>5.0</v>
      </c>
      <c r="AW80" s="63">
        <v>17.0</v>
      </c>
      <c r="AX80" s="63">
        <v>2.0</v>
      </c>
      <c r="AY80" s="63">
        <v>0.0</v>
      </c>
      <c r="AZ80" s="63">
        <v>0.0</v>
      </c>
      <c r="BA80" s="63">
        <v>0.0</v>
      </c>
      <c r="BB80" s="63">
        <v>0.0</v>
      </c>
      <c r="BC80" s="63">
        <v>0.0</v>
      </c>
      <c r="BD80" s="63">
        <v>0.0</v>
      </c>
      <c r="BE80" s="64">
        <v>0.0</v>
      </c>
      <c r="BF80" s="69">
        <v>0.0</v>
      </c>
      <c r="BG80" s="69">
        <v>0.0</v>
      </c>
      <c r="BH80" s="64">
        <v>0.0</v>
      </c>
      <c r="BI80" s="67" t="str">
        <f t="shared" si="2"/>
        <v>#REF!</v>
      </c>
      <c r="BJ80" s="68" t="str">
        <f t="shared" si="3"/>
        <v>#REF!</v>
      </c>
      <c r="BK80" s="69">
        <v>0.0</v>
      </c>
      <c r="BL80" s="69">
        <v>0.0</v>
      </c>
      <c r="BM80" s="66">
        <v>0.0</v>
      </c>
      <c r="BN80" s="67" t="str">
        <f t="shared" si="4"/>
        <v>#REF!</v>
      </c>
      <c r="BO80" s="68" t="str">
        <f t="shared" si="5"/>
        <v>#REF!</v>
      </c>
      <c r="BP80" s="65">
        <v>197469.0</v>
      </c>
      <c r="BQ80" s="65">
        <v>0.0</v>
      </c>
      <c r="BR80" s="66">
        <v>197469.0</v>
      </c>
      <c r="BS80" s="67" t="str">
        <f t="shared" si="6"/>
        <v>#REF!</v>
      </c>
      <c r="BT80" s="68" t="str">
        <f>'[1]DATA CONSOLIDADA 2018-2025 '!$BR80-Hoja1!$BO80</f>
        <v>#REF!</v>
      </c>
      <c r="BU80" s="65">
        <v>128116.8</v>
      </c>
      <c r="BV80" s="65">
        <v>0.0</v>
      </c>
      <c r="BW80" s="66">
        <v>128116.8</v>
      </c>
      <c r="BX80" s="67" t="str">
        <f t="shared" si="7"/>
        <v>#REF!</v>
      </c>
      <c r="BY80" s="68" t="str">
        <f t="shared" si="8"/>
        <v>#REF!</v>
      </c>
      <c r="BZ80" s="65">
        <v>0.0</v>
      </c>
      <c r="CA80" s="65">
        <v>0.0</v>
      </c>
      <c r="CB80" s="66">
        <v>0.0</v>
      </c>
      <c r="CC80" s="67" t="str">
        <f t="shared" si="9"/>
        <v>#REF!</v>
      </c>
      <c r="CD80" s="68" t="str">
        <f>'[1]DATA CONSOLIDADA 2018-2025 '!$CB80-Hoja1!$BW80</f>
        <v>#REF!</v>
      </c>
      <c r="CE80" s="70">
        <v>0.0</v>
      </c>
      <c r="CF80" s="70">
        <v>0.0</v>
      </c>
      <c r="CG80" s="71">
        <v>0.0</v>
      </c>
      <c r="CH80" s="67" t="str">
        <f t="shared" si="10"/>
        <v>#REF!</v>
      </c>
      <c r="CI80" s="68" t="str">
        <f>'[1]DATA CONSOLIDADA 2018-2025 '!$CG80-Hoja1!$CB80</f>
        <v>#REF!</v>
      </c>
      <c r="CJ80" s="64" t="str">
        <f t="shared" si="11"/>
        <v>#REF!</v>
      </c>
      <c r="CK80" s="64">
        <v>0.0</v>
      </c>
      <c r="CL80" s="64">
        <v>0.0</v>
      </c>
      <c r="CM80" s="64">
        <v>0.0</v>
      </c>
      <c r="CN80" s="64" t="str">
        <f t="shared" si="12"/>
        <v>#REF!</v>
      </c>
      <c r="CO80" s="68" t="str">
        <f>'[1]DATA CONSOLIDADA 2018-2025 '!$CM80-Hoja1!$CG80</f>
        <v>#REF!</v>
      </c>
      <c r="CP80" s="70">
        <v>0.0</v>
      </c>
      <c r="CQ80" s="70">
        <v>0.0</v>
      </c>
      <c r="CR80" s="70">
        <v>0.0</v>
      </c>
      <c r="CS80" s="70">
        <v>0.0</v>
      </c>
      <c r="CT80" s="70">
        <v>0.0</v>
      </c>
      <c r="CU80" s="70">
        <v>0.0</v>
      </c>
      <c r="CV80" s="64">
        <v>0.0</v>
      </c>
      <c r="CW80" s="64">
        <v>0.0</v>
      </c>
      <c r="CX80" s="64">
        <v>0.0</v>
      </c>
      <c r="CY80" s="64">
        <v>0.0</v>
      </c>
      <c r="CZ80" s="64">
        <v>0.0</v>
      </c>
      <c r="DA80" s="64">
        <v>0.0</v>
      </c>
      <c r="DB80" s="64">
        <v>0.0</v>
      </c>
      <c r="DC80" s="72">
        <v>0.0</v>
      </c>
      <c r="DD80" s="72">
        <v>0.0</v>
      </c>
      <c r="DE80" s="72">
        <v>0.0</v>
      </c>
      <c r="DF80" s="72">
        <v>0.0</v>
      </c>
      <c r="DG80" s="72">
        <v>0.0</v>
      </c>
      <c r="DH80" s="72">
        <v>0.0</v>
      </c>
      <c r="DI80" s="73">
        <v>2.0601643023E10</v>
      </c>
      <c r="DJ80" s="74" t="s">
        <v>396</v>
      </c>
      <c r="DK80" s="74" t="s">
        <v>138</v>
      </c>
      <c r="DL80" s="75"/>
      <c r="DM80" s="75"/>
      <c r="DN80" s="75"/>
      <c r="DO80" s="75"/>
      <c r="DP80" s="75"/>
      <c r="DQ80" s="75"/>
      <c r="DR80" s="75"/>
      <c r="DS80" s="75"/>
      <c r="DT80" s="75"/>
      <c r="DU80" s="75"/>
      <c r="DV80" s="75"/>
      <c r="DW80" s="75"/>
      <c r="DX80" s="75"/>
      <c r="DY80" s="75"/>
      <c r="DZ80" s="75"/>
      <c r="EA80" s="75"/>
      <c r="EB80" s="75"/>
      <c r="EC80" s="75"/>
      <c r="ED80" s="75"/>
      <c r="EE80" s="75"/>
    </row>
    <row r="81" ht="47.25" hidden="1" customHeight="1">
      <c r="A81" s="55" t="s">
        <v>397</v>
      </c>
      <c r="B81" s="55" t="s">
        <v>236</v>
      </c>
      <c r="C81" s="55" t="s">
        <v>237</v>
      </c>
      <c r="D81" s="55" t="s">
        <v>340</v>
      </c>
      <c r="E81" s="55" t="s">
        <v>398</v>
      </c>
      <c r="F81" s="55" t="s">
        <v>340</v>
      </c>
      <c r="G81" s="55" t="s">
        <v>342</v>
      </c>
      <c r="H81" s="55" t="s">
        <v>340</v>
      </c>
      <c r="I81" s="56"/>
      <c r="J81" s="56"/>
      <c r="K81" s="56"/>
      <c r="L81" s="56">
        <v>1.0</v>
      </c>
      <c r="M81" s="56">
        <v>1.0</v>
      </c>
      <c r="N81" s="56">
        <v>1.0</v>
      </c>
      <c r="O81" s="56">
        <v>1.0</v>
      </c>
      <c r="P81" s="56">
        <v>1.0</v>
      </c>
      <c r="Q81" s="56" t="s">
        <v>393</v>
      </c>
      <c r="R81" s="58" t="str">
        <f t="shared" si="1"/>
        <v>2021-2022-2023-2024 - 2025</v>
      </c>
      <c r="S81" s="59" t="str">
        <f>SUM(Hoja1!$I81:$P81)</f>
        <v>5</v>
      </c>
      <c r="T81" s="59" t="str">
        <f>IF(OR(Hoja1!$J81=1,Hoja1!$K81=1,Hoja1!$L81=1,Hoja1!$M81=1,Hoja1!$N81=1,Hoja1!$O81=1,Hoja1!$P81=1),"SI","NO")</f>
        <v>SI</v>
      </c>
      <c r="U81" s="59" t="str">
        <f>IF(OR(Hoja1!$K81=1,Hoja1!$L81=1,Hoja1!$M81=1,Hoja1!$N81=1,Hoja1!$O81=1,Hoja1!$P81=1),"SI","NO")</f>
        <v>SI</v>
      </c>
      <c r="V81" s="60">
        <v>0.0</v>
      </c>
      <c r="W81" s="61">
        <v>0.0</v>
      </c>
      <c r="X81" s="61">
        <v>0.0</v>
      </c>
      <c r="Y81" s="60">
        <v>0.0</v>
      </c>
      <c r="Z81" s="61">
        <v>0.0</v>
      </c>
      <c r="AA81" s="61">
        <v>0.0</v>
      </c>
      <c r="AB81" s="60">
        <v>0.0</v>
      </c>
      <c r="AC81" s="61">
        <v>80.0</v>
      </c>
      <c r="AD81" s="61">
        <v>37.0</v>
      </c>
      <c r="AE81" s="60">
        <v>117.0</v>
      </c>
      <c r="AF81" s="61">
        <v>80.0</v>
      </c>
      <c r="AG81" s="61">
        <v>37.0</v>
      </c>
      <c r="AH81" s="60">
        <v>117.0</v>
      </c>
      <c r="AI81" s="61">
        <v>80.0</v>
      </c>
      <c r="AJ81" s="61">
        <v>37.0</v>
      </c>
      <c r="AK81" s="60">
        <v>117.0</v>
      </c>
      <c r="AL81" s="61">
        <v>40.0</v>
      </c>
      <c r="AM81" s="61">
        <v>18.0</v>
      </c>
      <c r="AN81" s="60">
        <v>58.0</v>
      </c>
      <c r="AO81" s="62">
        <v>0.0</v>
      </c>
      <c r="AP81" s="62">
        <v>0.0</v>
      </c>
      <c r="AQ81" s="60">
        <v>0.0</v>
      </c>
      <c r="AR81" s="60" t="str">
        <f>IF(Hoja1!$AQ81&gt;0,Hoja1!$AQ81,IF(Hoja1!$AN81&gt;0,Hoja1!$AN81,IF(Hoja1!$AK81&gt;0,Hoja1!$AK81,IF(Hoja1!$AH81&gt;0,Hoja1!$AH81,IF(Hoja1!$AE81&gt;0,Hoja1!$AE81,IF(Hoja1!$AB81&gt;0,Hoja1!$AB81,IF(Hoja1!$Y81&gt;0,Hoja1!$Y81,IF(Hoja1!$V81&gt;0,Hoja1!$V81," ---"))))))))</f>
        <v>58</v>
      </c>
      <c r="AS81" s="63">
        <v>0.0</v>
      </c>
      <c r="AT81" s="63">
        <v>0.0</v>
      </c>
      <c r="AU81" s="63">
        <v>36.0</v>
      </c>
      <c r="AV81" s="63">
        <v>9.0</v>
      </c>
      <c r="AW81" s="63">
        <v>15.0</v>
      </c>
      <c r="AX81" s="63">
        <v>2.0</v>
      </c>
      <c r="AY81" s="63">
        <v>55.0</v>
      </c>
      <c r="AZ81" s="63">
        <v>8.0</v>
      </c>
      <c r="BA81" s="63">
        <v>16.0</v>
      </c>
      <c r="BB81" s="63">
        <v>2.0</v>
      </c>
      <c r="BC81" s="63">
        <v>0.0</v>
      </c>
      <c r="BD81" s="63">
        <v>0.0</v>
      </c>
      <c r="BE81" s="64">
        <v>0.0</v>
      </c>
      <c r="BF81" s="69">
        <v>0.0</v>
      </c>
      <c r="BG81" s="69">
        <v>0.0</v>
      </c>
      <c r="BH81" s="64">
        <v>0.0</v>
      </c>
      <c r="BI81" s="67" t="str">
        <f t="shared" si="2"/>
        <v>#REF!</v>
      </c>
      <c r="BJ81" s="68" t="str">
        <f t="shared" si="3"/>
        <v>#REF!</v>
      </c>
      <c r="BK81" s="69">
        <v>0.0</v>
      </c>
      <c r="BL81" s="69">
        <v>0.0</v>
      </c>
      <c r="BM81" s="66">
        <v>0.0</v>
      </c>
      <c r="BN81" s="67" t="str">
        <f t="shared" si="4"/>
        <v>#REF!</v>
      </c>
      <c r="BO81" s="68" t="str">
        <f t="shared" si="5"/>
        <v>#REF!</v>
      </c>
      <c r="BP81" s="65">
        <v>195944.1</v>
      </c>
      <c r="BQ81" s="65">
        <v>0.0</v>
      </c>
      <c r="BR81" s="66">
        <v>195944.1</v>
      </c>
      <c r="BS81" s="67" t="str">
        <f t="shared" si="6"/>
        <v>#REF!</v>
      </c>
      <c r="BT81" s="68" t="str">
        <f>'[1]DATA CONSOLIDADA 2018-2025 '!$BR81-Hoja1!$BO81</f>
        <v>#REF!</v>
      </c>
      <c r="BU81" s="65">
        <v>0.0</v>
      </c>
      <c r="BV81" s="65">
        <v>115372.86</v>
      </c>
      <c r="BW81" s="66">
        <v>115372.86</v>
      </c>
      <c r="BX81" s="67" t="str">
        <f t="shared" si="7"/>
        <v>#REF!</v>
      </c>
      <c r="BY81" s="68" t="str">
        <f t="shared" si="8"/>
        <v>#REF!</v>
      </c>
      <c r="BZ81" s="65">
        <v>624324.13</v>
      </c>
      <c r="CA81" s="65">
        <v>299314.59</v>
      </c>
      <c r="CB81" s="66">
        <v>923638.72</v>
      </c>
      <c r="CC81" s="67" t="str">
        <f t="shared" si="9"/>
        <v>#REF!</v>
      </c>
      <c r="CD81" s="68" t="str">
        <f>'[1]DATA CONSOLIDADA 2018-2025 '!$CB81-Hoja1!$BW81</f>
        <v>#REF!</v>
      </c>
      <c r="CE81" s="70">
        <v>726147.1999399997</v>
      </c>
      <c r="CF81" s="70">
        <v>0.0</v>
      </c>
      <c r="CG81" s="71">
        <v>726147.1999399997</v>
      </c>
      <c r="CH81" s="67" t="str">
        <f t="shared" si="10"/>
        <v>#REF!</v>
      </c>
      <c r="CI81" s="68" t="str">
        <f>'[1]DATA CONSOLIDADA 2018-2025 '!$CG81-Hoja1!$CB81</f>
        <v>#REF!</v>
      </c>
      <c r="CJ81" s="64" t="str">
        <f t="shared" si="11"/>
        <v>#REF!</v>
      </c>
      <c r="CK81" s="64">
        <v>155461.40000000005</v>
      </c>
      <c r="CL81" s="64">
        <v>0.0</v>
      </c>
      <c r="CM81" s="64">
        <v>155461.40000000005</v>
      </c>
      <c r="CN81" s="64" t="str">
        <f t="shared" si="12"/>
        <v>#REF!</v>
      </c>
      <c r="CO81" s="68" t="str">
        <f>'[1]DATA CONSOLIDADA 2018-2025 '!$CM81-Hoja1!$CG81</f>
        <v>#REF!</v>
      </c>
      <c r="CP81" s="70">
        <v>0.0</v>
      </c>
      <c r="CQ81" s="70">
        <v>0.0</v>
      </c>
      <c r="CR81" s="70">
        <v>0.0</v>
      </c>
      <c r="CS81" s="70">
        <v>923638.7199999999</v>
      </c>
      <c r="CT81" s="70">
        <v>0.0</v>
      </c>
      <c r="CU81" s="70">
        <v>0.0</v>
      </c>
      <c r="CV81" s="64">
        <v>923638.7199999999</v>
      </c>
      <c r="CW81" s="64">
        <v>0.0</v>
      </c>
      <c r="CX81" s="64">
        <v>0.0</v>
      </c>
      <c r="CY81" s="64">
        <v>726147.1999399997</v>
      </c>
      <c r="CZ81" s="64">
        <v>0.0</v>
      </c>
      <c r="DA81" s="64">
        <v>0.0</v>
      </c>
      <c r="DB81" s="64">
        <v>726147.1999399997</v>
      </c>
      <c r="DC81" s="72">
        <v>327.0</v>
      </c>
      <c r="DD81" s="72">
        <v>0.0</v>
      </c>
      <c r="DE81" s="72">
        <v>155134.40000000005</v>
      </c>
      <c r="DF81" s="72">
        <v>0.0</v>
      </c>
      <c r="DG81" s="72">
        <v>0.0</v>
      </c>
      <c r="DH81" s="72">
        <v>155461.40000000005</v>
      </c>
      <c r="DI81" s="73">
        <v>2.057460245E10</v>
      </c>
      <c r="DJ81" s="74" t="s">
        <v>397</v>
      </c>
      <c r="DK81" s="74" t="s">
        <v>132</v>
      </c>
      <c r="DL81" s="75"/>
      <c r="DM81" s="75"/>
      <c r="DN81" s="75"/>
      <c r="DO81" s="75"/>
      <c r="DP81" s="75"/>
      <c r="DQ81" s="75"/>
      <c r="DR81" s="75"/>
      <c r="DS81" s="75"/>
      <c r="DT81" s="75"/>
      <c r="DU81" s="75"/>
      <c r="DV81" s="75"/>
      <c r="DW81" s="75"/>
      <c r="DX81" s="75"/>
      <c r="DY81" s="75"/>
      <c r="DZ81" s="75"/>
      <c r="EA81" s="75"/>
      <c r="EB81" s="75"/>
      <c r="EC81" s="75"/>
      <c r="ED81" s="75"/>
      <c r="EE81" s="75"/>
    </row>
    <row r="82" ht="47.25" hidden="1" customHeight="1">
      <c r="A82" s="55" t="s">
        <v>399</v>
      </c>
      <c r="B82" s="55" t="s">
        <v>236</v>
      </c>
      <c r="C82" s="55" t="s">
        <v>237</v>
      </c>
      <c r="D82" s="55" t="s">
        <v>340</v>
      </c>
      <c r="E82" s="55" t="s">
        <v>350</v>
      </c>
      <c r="F82" s="55" t="s">
        <v>340</v>
      </c>
      <c r="G82" s="55" t="s">
        <v>342</v>
      </c>
      <c r="H82" s="55" t="s">
        <v>351</v>
      </c>
      <c r="I82" s="56"/>
      <c r="J82" s="56"/>
      <c r="K82" s="56"/>
      <c r="L82" s="56">
        <v>1.0</v>
      </c>
      <c r="M82" s="56">
        <v>1.0</v>
      </c>
      <c r="N82" s="56">
        <v>1.0</v>
      </c>
      <c r="O82" s="56">
        <v>1.0</v>
      </c>
      <c r="P82" s="56">
        <v>1.0</v>
      </c>
      <c r="Q82" s="56" t="s">
        <v>393</v>
      </c>
      <c r="R82" s="58" t="str">
        <f t="shared" si="1"/>
        <v>2021-2022-2023-2024 - 2025</v>
      </c>
      <c r="S82" s="59" t="str">
        <f>SUM(Hoja1!$I82:$P82)</f>
        <v>5</v>
      </c>
      <c r="T82" s="59" t="str">
        <f>IF(OR(Hoja1!$J82=1,Hoja1!$K82=1,Hoja1!$L82=1,Hoja1!$M82=1,Hoja1!$N82=1,Hoja1!$O82=1,Hoja1!$P82=1),"SI","NO")</f>
        <v>SI</v>
      </c>
      <c r="U82" s="59" t="str">
        <f>IF(OR(Hoja1!$K82=1,Hoja1!$L82=1,Hoja1!$M82=1,Hoja1!$N82=1,Hoja1!$O82=1,Hoja1!$P82=1),"SI","NO")</f>
        <v>SI</v>
      </c>
      <c r="V82" s="60">
        <v>0.0</v>
      </c>
      <c r="W82" s="61">
        <v>0.0</v>
      </c>
      <c r="X82" s="61">
        <v>0.0</v>
      </c>
      <c r="Y82" s="60">
        <v>0.0</v>
      </c>
      <c r="Z82" s="61">
        <v>0.0</v>
      </c>
      <c r="AA82" s="61">
        <v>0.0</v>
      </c>
      <c r="AB82" s="60">
        <v>0.0</v>
      </c>
      <c r="AC82" s="61">
        <v>58.0</v>
      </c>
      <c r="AD82" s="61">
        <v>18.0</v>
      </c>
      <c r="AE82" s="60">
        <v>76.0</v>
      </c>
      <c r="AF82" s="61">
        <v>58.0</v>
      </c>
      <c r="AG82" s="61">
        <v>18.0</v>
      </c>
      <c r="AH82" s="60">
        <v>76.0</v>
      </c>
      <c r="AI82" s="61">
        <v>58.0</v>
      </c>
      <c r="AJ82" s="61">
        <v>18.0</v>
      </c>
      <c r="AK82" s="60">
        <v>76.0</v>
      </c>
      <c r="AL82" s="61">
        <v>56.0</v>
      </c>
      <c r="AM82" s="61">
        <v>14.0</v>
      </c>
      <c r="AN82" s="60">
        <v>70.0</v>
      </c>
      <c r="AO82" s="62">
        <v>0.0</v>
      </c>
      <c r="AP82" s="62">
        <v>0.0</v>
      </c>
      <c r="AQ82" s="60">
        <v>0.0</v>
      </c>
      <c r="AR82" s="60" t="str">
        <f>IF(Hoja1!$AQ82&gt;0,Hoja1!$AQ82,IF(Hoja1!$AN82&gt;0,Hoja1!$AN82,IF(Hoja1!$AK82&gt;0,Hoja1!$AK82,IF(Hoja1!$AH82&gt;0,Hoja1!$AH82,IF(Hoja1!$AE82&gt;0,Hoja1!$AE82,IF(Hoja1!$AB82&gt;0,Hoja1!$AB82,IF(Hoja1!$Y82&gt;0,Hoja1!$Y82,IF(Hoja1!$V82&gt;0,Hoja1!$V82," ---"))))))))</f>
        <v>70</v>
      </c>
      <c r="AS82" s="63">
        <v>0.0</v>
      </c>
      <c r="AT82" s="63">
        <v>0.0</v>
      </c>
      <c r="AU82" s="63">
        <v>39.0</v>
      </c>
      <c r="AV82" s="63">
        <v>9.0</v>
      </c>
      <c r="AW82" s="63">
        <v>21.0</v>
      </c>
      <c r="AX82" s="63">
        <v>2.0</v>
      </c>
      <c r="AY82" s="63">
        <v>63.0</v>
      </c>
      <c r="AZ82" s="63">
        <v>5.0</v>
      </c>
      <c r="BA82" s="63">
        <v>28.0</v>
      </c>
      <c r="BB82" s="63">
        <v>2.0</v>
      </c>
      <c r="BC82" s="63">
        <v>0.0</v>
      </c>
      <c r="BD82" s="63">
        <v>0.0</v>
      </c>
      <c r="BE82" s="64">
        <v>0.0</v>
      </c>
      <c r="BF82" s="69">
        <v>0.0</v>
      </c>
      <c r="BG82" s="69">
        <v>0.0</v>
      </c>
      <c r="BH82" s="64">
        <v>0.0</v>
      </c>
      <c r="BI82" s="67" t="str">
        <f t="shared" si="2"/>
        <v>#REF!</v>
      </c>
      <c r="BJ82" s="68" t="str">
        <f t="shared" si="3"/>
        <v>#REF!</v>
      </c>
      <c r="BK82" s="69">
        <v>0.0</v>
      </c>
      <c r="BL82" s="69">
        <v>0.0</v>
      </c>
      <c r="BM82" s="66">
        <v>0.0</v>
      </c>
      <c r="BN82" s="67" t="str">
        <f t="shared" si="4"/>
        <v>#REF!</v>
      </c>
      <c r="BO82" s="68" t="str">
        <f t="shared" si="5"/>
        <v>#REF!</v>
      </c>
      <c r="BP82" s="65">
        <v>96273.65</v>
      </c>
      <c r="BQ82" s="65">
        <v>0.0</v>
      </c>
      <c r="BR82" s="66">
        <v>96273.65</v>
      </c>
      <c r="BS82" s="67" t="str">
        <f t="shared" si="6"/>
        <v>#REF!</v>
      </c>
      <c r="BT82" s="68" t="str">
        <f>'[1]DATA CONSOLIDADA 2018-2025 '!$BR82-Hoja1!$BO82</f>
        <v>#REF!</v>
      </c>
      <c r="BU82" s="65">
        <v>118400.0</v>
      </c>
      <c r="BV82" s="65">
        <v>0.0</v>
      </c>
      <c r="BW82" s="66">
        <v>118400.0</v>
      </c>
      <c r="BX82" s="67" t="str">
        <f t="shared" si="7"/>
        <v>#REF!</v>
      </c>
      <c r="BY82" s="68" t="str">
        <f t="shared" si="8"/>
        <v>#REF!</v>
      </c>
      <c r="BZ82" s="65">
        <v>473161.0</v>
      </c>
      <c r="CA82" s="65">
        <v>0.0</v>
      </c>
      <c r="CB82" s="66">
        <v>473161.0</v>
      </c>
      <c r="CC82" s="67" t="str">
        <f t="shared" si="9"/>
        <v>#REF!</v>
      </c>
      <c r="CD82" s="68" t="str">
        <f>'[1]DATA CONSOLIDADA 2018-2025 '!$CB82-Hoja1!$BW82</f>
        <v>#REF!</v>
      </c>
      <c r="CE82" s="70">
        <v>612530.9998995</v>
      </c>
      <c r="CF82" s="70">
        <v>0.0</v>
      </c>
      <c r="CG82" s="71">
        <v>612530.9998995</v>
      </c>
      <c r="CH82" s="67" t="str">
        <f t="shared" si="10"/>
        <v>#REF!</v>
      </c>
      <c r="CI82" s="68" t="str">
        <f>'[1]DATA CONSOLIDADA 2018-2025 '!$CG82-Hoja1!$CB82</f>
        <v>#REF!</v>
      </c>
      <c r="CJ82" s="64" t="str">
        <f t="shared" si="11"/>
        <v>#REF!</v>
      </c>
      <c r="CK82" s="64">
        <v>182500.0</v>
      </c>
      <c r="CL82" s="64">
        <v>0.0</v>
      </c>
      <c r="CM82" s="64">
        <v>182500.0</v>
      </c>
      <c r="CN82" s="64" t="str">
        <f t="shared" si="12"/>
        <v>#REF!</v>
      </c>
      <c r="CO82" s="68" t="str">
        <f>'[1]DATA CONSOLIDADA 2018-2025 '!$CM82-Hoja1!$CG82</f>
        <v>#REF!</v>
      </c>
      <c r="CP82" s="70">
        <v>0.0</v>
      </c>
      <c r="CQ82" s="70">
        <v>207150.0</v>
      </c>
      <c r="CR82" s="70">
        <v>0.0</v>
      </c>
      <c r="CS82" s="70">
        <v>266011.0</v>
      </c>
      <c r="CT82" s="70">
        <v>0.0</v>
      </c>
      <c r="CU82" s="70">
        <v>0.0</v>
      </c>
      <c r="CV82" s="64">
        <v>473161.0</v>
      </c>
      <c r="CW82" s="64">
        <v>0.0</v>
      </c>
      <c r="CX82" s="64">
        <v>595200.0</v>
      </c>
      <c r="CY82" s="64">
        <v>17330.9998995</v>
      </c>
      <c r="CZ82" s="64">
        <v>0.0</v>
      </c>
      <c r="DA82" s="64">
        <v>0.0</v>
      </c>
      <c r="DB82" s="64">
        <v>612530.9998995</v>
      </c>
      <c r="DC82" s="72">
        <v>0.0</v>
      </c>
      <c r="DD82" s="72">
        <v>182500.0</v>
      </c>
      <c r="DE82" s="72">
        <v>0.0</v>
      </c>
      <c r="DF82" s="72">
        <v>0.0</v>
      </c>
      <c r="DG82" s="72">
        <v>0.0</v>
      </c>
      <c r="DH82" s="72">
        <v>182500.0</v>
      </c>
      <c r="DI82" s="73">
        <v>2.0601377781E10</v>
      </c>
      <c r="DJ82" s="74" t="s">
        <v>399</v>
      </c>
      <c r="DK82" s="74" t="s">
        <v>132</v>
      </c>
      <c r="DL82" s="75"/>
      <c r="DM82" s="75"/>
      <c r="DN82" s="75"/>
      <c r="DO82" s="75"/>
      <c r="DP82" s="75"/>
      <c r="DQ82" s="75"/>
      <c r="DR82" s="75"/>
      <c r="DS82" s="75"/>
      <c r="DT82" s="75"/>
      <c r="DU82" s="75"/>
      <c r="DV82" s="75"/>
      <c r="DW82" s="75"/>
      <c r="DX82" s="75"/>
      <c r="DY82" s="75"/>
      <c r="DZ82" s="75"/>
      <c r="EA82" s="75"/>
      <c r="EB82" s="75"/>
      <c r="EC82" s="75"/>
      <c r="ED82" s="75"/>
      <c r="EE82" s="75"/>
    </row>
    <row r="83" ht="47.25" hidden="1" customHeight="1">
      <c r="A83" s="55" t="s">
        <v>400</v>
      </c>
      <c r="B83" s="55" t="s">
        <v>236</v>
      </c>
      <c r="C83" s="55" t="s">
        <v>237</v>
      </c>
      <c r="D83" s="55" t="s">
        <v>340</v>
      </c>
      <c r="E83" s="55" t="s">
        <v>341</v>
      </c>
      <c r="F83" s="55" t="s">
        <v>340</v>
      </c>
      <c r="G83" s="55" t="s">
        <v>342</v>
      </c>
      <c r="H83" s="55" t="s">
        <v>343</v>
      </c>
      <c r="I83" s="56"/>
      <c r="J83" s="56"/>
      <c r="K83" s="56"/>
      <c r="L83" s="56">
        <v>1.0</v>
      </c>
      <c r="M83" s="56">
        <v>1.0</v>
      </c>
      <c r="N83" s="56">
        <v>1.0</v>
      </c>
      <c r="O83" s="56">
        <v>1.0</v>
      </c>
      <c r="P83" s="56"/>
      <c r="Q83" s="56" t="s">
        <v>131</v>
      </c>
      <c r="R83" s="58" t="str">
        <f t="shared" si="1"/>
        <v>2021-2022-2023-2024</v>
      </c>
      <c r="S83" s="59" t="str">
        <f>SUM(Hoja1!$I83:$P83)</f>
        <v>4</v>
      </c>
      <c r="T83" s="59" t="str">
        <f>IF(OR(Hoja1!$J83=1,Hoja1!$K83=1,Hoja1!$L83=1,Hoja1!$M83=1,Hoja1!$N83=1,Hoja1!$O83=1,Hoja1!$P83=1),"SI","NO")</f>
        <v>SI</v>
      </c>
      <c r="U83" s="59" t="str">
        <f>IF(OR(Hoja1!$K83=1,Hoja1!$L83=1,Hoja1!$M83=1,Hoja1!$N83=1,Hoja1!$O83=1,Hoja1!$P83=1),"SI","NO")</f>
        <v>SI</v>
      </c>
      <c r="V83" s="60">
        <v>0.0</v>
      </c>
      <c r="W83" s="61">
        <v>0.0</v>
      </c>
      <c r="X83" s="61">
        <v>0.0</v>
      </c>
      <c r="Y83" s="60">
        <v>0.0</v>
      </c>
      <c r="Z83" s="61">
        <v>0.0</v>
      </c>
      <c r="AA83" s="61">
        <v>0.0</v>
      </c>
      <c r="AB83" s="60">
        <v>0.0</v>
      </c>
      <c r="AC83" s="61">
        <v>17.0</v>
      </c>
      <c r="AD83" s="61">
        <v>12.0</v>
      </c>
      <c r="AE83" s="60">
        <v>29.0</v>
      </c>
      <c r="AF83" s="61">
        <v>17.0</v>
      </c>
      <c r="AG83" s="61">
        <v>12.0</v>
      </c>
      <c r="AH83" s="60">
        <v>29.0</v>
      </c>
      <c r="AI83" s="61">
        <v>17.0</v>
      </c>
      <c r="AJ83" s="61">
        <v>12.0</v>
      </c>
      <c r="AK83" s="60">
        <v>29.0</v>
      </c>
      <c r="AL83" s="61">
        <v>17.0</v>
      </c>
      <c r="AM83" s="61">
        <v>12.0</v>
      </c>
      <c r="AN83" s="60">
        <v>29.0</v>
      </c>
      <c r="AO83" s="62">
        <v>0.0</v>
      </c>
      <c r="AP83" s="62">
        <v>0.0</v>
      </c>
      <c r="AQ83" s="60">
        <v>0.0</v>
      </c>
      <c r="AR83" s="60" t="str">
        <f>IF(Hoja1!$AQ83&gt;0,Hoja1!$AQ83,IF(Hoja1!$AN83&gt;0,Hoja1!$AN83,IF(Hoja1!$AK83&gt;0,Hoja1!$AK83,IF(Hoja1!$AH83&gt;0,Hoja1!$AH83,IF(Hoja1!$AE83&gt;0,Hoja1!$AE83,IF(Hoja1!$AB83&gt;0,Hoja1!$AB83,IF(Hoja1!$Y83&gt;0,Hoja1!$Y83,IF(Hoja1!$V83&gt;0,Hoja1!$V83," ---"))))))))</f>
        <v>29</v>
      </c>
      <c r="AS83" s="63">
        <v>0.0</v>
      </c>
      <c r="AT83" s="63">
        <v>0.0</v>
      </c>
      <c r="AU83" s="63">
        <v>38.0</v>
      </c>
      <c r="AV83" s="63">
        <v>9.0</v>
      </c>
      <c r="AW83" s="63">
        <v>21.0</v>
      </c>
      <c r="AX83" s="63">
        <v>3.0</v>
      </c>
      <c r="AY83" s="63">
        <v>62.0</v>
      </c>
      <c r="AZ83" s="63">
        <v>5.0</v>
      </c>
      <c r="BA83" s="63">
        <v>28.0</v>
      </c>
      <c r="BB83" s="63">
        <v>2.0</v>
      </c>
      <c r="BC83" s="63">
        <v>0.0</v>
      </c>
      <c r="BD83" s="63">
        <v>0.0</v>
      </c>
      <c r="BE83" s="64">
        <v>0.0</v>
      </c>
      <c r="BF83" s="69">
        <v>0.0</v>
      </c>
      <c r="BG83" s="69">
        <v>0.0</v>
      </c>
      <c r="BH83" s="64">
        <v>0.0</v>
      </c>
      <c r="BI83" s="67" t="str">
        <f t="shared" si="2"/>
        <v>#REF!</v>
      </c>
      <c r="BJ83" s="68" t="str">
        <f t="shared" si="3"/>
        <v>#REF!</v>
      </c>
      <c r="BK83" s="69">
        <v>0.0</v>
      </c>
      <c r="BL83" s="69">
        <v>0.0</v>
      </c>
      <c r="BM83" s="66">
        <v>0.0</v>
      </c>
      <c r="BN83" s="67" t="str">
        <f t="shared" si="4"/>
        <v>#REF!</v>
      </c>
      <c r="BO83" s="68" t="str">
        <f t="shared" si="5"/>
        <v>#REF!</v>
      </c>
      <c r="BP83" s="65">
        <v>84480.0</v>
      </c>
      <c r="BQ83" s="65">
        <v>0.0</v>
      </c>
      <c r="BR83" s="66">
        <v>84480.0</v>
      </c>
      <c r="BS83" s="67" t="str">
        <f t="shared" si="6"/>
        <v>#REF!</v>
      </c>
      <c r="BT83" s="68" t="str">
        <f>'[1]DATA CONSOLIDADA 2018-2025 '!$BR83-Hoja1!$BO83</f>
        <v>#REF!</v>
      </c>
      <c r="BU83" s="65">
        <v>106900.0</v>
      </c>
      <c r="BV83" s="65">
        <v>0.0</v>
      </c>
      <c r="BW83" s="66">
        <v>106900.0</v>
      </c>
      <c r="BX83" s="67" t="str">
        <f t="shared" si="7"/>
        <v>#REF!</v>
      </c>
      <c r="BY83" s="68" t="str">
        <f t="shared" si="8"/>
        <v>#REF!</v>
      </c>
      <c r="BZ83" s="65">
        <v>266550.0</v>
      </c>
      <c r="CA83" s="65">
        <v>0.0</v>
      </c>
      <c r="CB83" s="66">
        <v>266550.0</v>
      </c>
      <c r="CC83" s="67" t="str">
        <f t="shared" si="9"/>
        <v>#REF!</v>
      </c>
      <c r="CD83" s="68" t="str">
        <f>'[1]DATA CONSOLIDADA 2018-2025 '!$CB83-Hoja1!$BW83</f>
        <v>#REF!</v>
      </c>
      <c r="CE83" s="70">
        <v>302050.0</v>
      </c>
      <c r="CF83" s="70">
        <v>0.0</v>
      </c>
      <c r="CG83" s="71">
        <v>302050.0</v>
      </c>
      <c r="CH83" s="67" t="str">
        <f t="shared" si="10"/>
        <v>#REF!</v>
      </c>
      <c r="CI83" s="68" t="str">
        <f>'[1]DATA CONSOLIDADA 2018-2025 '!$CG83-Hoja1!$CB83</f>
        <v>#REF!</v>
      </c>
      <c r="CJ83" s="64" t="str">
        <f t="shared" si="11"/>
        <v>#REF!</v>
      </c>
      <c r="CK83" s="64">
        <v>0.0</v>
      </c>
      <c r="CL83" s="64">
        <v>0.0</v>
      </c>
      <c r="CM83" s="64">
        <v>0.0</v>
      </c>
      <c r="CN83" s="64" t="str">
        <f t="shared" si="12"/>
        <v>#REF!</v>
      </c>
      <c r="CO83" s="68" t="str">
        <f>'[1]DATA CONSOLIDADA 2018-2025 '!$CM83-Hoja1!$CG83</f>
        <v>#REF!</v>
      </c>
      <c r="CP83" s="70">
        <v>0.0</v>
      </c>
      <c r="CQ83" s="70">
        <v>266550.0</v>
      </c>
      <c r="CR83" s="70">
        <v>0.0</v>
      </c>
      <c r="CS83" s="70">
        <v>0.0</v>
      </c>
      <c r="CT83" s="70">
        <v>0.0</v>
      </c>
      <c r="CU83" s="70">
        <v>0.0</v>
      </c>
      <c r="CV83" s="64">
        <v>266550.0</v>
      </c>
      <c r="CW83" s="64">
        <v>0.0</v>
      </c>
      <c r="CX83" s="64">
        <v>302050.0</v>
      </c>
      <c r="CY83" s="64">
        <v>0.0</v>
      </c>
      <c r="CZ83" s="64">
        <v>0.0</v>
      </c>
      <c r="DA83" s="64">
        <v>0.0</v>
      </c>
      <c r="DB83" s="64">
        <v>302050.0</v>
      </c>
      <c r="DC83" s="72">
        <v>0.0</v>
      </c>
      <c r="DD83" s="72">
        <v>0.0</v>
      </c>
      <c r="DE83" s="72">
        <v>0.0</v>
      </c>
      <c r="DF83" s="72">
        <v>0.0</v>
      </c>
      <c r="DG83" s="72">
        <v>0.0</v>
      </c>
      <c r="DH83" s="72">
        <v>0.0</v>
      </c>
      <c r="DI83" s="73">
        <v>2.0603942028E10</v>
      </c>
      <c r="DJ83" s="74" t="s">
        <v>400</v>
      </c>
      <c r="DK83" s="74" t="s">
        <v>132</v>
      </c>
      <c r="DL83" s="75"/>
      <c r="DM83" s="75"/>
      <c r="DN83" s="75"/>
      <c r="DO83" s="75"/>
      <c r="DP83" s="75"/>
      <c r="DQ83" s="75"/>
      <c r="DR83" s="75"/>
      <c r="DS83" s="75"/>
      <c r="DT83" s="75"/>
      <c r="DU83" s="75"/>
      <c r="DV83" s="75"/>
      <c r="DW83" s="75"/>
      <c r="DX83" s="75"/>
      <c r="DY83" s="75"/>
      <c r="DZ83" s="75"/>
      <c r="EA83" s="75"/>
      <c r="EB83" s="75"/>
      <c r="EC83" s="75"/>
      <c r="ED83" s="75"/>
      <c r="EE83" s="75"/>
    </row>
    <row r="84" ht="47.25" hidden="1" customHeight="1">
      <c r="A84" s="55" t="s">
        <v>401</v>
      </c>
      <c r="B84" s="55" t="s">
        <v>236</v>
      </c>
      <c r="C84" s="55" t="s">
        <v>237</v>
      </c>
      <c r="D84" s="55" t="s">
        <v>340</v>
      </c>
      <c r="E84" s="55" t="s">
        <v>363</v>
      </c>
      <c r="F84" s="55" t="s">
        <v>340</v>
      </c>
      <c r="G84" s="55" t="s">
        <v>364</v>
      </c>
      <c r="H84" s="55" t="s">
        <v>364</v>
      </c>
      <c r="I84" s="56"/>
      <c r="J84" s="56"/>
      <c r="K84" s="56"/>
      <c r="L84" s="56">
        <v>1.0</v>
      </c>
      <c r="M84" s="56">
        <v>1.0</v>
      </c>
      <c r="N84" s="56">
        <v>1.0</v>
      </c>
      <c r="O84" s="56"/>
      <c r="P84" s="56"/>
      <c r="Q84" s="56" t="s">
        <v>131</v>
      </c>
      <c r="R84" s="58" t="str">
        <f t="shared" si="1"/>
        <v>2021-2022-2023</v>
      </c>
      <c r="S84" s="59" t="str">
        <f>SUM(Hoja1!$I84:$P84)</f>
        <v>3</v>
      </c>
      <c r="T84" s="59" t="str">
        <f>IF(OR(Hoja1!$J84=1,Hoja1!$K84=1,Hoja1!$L84=1,Hoja1!$M84=1,Hoja1!$N84=1,Hoja1!$O84=1,Hoja1!$P84=1),"SI","NO")</f>
        <v>SI</v>
      </c>
      <c r="U84" s="59" t="str">
        <f>IF(OR(Hoja1!$K84=1,Hoja1!$L84=1,Hoja1!$M84=1,Hoja1!$N84=1,Hoja1!$O84=1,Hoja1!$P84=1),"SI","NO")</f>
        <v>SI</v>
      </c>
      <c r="V84" s="60">
        <v>0.0</v>
      </c>
      <c r="W84" s="61">
        <v>0.0</v>
      </c>
      <c r="X84" s="61">
        <v>0.0</v>
      </c>
      <c r="Y84" s="60">
        <v>0.0</v>
      </c>
      <c r="Z84" s="61">
        <v>0.0</v>
      </c>
      <c r="AA84" s="61">
        <v>0.0</v>
      </c>
      <c r="AB84" s="60">
        <v>0.0</v>
      </c>
      <c r="AC84" s="61">
        <v>20.0</v>
      </c>
      <c r="AD84" s="61">
        <v>22.0</v>
      </c>
      <c r="AE84" s="60">
        <v>42.0</v>
      </c>
      <c r="AF84" s="61">
        <v>20.0</v>
      </c>
      <c r="AG84" s="61">
        <v>22.0</v>
      </c>
      <c r="AH84" s="60">
        <v>42.0</v>
      </c>
      <c r="AI84" s="61">
        <v>20.0</v>
      </c>
      <c r="AJ84" s="61">
        <v>22.0</v>
      </c>
      <c r="AK84" s="60">
        <v>42.0</v>
      </c>
      <c r="AL84" s="61">
        <v>0.0</v>
      </c>
      <c r="AM84" s="61">
        <v>0.0</v>
      </c>
      <c r="AN84" s="60">
        <v>0.0</v>
      </c>
      <c r="AO84" s="62">
        <v>0.0</v>
      </c>
      <c r="AP84" s="62">
        <v>0.0</v>
      </c>
      <c r="AQ84" s="60">
        <v>0.0</v>
      </c>
      <c r="AR84" s="60" t="str">
        <f>IF(Hoja1!$AQ84&gt;0,Hoja1!$AQ84,IF(Hoja1!$AN84&gt;0,Hoja1!$AN84,IF(Hoja1!$AK84&gt;0,Hoja1!$AK84,IF(Hoja1!$AH84&gt;0,Hoja1!$AH84,IF(Hoja1!$AE84&gt;0,Hoja1!$AE84,IF(Hoja1!$AB84&gt;0,Hoja1!$AB84,IF(Hoja1!$Y84&gt;0,Hoja1!$Y84,IF(Hoja1!$V84&gt;0,Hoja1!$V84," ---"))))))))</f>
        <v>42</v>
      </c>
      <c r="AS84" s="63">
        <v>0.0</v>
      </c>
      <c r="AT84" s="63">
        <v>0.0</v>
      </c>
      <c r="AU84" s="63">
        <v>37.0</v>
      </c>
      <c r="AV84" s="63">
        <v>9.0</v>
      </c>
      <c r="AW84" s="63">
        <v>21.0</v>
      </c>
      <c r="AX84" s="63">
        <v>3.0</v>
      </c>
      <c r="AY84" s="63">
        <v>55.0</v>
      </c>
      <c r="AZ84" s="63">
        <v>5.0</v>
      </c>
      <c r="BA84" s="63">
        <v>0.0</v>
      </c>
      <c r="BB84" s="63">
        <v>0.0</v>
      </c>
      <c r="BC84" s="63">
        <v>0.0</v>
      </c>
      <c r="BD84" s="63">
        <v>0.0</v>
      </c>
      <c r="BE84" s="64">
        <v>0.0</v>
      </c>
      <c r="BF84" s="69">
        <v>0.0</v>
      </c>
      <c r="BG84" s="69">
        <v>0.0</v>
      </c>
      <c r="BH84" s="64">
        <v>0.0</v>
      </c>
      <c r="BI84" s="67" t="str">
        <f t="shared" si="2"/>
        <v>#REF!</v>
      </c>
      <c r="BJ84" s="68" t="str">
        <f t="shared" si="3"/>
        <v>#REF!</v>
      </c>
      <c r="BK84" s="69">
        <v>0.0</v>
      </c>
      <c r="BL84" s="69">
        <v>0.0</v>
      </c>
      <c r="BM84" s="66">
        <v>0.0</v>
      </c>
      <c r="BN84" s="67" t="str">
        <f t="shared" si="4"/>
        <v>#REF!</v>
      </c>
      <c r="BO84" s="68" t="str">
        <f t="shared" si="5"/>
        <v>#REF!</v>
      </c>
      <c r="BP84" s="65">
        <v>0.0</v>
      </c>
      <c r="BQ84" s="65">
        <v>0.0</v>
      </c>
      <c r="BR84" s="66">
        <v>0.0</v>
      </c>
      <c r="BS84" s="67" t="str">
        <f t="shared" si="6"/>
        <v>#REF!</v>
      </c>
      <c r="BT84" s="68" t="str">
        <f>'[1]DATA CONSOLIDADA 2018-2025 '!$BR84-Hoja1!$BO84</f>
        <v>#REF!</v>
      </c>
      <c r="BU84" s="65">
        <v>107000.0</v>
      </c>
      <c r="BV84" s="65">
        <v>0.0</v>
      </c>
      <c r="BW84" s="66">
        <v>107000.0</v>
      </c>
      <c r="BX84" s="67" t="str">
        <f t="shared" si="7"/>
        <v>#REF!</v>
      </c>
      <c r="BY84" s="68" t="str">
        <f t="shared" si="8"/>
        <v>#REF!</v>
      </c>
      <c r="BZ84" s="65">
        <v>310000.0</v>
      </c>
      <c r="CA84" s="65">
        <v>0.0</v>
      </c>
      <c r="CB84" s="66">
        <v>310000.0</v>
      </c>
      <c r="CC84" s="67" t="str">
        <f t="shared" si="9"/>
        <v>#REF!</v>
      </c>
      <c r="CD84" s="68" t="str">
        <f>'[1]DATA CONSOLIDADA 2018-2025 '!$CB84-Hoja1!$BW84</f>
        <v>#REF!</v>
      </c>
      <c r="CE84" s="70">
        <v>0.0</v>
      </c>
      <c r="CF84" s="70">
        <v>0.0</v>
      </c>
      <c r="CG84" s="71">
        <v>0.0</v>
      </c>
      <c r="CH84" s="67" t="str">
        <f t="shared" si="10"/>
        <v>#REF!</v>
      </c>
      <c r="CI84" s="68" t="str">
        <f>'[1]DATA CONSOLIDADA 2018-2025 '!$CG84-Hoja1!$CB84</f>
        <v>#REF!</v>
      </c>
      <c r="CJ84" s="64" t="str">
        <f t="shared" si="11"/>
        <v>#REF!</v>
      </c>
      <c r="CK84" s="64">
        <v>0.0</v>
      </c>
      <c r="CL84" s="64">
        <v>0.0</v>
      </c>
      <c r="CM84" s="64">
        <v>0.0</v>
      </c>
      <c r="CN84" s="64" t="str">
        <f t="shared" si="12"/>
        <v>#REF!</v>
      </c>
      <c r="CO84" s="68" t="str">
        <f>'[1]DATA CONSOLIDADA 2018-2025 '!$CM84-Hoja1!$CG84</f>
        <v>#REF!</v>
      </c>
      <c r="CP84" s="70">
        <v>0.0</v>
      </c>
      <c r="CQ84" s="70">
        <v>245000.0</v>
      </c>
      <c r="CR84" s="70">
        <v>0.0</v>
      </c>
      <c r="CS84" s="70">
        <v>65000.0</v>
      </c>
      <c r="CT84" s="70">
        <v>0.0</v>
      </c>
      <c r="CU84" s="70">
        <v>0.0</v>
      </c>
      <c r="CV84" s="64">
        <v>310000.0</v>
      </c>
      <c r="CW84" s="64">
        <v>0.0</v>
      </c>
      <c r="CX84" s="64">
        <v>0.0</v>
      </c>
      <c r="CY84" s="64">
        <v>0.0</v>
      </c>
      <c r="CZ84" s="64">
        <v>0.0</v>
      </c>
      <c r="DA84" s="64">
        <v>0.0</v>
      </c>
      <c r="DB84" s="64">
        <v>0.0</v>
      </c>
      <c r="DC84" s="72">
        <v>0.0</v>
      </c>
      <c r="DD84" s="72">
        <v>0.0</v>
      </c>
      <c r="DE84" s="72">
        <v>0.0</v>
      </c>
      <c r="DF84" s="72">
        <v>0.0</v>
      </c>
      <c r="DG84" s="72">
        <v>0.0</v>
      </c>
      <c r="DH84" s="72">
        <v>0.0</v>
      </c>
      <c r="DI84" s="73" t="s">
        <v>402</v>
      </c>
      <c r="DJ84" s="74" t="s">
        <v>401</v>
      </c>
      <c r="DK84" s="74" t="s">
        <v>132</v>
      </c>
      <c r="DL84" s="75"/>
      <c r="DM84" s="75"/>
      <c r="DN84" s="75"/>
      <c r="DO84" s="75"/>
      <c r="DP84" s="75"/>
      <c r="DQ84" s="75"/>
      <c r="DR84" s="75"/>
      <c r="DS84" s="75"/>
      <c r="DT84" s="75"/>
      <c r="DU84" s="75"/>
      <c r="DV84" s="75"/>
      <c r="DW84" s="75"/>
      <c r="DX84" s="75"/>
      <c r="DY84" s="75"/>
      <c r="DZ84" s="75"/>
      <c r="EA84" s="75"/>
      <c r="EB84" s="75"/>
      <c r="EC84" s="75"/>
      <c r="ED84" s="75"/>
      <c r="EE84" s="75"/>
    </row>
    <row r="85" ht="47.25" hidden="1" customHeight="1">
      <c r="A85" s="55" t="s">
        <v>403</v>
      </c>
      <c r="B85" s="55" t="s">
        <v>287</v>
      </c>
      <c r="C85" s="55" t="s">
        <v>287</v>
      </c>
      <c r="D85" s="55" t="s">
        <v>340</v>
      </c>
      <c r="E85" s="55" t="s">
        <v>341</v>
      </c>
      <c r="F85" s="55" t="s">
        <v>340</v>
      </c>
      <c r="G85" s="55" t="s">
        <v>342</v>
      </c>
      <c r="H85" s="55" t="s">
        <v>343</v>
      </c>
      <c r="I85" s="56"/>
      <c r="J85" s="56"/>
      <c r="K85" s="56"/>
      <c r="L85" s="56">
        <v>1.0</v>
      </c>
      <c r="M85" s="56">
        <v>1.0</v>
      </c>
      <c r="N85" s="56"/>
      <c r="O85" s="56"/>
      <c r="P85" s="56"/>
      <c r="Q85" s="56" t="s">
        <v>131</v>
      </c>
      <c r="R85" s="58" t="str">
        <f t="shared" si="1"/>
        <v>2021-2022</v>
      </c>
      <c r="S85" s="59" t="str">
        <f>SUM(Hoja1!$I85:$P85)</f>
        <v>2</v>
      </c>
      <c r="T85" s="59" t="str">
        <f>IF(OR(Hoja1!$J85=1,Hoja1!$K85=1,Hoja1!$L85=1,Hoja1!$M85=1,Hoja1!$N85=1,Hoja1!$O85=1,Hoja1!$P85=1),"SI","NO")</f>
        <v>SI</v>
      </c>
      <c r="U85" s="59" t="str">
        <f>IF(OR(Hoja1!$K85=1,Hoja1!$L85=1,Hoja1!$M85=1,Hoja1!$N85=1,Hoja1!$O85=1,Hoja1!$P85=1),"SI","NO")</f>
        <v>SI</v>
      </c>
      <c r="V85" s="60">
        <v>0.0</v>
      </c>
      <c r="W85" s="61">
        <v>0.0</v>
      </c>
      <c r="X85" s="61">
        <v>0.0</v>
      </c>
      <c r="Y85" s="60">
        <v>0.0</v>
      </c>
      <c r="Z85" s="61">
        <v>0.0</v>
      </c>
      <c r="AA85" s="61">
        <v>0.0</v>
      </c>
      <c r="AB85" s="60">
        <v>0.0</v>
      </c>
      <c r="AC85" s="61">
        <v>9.0</v>
      </c>
      <c r="AD85" s="61">
        <v>5.0</v>
      </c>
      <c r="AE85" s="60">
        <v>14.0</v>
      </c>
      <c r="AF85" s="61">
        <v>9.0</v>
      </c>
      <c r="AG85" s="61">
        <v>5.0</v>
      </c>
      <c r="AH85" s="60">
        <v>14.0</v>
      </c>
      <c r="AI85" s="61">
        <v>0.0</v>
      </c>
      <c r="AJ85" s="61">
        <v>0.0</v>
      </c>
      <c r="AK85" s="60">
        <v>0.0</v>
      </c>
      <c r="AL85" s="61">
        <v>0.0</v>
      </c>
      <c r="AM85" s="61">
        <v>0.0</v>
      </c>
      <c r="AN85" s="60">
        <v>0.0</v>
      </c>
      <c r="AO85" s="62">
        <v>0.0</v>
      </c>
      <c r="AP85" s="62">
        <v>0.0</v>
      </c>
      <c r="AQ85" s="60">
        <v>0.0</v>
      </c>
      <c r="AR85" s="60" t="str">
        <f>IF(Hoja1!$AQ85&gt;0,Hoja1!$AQ85,IF(Hoja1!$AN85&gt;0,Hoja1!$AN85,IF(Hoja1!$AK85&gt;0,Hoja1!$AK85,IF(Hoja1!$AH85&gt;0,Hoja1!$AH85,IF(Hoja1!$AE85&gt;0,Hoja1!$AE85,IF(Hoja1!$AB85&gt;0,Hoja1!$AB85,IF(Hoja1!$Y85&gt;0,Hoja1!$Y85,IF(Hoja1!$V85&gt;0,Hoja1!$V85," ---"))))))))</f>
        <v>14</v>
      </c>
      <c r="AS85" s="63">
        <v>0.0</v>
      </c>
      <c r="AT85" s="63">
        <v>0.0</v>
      </c>
      <c r="AU85" s="63">
        <v>30.0</v>
      </c>
      <c r="AV85" s="63">
        <v>9.0</v>
      </c>
      <c r="AW85" s="63">
        <v>32.0</v>
      </c>
      <c r="AX85" s="63">
        <v>4.0</v>
      </c>
      <c r="AY85" s="63">
        <v>0.0</v>
      </c>
      <c r="AZ85" s="63">
        <v>0.0</v>
      </c>
      <c r="BA85" s="63">
        <v>0.0</v>
      </c>
      <c r="BB85" s="63">
        <v>0.0</v>
      </c>
      <c r="BC85" s="63">
        <v>0.0</v>
      </c>
      <c r="BD85" s="63">
        <v>0.0</v>
      </c>
      <c r="BE85" s="64">
        <v>0.0</v>
      </c>
      <c r="BF85" s="69">
        <v>0.0</v>
      </c>
      <c r="BG85" s="69">
        <v>0.0</v>
      </c>
      <c r="BH85" s="64">
        <v>0.0</v>
      </c>
      <c r="BI85" s="67" t="str">
        <f t="shared" si="2"/>
        <v>#REF!</v>
      </c>
      <c r="BJ85" s="68" t="str">
        <f t="shared" si="3"/>
        <v>#REF!</v>
      </c>
      <c r="BK85" s="69">
        <v>0.0</v>
      </c>
      <c r="BL85" s="69">
        <v>0.0</v>
      </c>
      <c r="BM85" s="66">
        <v>0.0</v>
      </c>
      <c r="BN85" s="67" t="str">
        <f t="shared" si="4"/>
        <v>#REF!</v>
      </c>
      <c r="BO85" s="68" t="str">
        <f t="shared" si="5"/>
        <v>#REF!</v>
      </c>
      <c r="BP85" s="65">
        <v>9965.0</v>
      </c>
      <c r="BQ85" s="65">
        <v>0.0</v>
      </c>
      <c r="BR85" s="66">
        <v>9965.0</v>
      </c>
      <c r="BS85" s="67" t="str">
        <f t="shared" si="6"/>
        <v>#REF!</v>
      </c>
      <c r="BT85" s="68" t="str">
        <f>'[1]DATA CONSOLIDADA 2018-2025 '!$BR85-Hoja1!$BO85</f>
        <v>#REF!</v>
      </c>
      <c r="BU85" s="65">
        <v>13235.0</v>
      </c>
      <c r="BV85" s="65">
        <v>0.0</v>
      </c>
      <c r="BW85" s="66">
        <v>13235.0</v>
      </c>
      <c r="BX85" s="67" t="str">
        <f t="shared" si="7"/>
        <v>#REF!</v>
      </c>
      <c r="BY85" s="68" t="str">
        <f t="shared" si="8"/>
        <v>#REF!</v>
      </c>
      <c r="BZ85" s="65">
        <v>0.0</v>
      </c>
      <c r="CA85" s="65">
        <v>0.0</v>
      </c>
      <c r="CB85" s="66">
        <v>0.0</v>
      </c>
      <c r="CC85" s="67" t="str">
        <f t="shared" si="9"/>
        <v>#REF!</v>
      </c>
      <c r="CD85" s="68" t="str">
        <f>'[1]DATA CONSOLIDADA 2018-2025 '!$CB85-Hoja1!$BW85</f>
        <v>#REF!</v>
      </c>
      <c r="CE85" s="70">
        <v>0.0</v>
      </c>
      <c r="CF85" s="70">
        <v>0.0</v>
      </c>
      <c r="CG85" s="71">
        <v>0.0</v>
      </c>
      <c r="CH85" s="67" t="str">
        <f t="shared" si="10"/>
        <v>#REF!</v>
      </c>
      <c r="CI85" s="68" t="str">
        <f>'[1]DATA CONSOLIDADA 2018-2025 '!$CG85-Hoja1!$CB85</f>
        <v>#REF!</v>
      </c>
      <c r="CJ85" s="64" t="str">
        <f t="shared" si="11"/>
        <v>#REF!</v>
      </c>
      <c r="CK85" s="64">
        <v>0.0</v>
      </c>
      <c r="CL85" s="64">
        <v>0.0</v>
      </c>
      <c r="CM85" s="64">
        <v>0.0</v>
      </c>
      <c r="CN85" s="64" t="str">
        <f t="shared" si="12"/>
        <v>#REF!</v>
      </c>
      <c r="CO85" s="68" t="str">
        <f>'[1]DATA CONSOLIDADA 2018-2025 '!$CM85-Hoja1!$CG85</f>
        <v>#REF!</v>
      </c>
      <c r="CP85" s="70">
        <v>0.0</v>
      </c>
      <c r="CQ85" s="70">
        <v>0.0</v>
      </c>
      <c r="CR85" s="70">
        <v>0.0</v>
      </c>
      <c r="CS85" s="70">
        <v>0.0</v>
      </c>
      <c r="CT85" s="70">
        <v>0.0</v>
      </c>
      <c r="CU85" s="70">
        <v>0.0</v>
      </c>
      <c r="CV85" s="64">
        <v>0.0</v>
      </c>
      <c r="CW85" s="64">
        <v>0.0</v>
      </c>
      <c r="CX85" s="64">
        <v>0.0</v>
      </c>
      <c r="CY85" s="64">
        <v>0.0</v>
      </c>
      <c r="CZ85" s="64">
        <v>0.0</v>
      </c>
      <c r="DA85" s="64">
        <v>0.0</v>
      </c>
      <c r="DB85" s="64">
        <v>0.0</v>
      </c>
      <c r="DC85" s="72">
        <v>0.0</v>
      </c>
      <c r="DD85" s="72">
        <v>0.0</v>
      </c>
      <c r="DE85" s="72">
        <v>0.0</v>
      </c>
      <c r="DF85" s="72">
        <v>0.0</v>
      </c>
      <c r="DG85" s="72">
        <v>0.0</v>
      </c>
      <c r="DH85" s="72">
        <v>0.0</v>
      </c>
      <c r="DI85" s="73" t="s">
        <v>404</v>
      </c>
      <c r="DJ85" s="74" t="s">
        <v>405</v>
      </c>
      <c r="DK85" s="74" t="s">
        <v>138</v>
      </c>
      <c r="DL85" s="75"/>
      <c r="DM85" s="75"/>
      <c r="DN85" s="75"/>
      <c r="DO85" s="75"/>
      <c r="DP85" s="75"/>
      <c r="DQ85" s="75"/>
      <c r="DR85" s="75"/>
      <c r="DS85" s="75"/>
      <c r="DT85" s="75"/>
      <c r="DU85" s="75"/>
      <c r="DV85" s="75"/>
      <c r="DW85" s="75"/>
      <c r="DX85" s="75"/>
      <c r="DY85" s="75"/>
      <c r="DZ85" s="75"/>
      <c r="EA85" s="75"/>
      <c r="EB85" s="75"/>
      <c r="EC85" s="75"/>
      <c r="ED85" s="75"/>
      <c r="EE85" s="75"/>
    </row>
    <row r="86" ht="47.25" hidden="1" customHeight="1">
      <c r="A86" s="55" t="s">
        <v>406</v>
      </c>
      <c r="B86" s="55" t="s">
        <v>287</v>
      </c>
      <c r="C86" s="55" t="s">
        <v>287</v>
      </c>
      <c r="D86" s="55" t="s">
        <v>340</v>
      </c>
      <c r="E86" s="55" t="s">
        <v>341</v>
      </c>
      <c r="F86" s="55" t="s">
        <v>340</v>
      </c>
      <c r="G86" s="55" t="s">
        <v>342</v>
      </c>
      <c r="H86" s="55" t="s">
        <v>343</v>
      </c>
      <c r="I86" s="56"/>
      <c r="J86" s="56"/>
      <c r="K86" s="56"/>
      <c r="L86" s="56">
        <v>1.0</v>
      </c>
      <c r="M86" s="56">
        <v>1.0</v>
      </c>
      <c r="N86" s="56"/>
      <c r="O86" s="56"/>
      <c r="P86" s="56"/>
      <c r="Q86" s="56" t="s">
        <v>131</v>
      </c>
      <c r="R86" s="58" t="str">
        <f t="shared" si="1"/>
        <v>2021-2022</v>
      </c>
      <c r="S86" s="59" t="str">
        <f>SUM(Hoja1!$I86:$P86)</f>
        <v>2</v>
      </c>
      <c r="T86" s="59" t="str">
        <f>IF(OR(Hoja1!$J86=1,Hoja1!$K86=1,Hoja1!$L86=1,Hoja1!$M86=1,Hoja1!$N86=1,Hoja1!$O86=1,Hoja1!$P86=1),"SI","NO")</f>
        <v>SI</v>
      </c>
      <c r="U86" s="59" t="str">
        <f>IF(OR(Hoja1!$K86=1,Hoja1!$L86=1,Hoja1!$M86=1,Hoja1!$N86=1,Hoja1!$O86=1,Hoja1!$P86=1),"SI","NO")</f>
        <v>SI</v>
      </c>
      <c r="V86" s="60">
        <v>0.0</v>
      </c>
      <c r="W86" s="61">
        <v>0.0</v>
      </c>
      <c r="X86" s="61">
        <v>0.0</v>
      </c>
      <c r="Y86" s="60">
        <v>0.0</v>
      </c>
      <c r="Z86" s="61">
        <v>0.0</v>
      </c>
      <c r="AA86" s="61">
        <v>0.0</v>
      </c>
      <c r="AB86" s="60">
        <v>0.0</v>
      </c>
      <c r="AC86" s="61">
        <v>6.0</v>
      </c>
      <c r="AD86" s="61">
        <v>6.0</v>
      </c>
      <c r="AE86" s="60">
        <v>12.0</v>
      </c>
      <c r="AF86" s="61">
        <v>6.0</v>
      </c>
      <c r="AG86" s="61">
        <v>6.0</v>
      </c>
      <c r="AH86" s="60">
        <v>12.0</v>
      </c>
      <c r="AI86" s="61">
        <v>0.0</v>
      </c>
      <c r="AJ86" s="61">
        <v>0.0</v>
      </c>
      <c r="AK86" s="60">
        <v>0.0</v>
      </c>
      <c r="AL86" s="61">
        <v>0.0</v>
      </c>
      <c r="AM86" s="61">
        <v>0.0</v>
      </c>
      <c r="AN86" s="60">
        <v>0.0</v>
      </c>
      <c r="AO86" s="62">
        <v>0.0</v>
      </c>
      <c r="AP86" s="62">
        <v>0.0</v>
      </c>
      <c r="AQ86" s="60">
        <v>0.0</v>
      </c>
      <c r="AR86" s="60" t="str">
        <f>IF(Hoja1!$AQ86&gt;0,Hoja1!$AQ86,IF(Hoja1!$AN86&gt;0,Hoja1!$AN86,IF(Hoja1!$AK86&gt;0,Hoja1!$AK86,IF(Hoja1!$AH86&gt;0,Hoja1!$AH86,IF(Hoja1!$AE86&gt;0,Hoja1!$AE86,IF(Hoja1!$AB86&gt;0,Hoja1!$AB86,IF(Hoja1!$Y86&gt;0,Hoja1!$Y86,IF(Hoja1!$V86&gt;0,Hoja1!$V86," ---"))))))))</f>
        <v>12</v>
      </c>
      <c r="AS86" s="63">
        <v>0.0</v>
      </c>
      <c r="AT86" s="63">
        <v>0.0</v>
      </c>
      <c r="AU86" s="63">
        <v>31.0</v>
      </c>
      <c r="AV86" s="63">
        <v>8.0</v>
      </c>
      <c r="AW86" s="63">
        <v>26.0</v>
      </c>
      <c r="AX86" s="63">
        <v>6.0</v>
      </c>
      <c r="AY86" s="63">
        <v>0.0</v>
      </c>
      <c r="AZ86" s="63">
        <v>0.0</v>
      </c>
      <c r="BA86" s="63">
        <v>0.0</v>
      </c>
      <c r="BB86" s="63">
        <v>0.0</v>
      </c>
      <c r="BC86" s="63">
        <v>0.0</v>
      </c>
      <c r="BD86" s="63">
        <v>0.0</v>
      </c>
      <c r="BE86" s="64">
        <v>0.0</v>
      </c>
      <c r="BF86" s="69">
        <v>0.0</v>
      </c>
      <c r="BG86" s="69">
        <v>0.0</v>
      </c>
      <c r="BH86" s="64">
        <v>0.0</v>
      </c>
      <c r="BI86" s="67" t="str">
        <f t="shared" si="2"/>
        <v>#REF!</v>
      </c>
      <c r="BJ86" s="68" t="str">
        <f t="shared" si="3"/>
        <v>#REF!</v>
      </c>
      <c r="BK86" s="69">
        <v>0.0</v>
      </c>
      <c r="BL86" s="69">
        <v>0.0</v>
      </c>
      <c r="BM86" s="66">
        <v>0.0</v>
      </c>
      <c r="BN86" s="67" t="str">
        <f t="shared" si="4"/>
        <v>#REF!</v>
      </c>
      <c r="BO86" s="68" t="str">
        <f t="shared" si="5"/>
        <v>#REF!</v>
      </c>
      <c r="BP86" s="65">
        <v>12142.0</v>
      </c>
      <c r="BQ86" s="65">
        <v>0.0</v>
      </c>
      <c r="BR86" s="66">
        <v>12142.0</v>
      </c>
      <c r="BS86" s="67" t="str">
        <f t="shared" si="6"/>
        <v>#REF!</v>
      </c>
      <c r="BT86" s="68" t="str">
        <f>'[1]DATA CONSOLIDADA 2018-2025 '!$BR86-Hoja1!$BO86</f>
        <v>#REF!</v>
      </c>
      <c r="BU86" s="65">
        <v>10170.0</v>
      </c>
      <c r="BV86" s="65">
        <v>0.0</v>
      </c>
      <c r="BW86" s="66">
        <v>10170.0</v>
      </c>
      <c r="BX86" s="67" t="str">
        <f t="shared" si="7"/>
        <v>#REF!</v>
      </c>
      <c r="BY86" s="68" t="str">
        <f t="shared" si="8"/>
        <v>#REF!</v>
      </c>
      <c r="BZ86" s="65">
        <v>0.0</v>
      </c>
      <c r="CA86" s="65">
        <v>0.0</v>
      </c>
      <c r="CB86" s="66">
        <v>0.0</v>
      </c>
      <c r="CC86" s="67" t="str">
        <f t="shared" si="9"/>
        <v>#REF!</v>
      </c>
      <c r="CD86" s="68" t="str">
        <f>'[1]DATA CONSOLIDADA 2018-2025 '!$CB86-Hoja1!$BW86</f>
        <v>#REF!</v>
      </c>
      <c r="CE86" s="70">
        <v>0.0</v>
      </c>
      <c r="CF86" s="70">
        <v>0.0</v>
      </c>
      <c r="CG86" s="71">
        <v>0.0</v>
      </c>
      <c r="CH86" s="67" t="str">
        <f t="shared" si="10"/>
        <v>#REF!</v>
      </c>
      <c r="CI86" s="68" t="str">
        <f>'[1]DATA CONSOLIDADA 2018-2025 '!$CG86-Hoja1!$CB86</f>
        <v>#REF!</v>
      </c>
      <c r="CJ86" s="64" t="str">
        <f t="shared" si="11"/>
        <v>#REF!</v>
      </c>
      <c r="CK86" s="64">
        <v>0.0</v>
      </c>
      <c r="CL86" s="64">
        <v>0.0</v>
      </c>
      <c r="CM86" s="64">
        <v>0.0</v>
      </c>
      <c r="CN86" s="64" t="str">
        <f t="shared" si="12"/>
        <v>#REF!</v>
      </c>
      <c r="CO86" s="68" t="str">
        <f>'[1]DATA CONSOLIDADA 2018-2025 '!$CM86-Hoja1!$CG86</f>
        <v>#REF!</v>
      </c>
      <c r="CP86" s="70">
        <v>0.0</v>
      </c>
      <c r="CQ86" s="70">
        <v>0.0</v>
      </c>
      <c r="CR86" s="70">
        <v>0.0</v>
      </c>
      <c r="CS86" s="70">
        <v>0.0</v>
      </c>
      <c r="CT86" s="70">
        <v>0.0</v>
      </c>
      <c r="CU86" s="70">
        <v>0.0</v>
      </c>
      <c r="CV86" s="64">
        <v>0.0</v>
      </c>
      <c r="CW86" s="64">
        <v>0.0</v>
      </c>
      <c r="CX86" s="64">
        <v>0.0</v>
      </c>
      <c r="CY86" s="64">
        <v>0.0</v>
      </c>
      <c r="CZ86" s="64">
        <v>0.0</v>
      </c>
      <c r="DA86" s="64">
        <v>0.0</v>
      </c>
      <c r="DB86" s="64">
        <v>0.0</v>
      </c>
      <c r="DC86" s="72">
        <v>0.0</v>
      </c>
      <c r="DD86" s="72">
        <v>0.0</v>
      </c>
      <c r="DE86" s="72">
        <v>0.0</v>
      </c>
      <c r="DF86" s="72">
        <v>0.0</v>
      </c>
      <c r="DG86" s="72">
        <v>0.0</v>
      </c>
      <c r="DH86" s="72">
        <v>0.0</v>
      </c>
      <c r="DI86" s="73">
        <v>2.0534200952E10</v>
      </c>
      <c r="DJ86" s="74" t="s">
        <v>406</v>
      </c>
      <c r="DK86" s="74" t="s">
        <v>138</v>
      </c>
      <c r="DL86" s="75"/>
      <c r="DM86" s="75"/>
      <c r="DN86" s="75"/>
      <c r="DO86" s="75"/>
      <c r="DP86" s="75"/>
      <c r="DQ86" s="75"/>
      <c r="DR86" s="75"/>
      <c r="DS86" s="75"/>
      <c r="DT86" s="75"/>
      <c r="DU86" s="75"/>
      <c r="DV86" s="75"/>
      <c r="DW86" s="75"/>
      <c r="DX86" s="75"/>
      <c r="DY86" s="75"/>
      <c r="DZ86" s="75"/>
      <c r="EA86" s="75"/>
      <c r="EB86" s="75"/>
      <c r="EC86" s="75"/>
      <c r="ED86" s="75"/>
      <c r="EE86" s="75"/>
    </row>
    <row r="87" ht="47.25" hidden="1" customHeight="1">
      <c r="A87" s="55" t="s">
        <v>407</v>
      </c>
      <c r="B87" s="55" t="s">
        <v>287</v>
      </c>
      <c r="C87" s="55" t="s">
        <v>288</v>
      </c>
      <c r="D87" s="55" t="s">
        <v>408</v>
      </c>
      <c r="E87" s="55" t="s">
        <v>409</v>
      </c>
      <c r="F87" s="55" t="s">
        <v>408</v>
      </c>
      <c r="G87" s="55" t="s">
        <v>410</v>
      </c>
      <c r="H87" s="55" t="s">
        <v>411</v>
      </c>
      <c r="I87" s="56">
        <v>1.0</v>
      </c>
      <c r="J87" s="56"/>
      <c r="K87" s="56"/>
      <c r="L87" s="56"/>
      <c r="M87" s="56"/>
      <c r="N87" s="56"/>
      <c r="O87" s="56"/>
      <c r="P87" s="56"/>
      <c r="Q87" s="56" t="s">
        <v>131</v>
      </c>
      <c r="R87" s="58" t="str">
        <f t="shared" si="1"/>
        <v>2018</v>
      </c>
      <c r="S87" s="59" t="str">
        <f>SUM(Hoja1!$I87:$P87)</f>
        <v>1</v>
      </c>
      <c r="T87" s="59" t="str">
        <f>IF(OR(Hoja1!$J87=1,Hoja1!$K87=1,Hoja1!$L87=1,Hoja1!$M87=1,Hoja1!$N87=1,Hoja1!$O87=1,Hoja1!$P87=1),"SI","NO")</f>
        <v>NO</v>
      </c>
      <c r="U87" s="59" t="str">
        <f>IF(OR(Hoja1!$K87=1,Hoja1!$L87=1,Hoja1!$M87=1,Hoja1!$N87=1,Hoja1!$O87=1,Hoja1!$P87=1),"SI","NO")</f>
        <v>NO</v>
      </c>
      <c r="V87" s="60">
        <v>149.0</v>
      </c>
      <c r="W87" s="61">
        <v>0.0</v>
      </c>
      <c r="X87" s="61">
        <v>0.0</v>
      </c>
      <c r="Y87" s="60">
        <v>0.0</v>
      </c>
      <c r="Z87" s="61">
        <v>0.0</v>
      </c>
      <c r="AA87" s="61">
        <v>0.0</v>
      </c>
      <c r="AB87" s="60">
        <v>0.0</v>
      </c>
      <c r="AC87" s="61">
        <v>0.0</v>
      </c>
      <c r="AD87" s="61">
        <v>0.0</v>
      </c>
      <c r="AE87" s="60">
        <v>0.0</v>
      </c>
      <c r="AF87" s="61">
        <v>0.0</v>
      </c>
      <c r="AG87" s="61">
        <v>0.0</v>
      </c>
      <c r="AH87" s="60">
        <v>0.0</v>
      </c>
      <c r="AI87" s="61">
        <v>0.0</v>
      </c>
      <c r="AJ87" s="61">
        <v>0.0</v>
      </c>
      <c r="AK87" s="60">
        <v>0.0</v>
      </c>
      <c r="AL87" s="61">
        <v>0.0</v>
      </c>
      <c r="AM87" s="61">
        <v>0.0</v>
      </c>
      <c r="AN87" s="60">
        <v>0.0</v>
      </c>
      <c r="AO87" s="62">
        <v>0.0</v>
      </c>
      <c r="AP87" s="62">
        <v>0.0</v>
      </c>
      <c r="AQ87" s="60">
        <v>0.0</v>
      </c>
      <c r="AR87" s="60" t="str">
        <f>IF(Hoja1!$AQ87&gt;0,Hoja1!$AQ87,IF(Hoja1!$AN87&gt;0,Hoja1!$AN87,IF(Hoja1!$AK87&gt;0,Hoja1!$AK87,IF(Hoja1!$AH87&gt;0,Hoja1!$AH87,IF(Hoja1!$AE87&gt;0,Hoja1!$AE87,IF(Hoja1!$AB87&gt;0,Hoja1!$AB87,IF(Hoja1!$Y87&gt;0,Hoja1!$Y87,IF(Hoja1!$V87&gt;0,Hoja1!$V87," ---"))))))))</f>
        <v>149</v>
      </c>
      <c r="AS87" s="63">
        <v>0.0</v>
      </c>
      <c r="AT87" s="63">
        <v>0.0</v>
      </c>
      <c r="AU87" s="63">
        <v>0.0</v>
      </c>
      <c r="AV87" s="63">
        <v>0.0</v>
      </c>
      <c r="AW87" s="63">
        <v>0.0</v>
      </c>
      <c r="AX87" s="63">
        <v>0.0</v>
      </c>
      <c r="AY87" s="63">
        <v>0.0</v>
      </c>
      <c r="AZ87" s="63">
        <v>0.0</v>
      </c>
      <c r="BA87" s="63">
        <v>0.0</v>
      </c>
      <c r="BB87" s="63">
        <v>0.0</v>
      </c>
      <c r="BC87" s="63">
        <v>0.0</v>
      </c>
      <c r="BD87" s="63">
        <v>0.0</v>
      </c>
      <c r="BE87" s="64">
        <v>0.0</v>
      </c>
      <c r="BF87" s="69">
        <v>0.0</v>
      </c>
      <c r="BG87" s="69">
        <v>0.0</v>
      </c>
      <c r="BH87" s="64">
        <v>0.0</v>
      </c>
      <c r="BI87" s="67" t="str">
        <f t="shared" si="2"/>
        <v>#REF!</v>
      </c>
      <c r="BJ87" s="68" t="str">
        <f t="shared" si="3"/>
        <v>#REF!</v>
      </c>
      <c r="BK87" s="69">
        <v>0.0</v>
      </c>
      <c r="BL87" s="69">
        <v>0.0</v>
      </c>
      <c r="BM87" s="64">
        <v>0.0</v>
      </c>
      <c r="BN87" s="67" t="str">
        <f t="shared" si="4"/>
        <v>#REF!</v>
      </c>
      <c r="BO87" s="68" t="str">
        <f t="shared" si="5"/>
        <v>#REF!</v>
      </c>
      <c r="BP87" s="65">
        <v>0.0</v>
      </c>
      <c r="BQ87" s="65">
        <v>0.0</v>
      </c>
      <c r="BR87" s="66">
        <v>0.0</v>
      </c>
      <c r="BS87" s="67" t="str">
        <f t="shared" si="6"/>
        <v>#REF!</v>
      </c>
      <c r="BT87" s="68" t="str">
        <f>'[1]DATA CONSOLIDADA 2018-2025 '!$BR87-Hoja1!$BO87</f>
        <v>#REF!</v>
      </c>
      <c r="BU87" s="65">
        <v>0.0</v>
      </c>
      <c r="BV87" s="65">
        <v>0.0</v>
      </c>
      <c r="BW87" s="66">
        <v>0.0</v>
      </c>
      <c r="BX87" s="67" t="str">
        <f t="shared" si="7"/>
        <v>#REF!</v>
      </c>
      <c r="BY87" s="68" t="str">
        <f t="shared" si="8"/>
        <v>#REF!</v>
      </c>
      <c r="BZ87" s="65">
        <v>0.0</v>
      </c>
      <c r="CA87" s="65">
        <v>0.0</v>
      </c>
      <c r="CB87" s="66">
        <v>0.0</v>
      </c>
      <c r="CC87" s="67" t="str">
        <f t="shared" si="9"/>
        <v>#REF!</v>
      </c>
      <c r="CD87" s="68" t="str">
        <f>'[1]DATA CONSOLIDADA 2018-2025 '!$CB87-Hoja1!$BW87</f>
        <v>#REF!</v>
      </c>
      <c r="CE87" s="70">
        <v>0.0</v>
      </c>
      <c r="CF87" s="70">
        <v>0.0</v>
      </c>
      <c r="CG87" s="71">
        <v>0.0</v>
      </c>
      <c r="CH87" s="67" t="str">
        <f t="shared" si="10"/>
        <v>#REF!</v>
      </c>
      <c r="CI87" s="68" t="str">
        <f>'[1]DATA CONSOLIDADA 2018-2025 '!$CG87-Hoja1!$CB87</f>
        <v>#REF!</v>
      </c>
      <c r="CJ87" s="64" t="str">
        <f t="shared" si="11"/>
        <v>#REF!</v>
      </c>
      <c r="CK87" s="64">
        <v>0.0</v>
      </c>
      <c r="CL87" s="64">
        <v>0.0</v>
      </c>
      <c r="CM87" s="64">
        <v>0.0</v>
      </c>
      <c r="CN87" s="64" t="str">
        <f t="shared" si="12"/>
        <v>#REF!</v>
      </c>
      <c r="CO87" s="68" t="str">
        <f>'[1]DATA CONSOLIDADA 2018-2025 '!$CM87-Hoja1!$CG87</f>
        <v>#REF!</v>
      </c>
      <c r="CP87" s="70">
        <v>0.0</v>
      </c>
      <c r="CQ87" s="70">
        <v>0.0</v>
      </c>
      <c r="CR87" s="70">
        <v>0.0</v>
      </c>
      <c r="CS87" s="70">
        <v>0.0</v>
      </c>
      <c r="CT87" s="70">
        <v>0.0</v>
      </c>
      <c r="CU87" s="70">
        <v>0.0</v>
      </c>
      <c r="CV87" s="64">
        <v>0.0</v>
      </c>
      <c r="CW87" s="64">
        <v>0.0</v>
      </c>
      <c r="CX87" s="64">
        <v>0.0</v>
      </c>
      <c r="CY87" s="64">
        <v>0.0</v>
      </c>
      <c r="CZ87" s="64">
        <v>0.0</v>
      </c>
      <c r="DA87" s="64">
        <v>0.0</v>
      </c>
      <c r="DB87" s="64">
        <v>0.0</v>
      </c>
      <c r="DC87" s="72">
        <v>0.0</v>
      </c>
      <c r="DD87" s="72">
        <v>0.0</v>
      </c>
      <c r="DE87" s="72">
        <v>0.0</v>
      </c>
      <c r="DF87" s="72">
        <v>0.0</v>
      </c>
      <c r="DG87" s="72">
        <v>0.0</v>
      </c>
      <c r="DH87" s="72">
        <v>0.0</v>
      </c>
      <c r="DI87" s="73">
        <v>2.0600235444E10</v>
      </c>
      <c r="DJ87" s="74" t="s">
        <v>407</v>
      </c>
      <c r="DK87" s="74" t="s">
        <v>132</v>
      </c>
      <c r="DL87" s="75"/>
      <c r="DM87" s="75"/>
      <c r="DN87" s="75"/>
      <c r="DO87" s="75"/>
      <c r="DP87" s="75"/>
      <c r="DQ87" s="75"/>
      <c r="DR87" s="75"/>
      <c r="DS87" s="75"/>
      <c r="DT87" s="75"/>
      <c r="DU87" s="75"/>
      <c r="DV87" s="75"/>
      <c r="DW87" s="75"/>
      <c r="DX87" s="75"/>
      <c r="DY87" s="75"/>
      <c r="DZ87" s="75"/>
      <c r="EA87" s="75"/>
      <c r="EB87" s="75"/>
      <c r="EC87" s="75"/>
      <c r="ED87" s="75"/>
      <c r="EE87" s="75"/>
    </row>
    <row r="88" ht="47.25" hidden="1" customHeight="1">
      <c r="A88" s="55" t="s">
        <v>412</v>
      </c>
      <c r="B88" s="55" t="s">
        <v>287</v>
      </c>
      <c r="C88" s="55" t="s">
        <v>288</v>
      </c>
      <c r="D88" s="55" t="s">
        <v>408</v>
      </c>
      <c r="E88" s="55" t="s">
        <v>413</v>
      </c>
      <c r="F88" s="55" t="s">
        <v>408</v>
      </c>
      <c r="G88" s="55" t="s">
        <v>410</v>
      </c>
      <c r="H88" s="55" t="s">
        <v>410</v>
      </c>
      <c r="I88" s="56">
        <v>1.0</v>
      </c>
      <c r="J88" s="56"/>
      <c r="K88" s="56"/>
      <c r="L88" s="56"/>
      <c r="M88" s="56"/>
      <c r="N88" s="56"/>
      <c r="O88" s="56"/>
      <c r="P88" s="56"/>
      <c r="Q88" s="56" t="s">
        <v>131</v>
      </c>
      <c r="R88" s="58" t="str">
        <f t="shared" si="1"/>
        <v>2018</v>
      </c>
      <c r="S88" s="59" t="str">
        <f>SUM(Hoja1!$I88:$P88)</f>
        <v>1</v>
      </c>
      <c r="T88" s="59" t="str">
        <f>IF(OR(Hoja1!$J88=1,Hoja1!$K88=1,Hoja1!$L88=1,Hoja1!$M88=1,Hoja1!$N88=1,Hoja1!$O88=1,Hoja1!$P88=1),"SI","NO")</f>
        <v>NO</v>
      </c>
      <c r="U88" s="59" t="str">
        <f>IF(OR(Hoja1!$K88=1,Hoja1!$L88=1,Hoja1!$M88=1,Hoja1!$N88=1,Hoja1!$O88=1,Hoja1!$P88=1),"SI","NO")</f>
        <v>NO</v>
      </c>
      <c r="V88" s="60">
        <v>3.0</v>
      </c>
      <c r="W88" s="61">
        <v>0.0</v>
      </c>
      <c r="X88" s="61">
        <v>0.0</v>
      </c>
      <c r="Y88" s="60">
        <v>0.0</v>
      </c>
      <c r="Z88" s="61">
        <v>0.0</v>
      </c>
      <c r="AA88" s="61">
        <v>0.0</v>
      </c>
      <c r="AB88" s="60">
        <v>0.0</v>
      </c>
      <c r="AC88" s="61">
        <v>0.0</v>
      </c>
      <c r="AD88" s="61">
        <v>0.0</v>
      </c>
      <c r="AE88" s="60">
        <v>0.0</v>
      </c>
      <c r="AF88" s="61">
        <v>0.0</v>
      </c>
      <c r="AG88" s="61">
        <v>0.0</v>
      </c>
      <c r="AH88" s="60">
        <v>0.0</v>
      </c>
      <c r="AI88" s="61">
        <v>0.0</v>
      </c>
      <c r="AJ88" s="61">
        <v>0.0</v>
      </c>
      <c r="AK88" s="60">
        <v>0.0</v>
      </c>
      <c r="AL88" s="61">
        <v>0.0</v>
      </c>
      <c r="AM88" s="61">
        <v>0.0</v>
      </c>
      <c r="AN88" s="60">
        <v>0.0</v>
      </c>
      <c r="AO88" s="62">
        <v>0.0</v>
      </c>
      <c r="AP88" s="62">
        <v>0.0</v>
      </c>
      <c r="AQ88" s="60">
        <v>0.0</v>
      </c>
      <c r="AR88" s="60" t="str">
        <f>IF(Hoja1!$AQ88&gt;0,Hoja1!$AQ88,IF(Hoja1!$AN88&gt;0,Hoja1!$AN88,IF(Hoja1!$AK88&gt;0,Hoja1!$AK88,IF(Hoja1!$AH88&gt;0,Hoja1!$AH88,IF(Hoja1!$AE88&gt;0,Hoja1!$AE88,IF(Hoja1!$AB88&gt;0,Hoja1!$AB88,IF(Hoja1!$Y88&gt;0,Hoja1!$Y88,IF(Hoja1!$V88&gt;0,Hoja1!$V88," ---"))))))))</f>
        <v>3</v>
      </c>
      <c r="AS88" s="63">
        <v>0.0</v>
      </c>
      <c r="AT88" s="63">
        <v>0.0</v>
      </c>
      <c r="AU88" s="63">
        <v>0.0</v>
      </c>
      <c r="AV88" s="63">
        <v>0.0</v>
      </c>
      <c r="AW88" s="63">
        <v>0.0</v>
      </c>
      <c r="AX88" s="63">
        <v>0.0</v>
      </c>
      <c r="AY88" s="63">
        <v>0.0</v>
      </c>
      <c r="AZ88" s="63">
        <v>0.0</v>
      </c>
      <c r="BA88" s="63">
        <v>0.0</v>
      </c>
      <c r="BB88" s="63">
        <v>0.0</v>
      </c>
      <c r="BC88" s="63">
        <v>0.0</v>
      </c>
      <c r="BD88" s="63">
        <v>0.0</v>
      </c>
      <c r="BE88" s="64">
        <v>0.0</v>
      </c>
      <c r="BF88" s="69">
        <v>0.0</v>
      </c>
      <c r="BG88" s="69">
        <v>0.0</v>
      </c>
      <c r="BH88" s="64">
        <v>0.0</v>
      </c>
      <c r="BI88" s="67" t="str">
        <f t="shared" si="2"/>
        <v>#REF!</v>
      </c>
      <c r="BJ88" s="68" t="str">
        <f t="shared" si="3"/>
        <v>#REF!</v>
      </c>
      <c r="BK88" s="69">
        <v>0.0</v>
      </c>
      <c r="BL88" s="69">
        <v>0.0</v>
      </c>
      <c r="BM88" s="64">
        <v>0.0</v>
      </c>
      <c r="BN88" s="67" t="str">
        <f t="shared" si="4"/>
        <v>#REF!</v>
      </c>
      <c r="BO88" s="68" t="str">
        <f t="shared" si="5"/>
        <v>#REF!</v>
      </c>
      <c r="BP88" s="65">
        <v>0.0</v>
      </c>
      <c r="BQ88" s="65">
        <v>0.0</v>
      </c>
      <c r="BR88" s="66">
        <v>0.0</v>
      </c>
      <c r="BS88" s="67" t="str">
        <f t="shared" si="6"/>
        <v>#REF!</v>
      </c>
      <c r="BT88" s="68" t="str">
        <f>'[1]DATA CONSOLIDADA 2018-2025 '!$BR88-Hoja1!$BO88</f>
        <v>#REF!</v>
      </c>
      <c r="BU88" s="65">
        <v>0.0</v>
      </c>
      <c r="BV88" s="65">
        <v>0.0</v>
      </c>
      <c r="BW88" s="66">
        <v>0.0</v>
      </c>
      <c r="BX88" s="67" t="str">
        <f t="shared" si="7"/>
        <v>#REF!</v>
      </c>
      <c r="BY88" s="68" t="str">
        <f t="shared" si="8"/>
        <v>#REF!</v>
      </c>
      <c r="BZ88" s="65">
        <v>0.0</v>
      </c>
      <c r="CA88" s="65">
        <v>0.0</v>
      </c>
      <c r="CB88" s="66">
        <v>0.0</v>
      </c>
      <c r="CC88" s="67" t="str">
        <f t="shared" si="9"/>
        <v>#REF!</v>
      </c>
      <c r="CD88" s="68" t="str">
        <f>'[1]DATA CONSOLIDADA 2018-2025 '!$CB88-Hoja1!$BW88</f>
        <v>#REF!</v>
      </c>
      <c r="CE88" s="70">
        <v>0.0</v>
      </c>
      <c r="CF88" s="70">
        <v>0.0</v>
      </c>
      <c r="CG88" s="71">
        <v>0.0</v>
      </c>
      <c r="CH88" s="67" t="str">
        <f t="shared" si="10"/>
        <v>#REF!</v>
      </c>
      <c r="CI88" s="68" t="str">
        <f>'[1]DATA CONSOLIDADA 2018-2025 '!$CG88-Hoja1!$CB88</f>
        <v>#REF!</v>
      </c>
      <c r="CJ88" s="64" t="str">
        <f t="shared" si="11"/>
        <v>#REF!</v>
      </c>
      <c r="CK88" s="64">
        <v>0.0</v>
      </c>
      <c r="CL88" s="64">
        <v>0.0</v>
      </c>
      <c r="CM88" s="64">
        <v>0.0</v>
      </c>
      <c r="CN88" s="64" t="str">
        <f t="shared" si="12"/>
        <v>#REF!</v>
      </c>
      <c r="CO88" s="68" t="str">
        <f>'[1]DATA CONSOLIDADA 2018-2025 '!$CM88-Hoja1!$CG88</f>
        <v>#REF!</v>
      </c>
      <c r="CP88" s="70">
        <v>0.0</v>
      </c>
      <c r="CQ88" s="70">
        <v>0.0</v>
      </c>
      <c r="CR88" s="70">
        <v>0.0</v>
      </c>
      <c r="CS88" s="70">
        <v>0.0</v>
      </c>
      <c r="CT88" s="70">
        <v>0.0</v>
      </c>
      <c r="CU88" s="70">
        <v>0.0</v>
      </c>
      <c r="CV88" s="64">
        <v>0.0</v>
      </c>
      <c r="CW88" s="64">
        <v>0.0</v>
      </c>
      <c r="CX88" s="64">
        <v>0.0</v>
      </c>
      <c r="CY88" s="64">
        <v>0.0</v>
      </c>
      <c r="CZ88" s="64">
        <v>0.0</v>
      </c>
      <c r="DA88" s="64">
        <v>0.0</v>
      </c>
      <c r="DB88" s="64">
        <v>0.0</v>
      </c>
      <c r="DC88" s="72">
        <v>0.0</v>
      </c>
      <c r="DD88" s="72">
        <v>0.0</v>
      </c>
      <c r="DE88" s="72">
        <v>0.0</v>
      </c>
      <c r="DF88" s="72">
        <v>0.0</v>
      </c>
      <c r="DG88" s="72">
        <v>0.0</v>
      </c>
      <c r="DH88" s="72">
        <v>0.0</v>
      </c>
      <c r="DI88" s="73">
        <v>2.0491717221E10</v>
      </c>
      <c r="DJ88" s="74" t="s">
        <v>414</v>
      </c>
      <c r="DK88" s="74" t="s">
        <v>306</v>
      </c>
      <c r="DL88" s="75"/>
      <c r="DM88" s="75"/>
      <c r="DN88" s="75"/>
      <c r="DO88" s="75"/>
      <c r="DP88" s="75"/>
      <c r="DQ88" s="75"/>
      <c r="DR88" s="75"/>
      <c r="DS88" s="75"/>
      <c r="DT88" s="75"/>
      <c r="DU88" s="75"/>
      <c r="DV88" s="75"/>
      <c r="DW88" s="75"/>
      <c r="DX88" s="75"/>
      <c r="DY88" s="75"/>
      <c r="DZ88" s="75"/>
      <c r="EA88" s="75"/>
      <c r="EB88" s="75"/>
      <c r="EC88" s="75"/>
      <c r="ED88" s="75"/>
      <c r="EE88" s="75"/>
    </row>
    <row r="89" ht="47.25" hidden="1" customHeight="1">
      <c r="A89" s="55" t="s">
        <v>415</v>
      </c>
      <c r="B89" s="55" t="s">
        <v>287</v>
      </c>
      <c r="C89" s="55" t="s">
        <v>287</v>
      </c>
      <c r="D89" s="55" t="s">
        <v>408</v>
      </c>
      <c r="E89" s="55" t="s">
        <v>416</v>
      </c>
      <c r="F89" s="55" t="s">
        <v>408</v>
      </c>
      <c r="G89" s="55" t="s">
        <v>219</v>
      </c>
      <c r="H89" s="55" t="s">
        <v>417</v>
      </c>
      <c r="I89" s="56">
        <v>1.0</v>
      </c>
      <c r="J89" s="56">
        <v>1.0</v>
      </c>
      <c r="K89" s="56">
        <v>1.0</v>
      </c>
      <c r="L89" s="56">
        <v>1.0</v>
      </c>
      <c r="M89" s="56"/>
      <c r="N89" s="56"/>
      <c r="O89" s="56"/>
      <c r="P89" s="56"/>
      <c r="Q89" s="56" t="s">
        <v>131</v>
      </c>
      <c r="R89" s="58" t="str">
        <f t="shared" si="1"/>
        <v>2018-2019-2020-2021</v>
      </c>
      <c r="S89" s="59" t="str">
        <f>SUM(Hoja1!$I89:$P89)</f>
        <v>4</v>
      </c>
      <c r="T89" s="59" t="str">
        <f>IF(OR(Hoja1!$J89=1,Hoja1!$K89=1,Hoja1!$L89=1,Hoja1!$M89=1,Hoja1!$N89=1,Hoja1!$O89=1,Hoja1!$P89=1),"SI","NO")</f>
        <v>SI</v>
      </c>
      <c r="U89" s="59" t="str">
        <f>IF(OR(Hoja1!$K89=1,Hoja1!$L89=1,Hoja1!$M89=1,Hoja1!$N89=1,Hoja1!$O89=1,Hoja1!$P89=1),"SI","NO")</f>
        <v>SI</v>
      </c>
      <c r="V89" s="60">
        <v>135.0</v>
      </c>
      <c r="W89" s="61">
        <v>114.0</v>
      </c>
      <c r="X89" s="61">
        <v>22.0</v>
      </c>
      <c r="Y89" s="60">
        <v>136.0</v>
      </c>
      <c r="Z89" s="61">
        <v>111.0</v>
      </c>
      <c r="AA89" s="61">
        <v>23.0</v>
      </c>
      <c r="AB89" s="60">
        <v>134.0</v>
      </c>
      <c r="AC89" s="61">
        <v>27.0</v>
      </c>
      <c r="AD89" s="61">
        <v>3.0</v>
      </c>
      <c r="AE89" s="60">
        <v>30.0</v>
      </c>
      <c r="AF89" s="61">
        <v>0.0</v>
      </c>
      <c r="AG89" s="61">
        <v>0.0</v>
      </c>
      <c r="AH89" s="60">
        <v>0.0</v>
      </c>
      <c r="AI89" s="61">
        <v>0.0</v>
      </c>
      <c r="AJ89" s="61">
        <v>0.0</v>
      </c>
      <c r="AK89" s="60">
        <v>0.0</v>
      </c>
      <c r="AL89" s="61">
        <v>0.0</v>
      </c>
      <c r="AM89" s="61">
        <v>0.0</v>
      </c>
      <c r="AN89" s="60">
        <v>0.0</v>
      </c>
      <c r="AO89" s="62">
        <v>0.0</v>
      </c>
      <c r="AP89" s="62">
        <v>0.0</v>
      </c>
      <c r="AQ89" s="60">
        <v>0.0</v>
      </c>
      <c r="AR89" s="60" t="str">
        <f>IF(Hoja1!$AQ89&gt;0,Hoja1!$AQ89,IF(Hoja1!$AN89&gt;0,Hoja1!$AN89,IF(Hoja1!$AK89&gt;0,Hoja1!$AK89,IF(Hoja1!$AH89&gt;0,Hoja1!$AH89,IF(Hoja1!$AE89&gt;0,Hoja1!$AE89,IF(Hoja1!$AB89&gt;0,Hoja1!$AB89,IF(Hoja1!$Y89&gt;0,Hoja1!$Y89,IF(Hoja1!$V89&gt;0,Hoja1!$V89," ---"))))))))</f>
        <v>30</v>
      </c>
      <c r="AS89" s="63">
        <v>20.0</v>
      </c>
      <c r="AT89" s="63">
        <v>4.0</v>
      </c>
      <c r="AU89" s="63">
        <v>29.0</v>
      </c>
      <c r="AV89" s="63">
        <v>8.0</v>
      </c>
      <c r="AW89" s="63">
        <v>0.0</v>
      </c>
      <c r="AX89" s="63">
        <v>0.0</v>
      </c>
      <c r="AY89" s="63">
        <v>0.0</v>
      </c>
      <c r="AZ89" s="63">
        <v>0.0</v>
      </c>
      <c r="BA89" s="63">
        <v>0.0</v>
      </c>
      <c r="BB89" s="63">
        <v>0.0</v>
      </c>
      <c r="BC89" s="63">
        <v>0.0</v>
      </c>
      <c r="BD89" s="63">
        <v>0.0</v>
      </c>
      <c r="BE89" s="64">
        <v>0.0</v>
      </c>
      <c r="BF89" s="65">
        <v>36558.0</v>
      </c>
      <c r="BG89" s="65">
        <v>0.0</v>
      </c>
      <c r="BH89" s="66">
        <v>36558.0</v>
      </c>
      <c r="BI89" s="67" t="str">
        <f t="shared" si="2"/>
        <v>#REF!</v>
      </c>
      <c r="BJ89" s="68" t="str">
        <f t="shared" si="3"/>
        <v>#REF!</v>
      </c>
      <c r="BK89" s="65">
        <v>197370.0</v>
      </c>
      <c r="BL89" s="65">
        <v>0.0</v>
      </c>
      <c r="BM89" s="66">
        <v>197370.0</v>
      </c>
      <c r="BN89" s="67" t="str">
        <f t="shared" si="4"/>
        <v>#REF!</v>
      </c>
      <c r="BO89" s="68" t="str">
        <f t="shared" si="5"/>
        <v>#REF!</v>
      </c>
      <c r="BP89" s="65">
        <v>137700.0</v>
      </c>
      <c r="BQ89" s="65">
        <v>0.0</v>
      </c>
      <c r="BR89" s="66">
        <v>137700.0</v>
      </c>
      <c r="BS89" s="67" t="str">
        <f t="shared" si="6"/>
        <v>#REF!</v>
      </c>
      <c r="BT89" s="68" t="str">
        <f>'[1]DATA CONSOLIDADA 2018-2025 '!$BR89-Hoja1!$BO89</f>
        <v>#REF!</v>
      </c>
      <c r="BU89" s="65">
        <v>0.0</v>
      </c>
      <c r="BV89" s="65">
        <v>0.0</v>
      </c>
      <c r="BW89" s="66">
        <v>0.0</v>
      </c>
      <c r="BX89" s="67" t="str">
        <f t="shared" si="7"/>
        <v>#REF!</v>
      </c>
      <c r="BY89" s="68" t="str">
        <f t="shared" si="8"/>
        <v>#REF!</v>
      </c>
      <c r="BZ89" s="65">
        <v>0.0</v>
      </c>
      <c r="CA89" s="65">
        <v>0.0</v>
      </c>
      <c r="CB89" s="66">
        <v>0.0</v>
      </c>
      <c r="CC89" s="67" t="str">
        <f t="shared" si="9"/>
        <v>#REF!</v>
      </c>
      <c r="CD89" s="68" t="str">
        <f>'[1]DATA CONSOLIDADA 2018-2025 '!$CB89-Hoja1!$BW89</f>
        <v>#REF!</v>
      </c>
      <c r="CE89" s="70">
        <v>0.0</v>
      </c>
      <c r="CF89" s="70">
        <v>0.0</v>
      </c>
      <c r="CG89" s="71">
        <v>0.0</v>
      </c>
      <c r="CH89" s="67" t="str">
        <f t="shared" si="10"/>
        <v>#REF!</v>
      </c>
      <c r="CI89" s="68" t="str">
        <f>'[1]DATA CONSOLIDADA 2018-2025 '!$CG89-Hoja1!$CB89</f>
        <v>#REF!</v>
      </c>
      <c r="CJ89" s="64" t="str">
        <f t="shared" si="11"/>
        <v>#REF!</v>
      </c>
      <c r="CK89" s="64">
        <v>0.0</v>
      </c>
      <c r="CL89" s="64">
        <v>0.0</v>
      </c>
      <c r="CM89" s="64">
        <v>0.0</v>
      </c>
      <c r="CN89" s="64" t="str">
        <f t="shared" si="12"/>
        <v>#REF!</v>
      </c>
      <c r="CO89" s="68" t="str">
        <f>'[1]DATA CONSOLIDADA 2018-2025 '!$CM89-Hoja1!$CG89</f>
        <v>#REF!</v>
      </c>
      <c r="CP89" s="70">
        <v>0.0</v>
      </c>
      <c r="CQ89" s="70">
        <v>0.0</v>
      </c>
      <c r="CR89" s="70">
        <v>0.0</v>
      </c>
      <c r="CS89" s="70">
        <v>0.0</v>
      </c>
      <c r="CT89" s="70">
        <v>0.0</v>
      </c>
      <c r="CU89" s="70">
        <v>0.0</v>
      </c>
      <c r="CV89" s="64">
        <v>0.0</v>
      </c>
      <c r="CW89" s="64">
        <v>0.0</v>
      </c>
      <c r="CX89" s="64">
        <v>0.0</v>
      </c>
      <c r="CY89" s="64">
        <v>0.0</v>
      </c>
      <c r="CZ89" s="64">
        <v>0.0</v>
      </c>
      <c r="DA89" s="64">
        <v>0.0</v>
      </c>
      <c r="DB89" s="64">
        <v>0.0</v>
      </c>
      <c r="DC89" s="72">
        <v>0.0</v>
      </c>
      <c r="DD89" s="72">
        <v>0.0</v>
      </c>
      <c r="DE89" s="72">
        <v>0.0</v>
      </c>
      <c r="DF89" s="72">
        <v>0.0</v>
      </c>
      <c r="DG89" s="72">
        <v>0.0</v>
      </c>
      <c r="DH89" s="72">
        <v>0.0</v>
      </c>
      <c r="DI89" s="73">
        <v>2.0600717244E10</v>
      </c>
      <c r="DJ89" s="74" t="s">
        <v>418</v>
      </c>
      <c r="DK89" s="74" t="s">
        <v>132</v>
      </c>
      <c r="DL89" s="75"/>
      <c r="DM89" s="75"/>
      <c r="DN89" s="75"/>
      <c r="DO89" s="75"/>
      <c r="DP89" s="75"/>
      <c r="DQ89" s="75"/>
      <c r="DR89" s="75"/>
      <c r="DS89" s="75"/>
      <c r="DT89" s="75"/>
      <c r="DU89" s="75"/>
      <c r="DV89" s="75"/>
      <c r="DW89" s="75"/>
      <c r="DX89" s="75"/>
      <c r="DY89" s="75"/>
      <c r="DZ89" s="75"/>
      <c r="EA89" s="75"/>
      <c r="EB89" s="75"/>
      <c r="EC89" s="75"/>
      <c r="ED89" s="75"/>
      <c r="EE89" s="75"/>
    </row>
    <row r="90" ht="47.25" hidden="1" customHeight="1">
      <c r="A90" s="55" t="s">
        <v>419</v>
      </c>
      <c r="B90" s="55" t="s">
        <v>126</v>
      </c>
      <c r="C90" s="55" t="s">
        <v>126</v>
      </c>
      <c r="D90" s="55" t="s">
        <v>408</v>
      </c>
      <c r="E90" s="55" t="s">
        <v>420</v>
      </c>
      <c r="F90" s="55" t="s">
        <v>408</v>
      </c>
      <c r="G90" s="55" t="s">
        <v>410</v>
      </c>
      <c r="H90" s="55" t="s">
        <v>421</v>
      </c>
      <c r="I90" s="56">
        <v>1.0</v>
      </c>
      <c r="J90" s="56">
        <v>1.0</v>
      </c>
      <c r="K90" s="56">
        <v>1.0</v>
      </c>
      <c r="L90" s="56">
        <v>1.0</v>
      </c>
      <c r="M90" s="56">
        <v>1.0</v>
      </c>
      <c r="N90" s="56">
        <v>1.0</v>
      </c>
      <c r="O90" s="56"/>
      <c r="P90" s="56"/>
      <c r="Q90" s="56" t="s">
        <v>131</v>
      </c>
      <c r="R90" s="58" t="str">
        <f t="shared" si="1"/>
        <v>2018-2019-2020-2021-2022-2023</v>
      </c>
      <c r="S90" s="59" t="str">
        <f>SUM(Hoja1!$I90:$P90)</f>
        <v>6</v>
      </c>
      <c r="T90" s="59" t="str">
        <f>IF(OR(Hoja1!$J90=1,Hoja1!$K90=1,Hoja1!$L90=1,Hoja1!$M90=1,Hoja1!$N90=1,Hoja1!$O90=1,Hoja1!$P90=1),"SI","NO")</f>
        <v>SI</v>
      </c>
      <c r="U90" s="59" t="str">
        <f>IF(OR(Hoja1!$K90=1,Hoja1!$L90=1,Hoja1!$M90=1,Hoja1!$N90=1,Hoja1!$O90=1,Hoja1!$P90=1),"SI","NO")</f>
        <v>SI</v>
      </c>
      <c r="V90" s="60">
        <v>298.0</v>
      </c>
      <c r="W90" s="61">
        <v>267.0</v>
      </c>
      <c r="X90" s="61">
        <v>31.0</v>
      </c>
      <c r="Y90" s="60">
        <v>298.0</v>
      </c>
      <c r="Z90" s="61">
        <v>267.0</v>
      </c>
      <c r="AA90" s="61">
        <v>31.0</v>
      </c>
      <c r="AB90" s="60">
        <v>298.0</v>
      </c>
      <c r="AC90" s="61">
        <v>267.0</v>
      </c>
      <c r="AD90" s="61">
        <v>29.0</v>
      </c>
      <c r="AE90" s="60">
        <v>296.0</v>
      </c>
      <c r="AF90" s="61">
        <v>267.0</v>
      </c>
      <c r="AG90" s="61">
        <v>29.0</v>
      </c>
      <c r="AH90" s="60">
        <v>296.0</v>
      </c>
      <c r="AI90" s="61">
        <v>267.0</v>
      </c>
      <c r="AJ90" s="61">
        <v>29.0</v>
      </c>
      <c r="AK90" s="60">
        <v>296.0</v>
      </c>
      <c r="AL90" s="61">
        <v>0.0</v>
      </c>
      <c r="AM90" s="61">
        <v>0.0</v>
      </c>
      <c r="AN90" s="60">
        <v>0.0</v>
      </c>
      <c r="AO90" s="62">
        <v>0.0</v>
      </c>
      <c r="AP90" s="62">
        <v>0.0</v>
      </c>
      <c r="AQ90" s="60">
        <v>0.0</v>
      </c>
      <c r="AR90" s="60" t="str">
        <f>IF(Hoja1!$AQ90&gt;0,Hoja1!$AQ90,IF(Hoja1!$AN90&gt;0,Hoja1!$AN90,IF(Hoja1!$AK90&gt;0,Hoja1!$AK90,IF(Hoja1!$AH90&gt;0,Hoja1!$AH90,IF(Hoja1!$AE90&gt;0,Hoja1!$AE90,IF(Hoja1!$AB90&gt;0,Hoja1!$AB90,IF(Hoja1!$Y90&gt;0,Hoja1!$Y90,IF(Hoja1!$V90&gt;0,Hoja1!$V90," ---"))))))))</f>
        <v>296</v>
      </c>
      <c r="AS90" s="63">
        <v>0.0</v>
      </c>
      <c r="AT90" s="63">
        <v>6.0</v>
      </c>
      <c r="AU90" s="63">
        <v>27.0</v>
      </c>
      <c r="AV90" s="63">
        <v>10.0</v>
      </c>
      <c r="AW90" s="63">
        <v>20.0</v>
      </c>
      <c r="AX90" s="63">
        <v>6.0</v>
      </c>
      <c r="AY90" s="63">
        <v>14.0</v>
      </c>
      <c r="AZ90" s="63">
        <v>4.0</v>
      </c>
      <c r="BA90" s="63">
        <v>0.0</v>
      </c>
      <c r="BB90" s="63">
        <v>0.0</v>
      </c>
      <c r="BC90" s="63">
        <v>0.0</v>
      </c>
      <c r="BD90" s="63">
        <v>0.0</v>
      </c>
      <c r="BE90" s="64">
        <v>0.0</v>
      </c>
      <c r="BF90" s="65">
        <v>0.0</v>
      </c>
      <c r="BG90" s="65">
        <v>602600.19</v>
      </c>
      <c r="BH90" s="66">
        <v>602600.19</v>
      </c>
      <c r="BI90" s="67" t="str">
        <f t="shared" si="2"/>
        <v>#REF!</v>
      </c>
      <c r="BJ90" s="68" t="str">
        <f t="shared" si="3"/>
        <v>#REF!</v>
      </c>
      <c r="BK90" s="65">
        <v>1927.98</v>
      </c>
      <c r="BL90" s="65">
        <v>1328260.16</v>
      </c>
      <c r="BM90" s="66">
        <v>1330188.14</v>
      </c>
      <c r="BN90" s="67" t="str">
        <f t="shared" si="4"/>
        <v>#REF!</v>
      </c>
      <c r="BO90" s="68" t="str">
        <f t="shared" si="5"/>
        <v>#REF!</v>
      </c>
      <c r="BP90" s="65">
        <v>0.0</v>
      </c>
      <c r="BQ90" s="65">
        <v>2804492.06</v>
      </c>
      <c r="BR90" s="66">
        <v>2804492.06</v>
      </c>
      <c r="BS90" s="67" t="str">
        <f t="shared" si="6"/>
        <v>#REF!</v>
      </c>
      <c r="BT90" s="68" t="str">
        <f>'[1]DATA CONSOLIDADA 2018-2025 '!$BR90-Hoja1!$BO90</f>
        <v>#REF!</v>
      </c>
      <c r="BU90" s="65">
        <v>0.0</v>
      </c>
      <c r="BV90" s="65">
        <v>3857237.47</v>
      </c>
      <c r="BW90" s="66">
        <v>3857237.47</v>
      </c>
      <c r="BX90" s="67" t="str">
        <f t="shared" si="7"/>
        <v>#REF!</v>
      </c>
      <c r="BY90" s="68" t="str">
        <f t="shared" si="8"/>
        <v>#REF!</v>
      </c>
      <c r="BZ90" s="65">
        <v>0.0</v>
      </c>
      <c r="CA90" s="65">
        <v>1684839.95</v>
      </c>
      <c r="CB90" s="66">
        <v>1684839.95</v>
      </c>
      <c r="CC90" s="67" t="str">
        <f t="shared" si="9"/>
        <v>#REF!</v>
      </c>
      <c r="CD90" s="68" t="str">
        <f>'[1]DATA CONSOLIDADA 2018-2025 '!$CB90-Hoja1!$BW90</f>
        <v>#REF!</v>
      </c>
      <c r="CE90" s="70">
        <v>0.0</v>
      </c>
      <c r="CF90" s="70">
        <v>0.0</v>
      </c>
      <c r="CG90" s="71">
        <v>0.0</v>
      </c>
      <c r="CH90" s="67" t="str">
        <f t="shared" si="10"/>
        <v>#REF!</v>
      </c>
      <c r="CI90" s="68" t="str">
        <f>'[1]DATA CONSOLIDADA 2018-2025 '!$CG90-Hoja1!$CB90</f>
        <v>#REF!</v>
      </c>
      <c r="CJ90" s="64" t="str">
        <f t="shared" si="11"/>
        <v>#REF!</v>
      </c>
      <c r="CK90" s="64">
        <v>0.0</v>
      </c>
      <c r="CL90" s="64">
        <v>0.0</v>
      </c>
      <c r="CM90" s="64">
        <v>0.0</v>
      </c>
      <c r="CN90" s="64" t="str">
        <f t="shared" si="12"/>
        <v>#REF!</v>
      </c>
      <c r="CO90" s="68" t="str">
        <f>'[1]DATA CONSOLIDADA 2018-2025 '!$CM90-Hoja1!$CG90</f>
        <v>#REF!</v>
      </c>
      <c r="CP90" s="70">
        <v>0.0</v>
      </c>
      <c r="CQ90" s="70">
        <v>0.0</v>
      </c>
      <c r="CR90" s="70">
        <v>0.0</v>
      </c>
      <c r="CS90" s="70">
        <v>1684839.95</v>
      </c>
      <c r="CT90" s="70">
        <v>0.0</v>
      </c>
      <c r="CU90" s="70">
        <v>0.0</v>
      </c>
      <c r="CV90" s="64">
        <v>1684839.95</v>
      </c>
      <c r="CW90" s="64">
        <v>0.0</v>
      </c>
      <c r="CX90" s="64">
        <v>0.0</v>
      </c>
      <c r="CY90" s="64">
        <v>0.0</v>
      </c>
      <c r="CZ90" s="64">
        <v>0.0</v>
      </c>
      <c r="DA90" s="64">
        <v>0.0</v>
      </c>
      <c r="DB90" s="64">
        <v>0.0</v>
      </c>
      <c r="DC90" s="72">
        <v>0.0</v>
      </c>
      <c r="DD90" s="72">
        <v>0.0</v>
      </c>
      <c r="DE90" s="72">
        <v>0.0</v>
      </c>
      <c r="DF90" s="72">
        <v>0.0</v>
      </c>
      <c r="DG90" s="72">
        <v>0.0</v>
      </c>
      <c r="DH90" s="72">
        <v>0.0</v>
      </c>
      <c r="DI90" s="73">
        <v>2.0570706927E10</v>
      </c>
      <c r="DJ90" s="74" t="s">
        <v>419</v>
      </c>
      <c r="DK90" s="74" t="s">
        <v>132</v>
      </c>
      <c r="DL90" s="75"/>
      <c r="DM90" s="75"/>
      <c r="DN90" s="75"/>
      <c r="DO90" s="75"/>
      <c r="DP90" s="75"/>
      <c r="DQ90" s="75"/>
      <c r="DR90" s="75"/>
      <c r="DS90" s="75"/>
      <c r="DT90" s="75"/>
      <c r="DU90" s="75"/>
      <c r="DV90" s="75"/>
      <c r="DW90" s="75"/>
      <c r="DX90" s="75"/>
      <c r="DY90" s="75"/>
      <c r="DZ90" s="75"/>
      <c r="EA90" s="75"/>
      <c r="EB90" s="75"/>
      <c r="EC90" s="75"/>
      <c r="ED90" s="75"/>
      <c r="EE90" s="75"/>
    </row>
    <row r="91" ht="47.25" hidden="1" customHeight="1">
      <c r="A91" s="55" t="s">
        <v>422</v>
      </c>
      <c r="B91" s="55" t="s">
        <v>126</v>
      </c>
      <c r="C91" s="55" t="s">
        <v>126</v>
      </c>
      <c r="D91" s="55" t="s">
        <v>408</v>
      </c>
      <c r="E91" s="55" t="s">
        <v>423</v>
      </c>
      <c r="F91" s="55" t="s">
        <v>408</v>
      </c>
      <c r="G91" s="55" t="s">
        <v>424</v>
      </c>
      <c r="H91" s="55" t="s">
        <v>424</v>
      </c>
      <c r="I91" s="56">
        <v>1.0</v>
      </c>
      <c r="J91" s="56">
        <v>1.0</v>
      </c>
      <c r="K91" s="56"/>
      <c r="L91" s="56"/>
      <c r="M91" s="56"/>
      <c r="N91" s="56"/>
      <c r="O91" s="56"/>
      <c r="P91" s="56"/>
      <c r="Q91" s="56" t="s">
        <v>131</v>
      </c>
      <c r="R91" s="58" t="str">
        <f t="shared" si="1"/>
        <v>2018-2019</v>
      </c>
      <c r="S91" s="59" t="str">
        <f>SUM(Hoja1!$I91:$P91)</f>
        <v>2</v>
      </c>
      <c r="T91" s="59" t="str">
        <f>IF(OR(Hoja1!$J91=1,Hoja1!$K91=1,Hoja1!$L91=1,Hoja1!$M91=1,Hoja1!$N91=1,Hoja1!$O91=1,Hoja1!$P91=1),"SI","NO")</f>
        <v>SI</v>
      </c>
      <c r="U91" s="59" t="str">
        <f>IF(OR(Hoja1!$K91=1,Hoja1!$L91=1,Hoja1!$M91=1,Hoja1!$N91=1,Hoja1!$O91=1,Hoja1!$P91=1),"SI","NO")</f>
        <v>NO</v>
      </c>
      <c r="V91" s="60">
        <v>310.0</v>
      </c>
      <c r="W91" s="61">
        <v>257.0</v>
      </c>
      <c r="X91" s="61">
        <v>53.0</v>
      </c>
      <c r="Y91" s="60">
        <v>310.0</v>
      </c>
      <c r="Z91" s="61">
        <v>0.0</v>
      </c>
      <c r="AA91" s="61">
        <v>0.0</v>
      </c>
      <c r="AB91" s="60">
        <v>0.0</v>
      </c>
      <c r="AC91" s="61">
        <v>0.0</v>
      </c>
      <c r="AD91" s="61">
        <v>0.0</v>
      </c>
      <c r="AE91" s="60">
        <v>0.0</v>
      </c>
      <c r="AF91" s="61">
        <v>0.0</v>
      </c>
      <c r="AG91" s="61">
        <v>0.0</v>
      </c>
      <c r="AH91" s="60">
        <v>0.0</v>
      </c>
      <c r="AI91" s="61">
        <v>0.0</v>
      </c>
      <c r="AJ91" s="61">
        <v>0.0</v>
      </c>
      <c r="AK91" s="60">
        <v>0.0</v>
      </c>
      <c r="AL91" s="61">
        <v>0.0</v>
      </c>
      <c r="AM91" s="61">
        <v>0.0</v>
      </c>
      <c r="AN91" s="60">
        <v>0.0</v>
      </c>
      <c r="AO91" s="62">
        <v>0.0</v>
      </c>
      <c r="AP91" s="62">
        <v>0.0</v>
      </c>
      <c r="AQ91" s="60">
        <v>0.0</v>
      </c>
      <c r="AR91" s="60" t="str">
        <f>IF(Hoja1!$AQ91&gt;0,Hoja1!$AQ91,IF(Hoja1!$AN91&gt;0,Hoja1!$AN91,IF(Hoja1!$AK91&gt;0,Hoja1!$AK91,IF(Hoja1!$AH91&gt;0,Hoja1!$AH91,IF(Hoja1!$AE91&gt;0,Hoja1!$AE91,IF(Hoja1!$AB91&gt;0,Hoja1!$AB91,IF(Hoja1!$Y91&gt;0,Hoja1!$Y91,IF(Hoja1!$V91&gt;0,Hoja1!$V91," ---"))))))))</f>
        <v>310</v>
      </c>
      <c r="AS91" s="63">
        <v>0.0</v>
      </c>
      <c r="AT91" s="63">
        <v>0.0</v>
      </c>
      <c r="AU91" s="63">
        <v>0.0</v>
      </c>
      <c r="AV91" s="63">
        <v>0.0</v>
      </c>
      <c r="AW91" s="63">
        <v>0.0</v>
      </c>
      <c r="AX91" s="63">
        <v>0.0</v>
      </c>
      <c r="AY91" s="63">
        <v>0.0</v>
      </c>
      <c r="AZ91" s="63">
        <v>0.0</v>
      </c>
      <c r="BA91" s="63">
        <v>0.0</v>
      </c>
      <c r="BB91" s="63">
        <v>0.0</v>
      </c>
      <c r="BC91" s="63">
        <v>0.0</v>
      </c>
      <c r="BD91" s="63">
        <v>0.0</v>
      </c>
      <c r="BE91" s="64">
        <v>0.0</v>
      </c>
      <c r="BF91" s="65">
        <v>992420.62</v>
      </c>
      <c r="BG91" s="65">
        <v>0.0</v>
      </c>
      <c r="BH91" s="66">
        <v>992420.62</v>
      </c>
      <c r="BI91" s="67" t="str">
        <f t="shared" si="2"/>
        <v>#REF!</v>
      </c>
      <c r="BJ91" s="68" t="str">
        <f t="shared" si="3"/>
        <v>#REF!</v>
      </c>
      <c r="BK91" s="65">
        <v>0.0</v>
      </c>
      <c r="BL91" s="65">
        <v>0.0</v>
      </c>
      <c r="BM91" s="66">
        <v>0.0</v>
      </c>
      <c r="BN91" s="67" t="str">
        <f t="shared" si="4"/>
        <v>#REF!</v>
      </c>
      <c r="BO91" s="68" t="str">
        <f t="shared" si="5"/>
        <v>#REF!</v>
      </c>
      <c r="BP91" s="65">
        <v>0.0</v>
      </c>
      <c r="BQ91" s="65">
        <v>0.0</v>
      </c>
      <c r="BR91" s="66">
        <v>0.0</v>
      </c>
      <c r="BS91" s="67" t="str">
        <f t="shared" si="6"/>
        <v>#REF!</v>
      </c>
      <c r="BT91" s="68" t="str">
        <f>'[1]DATA CONSOLIDADA 2018-2025 '!$BR91-Hoja1!$BO91</f>
        <v>#REF!</v>
      </c>
      <c r="BU91" s="65">
        <v>0.0</v>
      </c>
      <c r="BV91" s="65">
        <v>0.0</v>
      </c>
      <c r="BW91" s="66">
        <v>0.0</v>
      </c>
      <c r="BX91" s="67" t="str">
        <f t="shared" si="7"/>
        <v>#REF!</v>
      </c>
      <c r="BY91" s="68" t="str">
        <f t="shared" si="8"/>
        <v>#REF!</v>
      </c>
      <c r="BZ91" s="65">
        <v>0.0</v>
      </c>
      <c r="CA91" s="65">
        <v>0.0</v>
      </c>
      <c r="CB91" s="66">
        <v>0.0</v>
      </c>
      <c r="CC91" s="67" t="str">
        <f t="shared" si="9"/>
        <v>#REF!</v>
      </c>
      <c r="CD91" s="68" t="str">
        <f>'[1]DATA CONSOLIDADA 2018-2025 '!$CB91-Hoja1!$BW91</f>
        <v>#REF!</v>
      </c>
      <c r="CE91" s="70">
        <v>0.0</v>
      </c>
      <c r="CF91" s="70">
        <v>0.0</v>
      </c>
      <c r="CG91" s="71">
        <v>0.0</v>
      </c>
      <c r="CH91" s="67" t="str">
        <f t="shared" si="10"/>
        <v>#REF!</v>
      </c>
      <c r="CI91" s="68" t="str">
        <f>'[1]DATA CONSOLIDADA 2018-2025 '!$CG91-Hoja1!$CB91</f>
        <v>#REF!</v>
      </c>
      <c r="CJ91" s="64" t="str">
        <f t="shared" si="11"/>
        <v>#REF!</v>
      </c>
      <c r="CK91" s="64">
        <v>0.0</v>
      </c>
      <c r="CL91" s="64">
        <v>0.0</v>
      </c>
      <c r="CM91" s="64">
        <v>0.0</v>
      </c>
      <c r="CN91" s="64" t="str">
        <f t="shared" si="12"/>
        <v>#REF!</v>
      </c>
      <c r="CO91" s="68" t="str">
        <f>'[1]DATA CONSOLIDADA 2018-2025 '!$CM91-Hoja1!$CG91</f>
        <v>#REF!</v>
      </c>
      <c r="CP91" s="70">
        <v>0.0</v>
      </c>
      <c r="CQ91" s="70">
        <v>0.0</v>
      </c>
      <c r="CR91" s="70">
        <v>0.0</v>
      </c>
      <c r="CS91" s="70">
        <v>0.0</v>
      </c>
      <c r="CT91" s="70">
        <v>0.0</v>
      </c>
      <c r="CU91" s="70">
        <v>0.0</v>
      </c>
      <c r="CV91" s="64">
        <v>0.0</v>
      </c>
      <c r="CW91" s="64">
        <v>0.0</v>
      </c>
      <c r="CX91" s="64">
        <v>0.0</v>
      </c>
      <c r="CY91" s="64">
        <v>0.0</v>
      </c>
      <c r="CZ91" s="64">
        <v>0.0</v>
      </c>
      <c r="DA91" s="64">
        <v>0.0</v>
      </c>
      <c r="DB91" s="64">
        <v>0.0</v>
      </c>
      <c r="DC91" s="72">
        <v>0.0</v>
      </c>
      <c r="DD91" s="72">
        <v>0.0</v>
      </c>
      <c r="DE91" s="72">
        <v>0.0</v>
      </c>
      <c r="DF91" s="72">
        <v>0.0</v>
      </c>
      <c r="DG91" s="72">
        <v>0.0</v>
      </c>
      <c r="DH91" s="72">
        <v>0.0</v>
      </c>
      <c r="DI91" s="73">
        <v>2.0542380455E10</v>
      </c>
      <c r="DJ91" s="74" t="s">
        <v>425</v>
      </c>
      <c r="DK91" s="74" t="s">
        <v>132</v>
      </c>
      <c r="DL91" s="75"/>
      <c r="DM91" s="75"/>
      <c r="DN91" s="75"/>
      <c r="DO91" s="75"/>
      <c r="DP91" s="75"/>
      <c r="DQ91" s="75"/>
      <c r="DR91" s="75"/>
      <c r="DS91" s="75"/>
      <c r="DT91" s="75"/>
      <c r="DU91" s="75"/>
      <c r="DV91" s="75"/>
      <c r="DW91" s="75"/>
      <c r="DX91" s="75"/>
      <c r="DY91" s="75"/>
      <c r="DZ91" s="75"/>
      <c r="EA91" s="75"/>
      <c r="EB91" s="75"/>
      <c r="EC91" s="75"/>
      <c r="ED91" s="75"/>
      <c r="EE91" s="75"/>
    </row>
    <row r="92" ht="47.25" hidden="1" customHeight="1">
      <c r="A92" s="55" t="s">
        <v>426</v>
      </c>
      <c r="B92" s="55" t="s">
        <v>126</v>
      </c>
      <c r="C92" s="55" t="s">
        <v>126</v>
      </c>
      <c r="D92" s="55" t="s">
        <v>408</v>
      </c>
      <c r="E92" s="55" t="s">
        <v>427</v>
      </c>
      <c r="F92" s="55" t="s">
        <v>408</v>
      </c>
      <c r="G92" s="55" t="s">
        <v>428</v>
      </c>
      <c r="H92" s="55" t="s">
        <v>429</v>
      </c>
      <c r="I92" s="56">
        <v>1.0</v>
      </c>
      <c r="J92" s="56">
        <v>1.0</v>
      </c>
      <c r="K92" s="56"/>
      <c r="L92" s="56"/>
      <c r="M92" s="56"/>
      <c r="N92" s="56"/>
      <c r="O92" s="56"/>
      <c r="P92" s="56"/>
      <c r="Q92" s="56" t="s">
        <v>131</v>
      </c>
      <c r="R92" s="58" t="str">
        <f t="shared" si="1"/>
        <v>2018-2019</v>
      </c>
      <c r="S92" s="59" t="str">
        <f>SUM(Hoja1!$I92:$P92)</f>
        <v>2</v>
      </c>
      <c r="T92" s="59" t="str">
        <f>IF(OR(Hoja1!$J92=1,Hoja1!$K92=1,Hoja1!$L92=1,Hoja1!$M92=1,Hoja1!$N92=1,Hoja1!$O92=1,Hoja1!$P92=1),"SI","NO")</f>
        <v>SI</v>
      </c>
      <c r="U92" s="59" t="str">
        <f>IF(OR(Hoja1!$K92=1,Hoja1!$L92=1,Hoja1!$M92=1,Hoja1!$N92=1,Hoja1!$O92=1,Hoja1!$P92=1),"SI","NO")</f>
        <v>NO</v>
      </c>
      <c r="V92" s="60">
        <v>122.0</v>
      </c>
      <c r="W92" s="61">
        <v>91.0</v>
      </c>
      <c r="X92" s="61">
        <v>28.0</v>
      </c>
      <c r="Y92" s="60">
        <v>119.0</v>
      </c>
      <c r="Z92" s="61">
        <v>0.0</v>
      </c>
      <c r="AA92" s="61">
        <v>0.0</v>
      </c>
      <c r="AB92" s="60">
        <v>0.0</v>
      </c>
      <c r="AC92" s="61">
        <v>0.0</v>
      </c>
      <c r="AD92" s="61">
        <v>0.0</v>
      </c>
      <c r="AE92" s="60">
        <v>0.0</v>
      </c>
      <c r="AF92" s="61">
        <v>0.0</v>
      </c>
      <c r="AG92" s="61">
        <v>0.0</v>
      </c>
      <c r="AH92" s="60">
        <v>0.0</v>
      </c>
      <c r="AI92" s="61">
        <v>0.0</v>
      </c>
      <c r="AJ92" s="61">
        <v>0.0</v>
      </c>
      <c r="AK92" s="60">
        <v>0.0</v>
      </c>
      <c r="AL92" s="61">
        <v>0.0</v>
      </c>
      <c r="AM92" s="61">
        <v>0.0</v>
      </c>
      <c r="AN92" s="60">
        <v>0.0</v>
      </c>
      <c r="AO92" s="62">
        <v>0.0</v>
      </c>
      <c r="AP92" s="62">
        <v>0.0</v>
      </c>
      <c r="AQ92" s="60">
        <v>0.0</v>
      </c>
      <c r="AR92" s="60" t="str">
        <f>IF(Hoja1!$AQ92&gt;0,Hoja1!$AQ92,IF(Hoja1!$AN92&gt;0,Hoja1!$AN92,IF(Hoja1!$AK92&gt;0,Hoja1!$AK92,IF(Hoja1!$AH92&gt;0,Hoja1!$AH92,IF(Hoja1!$AE92&gt;0,Hoja1!$AE92,IF(Hoja1!$AB92&gt;0,Hoja1!$AB92,IF(Hoja1!$Y92&gt;0,Hoja1!$Y92,IF(Hoja1!$V92&gt;0,Hoja1!$V92," ---"))))))))</f>
        <v>119</v>
      </c>
      <c r="AS92" s="63">
        <v>0.0</v>
      </c>
      <c r="AT92" s="63">
        <v>0.0</v>
      </c>
      <c r="AU92" s="63">
        <v>0.0</v>
      </c>
      <c r="AV92" s="63">
        <v>0.0</v>
      </c>
      <c r="AW92" s="63">
        <v>0.0</v>
      </c>
      <c r="AX92" s="63">
        <v>0.0</v>
      </c>
      <c r="AY92" s="63">
        <v>0.0</v>
      </c>
      <c r="AZ92" s="63">
        <v>0.0</v>
      </c>
      <c r="BA92" s="63">
        <v>0.0</v>
      </c>
      <c r="BB92" s="63">
        <v>0.0</v>
      </c>
      <c r="BC92" s="63">
        <v>0.0</v>
      </c>
      <c r="BD92" s="63">
        <v>0.0</v>
      </c>
      <c r="BE92" s="64">
        <v>0.0</v>
      </c>
      <c r="BF92" s="65">
        <v>0.0</v>
      </c>
      <c r="BG92" s="65">
        <v>0.0</v>
      </c>
      <c r="BH92" s="66">
        <v>0.0</v>
      </c>
      <c r="BI92" s="67" t="str">
        <f t="shared" si="2"/>
        <v>#REF!</v>
      </c>
      <c r="BJ92" s="68" t="str">
        <f t="shared" si="3"/>
        <v>#REF!</v>
      </c>
      <c r="BK92" s="65">
        <v>0.0</v>
      </c>
      <c r="BL92" s="65">
        <v>0.0</v>
      </c>
      <c r="BM92" s="66">
        <v>0.0</v>
      </c>
      <c r="BN92" s="67" t="str">
        <f t="shared" si="4"/>
        <v>#REF!</v>
      </c>
      <c r="BO92" s="68" t="str">
        <f t="shared" si="5"/>
        <v>#REF!</v>
      </c>
      <c r="BP92" s="65">
        <v>0.0</v>
      </c>
      <c r="BQ92" s="65">
        <v>0.0</v>
      </c>
      <c r="BR92" s="66">
        <v>0.0</v>
      </c>
      <c r="BS92" s="67" t="str">
        <f t="shared" si="6"/>
        <v>#REF!</v>
      </c>
      <c r="BT92" s="68" t="str">
        <f>'[1]DATA CONSOLIDADA 2018-2025 '!$BR92-Hoja1!$BO92</f>
        <v>#REF!</v>
      </c>
      <c r="BU92" s="65">
        <v>0.0</v>
      </c>
      <c r="BV92" s="65">
        <v>0.0</v>
      </c>
      <c r="BW92" s="66">
        <v>0.0</v>
      </c>
      <c r="BX92" s="67" t="str">
        <f t="shared" si="7"/>
        <v>#REF!</v>
      </c>
      <c r="BY92" s="68" t="str">
        <f t="shared" si="8"/>
        <v>#REF!</v>
      </c>
      <c r="BZ92" s="65">
        <v>0.0</v>
      </c>
      <c r="CA92" s="65">
        <v>0.0</v>
      </c>
      <c r="CB92" s="66">
        <v>0.0</v>
      </c>
      <c r="CC92" s="67" t="str">
        <f t="shared" si="9"/>
        <v>#REF!</v>
      </c>
      <c r="CD92" s="68" t="str">
        <f>'[1]DATA CONSOLIDADA 2018-2025 '!$CB92-Hoja1!$BW92</f>
        <v>#REF!</v>
      </c>
      <c r="CE92" s="70">
        <v>0.0</v>
      </c>
      <c r="CF92" s="70">
        <v>0.0</v>
      </c>
      <c r="CG92" s="71">
        <v>0.0</v>
      </c>
      <c r="CH92" s="67" t="str">
        <f t="shared" si="10"/>
        <v>#REF!</v>
      </c>
      <c r="CI92" s="68" t="str">
        <f>'[1]DATA CONSOLIDADA 2018-2025 '!$CG92-Hoja1!$CB92</f>
        <v>#REF!</v>
      </c>
      <c r="CJ92" s="64" t="str">
        <f t="shared" si="11"/>
        <v>#REF!</v>
      </c>
      <c r="CK92" s="64">
        <v>0.0</v>
      </c>
      <c r="CL92" s="64">
        <v>0.0</v>
      </c>
      <c r="CM92" s="64">
        <v>0.0</v>
      </c>
      <c r="CN92" s="64" t="str">
        <f t="shared" si="12"/>
        <v>#REF!</v>
      </c>
      <c r="CO92" s="68" t="str">
        <f>'[1]DATA CONSOLIDADA 2018-2025 '!$CM92-Hoja1!$CG92</f>
        <v>#REF!</v>
      </c>
      <c r="CP92" s="70">
        <v>0.0</v>
      </c>
      <c r="CQ92" s="70">
        <v>0.0</v>
      </c>
      <c r="CR92" s="70">
        <v>0.0</v>
      </c>
      <c r="CS92" s="70">
        <v>0.0</v>
      </c>
      <c r="CT92" s="70">
        <v>0.0</v>
      </c>
      <c r="CU92" s="70">
        <v>0.0</v>
      </c>
      <c r="CV92" s="64">
        <v>0.0</v>
      </c>
      <c r="CW92" s="64">
        <v>0.0</v>
      </c>
      <c r="CX92" s="64">
        <v>0.0</v>
      </c>
      <c r="CY92" s="64">
        <v>0.0</v>
      </c>
      <c r="CZ92" s="64">
        <v>0.0</v>
      </c>
      <c r="DA92" s="64">
        <v>0.0</v>
      </c>
      <c r="DB92" s="64">
        <v>0.0</v>
      </c>
      <c r="DC92" s="72">
        <v>0.0</v>
      </c>
      <c r="DD92" s="72">
        <v>0.0</v>
      </c>
      <c r="DE92" s="72">
        <v>0.0</v>
      </c>
      <c r="DF92" s="72">
        <v>0.0</v>
      </c>
      <c r="DG92" s="72">
        <v>0.0</v>
      </c>
      <c r="DH92" s="72">
        <v>0.0</v>
      </c>
      <c r="DI92" s="73">
        <v>2.0601186986E10</v>
      </c>
      <c r="DJ92" s="74" t="s">
        <v>426</v>
      </c>
      <c r="DK92" s="74" t="s">
        <v>132</v>
      </c>
      <c r="DL92" s="75"/>
      <c r="DM92" s="75"/>
      <c r="DN92" s="75"/>
      <c r="DO92" s="75"/>
      <c r="DP92" s="75"/>
      <c r="DQ92" s="75"/>
      <c r="DR92" s="75"/>
      <c r="DS92" s="75"/>
      <c r="DT92" s="75"/>
      <c r="DU92" s="75"/>
      <c r="DV92" s="75"/>
      <c r="DW92" s="75"/>
      <c r="DX92" s="75"/>
      <c r="DY92" s="75"/>
      <c r="DZ92" s="75"/>
      <c r="EA92" s="75"/>
      <c r="EB92" s="75"/>
      <c r="EC92" s="75"/>
      <c r="ED92" s="75"/>
      <c r="EE92" s="75"/>
    </row>
    <row r="93" ht="47.25" hidden="1" customHeight="1">
      <c r="A93" s="55" t="s">
        <v>430</v>
      </c>
      <c r="B93" s="55" t="s">
        <v>126</v>
      </c>
      <c r="C93" s="55" t="s">
        <v>126</v>
      </c>
      <c r="D93" s="55" t="s">
        <v>408</v>
      </c>
      <c r="E93" s="55" t="s">
        <v>423</v>
      </c>
      <c r="F93" s="55" t="s">
        <v>408</v>
      </c>
      <c r="G93" s="55" t="s">
        <v>424</v>
      </c>
      <c r="H93" s="55" t="s">
        <v>424</v>
      </c>
      <c r="I93" s="56">
        <v>1.0</v>
      </c>
      <c r="J93" s="56">
        <v>1.0</v>
      </c>
      <c r="K93" s="56">
        <v>1.0</v>
      </c>
      <c r="L93" s="56">
        <v>1.0</v>
      </c>
      <c r="M93" s="56">
        <v>1.0</v>
      </c>
      <c r="N93" s="56">
        <v>1.0</v>
      </c>
      <c r="O93" s="56"/>
      <c r="P93" s="56"/>
      <c r="Q93" s="56" t="s">
        <v>131</v>
      </c>
      <c r="R93" s="58" t="str">
        <f t="shared" si="1"/>
        <v>2018-2019-2020-2021-2022-2023</v>
      </c>
      <c r="S93" s="59" t="str">
        <f>SUM(Hoja1!$I93:$P93)</f>
        <v>6</v>
      </c>
      <c r="T93" s="59" t="str">
        <f>IF(OR(Hoja1!$J93=1,Hoja1!$K93=1,Hoja1!$L93=1,Hoja1!$M93=1,Hoja1!$N93=1,Hoja1!$O93=1,Hoja1!$P93=1),"SI","NO")</f>
        <v>SI</v>
      </c>
      <c r="U93" s="59" t="str">
        <f>IF(OR(Hoja1!$K93=1,Hoja1!$L93=1,Hoja1!$M93=1,Hoja1!$N93=1,Hoja1!$O93=1,Hoja1!$P93=1),"SI","NO")</f>
        <v>SI</v>
      </c>
      <c r="V93" s="60">
        <v>217.0</v>
      </c>
      <c r="W93" s="61">
        <v>160.0</v>
      </c>
      <c r="X93" s="61">
        <v>57.0</v>
      </c>
      <c r="Y93" s="60">
        <v>217.0</v>
      </c>
      <c r="Z93" s="61">
        <v>160.0</v>
      </c>
      <c r="AA93" s="61">
        <v>57.0</v>
      </c>
      <c r="AB93" s="60">
        <v>217.0</v>
      </c>
      <c r="AC93" s="61">
        <v>161.0</v>
      </c>
      <c r="AD93" s="61">
        <v>54.0</v>
      </c>
      <c r="AE93" s="60">
        <v>215.0</v>
      </c>
      <c r="AF93" s="61">
        <v>161.0</v>
      </c>
      <c r="AG93" s="61">
        <v>54.0</v>
      </c>
      <c r="AH93" s="60">
        <v>215.0</v>
      </c>
      <c r="AI93" s="61">
        <v>161.0</v>
      </c>
      <c r="AJ93" s="61">
        <v>54.0</v>
      </c>
      <c r="AK93" s="60">
        <v>215.0</v>
      </c>
      <c r="AL93" s="61">
        <v>0.0</v>
      </c>
      <c r="AM93" s="61">
        <v>0.0</v>
      </c>
      <c r="AN93" s="60">
        <v>0.0</v>
      </c>
      <c r="AO93" s="62">
        <v>0.0</v>
      </c>
      <c r="AP93" s="62">
        <v>0.0</v>
      </c>
      <c r="AQ93" s="60">
        <v>0.0</v>
      </c>
      <c r="AR93" s="60" t="str">
        <f>IF(Hoja1!$AQ93&gt;0,Hoja1!$AQ93,IF(Hoja1!$AN93&gt;0,Hoja1!$AN93,IF(Hoja1!$AK93&gt;0,Hoja1!$AK93,IF(Hoja1!$AH93&gt;0,Hoja1!$AH93,IF(Hoja1!$AE93&gt;0,Hoja1!$AE93,IF(Hoja1!$AB93&gt;0,Hoja1!$AB93,IF(Hoja1!$Y93&gt;0,Hoja1!$Y93,IF(Hoja1!$V93&gt;0,Hoja1!$V93," ---"))))))))</f>
        <v>215</v>
      </c>
      <c r="AS93" s="63">
        <v>0.0</v>
      </c>
      <c r="AT93" s="63">
        <v>6.0</v>
      </c>
      <c r="AU93" s="63">
        <v>27.0</v>
      </c>
      <c r="AV93" s="63">
        <v>10.0</v>
      </c>
      <c r="AW93" s="63">
        <v>18.0</v>
      </c>
      <c r="AX93" s="63">
        <v>6.0</v>
      </c>
      <c r="AY93" s="63">
        <v>13.0</v>
      </c>
      <c r="AZ93" s="63">
        <v>4.0</v>
      </c>
      <c r="BA93" s="63">
        <v>0.0</v>
      </c>
      <c r="BB93" s="63">
        <v>0.0</v>
      </c>
      <c r="BC93" s="63">
        <v>0.0</v>
      </c>
      <c r="BD93" s="63">
        <v>0.0</v>
      </c>
      <c r="BE93" s="64">
        <v>0.0</v>
      </c>
      <c r="BF93" s="65">
        <v>838619.83</v>
      </c>
      <c r="BG93" s="65">
        <v>0.0</v>
      </c>
      <c r="BH93" s="66">
        <v>838619.83</v>
      </c>
      <c r="BI93" s="67" t="str">
        <f t="shared" si="2"/>
        <v>#REF!</v>
      </c>
      <c r="BJ93" s="68" t="str">
        <f t="shared" si="3"/>
        <v>#REF!</v>
      </c>
      <c r="BK93" s="65">
        <v>2149542.89</v>
      </c>
      <c r="BL93" s="65">
        <v>0.0</v>
      </c>
      <c r="BM93" s="66">
        <v>2149542.89</v>
      </c>
      <c r="BN93" s="67" t="str">
        <f t="shared" si="4"/>
        <v>#REF!</v>
      </c>
      <c r="BO93" s="68" t="str">
        <f t="shared" si="5"/>
        <v>#REF!</v>
      </c>
      <c r="BP93" s="65">
        <v>3595209.1</v>
      </c>
      <c r="BQ93" s="65">
        <v>0.0</v>
      </c>
      <c r="BR93" s="66">
        <v>3595209.1</v>
      </c>
      <c r="BS93" s="67" t="str">
        <f t="shared" si="6"/>
        <v>#REF!</v>
      </c>
      <c r="BT93" s="68" t="str">
        <f>'[1]DATA CONSOLIDADA 2018-2025 '!$BR93-Hoja1!$BO93</f>
        <v>#REF!</v>
      </c>
      <c r="BU93" s="65">
        <v>4081192.34</v>
      </c>
      <c r="BV93" s="65">
        <v>0.0</v>
      </c>
      <c r="BW93" s="66">
        <v>4081192.34</v>
      </c>
      <c r="BX93" s="67" t="str">
        <f t="shared" si="7"/>
        <v>#REF!</v>
      </c>
      <c r="BY93" s="68" t="str">
        <f t="shared" si="8"/>
        <v>#REF!</v>
      </c>
      <c r="BZ93" s="65">
        <v>3614509.99</v>
      </c>
      <c r="CA93" s="65">
        <v>0.0</v>
      </c>
      <c r="CB93" s="66">
        <v>3614509.99</v>
      </c>
      <c r="CC93" s="67" t="str">
        <f t="shared" si="9"/>
        <v>#REF!</v>
      </c>
      <c r="CD93" s="68" t="str">
        <f>'[1]DATA CONSOLIDADA 2018-2025 '!$CB93-Hoja1!$BW93</f>
        <v>#REF!</v>
      </c>
      <c r="CE93" s="70">
        <v>0.0</v>
      </c>
      <c r="CF93" s="70">
        <v>0.0</v>
      </c>
      <c r="CG93" s="71">
        <v>0.0</v>
      </c>
      <c r="CH93" s="67" t="str">
        <f t="shared" si="10"/>
        <v>#REF!</v>
      </c>
      <c r="CI93" s="68" t="str">
        <f>'[1]DATA CONSOLIDADA 2018-2025 '!$CG93-Hoja1!$CB93</f>
        <v>#REF!</v>
      </c>
      <c r="CJ93" s="64" t="str">
        <f t="shared" si="11"/>
        <v>#REF!</v>
      </c>
      <c r="CK93" s="64">
        <v>0.0</v>
      </c>
      <c r="CL93" s="64">
        <v>0.0</v>
      </c>
      <c r="CM93" s="64">
        <v>0.0</v>
      </c>
      <c r="CN93" s="64" t="str">
        <f t="shared" si="12"/>
        <v>#REF!</v>
      </c>
      <c r="CO93" s="68" t="str">
        <f>'[1]DATA CONSOLIDADA 2018-2025 '!$CM93-Hoja1!$CG93</f>
        <v>#REF!</v>
      </c>
      <c r="CP93" s="70">
        <v>0.0</v>
      </c>
      <c r="CQ93" s="70">
        <v>0.0</v>
      </c>
      <c r="CR93" s="70">
        <v>0.0</v>
      </c>
      <c r="CS93" s="70">
        <v>3614510.02625239</v>
      </c>
      <c r="CT93" s="70">
        <v>0.0</v>
      </c>
      <c r="CU93" s="70">
        <v>0.0</v>
      </c>
      <c r="CV93" s="64">
        <v>3614510.02625239</v>
      </c>
      <c r="CW93" s="64">
        <v>0.0</v>
      </c>
      <c r="CX93" s="64">
        <v>0.0</v>
      </c>
      <c r="CY93" s="64">
        <v>0.0</v>
      </c>
      <c r="CZ93" s="64">
        <v>0.0</v>
      </c>
      <c r="DA93" s="64">
        <v>0.0</v>
      </c>
      <c r="DB93" s="64">
        <v>0.0</v>
      </c>
      <c r="DC93" s="72">
        <v>0.0</v>
      </c>
      <c r="DD93" s="72">
        <v>0.0</v>
      </c>
      <c r="DE93" s="72">
        <v>0.0</v>
      </c>
      <c r="DF93" s="72">
        <v>0.0</v>
      </c>
      <c r="DG93" s="72">
        <v>0.0</v>
      </c>
      <c r="DH93" s="72">
        <v>0.0</v>
      </c>
      <c r="DI93" s="73">
        <v>2.0600785541E10</v>
      </c>
      <c r="DJ93" s="74" t="s">
        <v>430</v>
      </c>
      <c r="DK93" s="74" t="s">
        <v>138</v>
      </c>
      <c r="DL93" s="75"/>
      <c r="DM93" s="75"/>
      <c r="DN93" s="75"/>
      <c r="DO93" s="75"/>
      <c r="DP93" s="75"/>
      <c r="DQ93" s="75"/>
      <c r="DR93" s="75"/>
      <c r="DS93" s="75"/>
      <c r="DT93" s="75"/>
      <c r="DU93" s="75"/>
      <c r="DV93" s="75"/>
      <c r="DW93" s="75"/>
      <c r="DX93" s="75"/>
      <c r="DY93" s="75"/>
      <c r="DZ93" s="75"/>
      <c r="EA93" s="75"/>
      <c r="EB93" s="75"/>
      <c r="EC93" s="75"/>
      <c r="ED93" s="75"/>
      <c r="EE93" s="75"/>
    </row>
    <row r="94" ht="47.25" customHeight="1">
      <c r="A94" s="55" t="s">
        <v>431</v>
      </c>
      <c r="B94" s="55" t="s">
        <v>146</v>
      </c>
      <c r="C94" s="55" t="s">
        <v>432</v>
      </c>
      <c r="D94" s="55" t="s">
        <v>340</v>
      </c>
      <c r="E94" s="55" t="s">
        <v>433</v>
      </c>
      <c r="F94" s="55" t="s">
        <v>434</v>
      </c>
      <c r="G94" s="55" t="s">
        <v>435</v>
      </c>
      <c r="H94" s="55" t="s">
        <v>436</v>
      </c>
      <c r="I94" s="56"/>
      <c r="J94" s="56"/>
      <c r="K94" s="56"/>
      <c r="L94" s="56"/>
      <c r="M94" s="56"/>
      <c r="N94" s="56"/>
      <c r="O94" s="56"/>
      <c r="P94" s="56">
        <v>1.0</v>
      </c>
      <c r="Q94" s="56" t="s">
        <v>131</v>
      </c>
      <c r="R94" s="58" t="str">
        <f t="shared" si="1"/>
        <v>2025</v>
      </c>
      <c r="S94" s="59" t="str">
        <f>SUM(Hoja1!$I94:$P94)</f>
        <v>1</v>
      </c>
      <c r="T94" s="59" t="str">
        <f>IF(OR(Hoja1!$J94=1,Hoja1!$K94=1,Hoja1!$L94=1,Hoja1!$M94=1,Hoja1!$N94=1,Hoja1!$O94=1,Hoja1!$P94=1),"SI","NO")</f>
        <v>SI</v>
      </c>
      <c r="U94" s="59" t="str">
        <f>IF(OR(Hoja1!$K94=1,Hoja1!$L94=1,Hoja1!$M94=1,Hoja1!$N94=1,Hoja1!$O94=1,Hoja1!$P94=1),"SI","NO")</f>
        <v>SI</v>
      </c>
      <c r="V94" s="60">
        <v>0.0</v>
      </c>
      <c r="W94" s="61">
        <v>0.0</v>
      </c>
      <c r="X94" s="61">
        <v>0.0</v>
      </c>
      <c r="Y94" s="60">
        <v>0.0</v>
      </c>
      <c r="Z94" s="61">
        <v>0.0</v>
      </c>
      <c r="AA94" s="61">
        <v>0.0</v>
      </c>
      <c r="AB94" s="60">
        <v>0.0</v>
      </c>
      <c r="AC94" s="61">
        <v>0.0</v>
      </c>
      <c r="AD94" s="61">
        <v>0.0</v>
      </c>
      <c r="AE94" s="60">
        <v>0.0</v>
      </c>
      <c r="AF94" s="61">
        <v>0.0</v>
      </c>
      <c r="AG94" s="61">
        <v>0.0</v>
      </c>
      <c r="AH94" s="60">
        <v>0.0</v>
      </c>
      <c r="AI94" s="61">
        <v>0.0</v>
      </c>
      <c r="AJ94" s="61">
        <v>0.0</v>
      </c>
      <c r="AK94" s="60">
        <v>0.0</v>
      </c>
      <c r="AL94" s="61">
        <v>0.0</v>
      </c>
      <c r="AM94" s="61">
        <v>0.0</v>
      </c>
      <c r="AN94" s="60">
        <v>0.0</v>
      </c>
      <c r="AO94" s="62">
        <v>0.0</v>
      </c>
      <c r="AP94" s="62">
        <v>77.0</v>
      </c>
      <c r="AQ94" s="60">
        <v>77.0</v>
      </c>
      <c r="AR94" s="60" t="str">
        <f>IF(Hoja1!$AQ94&gt;0,Hoja1!$AQ94,IF(Hoja1!$AN94&gt;0,Hoja1!$AN94,IF(Hoja1!$AK94&gt;0,Hoja1!$AK94,IF(Hoja1!$AH94&gt;0,Hoja1!$AH94,IF(Hoja1!$AE94&gt;0,Hoja1!$AE94,IF(Hoja1!$AB94&gt;0,Hoja1!$AB94,IF(Hoja1!$Y94&gt;0,Hoja1!$Y94,IF(Hoja1!$V94&gt;0,Hoja1!$V94," ---"))))))))</f>
        <v>77</v>
      </c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>
        <v>29.0</v>
      </c>
      <c r="BD94" s="63">
        <v>0.0</v>
      </c>
      <c r="BE94" s="64"/>
      <c r="BF94" s="69"/>
      <c r="BG94" s="69"/>
      <c r="BH94" s="64"/>
      <c r="BI94" s="67" t="str">
        <f>IF('[1]DATA CONSOLIDADA 2018-2025 '!$BH571&gt;'[1]DATA CONSOLIDADA 2018-2025 '!$AN571,"Incremento",IF('[1]DATA CONSOLIDADA 2018-2025 '!$AN571='[1]DATA CONSOLIDADA 2018-2025 '!$BH571,"Sin incremento",IF('[1]DATA CONSOLIDADA 2018-2025 '!$BH571&lt;'[1]DATA CONSOLIDADA 2018-2025 '!$AN571,"Disminución"," ---")))</f>
        <v>#REF!</v>
      </c>
      <c r="BJ94" s="68" t="str">
        <f>'[1]DATA CONSOLIDADA 2018-2025 '!$BH571-'[1]DATA CONSOLIDADA 2018-2025 '!$BE571</f>
        <v>#REF!</v>
      </c>
      <c r="BK94" s="69"/>
      <c r="BL94" s="69"/>
      <c r="BM94" s="64"/>
      <c r="BN94" s="67" t="str">
        <f>IF('[1]DATA CONSOLIDADA 2018-2025 '!$BM571&gt;'[1]DATA CONSOLIDADA 2018-2025 '!$BH571,"Incremento",IF('[1]DATA CONSOLIDADA 2018-2025 '!$BH571='[1]DATA CONSOLIDADA 2018-2025 '!$BM571,"Sin incremento",IF('[1]DATA CONSOLIDADA 2018-2025 '!$BM571&lt;'[1]DATA CONSOLIDADA 2018-2025 '!$BH571,"Disminución"," ---")))</f>
        <v>#REF!</v>
      </c>
      <c r="BO94" s="68" t="str">
        <f>'[1]DATA CONSOLIDADA 2018-2025 '!$BM571-'[1]DATA CONSOLIDADA 2018-2025 '!$BH571</f>
        <v>#REF!</v>
      </c>
      <c r="BP94" s="65"/>
      <c r="BQ94" s="65"/>
      <c r="BR94" s="66"/>
      <c r="BS94" s="67" t="str">
        <f>IF('[1]DATA CONSOLIDADA 2018-2025 '!$BR571&gt;'[1]DATA CONSOLIDADA 2018-2025 '!$BM571,"Incremento",IF('[1]DATA CONSOLIDADA 2018-2025 '!$BM571='[1]DATA CONSOLIDADA 2018-2025 '!$BR571,"Sin incremento",IF('[1]DATA CONSOLIDADA 2018-2025 '!$BR571&lt;'[1]DATA CONSOLIDADA 2018-2025 '!$BM571,"Disminución"," ---")))</f>
        <v>#REF!</v>
      </c>
      <c r="BT94" s="68" t="str">
        <f>'[1]DATA CONSOLIDADA 2018-2025 '!$BR94-Hoja1!$BO94</f>
        <v>#REF!</v>
      </c>
      <c r="BU94" s="69"/>
      <c r="BV94" s="65"/>
      <c r="BW94" s="66"/>
      <c r="BX94" s="67" t="str">
        <f>IF('[1]DATA CONSOLIDADA 2018-2025 '!$BW571&gt;'[1]DATA CONSOLIDADA 2018-2025 '!$BR571,"Incremento",IF('[1]DATA CONSOLIDADA 2018-2025 '!$BR571='[1]DATA CONSOLIDADA 2018-2025 '!$BW571,"Sin incremento",IF('[1]DATA CONSOLIDADA 2018-2025 '!$BW571&lt;'[1]DATA CONSOLIDADA 2018-2025 '!$BR571,"Disminución"," ---")))</f>
        <v>#REF!</v>
      </c>
      <c r="BY94" s="68" t="str">
        <f>'[1]DATA CONSOLIDADA 2018-2025 '!$BW571-'[1]DATA CONSOLIDADA 2018-2025 '!$BR571</f>
        <v>#REF!</v>
      </c>
      <c r="BZ94" s="65"/>
      <c r="CA94" s="65"/>
      <c r="CB94" s="66"/>
      <c r="CC94" s="67" t="str">
        <f>IF('[1]DATA CONSOLIDADA 2018-2025 '!$CB571&gt;'[1]DATA CONSOLIDADA 2018-2025 '!$BW571,"Incremento",IF('[1]DATA CONSOLIDADA 2018-2025 '!$BW571='[1]DATA CONSOLIDADA 2018-2025 '!$CB571,"Sin incremento",IF('[1]DATA CONSOLIDADA 2018-2025 '!$CB571&lt;'[1]DATA CONSOLIDADA 2018-2025 '!$BW571,"Disminución"," ---")))</f>
        <v>#REF!</v>
      </c>
      <c r="CD94" s="68" t="str">
        <f>'[1]DATA CONSOLIDADA 2018-2025 '!$CB94-Hoja1!$BW94</f>
        <v>#REF!</v>
      </c>
      <c r="CE94" s="70"/>
      <c r="CF94" s="70"/>
      <c r="CG94" s="71"/>
      <c r="CH94" s="67" t="str">
        <f>IF('[1]DATA CONSOLIDADA 2018-2025 '!$CG571&gt;'[1]DATA CONSOLIDADA 2018-2025 '!$CB571,"Incremento",IF('[1]DATA CONSOLIDADA 2018-2025 '!$CB571='[1]DATA CONSOLIDADA 2018-2025 '!$CG571,"Sin incremento",IF('[1]DATA CONSOLIDADA 2018-2025 '!$CG571&lt;'[1]DATA CONSOLIDADA 2018-2025 '!$CB571,"Disminución"," ---")))</f>
        <v>#REF!</v>
      </c>
      <c r="CI94" s="68" t="str">
        <f>'[1]DATA CONSOLIDADA 2018-2025 '!$CG94-Hoja1!$CB94</f>
        <v>#REF!</v>
      </c>
      <c r="CJ94" s="64" t="str">
        <f t="shared" si="11"/>
        <v>#REF!</v>
      </c>
      <c r="CK94" s="64">
        <v>313500.0</v>
      </c>
      <c r="CL94" s="64">
        <v>0.0</v>
      </c>
      <c r="CM94" s="64">
        <v>313500.0</v>
      </c>
      <c r="CN94" s="64" t="str">
        <f t="shared" si="12"/>
        <v>#REF!</v>
      </c>
      <c r="CO94" s="68" t="str">
        <f>'[1]DATA CONSOLIDADA 2018-2025 '!$CM94-Hoja1!$CG94</f>
        <v>#REF!</v>
      </c>
      <c r="CP94" s="70"/>
      <c r="CQ94" s="70"/>
      <c r="CR94" s="70"/>
      <c r="CS94" s="70"/>
      <c r="CT94" s="70"/>
      <c r="CU94" s="70"/>
      <c r="CV94" s="64"/>
      <c r="CW94" s="64"/>
      <c r="CX94" s="64"/>
      <c r="CY94" s="64"/>
      <c r="CZ94" s="64"/>
      <c r="DA94" s="64"/>
      <c r="DB94" s="64"/>
      <c r="DC94" s="72">
        <v>0.0</v>
      </c>
      <c r="DD94" s="72">
        <v>0.0</v>
      </c>
      <c r="DE94" s="72">
        <v>313500.0</v>
      </c>
      <c r="DF94" s="72">
        <v>0.0</v>
      </c>
      <c r="DG94" s="72">
        <v>0.0</v>
      </c>
      <c r="DH94" s="72">
        <v>313500.0</v>
      </c>
      <c r="DI94" s="73">
        <v>2.0605228489E10</v>
      </c>
      <c r="DJ94" s="74" t="s">
        <v>437</v>
      </c>
      <c r="DK94" s="74" t="s">
        <v>138</v>
      </c>
      <c r="DL94" s="75"/>
      <c r="DM94" s="75"/>
      <c r="DN94" s="75"/>
      <c r="DO94" s="75"/>
      <c r="DP94" s="75"/>
      <c r="DQ94" s="75"/>
      <c r="DR94" s="75"/>
      <c r="DS94" s="75"/>
      <c r="DT94" s="75"/>
      <c r="DU94" s="75"/>
      <c r="DV94" s="75"/>
      <c r="DW94" s="75"/>
      <c r="DX94" s="75"/>
      <c r="DY94" s="75"/>
      <c r="DZ94" s="75"/>
      <c r="EA94" s="75"/>
      <c r="EB94" s="75"/>
      <c r="EC94" s="75"/>
      <c r="ED94" s="75"/>
      <c r="EE94" s="75"/>
    </row>
    <row r="95" ht="47.25" hidden="1" customHeight="1">
      <c r="A95" s="55" t="s">
        <v>438</v>
      </c>
      <c r="B95" s="55" t="s">
        <v>439</v>
      </c>
      <c r="C95" s="55" t="s">
        <v>439</v>
      </c>
      <c r="D95" s="55" t="s">
        <v>408</v>
      </c>
      <c r="E95" s="55" t="s">
        <v>423</v>
      </c>
      <c r="F95" s="55" t="s">
        <v>408</v>
      </c>
      <c r="G95" s="55" t="s">
        <v>424</v>
      </c>
      <c r="H95" s="55" t="s">
        <v>424</v>
      </c>
      <c r="I95" s="56"/>
      <c r="J95" s="56">
        <v>1.0</v>
      </c>
      <c r="K95" s="56"/>
      <c r="L95" s="56"/>
      <c r="M95" s="56"/>
      <c r="N95" s="56"/>
      <c r="O95" s="56"/>
      <c r="P95" s="56"/>
      <c r="Q95" s="56" t="s">
        <v>131</v>
      </c>
      <c r="R95" s="58" t="str">
        <f t="shared" si="1"/>
        <v>2019</v>
      </c>
      <c r="S95" s="59" t="str">
        <f>SUM(Hoja1!$I95:$P95)</f>
        <v>1</v>
      </c>
      <c r="T95" s="59" t="str">
        <f>IF(OR(Hoja1!$J95=1,Hoja1!$K95=1,Hoja1!$L95=1,Hoja1!$M95=1,Hoja1!$N95=1,Hoja1!$O95=1,Hoja1!$P95=1),"SI","NO")</f>
        <v>SI</v>
      </c>
      <c r="U95" s="59" t="str">
        <f>IF(OR(Hoja1!$K95=1,Hoja1!$L95=1,Hoja1!$M95=1,Hoja1!$N95=1,Hoja1!$O95=1,Hoja1!$P95=1),"SI","NO")</f>
        <v>NO</v>
      </c>
      <c r="V95" s="60">
        <v>0.0</v>
      </c>
      <c r="W95" s="61">
        <v>0.0</v>
      </c>
      <c r="X95" s="61">
        <v>0.0</v>
      </c>
      <c r="Y95" s="60">
        <v>0.0</v>
      </c>
      <c r="Z95" s="61">
        <v>0.0</v>
      </c>
      <c r="AA95" s="61">
        <v>0.0</v>
      </c>
      <c r="AB95" s="60">
        <v>0.0</v>
      </c>
      <c r="AC95" s="61">
        <v>0.0</v>
      </c>
      <c r="AD95" s="61">
        <v>0.0</v>
      </c>
      <c r="AE95" s="60">
        <v>0.0</v>
      </c>
      <c r="AF95" s="61">
        <v>0.0</v>
      </c>
      <c r="AG95" s="61">
        <v>0.0</v>
      </c>
      <c r="AH95" s="60">
        <v>0.0</v>
      </c>
      <c r="AI95" s="61">
        <v>0.0</v>
      </c>
      <c r="AJ95" s="61">
        <v>0.0</v>
      </c>
      <c r="AK95" s="60">
        <v>0.0</v>
      </c>
      <c r="AL95" s="61">
        <v>0.0</v>
      </c>
      <c r="AM95" s="61">
        <v>0.0</v>
      </c>
      <c r="AN95" s="60">
        <v>0.0</v>
      </c>
      <c r="AO95" s="62">
        <v>0.0</v>
      </c>
      <c r="AP95" s="62">
        <v>0.0</v>
      </c>
      <c r="AQ95" s="60">
        <v>0.0</v>
      </c>
      <c r="AR95" s="60" t="str">
        <f>IF(Hoja1!$AQ95&gt;0,Hoja1!$AQ95,IF(Hoja1!$AN95&gt;0,Hoja1!$AN95,IF(Hoja1!$AK95&gt;0,Hoja1!$AK95,IF(Hoja1!$AH95&gt;0,Hoja1!$AH95,IF(Hoja1!$AE95&gt;0,Hoja1!$AE95,IF(Hoja1!$AB95&gt;0,Hoja1!$AB95,IF(Hoja1!$Y95&gt;0,Hoja1!$Y95,IF(Hoja1!$V95&gt;0,Hoja1!$V95," ---"))))))))</f>
        <v> ---</v>
      </c>
      <c r="AS95" s="63">
        <v>0.0</v>
      </c>
      <c r="AT95" s="63">
        <v>0.0</v>
      </c>
      <c r="AU95" s="63">
        <v>0.0</v>
      </c>
      <c r="AV95" s="63">
        <v>0.0</v>
      </c>
      <c r="AW95" s="63">
        <v>0.0</v>
      </c>
      <c r="AX95" s="63">
        <v>0.0</v>
      </c>
      <c r="AY95" s="63">
        <v>0.0</v>
      </c>
      <c r="AZ95" s="63">
        <v>0.0</v>
      </c>
      <c r="BA95" s="63">
        <v>0.0</v>
      </c>
      <c r="BB95" s="63">
        <v>0.0</v>
      </c>
      <c r="BC95" s="63">
        <v>0.0</v>
      </c>
      <c r="BD95" s="63">
        <v>0.0</v>
      </c>
      <c r="BE95" s="66">
        <v>0.0</v>
      </c>
      <c r="BF95" s="65">
        <v>0.0</v>
      </c>
      <c r="BG95" s="65">
        <v>0.0</v>
      </c>
      <c r="BH95" s="66">
        <v>0.0</v>
      </c>
      <c r="BI95" s="67" t="str">
        <f t="shared" ref="BI95:BI105" si="13">IF('[1]DATA CONSOLIDADA 2018-2025 '!$BH95&gt;'[1]DATA CONSOLIDADA 2018-2025 '!$AN95,"Incremento",IF('[1]DATA CONSOLIDADA 2018-2025 '!$AN95='[1]DATA CONSOLIDADA 2018-2025 '!$BH95,"Sin incremento",IF('[1]DATA CONSOLIDADA 2018-2025 '!$BH95&lt;'[1]DATA CONSOLIDADA 2018-2025 '!$AN95,"Disminución"," ---")))</f>
        <v>#REF!</v>
      </c>
      <c r="BJ95" s="68" t="str">
        <f t="shared" ref="BJ95:BJ105" si="14">'[1]DATA CONSOLIDADA 2018-2025 '!$BH95-'[1]DATA CONSOLIDADA 2018-2025 '!$BE95</f>
        <v>#REF!</v>
      </c>
      <c r="BK95" s="65">
        <v>0.0</v>
      </c>
      <c r="BL95" s="65">
        <v>0.0</v>
      </c>
      <c r="BM95" s="66">
        <v>0.0</v>
      </c>
      <c r="BN95" s="67" t="str">
        <f t="shared" ref="BN95:BN105" si="15">IF('[1]DATA CONSOLIDADA 2018-2025 '!$BM95&gt;'[1]DATA CONSOLIDADA 2018-2025 '!$BH95,"Incremento",IF('[1]DATA CONSOLIDADA 2018-2025 '!$BH95='[1]DATA CONSOLIDADA 2018-2025 '!$BM95,"Sin incremento",IF('[1]DATA CONSOLIDADA 2018-2025 '!$BM95&lt;'[1]DATA CONSOLIDADA 2018-2025 '!$BH95,"Disminución"," ---")))</f>
        <v>#REF!</v>
      </c>
      <c r="BO95" s="68" t="str">
        <f t="shared" ref="BO95:BO105" si="16">'[1]DATA CONSOLIDADA 2018-2025 '!$BM95-'[1]DATA CONSOLIDADA 2018-2025 '!$BH95</f>
        <v>#REF!</v>
      </c>
      <c r="BP95" s="65">
        <v>0.0</v>
      </c>
      <c r="BQ95" s="65">
        <v>0.0</v>
      </c>
      <c r="BR95" s="66">
        <v>0.0</v>
      </c>
      <c r="BS95" s="67" t="str">
        <f t="shared" ref="BS95:BS105" si="17">IF('[1]DATA CONSOLIDADA 2018-2025 '!$BR95&gt;'[1]DATA CONSOLIDADA 2018-2025 '!$BM95,"Incremento",IF('[1]DATA CONSOLIDADA 2018-2025 '!$BM95='[1]DATA CONSOLIDADA 2018-2025 '!$BR95,"Sin incremento",IF('[1]DATA CONSOLIDADA 2018-2025 '!$BR95&lt;'[1]DATA CONSOLIDADA 2018-2025 '!$BM95,"Disminución"," ---")))</f>
        <v>#REF!</v>
      </c>
      <c r="BT95" s="68" t="str">
        <f>'[1]DATA CONSOLIDADA 2018-2025 '!$BR95-Hoja1!$BO95</f>
        <v>#REF!</v>
      </c>
      <c r="BU95" s="65">
        <v>0.0</v>
      </c>
      <c r="BV95" s="65">
        <v>0.0</v>
      </c>
      <c r="BW95" s="66">
        <v>0.0</v>
      </c>
      <c r="BX95" s="67" t="str">
        <f t="shared" ref="BX95:BX105" si="18">IF('[1]DATA CONSOLIDADA 2018-2025 '!$BW95&gt;'[1]DATA CONSOLIDADA 2018-2025 '!$BR95,"Incremento",IF('[1]DATA CONSOLIDADA 2018-2025 '!$BR95='[1]DATA CONSOLIDADA 2018-2025 '!$BW95,"Sin incremento",IF('[1]DATA CONSOLIDADA 2018-2025 '!$BW95&lt;'[1]DATA CONSOLIDADA 2018-2025 '!$BR95,"Disminución"," ---")))</f>
        <v>#REF!</v>
      </c>
      <c r="BY95" s="68" t="str">
        <f t="shared" ref="BY95:BY105" si="19">'[1]DATA CONSOLIDADA 2018-2025 '!$BW95-'[1]DATA CONSOLIDADA 2018-2025 '!$BR95</f>
        <v>#REF!</v>
      </c>
      <c r="BZ95" s="65">
        <v>0.0</v>
      </c>
      <c r="CA95" s="65">
        <v>0.0</v>
      </c>
      <c r="CB95" s="66">
        <v>0.0</v>
      </c>
      <c r="CC95" s="67" t="str">
        <f t="shared" ref="CC95:CC105" si="20">IF('[1]DATA CONSOLIDADA 2018-2025 '!$CB95&gt;'[1]DATA CONSOLIDADA 2018-2025 '!$BW95,"Incremento",IF('[1]DATA CONSOLIDADA 2018-2025 '!$BW95='[1]DATA CONSOLIDADA 2018-2025 '!$CB95,"Sin incremento",IF('[1]DATA CONSOLIDADA 2018-2025 '!$CB95&lt;'[1]DATA CONSOLIDADA 2018-2025 '!$BW95,"Disminución"," ---")))</f>
        <v>#REF!</v>
      </c>
      <c r="CD95" s="68" t="str">
        <f>'[1]DATA CONSOLIDADA 2018-2025 '!$CB95-Hoja1!$BW95</f>
        <v>#REF!</v>
      </c>
      <c r="CE95" s="70">
        <v>0.0</v>
      </c>
      <c r="CF95" s="70">
        <v>0.0</v>
      </c>
      <c r="CG95" s="71">
        <v>0.0</v>
      </c>
      <c r="CH95" s="67" t="str">
        <f t="shared" ref="CH95:CH105" si="21">IF('[1]DATA CONSOLIDADA 2018-2025 '!$CG95&gt;'[1]DATA CONSOLIDADA 2018-2025 '!$CB95,"Incremento",IF('[1]DATA CONSOLIDADA 2018-2025 '!$CB95='[1]DATA CONSOLIDADA 2018-2025 '!$CG95,"Sin incremento",IF('[1]DATA CONSOLIDADA 2018-2025 '!$CG95&lt;'[1]DATA CONSOLIDADA 2018-2025 '!$CB95,"Disminución"," ---")))</f>
        <v>#REF!</v>
      </c>
      <c r="CI95" s="68" t="str">
        <f>'[1]DATA CONSOLIDADA 2018-2025 '!$CG95-Hoja1!$CB95</f>
        <v>#REF!</v>
      </c>
      <c r="CJ95" s="64" t="str">
        <f t="shared" si="11"/>
        <v>#REF!</v>
      </c>
      <c r="CK95" s="64">
        <v>0.0</v>
      </c>
      <c r="CL95" s="64">
        <v>0.0</v>
      </c>
      <c r="CM95" s="64">
        <v>0.0</v>
      </c>
      <c r="CN95" s="64" t="str">
        <f t="shared" si="12"/>
        <v>#REF!</v>
      </c>
      <c r="CO95" s="68" t="str">
        <f>'[1]DATA CONSOLIDADA 2018-2025 '!$CM95-Hoja1!$CG95</f>
        <v>#REF!</v>
      </c>
      <c r="CP95" s="70">
        <v>0.0</v>
      </c>
      <c r="CQ95" s="70">
        <v>0.0</v>
      </c>
      <c r="CR95" s="70">
        <v>0.0</v>
      </c>
      <c r="CS95" s="70">
        <v>0.0</v>
      </c>
      <c r="CT95" s="70">
        <v>0.0</v>
      </c>
      <c r="CU95" s="70">
        <v>0.0</v>
      </c>
      <c r="CV95" s="64">
        <v>0.0</v>
      </c>
      <c r="CW95" s="64">
        <v>0.0</v>
      </c>
      <c r="CX95" s="64">
        <v>0.0</v>
      </c>
      <c r="CY95" s="64">
        <v>0.0</v>
      </c>
      <c r="CZ95" s="64">
        <v>0.0</v>
      </c>
      <c r="DA95" s="64">
        <v>0.0</v>
      </c>
      <c r="DB95" s="64">
        <v>0.0</v>
      </c>
      <c r="DC95" s="72">
        <v>0.0</v>
      </c>
      <c r="DD95" s="72">
        <v>0.0</v>
      </c>
      <c r="DE95" s="72">
        <v>0.0</v>
      </c>
      <c r="DF95" s="72">
        <v>0.0</v>
      </c>
      <c r="DG95" s="72">
        <v>0.0</v>
      </c>
      <c r="DH95" s="72">
        <v>0.0</v>
      </c>
      <c r="DI95" s="73" t="s">
        <v>193</v>
      </c>
      <c r="DJ95" s="74" t="s">
        <v>440</v>
      </c>
      <c r="DK95" s="74" t="s">
        <v>138</v>
      </c>
      <c r="DL95" s="75"/>
      <c r="DM95" s="75"/>
      <c r="DN95" s="75"/>
      <c r="DO95" s="75"/>
      <c r="DP95" s="75"/>
      <c r="DQ95" s="75"/>
      <c r="DR95" s="75"/>
      <c r="DS95" s="75"/>
      <c r="DT95" s="75"/>
      <c r="DU95" s="75"/>
      <c r="DV95" s="75"/>
      <c r="DW95" s="75"/>
      <c r="DX95" s="75"/>
      <c r="DY95" s="75"/>
      <c r="DZ95" s="75"/>
      <c r="EA95" s="75"/>
      <c r="EB95" s="75"/>
      <c r="EC95" s="75"/>
      <c r="ED95" s="75"/>
      <c r="EE95" s="75"/>
    </row>
    <row r="96" ht="47.25" hidden="1" customHeight="1">
      <c r="A96" s="55" t="s">
        <v>441</v>
      </c>
      <c r="B96" s="55" t="s">
        <v>439</v>
      </c>
      <c r="C96" s="55" t="s">
        <v>439</v>
      </c>
      <c r="D96" s="55" t="s">
        <v>408</v>
      </c>
      <c r="E96" s="55" t="s">
        <v>442</v>
      </c>
      <c r="F96" s="55" t="s">
        <v>408</v>
      </c>
      <c r="G96" s="55" t="s">
        <v>424</v>
      </c>
      <c r="H96" s="55" t="s">
        <v>443</v>
      </c>
      <c r="I96" s="56"/>
      <c r="J96" s="56">
        <v>1.0</v>
      </c>
      <c r="K96" s="56"/>
      <c r="L96" s="56"/>
      <c r="M96" s="56"/>
      <c r="N96" s="56"/>
      <c r="O96" s="56"/>
      <c r="P96" s="56"/>
      <c r="Q96" s="56" t="s">
        <v>131</v>
      </c>
      <c r="R96" s="58" t="str">
        <f t="shared" si="1"/>
        <v>2019</v>
      </c>
      <c r="S96" s="59" t="str">
        <f>SUM(Hoja1!$I96:$P96)</f>
        <v>1</v>
      </c>
      <c r="T96" s="59" t="str">
        <f>IF(OR(Hoja1!$J96=1,Hoja1!$K96=1,Hoja1!$L96=1,Hoja1!$M96=1,Hoja1!$N96=1,Hoja1!$O96=1,Hoja1!$P96=1),"SI","NO")</f>
        <v>SI</v>
      </c>
      <c r="U96" s="59" t="str">
        <f>IF(OR(Hoja1!$K96=1,Hoja1!$L96=1,Hoja1!$M96=1,Hoja1!$N96=1,Hoja1!$O96=1,Hoja1!$P96=1),"SI","NO")</f>
        <v>NO</v>
      </c>
      <c r="V96" s="60">
        <v>0.0</v>
      </c>
      <c r="W96" s="61">
        <v>0.0</v>
      </c>
      <c r="X96" s="61">
        <v>0.0</v>
      </c>
      <c r="Y96" s="60">
        <v>0.0</v>
      </c>
      <c r="Z96" s="61">
        <v>0.0</v>
      </c>
      <c r="AA96" s="61">
        <v>0.0</v>
      </c>
      <c r="AB96" s="60">
        <v>0.0</v>
      </c>
      <c r="AC96" s="61">
        <v>0.0</v>
      </c>
      <c r="AD96" s="61">
        <v>0.0</v>
      </c>
      <c r="AE96" s="60">
        <v>0.0</v>
      </c>
      <c r="AF96" s="61">
        <v>0.0</v>
      </c>
      <c r="AG96" s="61">
        <v>0.0</v>
      </c>
      <c r="AH96" s="60">
        <v>0.0</v>
      </c>
      <c r="AI96" s="61">
        <v>0.0</v>
      </c>
      <c r="AJ96" s="61">
        <v>0.0</v>
      </c>
      <c r="AK96" s="60">
        <v>0.0</v>
      </c>
      <c r="AL96" s="61">
        <v>0.0</v>
      </c>
      <c r="AM96" s="61">
        <v>0.0</v>
      </c>
      <c r="AN96" s="60">
        <v>0.0</v>
      </c>
      <c r="AO96" s="62">
        <v>0.0</v>
      </c>
      <c r="AP96" s="62">
        <v>0.0</v>
      </c>
      <c r="AQ96" s="60">
        <v>0.0</v>
      </c>
      <c r="AR96" s="60" t="str">
        <f>IF(Hoja1!$AQ96&gt;0,Hoja1!$AQ96,IF(Hoja1!$AN96&gt;0,Hoja1!$AN96,IF(Hoja1!$AK96&gt;0,Hoja1!$AK96,IF(Hoja1!$AH96&gt;0,Hoja1!$AH96,IF(Hoja1!$AE96&gt;0,Hoja1!$AE96,IF(Hoja1!$AB96&gt;0,Hoja1!$AB96,IF(Hoja1!$Y96&gt;0,Hoja1!$Y96,IF(Hoja1!$V96&gt;0,Hoja1!$V96," ---"))))))))</f>
        <v> ---</v>
      </c>
      <c r="AS96" s="63">
        <v>0.0</v>
      </c>
      <c r="AT96" s="63">
        <v>0.0</v>
      </c>
      <c r="AU96" s="63">
        <v>0.0</v>
      </c>
      <c r="AV96" s="63">
        <v>0.0</v>
      </c>
      <c r="AW96" s="63">
        <v>0.0</v>
      </c>
      <c r="AX96" s="63">
        <v>0.0</v>
      </c>
      <c r="AY96" s="63">
        <v>0.0</v>
      </c>
      <c r="AZ96" s="63">
        <v>0.0</v>
      </c>
      <c r="BA96" s="63">
        <v>0.0</v>
      </c>
      <c r="BB96" s="63">
        <v>0.0</v>
      </c>
      <c r="BC96" s="63">
        <v>0.0</v>
      </c>
      <c r="BD96" s="63">
        <v>0.0</v>
      </c>
      <c r="BE96" s="66">
        <v>0.0</v>
      </c>
      <c r="BF96" s="65">
        <v>0.0</v>
      </c>
      <c r="BG96" s="65">
        <v>0.0</v>
      </c>
      <c r="BH96" s="66">
        <v>0.0</v>
      </c>
      <c r="BI96" s="67" t="str">
        <f t="shared" si="13"/>
        <v>#REF!</v>
      </c>
      <c r="BJ96" s="68" t="str">
        <f t="shared" si="14"/>
        <v>#REF!</v>
      </c>
      <c r="BK96" s="65">
        <v>0.0</v>
      </c>
      <c r="BL96" s="65">
        <v>0.0</v>
      </c>
      <c r="BM96" s="66">
        <v>0.0</v>
      </c>
      <c r="BN96" s="67" t="str">
        <f t="shared" si="15"/>
        <v>#REF!</v>
      </c>
      <c r="BO96" s="68" t="str">
        <f t="shared" si="16"/>
        <v>#REF!</v>
      </c>
      <c r="BP96" s="65">
        <v>0.0</v>
      </c>
      <c r="BQ96" s="65">
        <v>0.0</v>
      </c>
      <c r="BR96" s="66">
        <v>0.0</v>
      </c>
      <c r="BS96" s="67" t="str">
        <f t="shared" si="17"/>
        <v>#REF!</v>
      </c>
      <c r="BT96" s="68" t="str">
        <f>'[1]DATA CONSOLIDADA 2018-2025 '!$BR96-Hoja1!$BO96</f>
        <v>#REF!</v>
      </c>
      <c r="BU96" s="65">
        <v>0.0</v>
      </c>
      <c r="BV96" s="65">
        <v>0.0</v>
      </c>
      <c r="BW96" s="66">
        <v>0.0</v>
      </c>
      <c r="BX96" s="67" t="str">
        <f t="shared" si="18"/>
        <v>#REF!</v>
      </c>
      <c r="BY96" s="68" t="str">
        <f t="shared" si="19"/>
        <v>#REF!</v>
      </c>
      <c r="BZ96" s="65">
        <v>0.0</v>
      </c>
      <c r="CA96" s="65">
        <v>0.0</v>
      </c>
      <c r="CB96" s="66">
        <v>0.0</v>
      </c>
      <c r="CC96" s="67" t="str">
        <f t="shared" si="20"/>
        <v>#REF!</v>
      </c>
      <c r="CD96" s="68" t="str">
        <f>'[1]DATA CONSOLIDADA 2018-2025 '!$CB96-Hoja1!$BW96</f>
        <v>#REF!</v>
      </c>
      <c r="CE96" s="70">
        <v>0.0</v>
      </c>
      <c r="CF96" s="70">
        <v>0.0</v>
      </c>
      <c r="CG96" s="71">
        <v>0.0</v>
      </c>
      <c r="CH96" s="67" t="str">
        <f t="shared" si="21"/>
        <v>#REF!</v>
      </c>
      <c r="CI96" s="68" t="str">
        <f>'[1]DATA CONSOLIDADA 2018-2025 '!$CG96-Hoja1!$CB96</f>
        <v>#REF!</v>
      </c>
      <c r="CJ96" s="64" t="str">
        <f t="shared" si="11"/>
        <v>#REF!</v>
      </c>
      <c r="CK96" s="64">
        <v>0.0</v>
      </c>
      <c r="CL96" s="64">
        <v>0.0</v>
      </c>
      <c r="CM96" s="64">
        <v>0.0</v>
      </c>
      <c r="CN96" s="64" t="str">
        <f t="shared" si="12"/>
        <v>#REF!</v>
      </c>
      <c r="CO96" s="68" t="str">
        <f>'[1]DATA CONSOLIDADA 2018-2025 '!$CM96-Hoja1!$CG96</f>
        <v>#REF!</v>
      </c>
      <c r="CP96" s="70">
        <v>0.0</v>
      </c>
      <c r="CQ96" s="70">
        <v>0.0</v>
      </c>
      <c r="CR96" s="70">
        <v>0.0</v>
      </c>
      <c r="CS96" s="70">
        <v>0.0</v>
      </c>
      <c r="CT96" s="70">
        <v>0.0</v>
      </c>
      <c r="CU96" s="70">
        <v>0.0</v>
      </c>
      <c r="CV96" s="64">
        <v>0.0</v>
      </c>
      <c r="CW96" s="64">
        <v>0.0</v>
      </c>
      <c r="CX96" s="64">
        <v>0.0</v>
      </c>
      <c r="CY96" s="64">
        <v>0.0</v>
      </c>
      <c r="CZ96" s="64">
        <v>0.0</v>
      </c>
      <c r="DA96" s="64">
        <v>0.0</v>
      </c>
      <c r="DB96" s="64">
        <v>0.0</v>
      </c>
      <c r="DC96" s="72">
        <v>0.0</v>
      </c>
      <c r="DD96" s="72">
        <v>0.0</v>
      </c>
      <c r="DE96" s="72">
        <v>0.0</v>
      </c>
      <c r="DF96" s="72">
        <v>0.0</v>
      </c>
      <c r="DG96" s="72">
        <v>0.0</v>
      </c>
      <c r="DH96" s="72">
        <v>0.0</v>
      </c>
      <c r="DI96" s="73">
        <v>2.05706997E10</v>
      </c>
      <c r="DJ96" s="74" t="s">
        <v>444</v>
      </c>
      <c r="DK96" s="74" t="s">
        <v>138</v>
      </c>
      <c r="DL96" s="75"/>
      <c r="DM96" s="75"/>
      <c r="DN96" s="75"/>
      <c r="DO96" s="75"/>
      <c r="DP96" s="75"/>
      <c r="DQ96" s="75"/>
      <c r="DR96" s="75"/>
      <c r="DS96" s="75"/>
      <c r="DT96" s="75"/>
      <c r="DU96" s="75"/>
      <c r="DV96" s="75"/>
      <c r="DW96" s="75"/>
      <c r="DX96" s="75"/>
      <c r="DY96" s="75"/>
      <c r="DZ96" s="75"/>
      <c r="EA96" s="75"/>
      <c r="EB96" s="75"/>
      <c r="EC96" s="75"/>
      <c r="ED96" s="75"/>
      <c r="EE96" s="75"/>
    </row>
    <row r="97" ht="47.25" hidden="1" customHeight="1">
      <c r="A97" s="55" t="s">
        <v>445</v>
      </c>
      <c r="B97" s="55" t="s">
        <v>287</v>
      </c>
      <c r="C97" s="55" t="s">
        <v>287</v>
      </c>
      <c r="D97" s="55" t="s">
        <v>408</v>
      </c>
      <c r="E97" s="55" t="s">
        <v>446</v>
      </c>
      <c r="F97" s="55" t="s">
        <v>408</v>
      </c>
      <c r="G97" s="55" t="s">
        <v>447</v>
      </c>
      <c r="H97" s="55" t="s">
        <v>447</v>
      </c>
      <c r="I97" s="56"/>
      <c r="J97" s="56">
        <v>1.0</v>
      </c>
      <c r="K97" s="56"/>
      <c r="L97" s="56">
        <v>1.0</v>
      </c>
      <c r="M97" s="56">
        <v>1.0</v>
      </c>
      <c r="N97" s="56">
        <v>1.0</v>
      </c>
      <c r="O97" s="56"/>
      <c r="P97" s="56"/>
      <c r="Q97" s="56" t="s">
        <v>131</v>
      </c>
      <c r="R97" s="58" t="str">
        <f t="shared" si="1"/>
        <v>2019-2021-2022-2023</v>
      </c>
      <c r="S97" s="59" t="str">
        <f>SUM(Hoja1!$I97:$P97)</f>
        <v>4</v>
      </c>
      <c r="T97" s="59" t="str">
        <f>IF(OR(Hoja1!$J97=1,Hoja1!$K97=1,Hoja1!$L97=1,Hoja1!$M97=1,Hoja1!$N97=1,Hoja1!$O97=1,Hoja1!$P97=1),"SI","NO")</f>
        <v>SI</v>
      </c>
      <c r="U97" s="59" t="str">
        <f>IF(OR(Hoja1!$K97=1,Hoja1!$L97=1,Hoja1!$M97=1,Hoja1!$N97=1,Hoja1!$O97=1,Hoja1!$P97=1),"SI","NO")</f>
        <v>SI</v>
      </c>
      <c r="V97" s="60">
        <v>0.0</v>
      </c>
      <c r="W97" s="61">
        <v>41.0</v>
      </c>
      <c r="X97" s="61">
        <v>14.0</v>
      </c>
      <c r="Y97" s="60">
        <v>55.0</v>
      </c>
      <c r="Z97" s="61">
        <v>0.0</v>
      </c>
      <c r="AA97" s="61">
        <v>0.0</v>
      </c>
      <c r="AB97" s="60">
        <v>0.0</v>
      </c>
      <c r="AC97" s="61">
        <v>29.0</v>
      </c>
      <c r="AD97" s="61">
        <v>27.0</v>
      </c>
      <c r="AE97" s="60">
        <v>56.0</v>
      </c>
      <c r="AF97" s="61">
        <v>29.0</v>
      </c>
      <c r="AG97" s="61">
        <v>27.0</v>
      </c>
      <c r="AH97" s="60">
        <v>56.0</v>
      </c>
      <c r="AI97" s="61">
        <v>29.0</v>
      </c>
      <c r="AJ97" s="61">
        <v>27.0</v>
      </c>
      <c r="AK97" s="60">
        <v>56.0</v>
      </c>
      <c r="AL97" s="61">
        <v>0.0</v>
      </c>
      <c r="AM97" s="61">
        <v>0.0</v>
      </c>
      <c r="AN97" s="60">
        <v>0.0</v>
      </c>
      <c r="AO97" s="62">
        <v>0.0</v>
      </c>
      <c r="AP97" s="62">
        <v>0.0</v>
      </c>
      <c r="AQ97" s="60">
        <v>0.0</v>
      </c>
      <c r="AR97" s="60" t="str">
        <f>IF(Hoja1!$AQ97&gt;0,Hoja1!$AQ97,IF(Hoja1!$AN97&gt;0,Hoja1!$AN97,IF(Hoja1!$AK97&gt;0,Hoja1!$AK97,IF(Hoja1!$AH97&gt;0,Hoja1!$AH97,IF(Hoja1!$AE97&gt;0,Hoja1!$AE97,IF(Hoja1!$AB97&gt;0,Hoja1!$AB97,IF(Hoja1!$Y97&gt;0,Hoja1!$Y97,IF(Hoja1!$V97&gt;0,Hoja1!$V97," ---"))))))))</f>
        <v>56</v>
      </c>
      <c r="AS97" s="63">
        <v>0.0</v>
      </c>
      <c r="AT97" s="63">
        <v>0.0</v>
      </c>
      <c r="AU97" s="63">
        <v>33.0</v>
      </c>
      <c r="AV97" s="63">
        <v>6.0</v>
      </c>
      <c r="AW97" s="63">
        <v>10.0</v>
      </c>
      <c r="AX97" s="63">
        <v>2.0</v>
      </c>
      <c r="AY97" s="63">
        <v>47.0</v>
      </c>
      <c r="AZ97" s="63">
        <v>5.0</v>
      </c>
      <c r="BA97" s="63">
        <v>0.0</v>
      </c>
      <c r="BB97" s="63">
        <v>0.0</v>
      </c>
      <c r="BC97" s="63">
        <v>0.0</v>
      </c>
      <c r="BD97" s="63">
        <v>0.0</v>
      </c>
      <c r="BE97" s="64">
        <v>0.0</v>
      </c>
      <c r="BF97" s="65">
        <v>0.0</v>
      </c>
      <c r="BG97" s="65">
        <v>0.0</v>
      </c>
      <c r="BH97" s="66">
        <v>0.0</v>
      </c>
      <c r="BI97" s="67" t="str">
        <f t="shared" si="13"/>
        <v>#REF!</v>
      </c>
      <c r="BJ97" s="68" t="str">
        <f t="shared" si="14"/>
        <v>#REF!</v>
      </c>
      <c r="BK97" s="69">
        <v>0.0</v>
      </c>
      <c r="BL97" s="69">
        <v>0.0</v>
      </c>
      <c r="BM97" s="66">
        <v>0.0</v>
      </c>
      <c r="BN97" s="67" t="str">
        <f t="shared" si="15"/>
        <v>#REF!</v>
      </c>
      <c r="BO97" s="68" t="str">
        <f t="shared" si="16"/>
        <v>#REF!</v>
      </c>
      <c r="BP97" s="65">
        <v>950270.0</v>
      </c>
      <c r="BQ97" s="65">
        <v>0.0</v>
      </c>
      <c r="BR97" s="66">
        <v>950270.0</v>
      </c>
      <c r="BS97" s="67" t="str">
        <f t="shared" si="17"/>
        <v>#REF!</v>
      </c>
      <c r="BT97" s="68" t="str">
        <f>'[1]DATA CONSOLIDADA 2018-2025 '!$BR97-Hoja1!$BO97</f>
        <v>#REF!</v>
      </c>
      <c r="BU97" s="65">
        <v>486350.0</v>
      </c>
      <c r="BV97" s="65">
        <v>0.0</v>
      </c>
      <c r="BW97" s="66">
        <v>486350.0</v>
      </c>
      <c r="BX97" s="67" t="str">
        <f t="shared" si="18"/>
        <v>#REF!</v>
      </c>
      <c r="BY97" s="68" t="str">
        <f t="shared" si="19"/>
        <v>#REF!</v>
      </c>
      <c r="BZ97" s="65">
        <v>1611989.68</v>
      </c>
      <c r="CA97" s="65">
        <v>0.0</v>
      </c>
      <c r="CB97" s="66">
        <v>1611989.68</v>
      </c>
      <c r="CC97" s="67" t="str">
        <f t="shared" si="20"/>
        <v>#REF!</v>
      </c>
      <c r="CD97" s="68" t="str">
        <f>'[1]DATA CONSOLIDADA 2018-2025 '!$CB97-Hoja1!$BW97</f>
        <v>#REF!</v>
      </c>
      <c r="CE97" s="70">
        <v>0.0</v>
      </c>
      <c r="CF97" s="70">
        <v>0.0</v>
      </c>
      <c r="CG97" s="71">
        <v>0.0</v>
      </c>
      <c r="CH97" s="67" t="str">
        <f t="shared" si="21"/>
        <v>#REF!</v>
      </c>
      <c r="CI97" s="68" t="str">
        <f>'[1]DATA CONSOLIDADA 2018-2025 '!$CG97-Hoja1!$CB97</f>
        <v>#REF!</v>
      </c>
      <c r="CJ97" s="64" t="str">
        <f t="shared" si="11"/>
        <v>#REF!</v>
      </c>
      <c r="CK97" s="64">
        <v>0.0</v>
      </c>
      <c r="CL97" s="64">
        <v>0.0</v>
      </c>
      <c r="CM97" s="64">
        <v>0.0</v>
      </c>
      <c r="CN97" s="64" t="str">
        <f t="shared" si="12"/>
        <v>#REF!</v>
      </c>
      <c r="CO97" s="68" t="str">
        <f>'[1]DATA CONSOLIDADA 2018-2025 '!$CM97-Hoja1!$CG97</f>
        <v>#REF!</v>
      </c>
      <c r="CP97" s="70">
        <v>0.0</v>
      </c>
      <c r="CQ97" s="70">
        <v>1611989.6819999998</v>
      </c>
      <c r="CR97" s="70">
        <v>0.0</v>
      </c>
      <c r="CS97" s="70">
        <v>0.0</v>
      </c>
      <c r="CT97" s="70">
        <v>0.0</v>
      </c>
      <c r="CU97" s="70">
        <v>0.0</v>
      </c>
      <c r="CV97" s="64">
        <v>1611989.6819999998</v>
      </c>
      <c r="CW97" s="64">
        <v>0.0</v>
      </c>
      <c r="CX97" s="64">
        <v>0.0</v>
      </c>
      <c r="CY97" s="64">
        <v>0.0</v>
      </c>
      <c r="CZ97" s="64">
        <v>0.0</v>
      </c>
      <c r="DA97" s="64">
        <v>0.0</v>
      </c>
      <c r="DB97" s="64">
        <v>0.0</v>
      </c>
      <c r="DC97" s="72">
        <v>0.0</v>
      </c>
      <c r="DD97" s="72">
        <v>0.0</v>
      </c>
      <c r="DE97" s="72">
        <v>0.0</v>
      </c>
      <c r="DF97" s="72">
        <v>0.0</v>
      </c>
      <c r="DG97" s="72">
        <v>0.0</v>
      </c>
      <c r="DH97" s="72">
        <v>0.0</v>
      </c>
      <c r="DI97" s="73">
        <v>2.0602902235E10</v>
      </c>
      <c r="DJ97" s="74" t="s">
        <v>445</v>
      </c>
      <c r="DK97" s="74" t="s">
        <v>132</v>
      </c>
      <c r="DL97" s="75"/>
      <c r="DM97" s="75"/>
      <c r="DN97" s="75"/>
      <c r="DO97" s="75"/>
      <c r="DP97" s="75"/>
      <c r="DQ97" s="75"/>
      <c r="DR97" s="75"/>
      <c r="DS97" s="75"/>
      <c r="DT97" s="75"/>
      <c r="DU97" s="75"/>
      <c r="DV97" s="75"/>
      <c r="DW97" s="75"/>
      <c r="DX97" s="75"/>
      <c r="DY97" s="75"/>
      <c r="DZ97" s="75"/>
      <c r="EA97" s="75"/>
      <c r="EB97" s="75"/>
      <c r="EC97" s="75"/>
      <c r="ED97" s="75"/>
      <c r="EE97" s="75"/>
    </row>
    <row r="98" ht="47.25" hidden="1" customHeight="1">
      <c r="A98" s="55" t="s">
        <v>448</v>
      </c>
      <c r="B98" s="55" t="s">
        <v>449</v>
      </c>
      <c r="C98" s="55" t="s">
        <v>450</v>
      </c>
      <c r="D98" s="55" t="s">
        <v>408</v>
      </c>
      <c r="E98" s="55" t="s">
        <v>451</v>
      </c>
      <c r="F98" s="55" t="s">
        <v>408</v>
      </c>
      <c r="G98" s="55" t="s">
        <v>408</v>
      </c>
      <c r="H98" s="55" t="s">
        <v>452</v>
      </c>
      <c r="I98" s="56"/>
      <c r="J98" s="56">
        <v>1.0</v>
      </c>
      <c r="K98" s="56">
        <v>1.0</v>
      </c>
      <c r="L98" s="56">
        <v>1.0</v>
      </c>
      <c r="M98" s="56"/>
      <c r="N98" s="56"/>
      <c r="O98" s="56"/>
      <c r="P98" s="56"/>
      <c r="Q98" s="56" t="s">
        <v>131</v>
      </c>
      <c r="R98" s="58" t="str">
        <f t="shared" si="1"/>
        <v>2019-2020-2021</v>
      </c>
      <c r="S98" s="59" t="str">
        <f>SUM(Hoja1!$I98:$P98)</f>
        <v>3</v>
      </c>
      <c r="T98" s="59" t="str">
        <f>IF(OR(Hoja1!$J98=1,Hoja1!$K98=1,Hoja1!$L98=1,Hoja1!$M98=1,Hoja1!$N98=1,Hoja1!$O98=1,Hoja1!$P98=1),"SI","NO")</f>
        <v>SI</v>
      </c>
      <c r="U98" s="59" t="str">
        <f>IF(OR(Hoja1!$K98=1,Hoja1!$L98=1,Hoja1!$M98=1,Hoja1!$N98=1,Hoja1!$O98=1,Hoja1!$P98=1),"SI","NO")</f>
        <v>SI</v>
      </c>
      <c r="V98" s="60">
        <v>0.0</v>
      </c>
      <c r="W98" s="61">
        <v>41.0</v>
      </c>
      <c r="X98" s="61">
        <v>12.0</v>
      </c>
      <c r="Y98" s="60">
        <v>53.0</v>
      </c>
      <c r="Z98" s="61">
        <v>40.0</v>
      </c>
      <c r="AA98" s="61">
        <v>13.0</v>
      </c>
      <c r="AB98" s="60">
        <v>53.0</v>
      </c>
      <c r="AC98" s="61">
        <v>23.0</v>
      </c>
      <c r="AD98" s="61">
        <v>12.0</v>
      </c>
      <c r="AE98" s="60">
        <v>35.0</v>
      </c>
      <c r="AF98" s="61">
        <v>0.0</v>
      </c>
      <c r="AG98" s="61">
        <v>0.0</v>
      </c>
      <c r="AH98" s="60">
        <v>0.0</v>
      </c>
      <c r="AI98" s="61">
        <v>0.0</v>
      </c>
      <c r="AJ98" s="61">
        <v>0.0</v>
      </c>
      <c r="AK98" s="60">
        <v>0.0</v>
      </c>
      <c r="AL98" s="61">
        <v>0.0</v>
      </c>
      <c r="AM98" s="61">
        <v>0.0</v>
      </c>
      <c r="AN98" s="60">
        <v>0.0</v>
      </c>
      <c r="AO98" s="62">
        <v>0.0</v>
      </c>
      <c r="AP98" s="62">
        <v>0.0</v>
      </c>
      <c r="AQ98" s="60">
        <v>0.0</v>
      </c>
      <c r="AR98" s="60" t="str">
        <f>IF(Hoja1!$AQ98&gt;0,Hoja1!$AQ98,IF(Hoja1!$AN98&gt;0,Hoja1!$AN98,IF(Hoja1!$AK98&gt;0,Hoja1!$AK98,IF(Hoja1!$AH98&gt;0,Hoja1!$AH98,IF(Hoja1!$AE98&gt;0,Hoja1!$AE98,IF(Hoja1!$AB98&gt;0,Hoja1!$AB98,IF(Hoja1!$Y98&gt;0,Hoja1!$Y98,IF(Hoja1!$V98&gt;0,Hoja1!$V98," ---"))))))))</f>
        <v>35</v>
      </c>
      <c r="AS98" s="63">
        <v>34.0</v>
      </c>
      <c r="AT98" s="63">
        <v>6.0</v>
      </c>
      <c r="AU98" s="63">
        <v>73.0</v>
      </c>
      <c r="AV98" s="63">
        <v>7.0</v>
      </c>
      <c r="AW98" s="63">
        <v>0.0</v>
      </c>
      <c r="AX98" s="63">
        <v>0.0</v>
      </c>
      <c r="AY98" s="63">
        <v>0.0</v>
      </c>
      <c r="AZ98" s="63">
        <v>0.0</v>
      </c>
      <c r="BA98" s="63">
        <v>0.0</v>
      </c>
      <c r="BB98" s="63">
        <v>0.0</v>
      </c>
      <c r="BC98" s="63">
        <v>0.0</v>
      </c>
      <c r="BD98" s="63">
        <v>0.0</v>
      </c>
      <c r="BE98" s="64">
        <v>0.0</v>
      </c>
      <c r="BF98" s="65">
        <v>33189.75</v>
      </c>
      <c r="BG98" s="65">
        <v>0.0</v>
      </c>
      <c r="BH98" s="66">
        <v>33189.75</v>
      </c>
      <c r="BI98" s="67" t="str">
        <f t="shared" si="13"/>
        <v>#REF!</v>
      </c>
      <c r="BJ98" s="68" t="str">
        <f t="shared" si="14"/>
        <v>#REF!</v>
      </c>
      <c r="BK98" s="65">
        <v>9510.0</v>
      </c>
      <c r="BL98" s="65">
        <v>0.0</v>
      </c>
      <c r="BM98" s="66">
        <v>9510.0</v>
      </c>
      <c r="BN98" s="67" t="str">
        <f t="shared" si="15"/>
        <v>#REF!</v>
      </c>
      <c r="BO98" s="68" t="str">
        <f t="shared" si="16"/>
        <v>#REF!</v>
      </c>
      <c r="BP98" s="65">
        <v>2350.0</v>
      </c>
      <c r="BQ98" s="65">
        <v>0.0</v>
      </c>
      <c r="BR98" s="66">
        <v>2350.0</v>
      </c>
      <c r="BS98" s="67" t="str">
        <f t="shared" si="17"/>
        <v>#REF!</v>
      </c>
      <c r="BT98" s="68" t="str">
        <f>'[1]DATA CONSOLIDADA 2018-2025 '!$BR98-Hoja1!$BO98</f>
        <v>#REF!</v>
      </c>
      <c r="BU98" s="65">
        <v>0.0</v>
      </c>
      <c r="BV98" s="65">
        <v>0.0</v>
      </c>
      <c r="BW98" s="66">
        <v>0.0</v>
      </c>
      <c r="BX98" s="67" t="str">
        <f t="shared" si="18"/>
        <v>#REF!</v>
      </c>
      <c r="BY98" s="68" t="str">
        <f t="shared" si="19"/>
        <v>#REF!</v>
      </c>
      <c r="BZ98" s="65">
        <v>0.0</v>
      </c>
      <c r="CA98" s="65">
        <v>0.0</v>
      </c>
      <c r="CB98" s="66">
        <v>0.0</v>
      </c>
      <c r="CC98" s="67" t="str">
        <f t="shared" si="20"/>
        <v>#REF!</v>
      </c>
      <c r="CD98" s="68" t="str">
        <f>'[1]DATA CONSOLIDADA 2018-2025 '!$CB98-Hoja1!$BW98</f>
        <v>#REF!</v>
      </c>
      <c r="CE98" s="70">
        <v>0.0</v>
      </c>
      <c r="CF98" s="70">
        <v>0.0</v>
      </c>
      <c r="CG98" s="71">
        <v>0.0</v>
      </c>
      <c r="CH98" s="67" t="str">
        <f t="shared" si="21"/>
        <v>#REF!</v>
      </c>
      <c r="CI98" s="68" t="str">
        <f>'[1]DATA CONSOLIDADA 2018-2025 '!$CG98-Hoja1!$CB98</f>
        <v>#REF!</v>
      </c>
      <c r="CJ98" s="64" t="str">
        <f t="shared" si="11"/>
        <v>#REF!</v>
      </c>
      <c r="CK98" s="64">
        <v>0.0</v>
      </c>
      <c r="CL98" s="64">
        <v>0.0</v>
      </c>
      <c r="CM98" s="64">
        <v>0.0</v>
      </c>
      <c r="CN98" s="64" t="str">
        <f t="shared" si="12"/>
        <v>#REF!</v>
      </c>
      <c r="CO98" s="68" t="str">
        <f>'[1]DATA CONSOLIDADA 2018-2025 '!$CM98-Hoja1!$CG98</f>
        <v>#REF!</v>
      </c>
      <c r="CP98" s="70">
        <v>0.0</v>
      </c>
      <c r="CQ98" s="70">
        <v>0.0</v>
      </c>
      <c r="CR98" s="70">
        <v>0.0</v>
      </c>
      <c r="CS98" s="70">
        <v>0.0</v>
      </c>
      <c r="CT98" s="70">
        <v>0.0</v>
      </c>
      <c r="CU98" s="70">
        <v>0.0</v>
      </c>
      <c r="CV98" s="64">
        <v>0.0</v>
      </c>
      <c r="CW98" s="64">
        <v>0.0</v>
      </c>
      <c r="CX98" s="64">
        <v>0.0</v>
      </c>
      <c r="CY98" s="64">
        <v>0.0</v>
      </c>
      <c r="CZ98" s="64">
        <v>0.0</v>
      </c>
      <c r="DA98" s="64">
        <v>0.0</v>
      </c>
      <c r="DB98" s="64">
        <v>0.0</v>
      </c>
      <c r="DC98" s="72">
        <v>0.0</v>
      </c>
      <c r="DD98" s="72">
        <v>0.0</v>
      </c>
      <c r="DE98" s="72">
        <v>0.0</v>
      </c>
      <c r="DF98" s="72">
        <v>0.0</v>
      </c>
      <c r="DG98" s="72">
        <v>0.0</v>
      </c>
      <c r="DH98" s="72">
        <v>0.0</v>
      </c>
      <c r="DI98" s="73">
        <v>2.0600325478E10</v>
      </c>
      <c r="DJ98" s="74" t="s">
        <v>448</v>
      </c>
      <c r="DK98" s="74" t="s">
        <v>132</v>
      </c>
      <c r="DL98" s="75"/>
      <c r="DM98" s="75"/>
      <c r="DN98" s="75"/>
      <c r="DO98" s="75"/>
      <c r="DP98" s="75"/>
      <c r="DQ98" s="75"/>
      <c r="DR98" s="75"/>
      <c r="DS98" s="75"/>
      <c r="DT98" s="75"/>
      <c r="DU98" s="75"/>
      <c r="DV98" s="75"/>
      <c r="DW98" s="75"/>
      <c r="DX98" s="75"/>
      <c r="DY98" s="75"/>
      <c r="DZ98" s="75"/>
      <c r="EA98" s="75"/>
      <c r="EB98" s="75"/>
      <c r="EC98" s="75"/>
      <c r="ED98" s="75"/>
      <c r="EE98" s="75"/>
    </row>
    <row r="99" ht="47.25" hidden="1" customHeight="1">
      <c r="A99" s="55" t="s">
        <v>453</v>
      </c>
      <c r="B99" s="55" t="s">
        <v>126</v>
      </c>
      <c r="C99" s="55" t="s">
        <v>126</v>
      </c>
      <c r="D99" s="55" t="s">
        <v>408</v>
      </c>
      <c r="E99" s="55" t="s">
        <v>423</v>
      </c>
      <c r="F99" s="55" t="s">
        <v>408</v>
      </c>
      <c r="G99" s="55" t="s">
        <v>424</v>
      </c>
      <c r="H99" s="55" t="s">
        <v>424</v>
      </c>
      <c r="I99" s="56"/>
      <c r="J99" s="56"/>
      <c r="K99" s="56"/>
      <c r="L99" s="56">
        <v>1.0</v>
      </c>
      <c r="M99" s="56">
        <v>1.0</v>
      </c>
      <c r="N99" s="56">
        <v>1.0</v>
      </c>
      <c r="O99" s="56">
        <v>1.0</v>
      </c>
      <c r="P99" s="56"/>
      <c r="Q99" s="56" t="s">
        <v>131</v>
      </c>
      <c r="R99" s="58" t="str">
        <f t="shared" si="1"/>
        <v>2021-2022-2023-2024</v>
      </c>
      <c r="S99" s="59" t="str">
        <f>SUM(Hoja1!$I99:$P99)</f>
        <v>4</v>
      </c>
      <c r="T99" s="59" t="str">
        <f>IF(OR(Hoja1!$J99=1,Hoja1!$K99=1,Hoja1!$L99=1,Hoja1!$M99=1,Hoja1!$N99=1,Hoja1!$O99=1,Hoja1!$P99=1),"SI","NO")</f>
        <v>SI</v>
      </c>
      <c r="U99" s="59" t="str">
        <f>IF(OR(Hoja1!$K99=1,Hoja1!$L99=1,Hoja1!$M99=1,Hoja1!$N99=1,Hoja1!$O99=1,Hoja1!$P99=1),"SI","NO")</f>
        <v>SI</v>
      </c>
      <c r="V99" s="60">
        <v>0.0</v>
      </c>
      <c r="W99" s="61">
        <v>0.0</v>
      </c>
      <c r="X99" s="61">
        <v>0.0</v>
      </c>
      <c r="Y99" s="60">
        <v>0.0</v>
      </c>
      <c r="Z99" s="61">
        <v>0.0</v>
      </c>
      <c r="AA99" s="61">
        <v>0.0</v>
      </c>
      <c r="AB99" s="60">
        <v>0.0</v>
      </c>
      <c r="AC99" s="61">
        <v>311.0</v>
      </c>
      <c r="AD99" s="61">
        <v>96.0</v>
      </c>
      <c r="AE99" s="60">
        <v>407.0</v>
      </c>
      <c r="AF99" s="61">
        <v>311.0</v>
      </c>
      <c r="AG99" s="61">
        <v>96.0</v>
      </c>
      <c r="AH99" s="60">
        <v>407.0</v>
      </c>
      <c r="AI99" s="61">
        <v>311.0</v>
      </c>
      <c r="AJ99" s="61">
        <v>96.0</v>
      </c>
      <c r="AK99" s="60">
        <v>407.0</v>
      </c>
      <c r="AL99" s="61">
        <v>311.0</v>
      </c>
      <c r="AM99" s="61">
        <v>97.0</v>
      </c>
      <c r="AN99" s="60">
        <v>408.0</v>
      </c>
      <c r="AO99" s="62">
        <v>0.0</v>
      </c>
      <c r="AP99" s="62">
        <v>0.0</v>
      </c>
      <c r="AQ99" s="60">
        <v>0.0</v>
      </c>
      <c r="AR99" s="60" t="str">
        <f>IF(Hoja1!$AQ99&gt;0,Hoja1!$AQ99,IF(Hoja1!$AN99&gt;0,Hoja1!$AN99,IF(Hoja1!$AK99&gt;0,Hoja1!$AK99,IF(Hoja1!$AH99&gt;0,Hoja1!$AH99,IF(Hoja1!$AE99&gt;0,Hoja1!$AE99,IF(Hoja1!$AB99&gt;0,Hoja1!$AB99,IF(Hoja1!$Y99&gt;0,Hoja1!$Y99,IF(Hoja1!$V99&gt;0,Hoja1!$V99," ---"))))))))</f>
        <v>408</v>
      </c>
      <c r="AS99" s="63">
        <v>0.0</v>
      </c>
      <c r="AT99" s="63">
        <v>0.0</v>
      </c>
      <c r="AU99" s="63">
        <v>21.0</v>
      </c>
      <c r="AV99" s="63">
        <v>9.0</v>
      </c>
      <c r="AW99" s="63">
        <v>21.0</v>
      </c>
      <c r="AX99" s="63">
        <v>6.0</v>
      </c>
      <c r="AY99" s="63">
        <v>13.0</v>
      </c>
      <c r="AZ99" s="63">
        <v>4.0</v>
      </c>
      <c r="BA99" s="63">
        <v>11.0</v>
      </c>
      <c r="BB99" s="63">
        <v>4.0</v>
      </c>
      <c r="BC99" s="63">
        <v>0.0</v>
      </c>
      <c r="BD99" s="63">
        <v>0.0</v>
      </c>
      <c r="BE99" s="64">
        <v>0.0</v>
      </c>
      <c r="BF99" s="69">
        <v>0.0</v>
      </c>
      <c r="BG99" s="69">
        <v>0.0</v>
      </c>
      <c r="BH99" s="64">
        <v>0.0</v>
      </c>
      <c r="BI99" s="67" t="str">
        <f t="shared" si="13"/>
        <v>#REF!</v>
      </c>
      <c r="BJ99" s="68" t="str">
        <f t="shared" si="14"/>
        <v>#REF!</v>
      </c>
      <c r="BK99" s="69">
        <v>0.0</v>
      </c>
      <c r="BL99" s="69">
        <v>0.0</v>
      </c>
      <c r="BM99" s="66">
        <v>0.0</v>
      </c>
      <c r="BN99" s="67" t="str">
        <f t="shared" si="15"/>
        <v>#REF!</v>
      </c>
      <c r="BO99" s="68" t="str">
        <f t="shared" si="16"/>
        <v>#REF!</v>
      </c>
      <c r="BP99" s="65">
        <v>579309.04</v>
      </c>
      <c r="BQ99" s="65">
        <v>741934.76</v>
      </c>
      <c r="BR99" s="66">
        <v>1321243.8</v>
      </c>
      <c r="BS99" s="67" t="str">
        <f t="shared" si="17"/>
        <v>#REF!</v>
      </c>
      <c r="BT99" s="68" t="str">
        <f>'[1]DATA CONSOLIDADA 2018-2025 '!$BR99-Hoja1!$BO99</f>
        <v>#REF!</v>
      </c>
      <c r="BU99" s="65">
        <v>0.0</v>
      </c>
      <c r="BV99" s="65">
        <v>1959097.08</v>
      </c>
      <c r="BW99" s="66">
        <v>1959097.08</v>
      </c>
      <c r="BX99" s="67" t="str">
        <f t="shared" si="18"/>
        <v>#REF!</v>
      </c>
      <c r="BY99" s="68" t="str">
        <f t="shared" si="19"/>
        <v>#REF!</v>
      </c>
      <c r="BZ99" s="65">
        <v>0.0</v>
      </c>
      <c r="CA99" s="65">
        <v>1515083.79</v>
      </c>
      <c r="CB99" s="66">
        <v>1515083.79</v>
      </c>
      <c r="CC99" s="67" t="str">
        <f t="shared" si="20"/>
        <v>#REF!</v>
      </c>
      <c r="CD99" s="68" t="str">
        <f>'[1]DATA CONSOLIDADA 2018-2025 '!$CB99-Hoja1!$BW99</f>
        <v>#REF!</v>
      </c>
      <c r="CE99" s="70">
        <v>0.0</v>
      </c>
      <c r="CF99" s="70">
        <v>841453.18629015</v>
      </c>
      <c r="CG99" s="71">
        <v>841453.18629015</v>
      </c>
      <c r="CH99" s="67" t="str">
        <f t="shared" si="21"/>
        <v>#REF!</v>
      </c>
      <c r="CI99" s="68" t="str">
        <f>'[1]DATA CONSOLIDADA 2018-2025 '!$CG99-Hoja1!$CB99</f>
        <v>#REF!</v>
      </c>
      <c r="CJ99" s="64" t="str">
        <f t="shared" si="11"/>
        <v>#REF!</v>
      </c>
      <c r="CK99" s="64">
        <v>0.0</v>
      </c>
      <c r="CL99" s="64">
        <v>0.0</v>
      </c>
      <c r="CM99" s="64">
        <v>0.0</v>
      </c>
      <c r="CN99" s="64" t="str">
        <f t="shared" si="12"/>
        <v>#REF!</v>
      </c>
      <c r="CO99" s="68" t="str">
        <f>'[1]DATA CONSOLIDADA 2018-2025 '!$CM99-Hoja1!$CG99</f>
        <v>#REF!</v>
      </c>
      <c r="CP99" s="70">
        <v>0.0</v>
      </c>
      <c r="CQ99" s="70">
        <v>0.0</v>
      </c>
      <c r="CR99" s="70">
        <v>0.0</v>
      </c>
      <c r="CS99" s="70">
        <v>1515083.79</v>
      </c>
      <c r="CT99" s="70">
        <v>0.0</v>
      </c>
      <c r="CU99" s="70">
        <v>0.0</v>
      </c>
      <c r="CV99" s="64">
        <v>1515083.79</v>
      </c>
      <c r="CW99" s="64">
        <v>0.0</v>
      </c>
      <c r="CX99" s="64">
        <v>0.0</v>
      </c>
      <c r="CY99" s="64">
        <v>841453.18629015</v>
      </c>
      <c r="CZ99" s="64">
        <v>0.0</v>
      </c>
      <c r="DA99" s="64">
        <v>0.0</v>
      </c>
      <c r="DB99" s="64">
        <v>841453.18629015</v>
      </c>
      <c r="DC99" s="72">
        <v>0.0</v>
      </c>
      <c r="DD99" s="72">
        <v>0.0</v>
      </c>
      <c r="DE99" s="72">
        <v>0.0</v>
      </c>
      <c r="DF99" s="72">
        <v>0.0</v>
      </c>
      <c r="DG99" s="72">
        <v>0.0</v>
      </c>
      <c r="DH99" s="72">
        <v>0.0</v>
      </c>
      <c r="DI99" s="73">
        <v>2.0607536016E10</v>
      </c>
      <c r="DJ99" s="74" t="s">
        <v>453</v>
      </c>
      <c r="DK99" s="74" t="s">
        <v>132</v>
      </c>
      <c r="DL99" s="75"/>
      <c r="DM99" s="75"/>
      <c r="DN99" s="75"/>
      <c r="DO99" s="75"/>
      <c r="DP99" s="75"/>
      <c r="DQ99" s="75"/>
      <c r="DR99" s="75"/>
      <c r="DS99" s="75"/>
      <c r="DT99" s="75"/>
      <c r="DU99" s="75"/>
      <c r="DV99" s="75"/>
      <c r="DW99" s="75"/>
      <c r="DX99" s="75"/>
      <c r="DY99" s="75"/>
      <c r="DZ99" s="75"/>
      <c r="EA99" s="75"/>
      <c r="EB99" s="75"/>
      <c r="EC99" s="75"/>
      <c r="ED99" s="75"/>
      <c r="EE99" s="75"/>
    </row>
    <row r="100" ht="47.25" hidden="1" customHeight="1">
      <c r="A100" s="55" t="s">
        <v>454</v>
      </c>
      <c r="B100" s="55" t="s">
        <v>455</v>
      </c>
      <c r="C100" s="55" t="s">
        <v>455</v>
      </c>
      <c r="D100" s="55" t="s">
        <v>408</v>
      </c>
      <c r="E100" s="55" t="s">
        <v>456</v>
      </c>
      <c r="F100" s="55" t="s">
        <v>408</v>
      </c>
      <c r="G100" s="55" t="s">
        <v>457</v>
      </c>
      <c r="H100" s="55" t="s">
        <v>458</v>
      </c>
      <c r="I100" s="56"/>
      <c r="J100" s="56"/>
      <c r="K100" s="56"/>
      <c r="L100" s="56"/>
      <c r="M100" s="56">
        <v>1.0</v>
      </c>
      <c r="N100" s="56">
        <v>1.0</v>
      </c>
      <c r="O100" s="56">
        <v>1.0</v>
      </c>
      <c r="P100" s="56"/>
      <c r="Q100" s="56" t="s">
        <v>131</v>
      </c>
      <c r="R100" s="58" t="str">
        <f t="shared" si="1"/>
        <v>2022-2023-2024</v>
      </c>
      <c r="S100" s="59" t="str">
        <f>SUM(Hoja1!$I100:$P100)</f>
        <v>3</v>
      </c>
      <c r="T100" s="59" t="str">
        <f>IF(OR(Hoja1!$J100=1,Hoja1!$K100=1,Hoja1!$L100=1,Hoja1!$M100=1,Hoja1!$N100=1,Hoja1!$O100=1,Hoja1!$P100=1),"SI","NO")</f>
        <v>SI</v>
      </c>
      <c r="U100" s="59" t="str">
        <f>IF(OR(Hoja1!$K100=1,Hoja1!$L100=1,Hoja1!$M100=1,Hoja1!$N100=1,Hoja1!$O100=1,Hoja1!$P100=1),"SI","NO")</f>
        <v>SI</v>
      </c>
      <c r="V100" s="60">
        <v>0.0</v>
      </c>
      <c r="W100" s="61">
        <v>0.0</v>
      </c>
      <c r="X100" s="61">
        <v>0.0</v>
      </c>
      <c r="Y100" s="60">
        <v>0.0</v>
      </c>
      <c r="Z100" s="61">
        <v>0.0</v>
      </c>
      <c r="AA100" s="61">
        <v>0.0</v>
      </c>
      <c r="AB100" s="60">
        <v>0.0</v>
      </c>
      <c r="AC100" s="61">
        <v>0.0</v>
      </c>
      <c r="AD100" s="61">
        <v>0.0</v>
      </c>
      <c r="AE100" s="60">
        <v>0.0</v>
      </c>
      <c r="AF100" s="61">
        <v>41.0</v>
      </c>
      <c r="AG100" s="61">
        <v>42.0</v>
      </c>
      <c r="AH100" s="60">
        <v>83.0</v>
      </c>
      <c r="AI100" s="61">
        <v>41.0</v>
      </c>
      <c r="AJ100" s="61">
        <v>42.0</v>
      </c>
      <c r="AK100" s="60">
        <v>83.0</v>
      </c>
      <c r="AL100" s="61">
        <v>40.0</v>
      </c>
      <c r="AM100" s="61">
        <v>42.0</v>
      </c>
      <c r="AN100" s="60">
        <v>82.0</v>
      </c>
      <c r="AO100" s="62">
        <v>0.0</v>
      </c>
      <c r="AP100" s="62">
        <v>0.0</v>
      </c>
      <c r="AQ100" s="60">
        <v>0.0</v>
      </c>
      <c r="AR100" s="60" t="str">
        <f>IF(Hoja1!$AQ100&gt;0,Hoja1!$AQ100,IF(Hoja1!$AN100&gt;0,Hoja1!$AN100,IF(Hoja1!$AK100&gt;0,Hoja1!$AK100,IF(Hoja1!$AH100&gt;0,Hoja1!$AH100,IF(Hoja1!$AE100&gt;0,Hoja1!$AE100,IF(Hoja1!$AB100&gt;0,Hoja1!$AB100,IF(Hoja1!$Y100&gt;0,Hoja1!$Y100,IF(Hoja1!$V100&gt;0,Hoja1!$V100," ---"))))))))</f>
        <v>82</v>
      </c>
      <c r="AS100" s="63">
        <v>0.0</v>
      </c>
      <c r="AT100" s="63">
        <v>0.0</v>
      </c>
      <c r="AU100" s="63">
        <v>0.0</v>
      </c>
      <c r="AV100" s="63">
        <v>0.0</v>
      </c>
      <c r="AW100" s="63">
        <v>56.0</v>
      </c>
      <c r="AX100" s="63">
        <v>5.0</v>
      </c>
      <c r="AY100" s="63">
        <v>10.0</v>
      </c>
      <c r="AZ100" s="63">
        <v>5.0</v>
      </c>
      <c r="BA100" s="63">
        <v>58.0</v>
      </c>
      <c r="BB100" s="63">
        <v>4.0</v>
      </c>
      <c r="BC100" s="63">
        <v>0.0</v>
      </c>
      <c r="BD100" s="63">
        <v>0.0</v>
      </c>
      <c r="BE100" s="64">
        <v>0.0</v>
      </c>
      <c r="BF100" s="69">
        <v>0.0</v>
      </c>
      <c r="BG100" s="69">
        <v>0.0</v>
      </c>
      <c r="BH100" s="64">
        <v>0.0</v>
      </c>
      <c r="BI100" s="67" t="str">
        <f t="shared" si="13"/>
        <v>#REF!</v>
      </c>
      <c r="BJ100" s="68" t="str">
        <f t="shared" si="14"/>
        <v>#REF!</v>
      </c>
      <c r="BK100" s="69">
        <v>0.0</v>
      </c>
      <c r="BL100" s="69">
        <v>0.0</v>
      </c>
      <c r="BM100" s="64">
        <v>0.0</v>
      </c>
      <c r="BN100" s="67" t="str">
        <f t="shared" si="15"/>
        <v>#REF!</v>
      </c>
      <c r="BO100" s="68" t="str">
        <f t="shared" si="16"/>
        <v>#REF!</v>
      </c>
      <c r="BP100" s="65">
        <v>0.0</v>
      </c>
      <c r="BQ100" s="65">
        <v>0.0</v>
      </c>
      <c r="BR100" s="66">
        <v>0.0</v>
      </c>
      <c r="BS100" s="67" t="str">
        <f t="shared" si="17"/>
        <v>#REF!</v>
      </c>
      <c r="BT100" s="68" t="str">
        <f>'[1]DATA CONSOLIDADA 2018-2025 '!$BR419-Hoja1!$BO100</f>
        <v>#REF!</v>
      </c>
      <c r="BU100" s="65">
        <v>226595.0</v>
      </c>
      <c r="BV100" s="65">
        <v>0.0</v>
      </c>
      <c r="BW100" s="66">
        <v>226595.0</v>
      </c>
      <c r="BX100" s="67" t="str">
        <f t="shared" si="18"/>
        <v>#REF!</v>
      </c>
      <c r="BY100" s="68" t="str">
        <f t="shared" si="19"/>
        <v>#REF!</v>
      </c>
      <c r="BZ100" s="65">
        <v>881820.0</v>
      </c>
      <c r="CA100" s="65">
        <v>0.0</v>
      </c>
      <c r="CB100" s="66">
        <v>881820.0</v>
      </c>
      <c r="CC100" s="67" t="str">
        <f t="shared" si="20"/>
        <v>#REF!</v>
      </c>
      <c r="CD100" s="68" t="str">
        <f>'[1]DATA CONSOLIDADA 2018-2025 '!$CB419-Hoja1!$BW100</f>
        <v>#REF!</v>
      </c>
      <c r="CE100" s="70">
        <v>1797516.0</v>
      </c>
      <c r="CF100" s="70">
        <v>0.0</v>
      </c>
      <c r="CG100" s="71">
        <v>1797516.0</v>
      </c>
      <c r="CH100" s="67" t="str">
        <f t="shared" si="21"/>
        <v>#REF!</v>
      </c>
      <c r="CI100" s="68" t="str">
        <f>'[1]DATA CONSOLIDADA 2018-2025 '!$CG419-Hoja1!$CB100</f>
        <v>#REF!</v>
      </c>
      <c r="CJ100" s="64" t="str">
        <f>'[1]DATA CONSOLIDADA 2018-2025 '!$BE419+'[1]DATA CONSOLIDADA 2018-2025 '!$BH419+'[1]DATA CONSOLIDADA 2018-2025 '!$BM419+'[1]DATA CONSOLIDADA 2018-2025 '!$BR419+'[1]DATA CONSOLIDADA 2018-2025 '!$BW419+'[1]DATA CONSOLIDADA 2018-2025 '!$CB419+'[1]DATA CONSOLIDADA 2018-2025 '!$CG419</f>
        <v>#REF!</v>
      </c>
      <c r="CK100" s="64">
        <v>0.0</v>
      </c>
      <c r="CL100" s="64">
        <v>0.0</v>
      </c>
      <c r="CM100" s="64">
        <v>0.0</v>
      </c>
      <c r="CN100" s="64" t="str">
        <f t="shared" si="12"/>
        <v>#REF!</v>
      </c>
      <c r="CO100" s="68" t="str">
        <f>'[1]DATA CONSOLIDADA 2018-2025 '!$CM100-Hoja1!$CG100</f>
        <v>#REF!</v>
      </c>
      <c r="CP100" s="70">
        <v>0.0</v>
      </c>
      <c r="CQ100" s="70">
        <v>881820.0</v>
      </c>
      <c r="CR100" s="70">
        <v>0.0</v>
      </c>
      <c r="CS100" s="70">
        <v>0.0</v>
      </c>
      <c r="CT100" s="70">
        <v>0.0</v>
      </c>
      <c r="CU100" s="70">
        <v>0.0</v>
      </c>
      <c r="CV100" s="64">
        <v>881820.0</v>
      </c>
      <c r="CW100" s="64">
        <v>0.0</v>
      </c>
      <c r="CX100" s="64">
        <v>1797516.0</v>
      </c>
      <c r="CY100" s="64">
        <v>0.0</v>
      </c>
      <c r="CZ100" s="64">
        <v>0.0</v>
      </c>
      <c r="DA100" s="64">
        <v>0.0</v>
      </c>
      <c r="DB100" s="64">
        <v>1797516.0</v>
      </c>
      <c r="DC100" s="72">
        <v>0.0</v>
      </c>
      <c r="DD100" s="72">
        <v>0.0</v>
      </c>
      <c r="DE100" s="72">
        <v>0.0</v>
      </c>
      <c r="DF100" s="72">
        <v>0.0</v>
      </c>
      <c r="DG100" s="72">
        <v>0.0</v>
      </c>
      <c r="DH100" s="72">
        <v>0.0</v>
      </c>
      <c r="DI100" s="73">
        <v>2.0529538988E10</v>
      </c>
      <c r="DJ100" s="74" t="s">
        <v>459</v>
      </c>
      <c r="DK100" s="74" t="s">
        <v>132</v>
      </c>
      <c r="DL100" s="75"/>
      <c r="DM100" s="75"/>
      <c r="DN100" s="75"/>
      <c r="DO100" s="75"/>
      <c r="DP100" s="75"/>
      <c r="DQ100" s="75"/>
      <c r="DR100" s="75"/>
      <c r="DS100" s="75"/>
      <c r="DT100" s="75"/>
      <c r="DU100" s="75"/>
      <c r="DV100" s="75"/>
      <c r="DW100" s="75"/>
      <c r="DX100" s="75"/>
      <c r="DY100" s="75"/>
      <c r="DZ100" s="75"/>
      <c r="EA100" s="75"/>
      <c r="EB100" s="75"/>
      <c r="EC100" s="75"/>
      <c r="ED100" s="75"/>
      <c r="EE100" s="75"/>
    </row>
    <row r="101" ht="47.25" hidden="1" customHeight="1">
      <c r="A101" s="55" t="s">
        <v>460</v>
      </c>
      <c r="B101" s="55" t="s">
        <v>236</v>
      </c>
      <c r="C101" s="55" t="s">
        <v>237</v>
      </c>
      <c r="D101" s="55" t="s">
        <v>408</v>
      </c>
      <c r="E101" s="55" t="s">
        <v>461</v>
      </c>
      <c r="F101" s="55" t="s">
        <v>408</v>
      </c>
      <c r="G101" s="55" t="s">
        <v>408</v>
      </c>
      <c r="H101" s="55" t="s">
        <v>408</v>
      </c>
      <c r="I101" s="74"/>
      <c r="J101" s="74"/>
      <c r="K101" s="74"/>
      <c r="L101" s="74"/>
      <c r="M101" s="56">
        <v>1.0</v>
      </c>
      <c r="N101" s="56">
        <v>1.0</v>
      </c>
      <c r="O101" s="56">
        <v>1.0</v>
      </c>
      <c r="P101" s="56"/>
      <c r="Q101" s="56" t="s">
        <v>131</v>
      </c>
      <c r="R101" s="58" t="str">
        <f t="shared" si="1"/>
        <v>2022-2023-2024</v>
      </c>
      <c r="S101" s="59" t="str">
        <f>SUM(Hoja1!$I101:$P101)</f>
        <v>3</v>
      </c>
      <c r="T101" s="59" t="str">
        <f>IF(OR(Hoja1!$J101=1,Hoja1!$K101=1,Hoja1!$L101=1,Hoja1!$M101=1,Hoja1!$N101=1,Hoja1!$O101=1,Hoja1!$P101=1),"SI","NO")</f>
        <v>SI</v>
      </c>
      <c r="U101" s="59" t="str">
        <f>IF(OR(Hoja1!$K101=1,Hoja1!$L101=1,Hoja1!$M101=1,Hoja1!$N101=1,Hoja1!$O101=1,Hoja1!$P101=1),"SI","NO")</f>
        <v>SI</v>
      </c>
      <c r="V101" s="60">
        <v>0.0</v>
      </c>
      <c r="W101" s="61">
        <v>0.0</v>
      </c>
      <c r="X101" s="61">
        <v>0.0</v>
      </c>
      <c r="Y101" s="60">
        <v>0.0</v>
      </c>
      <c r="Z101" s="61">
        <v>0.0</v>
      </c>
      <c r="AA101" s="61">
        <v>0.0</v>
      </c>
      <c r="AB101" s="60">
        <v>0.0</v>
      </c>
      <c r="AC101" s="61">
        <v>0.0</v>
      </c>
      <c r="AD101" s="61">
        <v>0.0</v>
      </c>
      <c r="AE101" s="60">
        <v>0.0</v>
      </c>
      <c r="AF101" s="61">
        <v>113.0</v>
      </c>
      <c r="AG101" s="61">
        <v>15.0</v>
      </c>
      <c r="AH101" s="60">
        <v>128.0</v>
      </c>
      <c r="AI101" s="61">
        <v>113.0</v>
      </c>
      <c r="AJ101" s="61">
        <v>15.0</v>
      </c>
      <c r="AK101" s="60">
        <v>128.0</v>
      </c>
      <c r="AL101" s="61">
        <v>117.0</v>
      </c>
      <c r="AM101" s="61">
        <v>25.0</v>
      </c>
      <c r="AN101" s="60">
        <v>142.0</v>
      </c>
      <c r="AO101" s="62">
        <v>0.0</v>
      </c>
      <c r="AP101" s="62">
        <v>0.0</v>
      </c>
      <c r="AQ101" s="60">
        <v>0.0</v>
      </c>
      <c r="AR101" s="60" t="str">
        <f>IF(Hoja1!$AQ101&gt;0,Hoja1!$AQ101,IF(Hoja1!$AN101&gt;0,Hoja1!$AN101,IF(Hoja1!$AK101&gt;0,Hoja1!$AK101,IF(Hoja1!$AH101&gt;0,Hoja1!$AH101,IF(Hoja1!$AE101&gt;0,Hoja1!$AE101,IF(Hoja1!$AB101&gt;0,Hoja1!$AB101,IF(Hoja1!$Y101&gt;0,Hoja1!$Y101,IF(Hoja1!$V101&gt;0,Hoja1!$V101," ---"))))))))</f>
        <v>142</v>
      </c>
      <c r="AS101" s="63">
        <v>0.0</v>
      </c>
      <c r="AT101" s="63">
        <v>0.0</v>
      </c>
      <c r="AU101" s="63">
        <v>0.0</v>
      </c>
      <c r="AV101" s="63">
        <v>0.0</v>
      </c>
      <c r="AW101" s="63">
        <v>17.0</v>
      </c>
      <c r="AX101" s="63">
        <v>2.0</v>
      </c>
      <c r="AY101" s="63">
        <v>26.0</v>
      </c>
      <c r="AZ101" s="63">
        <v>3.0</v>
      </c>
      <c r="BA101" s="63">
        <v>25.0</v>
      </c>
      <c r="BB101" s="63">
        <v>3.0</v>
      </c>
      <c r="BC101" s="63">
        <v>0.0</v>
      </c>
      <c r="BD101" s="63">
        <v>0.0</v>
      </c>
      <c r="BE101" s="66">
        <v>0.0</v>
      </c>
      <c r="BF101" s="65">
        <v>0.0</v>
      </c>
      <c r="BG101" s="65">
        <v>0.0</v>
      </c>
      <c r="BH101" s="66">
        <v>0.0</v>
      </c>
      <c r="BI101" s="67" t="str">
        <f t="shared" si="13"/>
        <v>#REF!</v>
      </c>
      <c r="BJ101" s="68" t="str">
        <f t="shared" si="14"/>
        <v>#REF!</v>
      </c>
      <c r="BK101" s="65">
        <v>0.0</v>
      </c>
      <c r="BL101" s="65">
        <v>0.0</v>
      </c>
      <c r="BM101" s="66">
        <v>0.0</v>
      </c>
      <c r="BN101" s="67" t="str">
        <f t="shared" si="15"/>
        <v>#REF!</v>
      </c>
      <c r="BO101" s="68" t="str">
        <f t="shared" si="16"/>
        <v>#REF!</v>
      </c>
      <c r="BP101" s="65">
        <v>0.0</v>
      </c>
      <c r="BQ101" s="65">
        <v>0.0</v>
      </c>
      <c r="BR101" s="66">
        <v>0.0</v>
      </c>
      <c r="BS101" s="67" t="str">
        <f t="shared" si="17"/>
        <v>#REF!</v>
      </c>
      <c r="BT101" s="68" t="str">
        <f>'[1]DATA CONSOLIDADA 2018-2025 '!$BR101-Hoja1!$BO101</f>
        <v>#REF!</v>
      </c>
      <c r="BU101" s="65">
        <v>20800.0</v>
      </c>
      <c r="BV101" s="65">
        <v>0.0</v>
      </c>
      <c r="BW101" s="66">
        <v>20800.0</v>
      </c>
      <c r="BX101" s="67" t="str">
        <f t="shared" si="18"/>
        <v>#REF!</v>
      </c>
      <c r="BY101" s="68" t="str">
        <f t="shared" si="19"/>
        <v>#REF!</v>
      </c>
      <c r="BZ101" s="65">
        <v>28350.0</v>
      </c>
      <c r="CA101" s="65">
        <v>0.0</v>
      </c>
      <c r="CB101" s="66">
        <v>28350.0</v>
      </c>
      <c r="CC101" s="67" t="str">
        <f t="shared" si="20"/>
        <v>#REF!</v>
      </c>
      <c r="CD101" s="68" t="str">
        <f>'[1]DATA CONSOLIDADA 2018-2025 '!$CB101-Hoja1!$BW101</f>
        <v>#REF!</v>
      </c>
      <c r="CE101" s="70">
        <v>81420.0</v>
      </c>
      <c r="CF101" s="70">
        <v>0.0</v>
      </c>
      <c r="CG101" s="71">
        <v>81420.0</v>
      </c>
      <c r="CH101" s="67" t="str">
        <f t="shared" si="21"/>
        <v>#REF!</v>
      </c>
      <c r="CI101" s="68" t="str">
        <f>'[1]DATA CONSOLIDADA 2018-2025 '!$CG101-Hoja1!$CB101</f>
        <v>#REF!</v>
      </c>
      <c r="CJ101" s="64" t="str">
        <f t="shared" ref="CJ101:CJ189" si="22">'[1]DATA CONSOLIDADA 2018-2025 '!$BE101+'[1]DATA CONSOLIDADA 2018-2025 '!$BH101+'[1]DATA CONSOLIDADA 2018-2025 '!$BM101+'[1]DATA CONSOLIDADA 2018-2025 '!$BR101+'[1]DATA CONSOLIDADA 2018-2025 '!$BW101+'[1]DATA CONSOLIDADA 2018-2025 '!$CB101+'[1]DATA CONSOLIDADA 2018-2025 '!$CG101</f>
        <v>#REF!</v>
      </c>
      <c r="CK101" s="64">
        <v>0.0</v>
      </c>
      <c r="CL101" s="64">
        <v>0.0</v>
      </c>
      <c r="CM101" s="64">
        <v>0.0</v>
      </c>
      <c r="CN101" s="64" t="str">
        <f t="shared" si="12"/>
        <v>#REF!</v>
      </c>
      <c r="CO101" s="68" t="str">
        <f>'[1]DATA CONSOLIDADA 2018-2025 '!$CM101-Hoja1!$CG101</f>
        <v>#REF!</v>
      </c>
      <c r="CP101" s="70">
        <v>0.0</v>
      </c>
      <c r="CQ101" s="70">
        <v>25375.0</v>
      </c>
      <c r="CR101" s="70">
        <v>0.0</v>
      </c>
      <c r="CS101" s="70">
        <v>2975.0</v>
      </c>
      <c r="CT101" s="70">
        <v>0.0</v>
      </c>
      <c r="CU101" s="70">
        <v>0.0</v>
      </c>
      <c r="CV101" s="64">
        <v>28350.0</v>
      </c>
      <c r="CW101" s="64">
        <v>0.0</v>
      </c>
      <c r="CX101" s="64">
        <v>81420.0</v>
      </c>
      <c r="CY101" s="64">
        <v>0.0</v>
      </c>
      <c r="CZ101" s="64">
        <v>0.0</v>
      </c>
      <c r="DA101" s="64">
        <v>0.0</v>
      </c>
      <c r="DB101" s="64">
        <v>81420.0</v>
      </c>
      <c r="DC101" s="72">
        <v>0.0</v>
      </c>
      <c r="DD101" s="72">
        <v>0.0</v>
      </c>
      <c r="DE101" s="72">
        <v>0.0</v>
      </c>
      <c r="DF101" s="72">
        <v>0.0</v>
      </c>
      <c r="DG101" s="72">
        <v>0.0</v>
      </c>
      <c r="DH101" s="72">
        <v>0.0</v>
      </c>
      <c r="DI101" s="73">
        <v>2.0602754139E10</v>
      </c>
      <c r="DJ101" s="74" t="s">
        <v>462</v>
      </c>
      <c r="DK101" s="74" t="s">
        <v>132</v>
      </c>
      <c r="DL101" s="75"/>
      <c r="DM101" s="75"/>
      <c r="DN101" s="75"/>
      <c r="DO101" s="75"/>
      <c r="DP101" s="75"/>
      <c r="DQ101" s="75"/>
      <c r="DR101" s="75"/>
      <c r="DS101" s="75"/>
      <c r="DT101" s="75"/>
      <c r="DU101" s="75"/>
      <c r="DV101" s="75"/>
      <c r="DW101" s="75"/>
      <c r="DX101" s="75"/>
      <c r="DY101" s="75"/>
      <c r="DZ101" s="75"/>
      <c r="EA101" s="75"/>
      <c r="EB101" s="75"/>
      <c r="EC101" s="75"/>
      <c r="ED101" s="75"/>
      <c r="EE101" s="75"/>
    </row>
    <row r="102" ht="47.25" hidden="1" customHeight="1">
      <c r="A102" s="55" t="s">
        <v>463</v>
      </c>
      <c r="B102" s="55" t="s">
        <v>287</v>
      </c>
      <c r="C102" s="55" t="s">
        <v>288</v>
      </c>
      <c r="D102" s="55" t="s">
        <v>434</v>
      </c>
      <c r="E102" s="55" t="s">
        <v>464</v>
      </c>
      <c r="F102" s="55" t="s">
        <v>434</v>
      </c>
      <c r="G102" s="55" t="s">
        <v>465</v>
      </c>
      <c r="H102" s="55" t="s">
        <v>466</v>
      </c>
      <c r="I102" s="56">
        <v>1.0</v>
      </c>
      <c r="J102" s="56"/>
      <c r="K102" s="56"/>
      <c r="L102" s="56"/>
      <c r="M102" s="56"/>
      <c r="N102" s="56"/>
      <c r="O102" s="56"/>
      <c r="P102" s="56"/>
      <c r="Q102" s="56" t="s">
        <v>131</v>
      </c>
      <c r="R102" s="58" t="str">
        <f t="shared" si="1"/>
        <v>2018</v>
      </c>
      <c r="S102" s="59" t="str">
        <f>SUM(Hoja1!$I102:$P102)</f>
        <v>1</v>
      </c>
      <c r="T102" s="59" t="str">
        <f>IF(OR(Hoja1!$J102=1,Hoja1!$K102=1,Hoja1!$L102=1,Hoja1!$M102=1,Hoja1!$N102=1,Hoja1!$O102=1,Hoja1!$P102=1),"SI","NO")</f>
        <v>NO</v>
      </c>
      <c r="U102" s="59" t="str">
        <f>IF(OR(Hoja1!$K102=1,Hoja1!$L102=1,Hoja1!$M102=1,Hoja1!$N102=1,Hoja1!$O102=1,Hoja1!$P102=1),"SI","NO")</f>
        <v>NO</v>
      </c>
      <c r="V102" s="60">
        <v>68.0</v>
      </c>
      <c r="W102" s="61">
        <v>0.0</v>
      </c>
      <c r="X102" s="61">
        <v>0.0</v>
      </c>
      <c r="Y102" s="60">
        <v>0.0</v>
      </c>
      <c r="Z102" s="61">
        <v>0.0</v>
      </c>
      <c r="AA102" s="61">
        <v>0.0</v>
      </c>
      <c r="AB102" s="60">
        <v>0.0</v>
      </c>
      <c r="AC102" s="61">
        <v>0.0</v>
      </c>
      <c r="AD102" s="61">
        <v>0.0</v>
      </c>
      <c r="AE102" s="60">
        <v>0.0</v>
      </c>
      <c r="AF102" s="61">
        <v>0.0</v>
      </c>
      <c r="AG102" s="61">
        <v>0.0</v>
      </c>
      <c r="AH102" s="60">
        <v>0.0</v>
      </c>
      <c r="AI102" s="61">
        <v>0.0</v>
      </c>
      <c r="AJ102" s="61">
        <v>0.0</v>
      </c>
      <c r="AK102" s="60">
        <v>0.0</v>
      </c>
      <c r="AL102" s="61">
        <v>0.0</v>
      </c>
      <c r="AM102" s="61">
        <v>0.0</v>
      </c>
      <c r="AN102" s="60">
        <v>0.0</v>
      </c>
      <c r="AO102" s="62">
        <v>0.0</v>
      </c>
      <c r="AP102" s="62">
        <v>0.0</v>
      </c>
      <c r="AQ102" s="60">
        <v>0.0</v>
      </c>
      <c r="AR102" s="60" t="str">
        <f>IF(Hoja1!$AQ102&gt;0,Hoja1!$AQ102,IF(Hoja1!$AN102&gt;0,Hoja1!$AN102,IF(Hoja1!$AK102&gt;0,Hoja1!$AK102,IF(Hoja1!$AH102&gt;0,Hoja1!$AH102,IF(Hoja1!$AE102&gt;0,Hoja1!$AE102,IF(Hoja1!$AB102&gt;0,Hoja1!$AB102,IF(Hoja1!$Y102&gt;0,Hoja1!$Y102,IF(Hoja1!$V102&gt;0,Hoja1!$V102," ---"))))))))</f>
        <v>68</v>
      </c>
      <c r="AS102" s="63">
        <v>0.0</v>
      </c>
      <c r="AT102" s="63">
        <v>0.0</v>
      </c>
      <c r="AU102" s="63">
        <v>0.0</v>
      </c>
      <c r="AV102" s="63">
        <v>0.0</v>
      </c>
      <c r="AW102" s="63">
        <v>0.0</v>
      </c>
      <c r="AX102" s="63">
        <v>0.0</v>
      </c>
      <c r="AY102" s="63">
        <v>0.0</v>
      </c>
      <c r="AZ102" s="63">
        <v>0.0</v>
      </c>
      <c r="BA102" s="63">
        <v>0.0</v>
      </c>
      <c r="BB102" s="63">
        <v>0.0</v>
      </c>
      <c r="BC102" s="63">
        <v>0.0</v>
      </c>
      <c r="BD102" s="63">
        <v>0.0</v>
      </c>
      <c r="BE102" s="64">
        <v>0.0</v>
      </c>
      <c r="BF102" s="69">
        <v>0.0</v>
      </c>
      <c r="BG102" s="69">
        <v>0.0</v>
      </c>
      <c r="BH102" s="64">
        <v>0.0</v>
      </c>
      <c r="BI102" s="67" t="str">
        <f t="shared" si="13"/>
        <v>#REF!</v>
      </c>
      <c r="BJ102" s="68" t="str">
        <f t="shared" si="14"/>
        <v>#REF!</v>
      </c>
      <c r="BK102" s="69">
        <v>0.0</v>
      </c>
      <c r="BL102" s="69">
        <v>0.0</v>
      </c>
      <c r="BM102" s="64">
        <v>0.0</v>
      </c>
      <c r="BN102" s="67" t="str">
        <f t="shared" si="15"/>
        <v>#REF!</v>
      </c>
      <c r="BO102" s="68" t="str">
        <f t="shared" si="16"/>
        <v>#REF!</v>
      </c>
      <c r="BP102" s="65">
        <v>0.0</v>
      </c>
      <c r="BQ102" s="65">
        <v>0.0</v>
      </c>
      <c r="BR102" s="66">
        <v>0.0</v>
      </c>
      <c r="BS102" s="67" t="str">
        <f t="shared" si="17"/>
        <v>#REF!</v>
      </c>
      <c r="BT102" s="68" t="str">
        <f>'[1]DATA CONSOLIDADA 2018-2025 '!$BR102-Hoja1!$BO102</f>
        <v>#REF!</v>
      </c>
      <c r="BU102" s="65">
        <v>0.0</v>
      </c>
      <c r="BV102" s="65">
        <v>0.0</v>
      </c>
      <c r="BW102" s="66">
        <v>0.0</v>
      </c>
      <c r="BX102" s="67" t="str">
        <f t="shared" si="18"/>
        <v>#REF!</v>
      </c>
      <c r="BY102" s="68" t="str">
        <f t="shared" si="19"/>
        <v>#REF!</v>
      </c>
      <c r="BZ102" s="65">
        <v>0.0</v>
      </c>
      <c r="CA102" s="65">
        <v>0.0</v>
      </c>
      <c r="CB102" s="66">
        <v>0.0</v>
      </c>
      <c r="CC102" s="67" t="str">
        <f t="shared" si="20"/>
        <v>#REF!</v>
      </c>
      <c r="CD102" s="68" t="str">
        <f>'[1]DATA CONSOLIDADA 2018-2025 '!$CB102-Hoja1!$BW102</f>
        <v>#REF!</v>
      </c>
      <c r="CE102" s="70">
        <v>0.0</v>
      </c>
      <c r="CF102" s="70">
        <v>0.0</v>
      </c>
      <c r="CG102" s="71">
        <v>0.0</v>
      </c>
      <c r="CH102" s="67" t="str">
        <f t="shared" si="21"/>
        <v>#REF!</v>
      </c>
      <c r="CI102" s="68" t="str">
        <f>'[1]DATA CONSOLIDADA 2018-2025 '!$CG102-Hoja1!$CB102</f>
        <v>#REF!</v>
      </c>
      <c r="CJ102" s="64" t="str">
        <f t="shared" si="22"/>
        <v>#REF!</v>
      </c>
      <c r="CK102" s="64">
        <v>0.0</v>
      </c>
      <c r="CL102" s="64">
        <v>0.0</v>
      </c>
      <c r="CM102" s="64">
        <v>0.0</v>
      </c>
      <c r="CN102" s="64" t="str">
        <f t="shared" si="12"/>
        <v>#REF!</v>
      </c>
      <c r="CO102" s="68" t="str">
        <f>'[1]DATA CONSOLIDADA 2018-2025 '!$CM102-Hoja1!$CG102</f>
        <v>#REF!</v>
      </c>
      <c r="CP102" s="70">
        <v>0.0</v>
      </c>
      <c r="CQ102" s="70">
        <v>0.0</v>
      </c>
      <c r="CR102" s="70">
        <v>0.0</v>
      </c>
      <c r="CS102" s="70">
        <v>0.0</v>
      </c>
      <c r="CT102" s="70">
        <v>0.0</v>
      </c>
      <c r="CU102" s="70">
        <v>0.0</v>
      </c>
      <c r="CV102" s="64">
        <v>0.0</v>
      </c>
      <c r="CW102" s="64">
        <v>0.0</v>
      </c>
      <c r="CX102" s="64">
        <v>0.0</v>
      </c>
      <c r="CY102" s="64">
        <v>0.0</v>
      </c>
      <c r="CZ102" s="64">
        <v>0.0</v>
      </c>
      <c r="DA102" s="64">
        <v>0.0</v>
      </c>
      <c r="DB102" s="64">
        <v>0.0</v>
      </c>
      <c r="DC102" s="72">
        <v>0.0</v>
      </c>
      <c r="DD102" s="72">
        <v>0.0</v>
      </c>
      <c r="DE102" s="72">
        <v>0.0</v>
      </c>
      <c r="DF102" s="72">
        <v>0.0</v>
      </c>
      <c r="DG102" s="72">
        <v>0.0</v>
      </c>
      <c r="DH102" s="72">
        <v>0.0</v>
      </c>
      <c r="DI102" s="73">
        <v>2.0602249175E10</v>
      </c>
      <c r="DJ102" s="74" t="s">
        <v>467</v>
      </c>
      <c r="DK102" s="74" t="s">
        <v>138</v>
      </c>
      <c r="DL102" s="75"/>
      <c r="DM102" s="75"/>
      <c r="DN102" s="75"/>
      <c r="DO102" s="75"/>
      <c r="DP102" s="75"/>
      <c r="DQ102" s="75"/>
      <c r="DR102" s="75"/>
      <c r="DS102" s="75"/>
      <c r="DT102" s="75"/>
      <c r="DU102" s="75"/>
      <c r="DV102" s="75"/>
      <c r="DW102" s="75"/>
      <c r="DX102" s="75"/>
      <c r="DY102" s="75"/>
      <c r="DZ102" s="75"/>
      <c r="EA102" s="75"/>
      <c r="EB102" s="75"/>
      <c r="EC102" s="75"/>
      <c r="ED102" s="75"/>
      <c r="EE102" s="75"/>
    </row>
    <row r="103" ht="47.25" hidden="1" customHeight="1">
      <c r="A103" s="55" t="s">
        <v>468</v>
      </c>
      <c r="B103" s="55" t="s">
        <v>287</v>
      </c>
      <c r="C103" s="55" t="s">
        <v>288</v>
      </c>
      <c r="D103" s="55" t="s">
        <v>434</v>
      </c>
      <c r="E103" s="55" t="s">
        <v>469</v>
      </c>
      <c r="F103" s="55" t="s">
        <v>434</v>
      </c>
      <c r="G103" s="55" t="s">
        <v>470</v>
      </c>
      <c r="H103" s="55" t="s">
        <v>471</v>
      </c>
      <c r="I103" s="56">
        <v>1.0</v>
      </c>
      <c r="J103" s="56"/>
      <c r="K103" s="56"/>
      <c r="L103" s="56"/>
      <c r="M103" s="56"/>
      <c r="N103" s="56"/>
      <c r="O103" s="56"/>
      <c r="P103" s="56"/>
      <c r="Q103" s="56" t="s">
        <v>131</v>
      </c>
      <c r="R103" s="58" t="str">
        <f t="shared" si="1"/>
        <v>2018</v>
      </c>
      <c r="S103" s="59" t="str">
        <f>SUM(Hoja1!$I103:$P103)</f>
        <v>1</v>
      </c>
      <c r="T103" s="59" t="str">
        <f>IF(OR(Hoja1!$J103=1,Hoja1!$K103=1,Hoja1!$L103=1,Hoja1!$M103=1,Hoja1!$N103=1,Hoja1!$O103=1,Hoja1!$P103=1),"SI","NO")</f>
        <v>NO</v>
      </c>
      <c r="U103" s="59" t="str">
        <f>IF(OR(Hoja1!$K103=1,Hoja1!$L103=1,Hoja1!$M103=1,Hoja1!$N103=1,Hoja1!$O103=1,Hoja1!$P103=1),"SI","NO")</f>
        <v>NO</v>
      </c>
      <c r="V103" s="60">
        <v>55.0</v>
      </c>
      <c r="W103" s="61">
        <v>0.0</v>
      </c>
      <c r="X103" s="61">
        <v>0.0</v>
      </c>
      <c r="Y103" s="60">
        <v>0.0</v>
      </c>
      <c r="Z103" s="61">
        <v>0.0</v>
      </c>
      <c r="AA103" s="61">
        <v>0.0</v>
      </c>
      <c r="AB103" s="60">
        <v>0.0</v>
      </c>
      <c r="AC103" s="61">
        <v>0.0</v>
      </c>
      <c r="AD103" s="61">
        <v>0.0</v>
      </c>
      <c r="AE103" s="60">
        <v>0.0</v>
      </c>
      <c r="AF103" s="61">
        <v>0.0</v>
      </c>
      <c r="AG103" s="61">
        <v>0.0</v>
      </c>
      <c r="AH103" s="60">
        <v>0.0</v>
      </c>
      <c r="AI103" s="61">
        <v>0.0</v>
      </c>
      <c r="AJ103" s="61">
        <v>0.0</v>
      </c>
      <c r="AK103" s="60">
        <v>0.0</v>
      </c>
      <c r="AL103" s="61">
        <v>0.0</v>
      </c>
      <c r="AM103" s="61">
        <v>0.0</v>
      </c>
      <c r="AN103" s="60">
        <v>0.0</v>
      </c>
      <c r="AO103" s="62">
        <v>0.0</v>
      </c>
      <c r="AP103" s="62">
        <v>0.0</v>
      </c>
      <c r="AQ103" s="60">
        <v>0.0</v>
      </c>
      <c r="AR103" s="60" t="str">
        <f>IF(Hoja1!$AQ103&gt;0,Hoja1!$AQ103,IF(Hoja1!$AN103&gt;0,Hoja1!$AN103,IF(Hoja1!$AK103&gt;0,Hoja1!$AK103,IF(Hoja1!$AH103&gt;0,Hoja1!$AH103,IF(Hoja1!$AE103&gt;0,Hoja1!$AE103,IF(Hoja1!$AB103&gt;0,Hoja1!$AB103,IF(Hoja1!$Y103&gt;0,Hoja1!$Y103,IF(Hoja1!$V103&gt;0,Hoja1!$V103," ---"))))))))</f>
        <v>55</v>
      </c>
      <c r="AS103" s="63">
        <v>0.0</v>
      </c>
      <c r="AT103" s="63">
        <v>0.0</v>
      </c>
      <c r="AU103" s="63">
        <v>0.0</v>
      </c>
      <c r="AV103" s="63">
        <v>0.0</v>
      </c>
      <c r="AW103" s="63">
        <v>0.0</v>
      </c>
      <c r="AX103" s="63">
        <v>0.0</v>
      </c>
      <c r="AY103" s="63">
        <v>0.0</v>
      </c>
      <c r="AZ103" s="63">
        <v>0.0</v>
      </c>
      <c r="BA103" s="63">
        <v>0.0</v>
      </c>
      <c r="BB103" s="63">
        <v>0.0</v>
      </c>
      <c r="BC103" s="63">
        <v>0.0</v>
      </c>
      <c r="BD103" s="63">
        <v>0.0</v>
      </c>
      <c r="BE103" s="64">
        <v>0.0</v>
      </c>
      <c r="BF103" s="69">
        <v>0.0</v>
      </c>
      <c r="BG103" s="69">
        <v>0.0</v>
      </c>
      <c r="BH103" s="64">
        <v>0.0</v>
      </c>
      <c r="BI103" s="67" t="str">
        <f t="shared" si="13"/>
        <v>#REF!</v>
      </c>
      <c r="BJ103" s="68" t="str">
        <f t="shared" si="14"/>
        <v>#REF!</v>
      </c>
      <c r="BK103" s="69">
        <v>0.0</v>
      </c>
      <c r="BL103" s="69">
        <v>0.0</v>
      </c>
      <c r="BM103" s="64">
        <v>0.0</v>
      </c>
      <c r="BN103" s="67" t="str">
        <f t="shared" si="15"/>
        <v>#REF!</v>
      </c>
      <c r="BO103" s="68" t="str">
        <f t="shared" si="16"/>
        <v>#REF!</v>
      </c>
      <c r="BP103" s="65">
        <v>0.0</v>
      </c>
      <c r="BQ103" s="65">
        <v>0.0</v>
      </c>
      <c r="BR103" s="66">
        <v>0.0</v>
      </c>
      <c r="BS103" s="67" t="str">
        <f t="shared" si="17"/>
        <v>#REF!</v>
      </c>
      <c r="BT103" s="68" t="str">
        <f>'[1]DATA CONSOLIDADA 2018-2025 '!$BR103-Hoja1!$BO103</f>
        <v>#REF!</v>
      </c>
      <c r="BU103" s="65">
        <v>0.0</v>
      </c>
      <c r="BV103" s="65">
        <v>0.0</v>
      </c>
      <c r="BW103" s="66">
        <v>0.0</v>
      </c>
      <c r="BX103" s="67" t="str">
        <f t="shared" si="18"/>
        <v>#REF!</v>
      </c>
      <c r="BY103" s="68" t="str">
        <f t="shared" si="19"/>
        <v>#REF!</v>
      </c>
      <c r="BZ103" s="65">
        <v>0.0</v>
      </c>
      <c r="CA103" s="65">
        <v>0.0</v>
      </c>
      <c r="CB103" s="66">
        <v>0.0</v>
      </c>
      <c r="CC103" s="67" t="str">
        <f t="shared" si="20"/>
        <v>#REF!</v>
      </c>
      <c r="CD103" s="68" t="str">
        <f>'[1]DATA CONSOLIDADA 2018-2025 '!$CB103-Hoja1!$BW103</f>
        <v>#REF!</v>
      </c>
      <c r="CE103" s="70">
        <v>0.0</v>
      </c>
      <c r="CF103" s="70">
        <v>0.0</v>
      </c>
      <c r="CG103" s="71">
        <v>0.0</v>
      </c>
      <c r="CH103" s="67" t="str">
        <f t="shared" si="21"/>
        <v>#REF!</v>
      </c>
      <c r="CI103" s="68" t="str">
        <f>'[1]DATA CONSOLIDADA 2018-2025 '!$CG103-Hoja1!$CB103</f>
        <v>#REF!</v>
      </c>
      <c r="CJ103" s="64" t="str">
        <f t="shared" si="22"/>
        <v>#REF!</v>
      </c>
      <c r="CK103" s="64">
        <v>0.0</v>
      </c>
      <c r="CL103" s="64">
        <v>0.0</v>
      </c>
      <c r="CM103" s="64">
        <v>0.0</v>
      </c>
      <c r="CN103" s="64" t="str">
        <f t="shared" si="12"/>
        <v>#REF!</v>
      </c>
      <c r="CO103" s="68" t="str">
        <f>'[1]DATA CONSOLIDADA 2018-2025 '!$CM103-Hoja1!$CG103</f>
        <v>#REF!</v>
      </c>
      <c r="CP103" s="70">
        <v>0.0</v>
      </c>
      <c r="CQ103" s="70">
        <v>0.0</v>
      </c>
      <c r="CR103" s="70">
        <v>0.0</v>
      </c>
      <c r="CS103" s="70">
        <v>0.0</v>
      </c>
      <c r="CT103" s="70">
        <v>0.0</v>
      </c>
      <c r="CU103" s="70">
        <v>0.0</v>
      </c>
      <c r="CV103" s="64">
        <v>0.0</v>
      </c>
      <c r="CW103" s="64">
        <v>0.0</v>
      </c>
      <c r="CX103" s="64">
        <v>0.0</v>
      </c>
      <c r="CY103" s="64">
        <v>0.0</v>
      </c>
      <c r="CZ103" s="64">
        <v>0.0</v>
      </c>
      <c r="DA103" s="64">
        <v>0.0</v>
      </c>
      <c r="DB103" s="64">
        <v>0.0</v>
      </c>
      <c r="DC103" s="72">
        <v>0.0</v>
      </c>
      <c r="DD103" s="72">
        <v>0.0</v>
      </c>
      <c r="DE103" s="72">
        <v>0.0</v>
      </c>
      <c r="DF103" s="72">
        <v>0.0</v>
      </c>
      <c r="DG103" s="72">
        <v>0.0</v>
      </c>
      <c r="DH103" s="72">
        <v>0.0</v>
      </c>
      <c r="DI103" s="73">
        <v>2.0605348468E10</v>
      </c>
      <c r="DJ103" s="74" t="s">
        <v>472</v>
      </c>
      <c r="DK103" s="74" t="s">
        <v>138</v>
      </c>
      <c r="DL103" s="75"/>
      <c r="DM103" s="75"/>
      <c r="DN103" s="75"/>
      <c r="DO103" s="75"/>
      <c r="DP103" s="75"/>
      <c r="DQ103" s="75"/>
      <c r="DR103" s="75"/>
      <c r="DS103" s="75"/>
      <c r="DT103" s="75"/>
      <c r="DU103" s="75"/>
      <c r="DV103" s="75"/>
      <c r="DW103" s="75"/>
      <c r="DX103" s="75"/>
      <c r="DY103" s="75"/>
      <c r="DZ103" s="75"/>
      <c r="EA103" s="75"/>
      <c r="EB103" s="75"/>
      <c r="EC103" s="75"/>
      <c r="ED103" s="75"/>
      <c r="EE103" s="75"/>
    </row>
    <row r="104" ht="47.25" hidden="1" customHeight="1">
      <c r="A104" s="55" t="s">
        <v>473</v>
      </c>
      <c r="B104" s="55" t="s">
        <v>217</v>
      </c>
      <c r="C104" s="55" t="s">
        <v>474</v>
      </c>
      <c r="D104" s="55" t="s">
        <v>434</v>
      </c>
      <c r="E104" s="55" t="s">
        <v>475</v>
      </c>
      <c r="F104" s="55" t="s">
        <v>434</v>
      </c>
      <c r="G104" s="55" t="s">
        <v>476</v>
      </c>
      <c r="H104" s="55" t="s">
        <v>477</v>
      </c>
      <c r="I104" s="56">
        <v>1.0</v>
      </c>
      <c r="J104" s="56"/>
      <c r="K104" s="56"/>
      <c r="L104" s="56"/>
      <c r="M104" s="56"/>
      <c r="N104" s="56"/>
      <c r="O104" s="56"/>
      <c r="P104" s="56"/>
      <c r="Q104" s="56" t="s">
        <v>131</v>
      </c>
      <c r="R104" s="58" t="str">
        <f t="shared" si="1"/>
        <v>2018</v>
      </c>
      <c r="S104" s="59" t="str">
        <f>SUM(Hoja1!$I104:$P104)</f>
        <v>1</v>
      </c>
      <c r="T104" s="59" t="str">
        <f>IF(OR(Hoja1!$J104=1,Hoja1!$K104=1,Hoja1!$L104=1,Hoja1!$M104=1,Hoja1!$N104=1,Hoja1!$O104=1,Hoja1!$P104=1),"SI","NO")</f>
        <v>NO</v>
      </c>
      <c r="U104" s="59" t="str">
        <f>IF(OR(Hoja1!$K104=1,Hoja1!$L104=1,Hoja1!$M104=1,Hoja1!$N104=1,Hoja1!$O104=1,Hoja1!$P104=1),"SI","NO")</f>
        <v>NO</v>
      </c>
      <c r="V104" s="60">
        <v>52.0</v>
      </c>
      <c r="W104" s="61">
        <v>0.0</v>
      </c>
      <c r="X104" s="61">
        <v>0.0</v>
      </c>
      <c r="Y104" s="60">
        <v>0.0</v>
      </c>
      <c r="Z104" s="61">
        <v>0.0</v>
      </c>
      <c r="AA104" s="61">
        <v>0.0</v>
      </c>
      <c r="AB104" s="60">
        <v>0.0</v>
      </c>
      <c r="AC104" s="61">
        <v>0.0</v>
      </c>
      <c r="AD104" s="61">
        <v>0.0</v>
      </c>
      <c r="AE104" s="60">
        <v>0.0</v>
      </c>
      <c r="AF104" s="61">
        <v>0.0</v>
      </c>
      <c r="AG104" s="61">
        <v>0.0</v>
      </c>
      <c r="AH104" s="60">
        <v>0.0</v>
      </c>
      <c r="AI104" s="61">
        <v>0.0</v>
      </c>
      <c r="AJ104" s="61">
        <v>0.0</v>
      </c>
      <c r="AK104" s="60">
        <v>0.0</v>
      </c>
      <c r="AL104" s="61">
        <v>0.0</v>
      </c>
      <c r="AM104" s="61">
        <v>0.0</v>
      </c>
      <c r="AN104" s="60">
        <v>0.0</v>
      </c>
      <c r="AO104" s="62">
        <v>0.0</v>
      </c>
      <c r="AP104" s="62">
        <v>0.0</v>
      </c>
      <c r="AQ104" s="60">
        <v>0.0</v>
      </c>
      <c r="AR104" s="60" t="str">
        <f>IF(Hoja1!$AQ104&gt;0,Hoja1!$AQ104,IF(Hoja1!$AN104&gt;0,Hoja1!$AN104,IF(Hoja1!$AK104&gt;0,Hoja1!$AK104,IF(Hoja1!$AH104&gt;0,Hoja1!$AH104,IF(Hoja1!$AE104&gt;0,Hoja1!$AE104,IF(Hoja1!$AB104&gt;0,Hoja1!$AB104,IF(Hoja1!$Y104&gt;0,Hoja1!$Y104,IF(Hoja1!$V104&gt;0,Hoja1!$V104," ---"))))))))</f>
        <v>52</v>
      </c>
      <c r="AS104" s="63">
        <v>0.0</v>
      </c>
      <c r="AT104" s="63">
        <v>0.0</v>
      </c>
      <c r="AU104" s="63">
        <v>0.0</v>
      </c>
      <c r="AV104" s="63">
        <v>0.0</v>
      </c>
      <c r="AW104" s="63">
        <v>0.0</v>
      </c>
      <c r="AX104" s="63">
        <v>0.0</v>
      </c>
      <c r="AY104" s="63">
        <v>0.0</v>
      </c>
      <c r="AZ104" s="63">
        <v>0.0</v>
      </c>
      <c r="BA104" s="63">
        <v>0.0</v>
      </c>
      <c r="BB104" s="63">
        <v>0.0</v>
      </c>
      <c r="BC104" s="63">
        <v>0.0</v>
      </c>
      <c r="BD104" s="63">
        <v>0.0</v>
      </c>
      <c r="BE104" s="64">
        <v>0.0</v>
      </c>
      <c r="BF104" s="69">
        <v>0.0</v>
      </c>
      <c r="BG104" s="69">
        <v>0.0</v>
      </c>
      <c r="BH104" s="64">
        <v>0.0</v>
      </c>
      <c r="BI104" s="67" t="str">
        <f t="shared" si="13"/>
        <v>#REF!</v>
      </c>
      <c r="BJ104" s="68" t="str">
        <f t="shared" si="14"/>
        <v>#REF!</v>
      </c>
      <c r="BK104" s="69">
        <v>0.0</v>
      </c>
      <c r="BL104" s="69">
        <v>0.0</v>
      </c>
      <c r="BM104" s="64">
        <v>0.0</v>
      </c>
      <c r="BN104" s="67" t="str">
        <f t="shared" si="15"/>
        <v>#REF!</v>
      </c>
      <c r="BO104" s="68" t="str">
        <f t="shared" si="16"/>
        <v>#REF!</v>
      </c>
      <c r="BP104" s="65">
        <v>0.0</v>
      </c>
      <c r="BQ104" s="65">
        <v>0.0</v>
      </c>
      <c r="BR104" s="66">
        <v>0.0</v>
      </c>
      <c r="BS104" s="67" t="str">
        <f t="shared" si="17"/>
        <v>#REF!</v>
      </c>
      <c r="BT104" s="68" t="str">
        <f>'[1]DATA CONSOLIDADA 2018-2025 '!$BR104-Hoja1!$BO104</f>
        <v>#REF!</v>
      </c>
      <c r="BU104" s="65">
        <v>0.0</v>
      </c>
      <c r="BV104" s="65">
        <v>0.0</v>
      </c>
      <c r="BW104" s="66">
        <v>0.0</v>
      </c>
      <c r="BX104" s="67" t="str">
        <f t="shared" si="18"/>
        <v>#REF!</v>
      </c>
      <c r="BY104" s="68" t="str">
        <f t="shared" si="19"/>
        <v>#REF!</v>
      </c>
      <c r="BZ104" s="65">
        <v>0.0</v>
      </c>
      <c r="CA104" s="65">
        <v>0.0</v>
      </c>
      <c r="CB104" s="66">
        <v>0.0</v>
      </c>
      <c r="CC104" s="67" t="str">
        <f t="shared" si="20"/>
        <v>#REF!</v>
      </c>
      <c r="CD104" s="68" t="str">
        <f>'[1]DATA CONSOLIDADA 2018-2025 '!$CB104-Hoja1!$BW104</f>
        <v>#REF!</v>
      </c>
      <c r="CE104" s="70">
        <v>0.0</v>
      </c>
      <c r="CF104" s="70">
        <v>0.0</v>
      </c>
      <c r="CG104" s="71">
        <v>0.0</v>
      </c>
      <c r="CH104" s="67" t="str">
        <f t="shared" si="21"/>
        <v>#REF!</v>
      </c>
      <c r="CI104" s="68" t="str">
        <f>'[1]DATA CONSOLIDADA 2018-2025 '!$CG104-Hoja1!$CB104</f>
        <v>#REF!</v>
      </c>
      <c r="CJ104" s="64" t="str">
        <f t="shared" si="22"/>
        <v>#REF!</v>
      </c>
      <c r="CK104" s="64">
        <v>0.0</v>
      </c>
      <c r="CL104" s="64">
        <v>0.0</v>
      </c>
      <c r="CM104" s="64">
        <v>0.0</v>
      </c>
      <c r="CN104" s="64" t="str">
        <f t="shared" si="12"/>
        <v>#REF!</v>
      </c>
      <c r="CO104" s="68" t="str">
        <f>'[1]DATA CONSOLIDADA 2018-2025 '!$CM104-Hoja1!$CG104</f>
        <v>#REF!</v>
      </c>
      <c r="CP104" s="70">
        <v>0.0</v>
      </c>
      <c r="CQ104" s="70">
        <v>0.0</v>
      </c>
      <c r="CR104" s="70">
        <v>0.0</v>
      </c>
      <c r="CS104" s="70">
        <v>0.0</v>
      </c>
      <c r="CT104" s="70">
        <v>0.0</v>
      </c>
      <c r="CU104" s="70">
        <v>0.0</v>
      </c>
      <c r="CV104" s="64">
        <v>0.0</v>
      </c>
      <c r="CW104" s="64">
        <v>0.0</v>
      </c>
      <c r="CX104" s="64">
        <v>0.0</v>
      </c>
      <c r="CY104" s="64">
        <v>0.0</v>
      </c>
      <c r="CZ104" s="64">
        <v>0.0</v>
      </c>
      <c r="DA104" s="64">
        <v>0.0</v>
      </c>
      <c r="DB104" s="64">
        <v>0.0</v>
      </c>
      <c r="DC104" s="72">
        <v>0.0</v>
      </c>
      <c r="DD104" s="72">
        <v>0.0</v>
      </c>
      <c r="DE104" s="72">
        <v>0.0</v>
      </c>
      <c r="DF104" s="72">
        <v>0.0</v>
      </c>
      <c r="DG104" s="72">
        <v>0.0</v>
      </c>
      <c r="DH104" s="72">
        <v>0.0</v>
      </c>
      <c r="DI104" s="73">
        <v>2.0601360145E10</v>
      </c>
      <c r="DJ104" s="74" t="s">
        <v>478</v>
      </c>
      <c r="DK104" s="74" t="s">
        <v>132</v>
      </c>
      <c r="DL104" s="75"/>
      <c r="DM104" s="75"/>
      <c r="DN104" s="75"/>
      <c r="DO104" s="75"/>
      <c r="DP104" s="75"/>
      <c r="DQ104" s="75"/>
      <c r="DR104" s="75"/>
      <c r="DS104" s="75"/>
      <c r="DT104" s="75"/>
      <c r="DU104" s="75"/>
      <c r="DV104" s="75"/>
      <c r="DW104" s="75"/>
      <c r="DX104" s="75"/>
      <c r="DY104" s="75"/>
      <c r="DZ104" s="75"/>
      <c r="EA104" s="75"/>
      <c r="EB104" s="75"/>
      <c r="EC104" s="75"/>
      <c r="ED104" s="75"/>
      <c r="EE104" s="75"/>
    </row>
    <row r="105" ht="47.25" customHeight="1">
      <c r="A105" s="55" t="s">
        <v>479</v>
      </c>
      <c r="B105" s="55" t="s">
        <v>146</v>
      </c>
      <c r="C105" s="55" t="s">
        <v>146</v>
      </c>
      <c r="D105" s="55" t="s">
        <v>434</v>
      </c>
      <c r="E105" s="55" t="s">
        <v>433</v>
      </c>
      <c r="F105" s="55" t="s">
        <v>434</v>
      </c>
      <c r="G105" s="55" t="s">
        <v>435</v>
      </c>
      <c r="H105" s="55" t="s">
        <v>436</v>
      </c>
      <c r="I105" s="56">
        <v>1.0</v>
      </c>
      <c r="J105" s="56">
        <v>1.0</v>
      </c>
      <c r="K105" s="56"/>
      <c r="L105" s="56"/>
      <c r="M105" s="56"/>
      <c r="N105" s="56"/>
      <c r="O105" s="56"/>
      <c r="P105" s="56"/>
      <c r="Q105" s="56" t="s">
        <v>131</v>
      </c>
      <c r="R105" s="58" t="str">
        <f t="shared" si="1"/>
        <v>2018-2019</v>
      </c>
      <c r="S105" s="59" t="str">
        <f>SUM(Hoja1!$I105:$P105)</f>
        <v>2</v>
      </c>
      <c r="T105" s="59" t="str">
        <f>IF(OR(Hoja1!$J105=1,Hoja1!$K105=1,Hoja1!$L105=1,Hoja1!$M105=1,Hoja1!$N105=1,Hoja1!$O105=1,Hoja1!$P105=1),"SI","NO")</f>
        <v>SI</v>
      </c>
      <c r="U105" s="59" t="str">
        <f>IF(OR(Hoja1!$K105=1,Hoja1!$L105=1,Hoja1!$M105=1,Hoja1!$N105=1,Hoja1!$O105=1,Hoja1!$P105=1),"SI","NO")</f>
        <v>NO</v>
      </c>
      <c r="V105" s="60">
        <v>28.0</v>
      </c>
      <c r="W105" s="61">
        <v>22.0</v>
      </c>
      <c r="X105" s="61">
        <v>6.0</v>
      </c>
      <c r="Y105" s="60">
        <v>28.0</v>
      </c>
      <c r="Z105" s="61">
        <v>0.0</v>
      </c>
      <c r="AA105" s="61">
        <v>0.0</v>
      </c>
      <c r="AB105" s="60">
        <v>0.0</v>
      </c>
      <c r="AC105" s="61">
        <v>0.0</v>
      </c>
      <c r="AD105" s="61">
        <v>0.0</v>
      </c>
      <c r="AE105" s="60">
        <v>0.0</v>
      </c>
      <c r="AF105" s="61">
        <v>0.0</v>
      </c>
      <c r="AG105" s="61">
        <v>0.0</v>
      </c>
      <c r="AH105" s="60">
        <v>0.0</v>
      </c>
      <c r="AI105" s="61">
        <v>0.0</v>
      </c>
      <c r="AJ105" s="61">
        <v>0.0</v>
      </c>
      <c r="AK105" s="60">
        <v>0.0</v>
      </c>
      <c r="AL105" s="61">
        <v>0.0</v>
      </c>
      <c r="AM105" s="61">
        <v>0.0</v>
      </c>
      <c r="AN105" s="60">
        <v>0.0</v>
      </c>
      <c r="AO105" s="62">
        <v>0.0</v>
      </c>
      <c r="AP105" s="62">
        <v>0.0</v>
      </c>
      <c r="AQ105" s="60">
        <v>0.0</v>
      </c>
      <c r="AR105" s="60" t="str">
        <f>IF(Hoja1!$AQ105&gt;0,Hoja1!$AQ105,IF(Hoja1!$AN105&gt;0,Hoja1!$AN105,IF(Hoja1!$AK105&gt;0,Hoja1!$AK105,IF(Hoja1!$AH105&gt;0,Hoja1!$AH105,IF(Hoja1!$AE105&gt;0,Hoja1!$AE105,IF(Hoja1!$AB105&gt;0,Hoja1!$AB105,IF(Hoja1!$Y105&gt;0,Hoja1!$Y105,IF(Hoja1!$V105&gt;0,Hoja1!$V105," ---"))))))))</f>
        <v>28</v>
      </c>
      <c r="AS105" s="63">
        <v>0.0</v>
      </c>
      <c r="AT105" s="63">
        <v>0.0</v>
      </c>
      <c r="AU105" s="63">
        <v>0.0</v>
      </c>
      <c r="AV105" s="63">
        <v>0.0</v>
      </c>
      <c r="AW105" s="63">
        <v>0.0</v>
      </c>
      <c r="AX105" s="63">
        <v>0.0</v>
      </c>
      <c r="AY105" s="63">
        <v>0.0</v>
      </c>
      <c r="AZ105" s="63">
        <v>0.0</v>
      </c>
      <c r="BA105" s="63">
        <v>0.0</v>
      </c>
      <c r="BB105" s="63">
        <v>0.0</v>
      </c>
      <c r="BC105" s="63">
        <v>0.0</v>
      </c>
      <c r="BD105" s="63">
        <v>0.0</v>
      </c>
      <c r="BE105" s="64">
        <v>0.0</v>
      </c>
      <c r="BF105" s="65">
        <v>37880.0</v>
      </c>
      <c r="BG105" s="65">
        <v>0.0</v>
      </c>
      <c r="BH105" s="66">
        <v>37880.0</v>
      </c>
      <c r="BI105" s="67" t="str">
        <f t="shared" si="13"/>
        <v>#REF!</v>
      </c>
      <c r="BJ105" s="68" t="str">
        <f t="shared" si="14"/>
        <v>#REF!</v>
      </c>
      <c r="BK105" s="65">
        <v>0.0</v>
      </c>
      <c r="BL105" s="65">
        <v>0.0</v>
      </c>
      <c r="BM105" s="66">
        <v>0.0</v>
      </c>
      <c r="BN105" s="67" t="str">
        <f t="shared" si="15"/>
        <v>#REF!</v>
      </c>
      <c r="BO105" s="68" t="str">
        <f t="shared" si="16"/>
        <v>#REF!</v>
      </c>
      <c r="BP105" s="65">
        <v>0.0</v>
      </c>
      <c r="BQ105" s="65">
        <v>0.0</v>
      </c>
      <c r="BR105" s="66">
        <v>0.0</v>
      </c>
      <c r="BS105" s="67" t="str">
        <f t="shared" si="17"/>
        <v>#REF!</v>
      </c>
      <c r="BT105" s="68" t="str">
        <f>'[1]DATA CONSOLIDADA 2018-2025 '!$BR105-Hoja1!$BO105</f>
        <v>#REF!</v>
      </c>
      <c r="BU105" s="65">
        <v>0.0</v>
      </c>
      <c r="BV105" s="65">
        <v>0.0</v>
      </c>
      <c r="BW105" s="66">
        <v>0.0</v>
      </c>
      <c r="BX105" s="67" t="str">
        <f t="shared" si="18"/>
        <v>#REF!</v>
      </c>
      <c r="BY105" s="68" t="str">
        <f t="shared" si="19"/>
        <v>#REF!</v>
      </c>
      <c r="BZ105" s="65">
        <v>0.0</v>
      </c>
      <c r="CA105" s="65">
        <v>0.0</v>
      </c>
      <c r="CB105" s="66">
        <v>0.0</v>
      </c>
      <c r="CC105" s="67" t="str">
        <f t="shared" si="20"/>
        <v>#REF!</v>
      </c>
      <c r="CD105" s="68" t="str">
        <f>'[1]DATA CONSOLIDADA 2018-2025 '!$CB105-Hoja1!$BW105</f>
        <v>#REF!</v>
      </c>
      <c r="CE105" s="70">
        <v>0.0</v>
      </c>
      <c r="CF105" s="70">
        <v>0.0</v>
      </c>
      <c r="CG105" s="71">
        <v>0.0</v>
      </c>
      <c r="CH105" s="67" t="str">
        <f t="shared" si="21"/>
        <v>#REF!</v>
      </c>
      <c r="CI105" s="68" t="str">
        <f>'[1]DATA CONSOLIDADA 2018-2025 '!$CG105-Hoja1!$CB105</f>
        <v>#REF!</v>
      </c>
      <c r="CJ105" s="64" t="str">
        <f t="shared" si="22"/>
        <v>#REF!</v>
      </c>
      <c r="CK105" s="64">
        <v>0.0</v>
      </c>
      <c r="CL105" s="64">
        <v>0.0</v>
      </c>
      <c r="CM105" s="64">
        <v>0.0</v>
      </c>
      <c r="CN105" s="64" t="str">
        <f t="shared" si="12"/>
        <v>#REF!</v>
      </c>
      <c r="CO105" s="68" t="str">
        <f>'[1]DATA CONSOLIDADA 2018-2025 '!$CM105-Hoja1!$CG105</f>
        <v>#REF!</v>
      </c>
      <c r="CP105" s="70">
        <v>0.0</v>
      </c>
      <c r="CQ105" s="70">
        <v>0.0</v>
      </c>
      <c r="CR105" s="70">
        <v>0.0</v>
      </c>
      <c r="CS105" s="70">
        <v>0.0</v>
      </c>
      <c r="CT105" s="70">
        <v>0.0</v>
      </c>
      <c r="CU105" s="70">
        <v>0.0</v>
      </c>
      <c r="CV105" s="64">
        <v>0.0</v>
      </c>
      <c r="CW105" s="64">
        <v>0.0</v>
      </c>
      <c r="CX105" s="64">
        <v>0.0</v>
      </c>
      <c r="CY105" s="64">
        <v>0.0</v>
      </c>
      <c r="CZ105" s="64">
        <v>0.0</v>
      </c>
      <c r="DA105" s="64">
        <v>0.0</v>
      </c>
      <c r="DB105" s="64">
        <v>0.0</v>
      </c>
      <c r="DC105" s="72">
        <v>0.0</v>
      </c>
      <c r="DD105" s="72">
        <v>0.0</v>
      </c>
      <c r="DE105" s="72">
        <v>0.0</v>
      </c>
      <c r="DF105" s="72">
        <v>0.0</v>
      </c>
      <c r="DG105" s="72">
        <v>0.0</v>
      </c>
      <c r="DH105" s="72">
        <v>0.0</v>
      </c>
      <c r="DI105" s="73">
        <v>2.0574797013E10</v>
      </c>
      <c r="DJ105" s="74" t="s">
        <v>479</v>
      </c>
      <c r="DK105" s="74" t="s">
        <v>138</v>
      </c>
      <c r="DL105" s="75"/>
      <c r="DM105" s="75"/>
      <c r="DN105" s="75"/>
      <c r="DO105" s="75"/>
      <c r="DP105" s="75"/>
      <c r="DQ105" s="75"/>
      <c r="DR105" s="75"/>
      <c r="DS105" s="75"/>
      <c r="DT105" s="75"/>
      <c r="DU105" s="75"/>
      <c r="DV105" s="75"/>
      <c r="DW105" s="75"/>
      <c r="DX105" s="75"/>
      <c r="DY105" s="75"/>
      <c r="DZ105" s="75"/>
      <c r="EA105" s="75"/>
      <c r="EB105" s="75"/>
      <c r="EC105" s="75"/>
      <c r="ED105" s="75"/>
      <c r="EE105" s="75"/>
    </row>
    <row r="106" ht="47.25" customHeight="1">
      <c r="A106" s="55" t="s">
        <v>480</v>
      </c>
      <c r="B106" s="55" t="s">
        <v>146</v>
      </c>
      <c r="C106" s="55" t="s">
        <v>146</v>
      </c>
      <c r="D106" s="55" t="s">
        <v>481</v>
      </c>
      <c r="E106" s="55" t="s">
        <v>482</v>
      </c>
      <c r="F106" s="55" t="s">
        <v>481</v>
      </c>
      <c r="G106" s="55" t="s">
        <v>483</v>
      </c>
      <c r="H106" s="55" t="s">
        <v>484</v>
      </c>
      <c r="I106" s="56">
        <v>1.0</v>
      </c>
      <c r="J106" s="56"/>
      <c r="K106" s="56"/>
      <c r="L106" s="56"/>
      <c r="M106" s="56"/>
      <c r="N106" s="56"/>
      <c r="O106" s="56"/>
      <c r="P106" s="56"/>
      <c r="Q106" s="56" t="s">
        <v>131</v>
      </c>
      <c r="R106" s="58" t="str">
        <f t="shared" si="1"/>
        <v>2018</v>
      </c>
      <c r="S106" s="59" t="str">
        <f>SUM(Hoja1!$I106:$P106)</f>
        <v>1</v>
      </c>
      <c r="T106" s="59" t="str">
        <f>IF(OR(Hoja1!$J106=1,Hoja1!$K106=1,Hoja1!$L106=1,Hoja1!$M106=1,Hoja1!$N106=1,Hoja1!$O106=1,Hoja1!$P106=1),"SI","NO")</f>
        <v>NO</v>
      </c>
      <c r="U106" s="59" t="str">
        <f>IF(OR(Hoja1!$K106=1,Hoja1!$L106=1,Hoja1!$M106=1,Hoja1!$N106=1,Hoja1!$O106=1,Hoja1!$P106=1),"SI","NO")</f>
        <v>NO</v>
      </c>
      <c r="V106" s="60">
        <v>14.0</v>
      </c>
      <c r="W106" s="61">
        <v>0.0</v>
      </c>
      <c r="X106" s="61">
        <v>0.0</v>
      </c>
      <c r="Y106" s="60">
        <v>0.0</v>
      </c>
      <c r="Z106" s="61">
        <v>0.0</v>
      </c>
      <c r="AA106" s="61">
        <v>0.0</v>
      </c>
      <c r="AB106" s="60">
        <v>0.0</v>
      </c>
      <c r="AC106" s="61">
        <v>0.0</v>
      </c>
      <c r="AD106" s="61">
        <v>0.0</v>
      </c>
      <c r="AE106" s="60">
        <v>0.0</v>
      </c>
      <c r="AF106" s="61">
        <v>0.0</v>
      </c>
      <c r="AG106" s="61">
        <v>0.0</v>
      </c>
      <c r="AH106" s="60">
        <v>0.0</v>
      </c>
      <c r="AI106" s="61">
        <v>0.0</v>
      </c>
      <c r="AJ106" s="61">
        <v>0.0</v>
      </c>
      <c r="AK106" s="60">
        <v>0.0</v>
      </c>
      <c r="AL106" s="61">
        <v>0.0</v>
      </c>
      <c r="AM106" s="61">
        <v>0.0</v>
      </c>
      <c r="AN106" s="60">
        <v>0.0</v>
      </c>
      <c r="AO106" s="62">
        <v>0.0</v>
      </c>
      <c r="AP106" s="62">
        <v>0.0</v>
      </c>
      <c r="AQ106" s="60">
        <v>0.0</v>
      </c>
      <c r="AR106" s="60" t="str">
        <f>IF(Hoja1!$AQ106&gt;0,Hoja1!$AQ106,IF(Hoja1!$AN106&gt;0,Hoja1!$AN106,IF(Hoja1!$AK106&gt;0,Hoja1!$AK106,IF(Hoja1!$AH106&gt;0,Hoja1!$AH106,IF(Hoja1!$AE106&gt;0,Hoja1!$AE106,IF(Hoja1!$AB106&gt;0,Hoja1!$AB106,IF(Hoja1!$Y106&gt;0,Hoja1!$Y106,IF(Hoja1!$V106&gt;0,Hoja1!$V106," ---"))))))))</f>
        <v>14</v>
      </c>
      <c r="AS106" s="63">
        <v>0.0</v>
      </c>
      <c r="AT106" s="63">
        <v>0.0</v>
      </c>
      <c r="AU106" s="63">
        <v>0.0</v>
      </c>
      <c r="AV106" s="63">
        <v>0.0</v>
      </c>
      <c r="AW106" s="63">
        <v>0.0</v>
      </c>
      <c r="AX106" s="63">
        <v>0.0</v>
      </c>
      <c r="AY106" s="63">
        <v>0.0</v>
      </c>
      <c r="AZ106" s="63">
        <v>0.0</v>
      </c>
      <c r="BA106" s="63">
        <v>0.0</v>
      </c>
      <c r="BB106" s="63">
        <v>0.0</v>
      </c>
      <c r="BC106" s="63">
        <v>0.0</v>
      </c>
      <c r="BD106" s="63">
        <v>0.0</v>
      </c>
      <c r="BE106" s="64">
        <v>0.0</v>
      </c>
      <c r="BF106" s="65">
        <v>0.0</v>
      </c>
      <c r="BG106" s="65">
        <v>0.0</v>
      </c>
      <c r="BH106" s="66">
        <v>0.0</v>
      </c>
      <c r="BI106" s="67" t="str">
        <f>IF('[1]DATA CONSOLIDADA 2018-2025 '!$BH166&gt;'[1]DATA CONSOLIDADA 2018-2025 '!$AN166,"Incremento",IF('[1]DATA CONSOLIDADA 2018-2025 '!$AN166='[1]DATA CONSOLIDADA 2018-2025 '!$BH166,"Sin incremento",IF('[1]DATA CONSOLIDADA 2018-2025 '!$BH166&lt;'[1]DATA CONSOLIDADA 2018-2025 '!$AN166,"Disminución"," ---")))</f>
        <v>#REF!</v>
      </c>
      <c r="BJ106" s="68" t="str">
        <f>'[1]DATA CONSOLIDADA 2018-2025 '!$BH166-'[1]DATA CONSOLIDADA 2018-2025 '!$BE166</f>
        <v>#REF!</v>
      </c>
      <c r="BK106" s="65">
        <v>0.0</v>
      </c>
      <c r="BL106" s="65">
        <v>0.0</v>
      </c>
      <c r="BM106" s="66">
        <v>0.0</v>
      </c>
      <c r="BN106" s="67" t="str">
        <f>IF('[1]DATA CONSOLIDADA 2018-2025 '!$BM166&gt;'[1]DATA CONSOLIDADA 2018-2025 '!$BH166,"Incremento",IF('[1]DATA CONSOLIDADA 2018-2025 '!$BH166='[1]DATA CONSOLIDADA 2018-2025 '!$BM166,"Sin incremento",IF('[1]DATA CONSOLIDADA 2018-2025 '!$BM166&lt;'[1]DATA CONSOLIDADA 2018-2025 '!$BH166,"Disminución"," ---")))</f>
        <v>#REF!</v>
      </c>
      <c r="BO106" s="68" t="str">
        <f>'[1]DATA CONSOLIDADA 2018-2025 '!$BM166-'[1]DATA CONSOLIDADA 2018-2025 '!$BH166</f>
        <v>#REF!</v>
      </c>
      <c r="BP106" s="65">
        <v>0.0</v>
      </c>
      <c r="BQ106" s="65">
        <v>0.0</v>
      </c>
      <c r="BR106" s="66">
        <v>0.0</v>
      </c>
      <c r="BS106" s="67" t="str">
        <f>IF('[1]DATA CONSOLIDADA 2018-2025 '!$BR166&gt;'[1]DATA CONSOLIDADA 2018-2025 '!$BM166,"Incremento",IF('[1]DATA CONSOLIDADA 2018-2025 '!$BM166='[1]DATA CONSOLIDADA 2018-2025 '!$BR166,"Sin incremento",IF('[1]DATA CONSOLIDADA 2018-2025 '!$BR166&lt;'[1]DATA CONSOLIDADA 2018-2025 '!$BM166,"Disminución"," ---")))</f>
        <v>#REF!</v>
      </c>
      <c r="BT106" s="68" t="str">
        <f>'[1]DATA CONSOLIDADA 2018-2025 '!$BR106-Hoja1!$BO106</f>
        <v>#REF!</v>
      </c>
      <c r="BU106" s="65">
        <v>0.0</v>
      </c>
      <c r="BV106" s="65">
        <v>0.0</v>
      </c>
      <c r="BW106" s="66">
        <v>0.0</v>
      </c>
      <c r="BX106" s="67" t="str">
        <f>IF('[1]DATA CONSOLIDADA 2018-2025 '!$BW166&gt;'[1]DATA CONSOLIDADA 2018-2025 '!$BR166,"Incremento",IF('[1]DATA CONSOLIDADA 2018-2025 '!$BR166='[1]DATA CONSOLIDADA 2018-2025 '!$BW166,"Sin incremento",IF('[1]DATA CONSOLIDADA 2018-2025 '!$BW166&lt;'[1]DATA CONSOLIDADA 2018-2025 '!$BR166,"Disminución"," ---")))</f>
        <v>#REF!</v>
      </c>
      <c r="BY106" s="68" t="str">
        <f>'[1]DATA CONSOLIDADA 2018-2025 '!$BW166-'[1]DATA CONSOLIDADA 2018-2025 '!$BR166</f>
        <v>#REF!</v>
      </c>
      <c r="BZ106" s="65">
        <v>0.0</v>
      </c>
      <c r="CA106" s="65">
        <v>0.0</v>
      </c>
      <c r="CB106" s="66">
        <v>0.0</v>
      </c>
      <c r="CC106" s="67" t="str">
        <f>IF('[1]DATA CONSOLIDADA 2018-2025 '!$CB166&gt;'[1]DATA CONSOLIDADA 2018-2025 '!$BW166,"Incremento",IF('[1]DATA CONSOLIDADA 2018-2025 '!$BW166='[1]DATA CONSOLIDADA 2018-2025 '!$CB166,"Sin incremento",IF('[1]DATA CONSOLIDADA 2018-2025 '!$CB166&lt;'[1]DATA CONSOLIDADA 2018-2025 '!$BW166,"Disminución"," ---")))</f>
        <v>#REF!</v>
      </c>
      <c r="CD106" s="68" t="str">
        <f>'[1]DATA CONSOLIDADA 2018-2025 '!$CB106-Hoja1!$BW106</f>
        <v>#REF!</v>
      </c>
      <c r="CE106" s="70">
        <v>0.0</v>
      </c>
      <c r="CF106" s="70">
        <v>0.0</v>
      </c>
      <c r="CG106" s="71">
        <v>0.0</v>
      </c>
      <c r="CH106" s="67" t="str">
        <f>IF('[1]DATA CONSOLIDADA 2018-2025 '!$CG166&gt;'[1]DATA CONSOLIDADA 2018-2025 '!$CB166,"Incremento",IF('[1]DATA CONSOLIDADA 2018-2025 '!$CB166='[1]DATA CONSOLIDADA 2018-2025 '!$CG166,"Sin incremento",IF('[1]DATA CONSOLIDADA 2018-2025 '!$CG166&lt;'[1]DATA CONSOLIDADA 2018-2025 '!$CB166,"Disminución"," ---")))</f>
        <v>#REF!</v>
      </c>
      <c r="CI106" s="68" t="str">
        <f>'[1]DATA CONSOLIDADA 2018-2025 '!$CG106-Hoja1!$CB106</f>
        <v>#REF!</v>
      </c>
      <c r="CJ106" s="64" t="str">
        <f t="shared" si="22"/>
        <v>#REF!</v>
      </c>
      <c r="CK106" s="64">
        <v>0.0</v>
      </c>
      <c r="CL106" s="64">
        <v>0.0</v>
      </c>
      <c r="CM106" s="64">
        <v>0.0</v>
      </c>
      <c r="CN106" s="64" t="str">
        <f t="shared" si="12"/>
        <v>#REF!</v>
      </c>
      <c r="CO106" s="68" t="str">
        <f>'[1]DATA CONSOLIDADA 2018-2025 '!$CM106-Hoja1!$CG106</f>
        <v>#REF!</v>
      </c>
      <c r="CP106" s="70">
        <v>0.0</v>
      </c>
      <c r="CQ106" s="70">
        <v>0.0</v>
      </c>
      <c r="CR106" s="70">
        <v>0.0</v>
      </c>
      <c r="CS106" s="70">
        <v>0.0</v>
      </c>
      <c r="CT106" s="70">
        <v>0.0</v>
      </c>
      <c r="CU106" s="70">
        <v>0.0</v>
      </c>
      <c r="CV106" s="64">
        <v>0.0</v>
      </c>
      <c r="CW106" s="64">
        <v>0.0</v>
      </c>
      <c r="CX106" s="64">
        <v>0.0</v>
      </c>
      <c r="CY106" s="64">
        <v>0.0</v>
      </c>
      <c r="CZ106" s="64">
        <v>0.0</v>
      </c>
      <c r="DA106" s="64">
        <v>0.0</v>
      </c>
      <c r="DB106" s="64">
        <v>0.0</v>
      </c>
      <c r="DC106" s="72">
        <v>0.0</v>
      </c>
      <c r="DD106" s="72">
        <v>0.0</v>
      </c>
      <c r="DE106" s="72">
        <v>0.0</v>
      </c>
      <c r="DF106" s="72">
        <v>0.0</v>
      </c>
      <c r="DG106" s="72">
        <v>0.0</v>
      </c>
      <c r="DH106" s="72">
        <v>0.0</v>
      </c>
      <c r="DI106" s="73">
        <v>2.0568609833E10</v>
      </c>
      <c r="DJ106" s="74" t="s">
        <v>485</v>
      </c>
      <c r="DK106" s="74" t="s">
        <v>138</v>
      </c>
      <c r="DL106" s="75"/>
      <c r="DM106" s="75"/>
      <c r="DN106" s="75"/>
      <c r="DO106" s="75"/>
      <c r="DP106" s="75"/>
      <c r="DQ106" s="75"/>
      <c r="DR106" s="75"/>
      <c r="DS106" s="75"/>
      <c r="DT106" s="75"/>
      <c r="DU106" s="75"/>
      <c r="DV106" s="75"/>
      <c r="DW106" s="75"/>
      <c r="DX106" s="75"/>
      <c r="DY106" s="75"/>
      <c r="DZ106" s="75"/>
      <c r="EA106" s="75"/>
      <c r="EB106" s="75"/>
      <c r="EC106" s="75"/>
      <c r="ED106" s="75"/>
      <c r="EE106" s="75"/>
    </row>
    <row r="107" ht="47.25" customHeight="1">
      <c r="A107" s="55" t="s">
        <v>486</v>
      </c>
      <c r="B107" s="55" t="s">
        <v>146</v>
      </c>
      <c r="C107" s="55" t="s">
        <v>146</v>
      </c>
      <c r="D107" s="55" t="s">
        <v>434</v>
      </c>
      <c r="E107" s="55" t="s">
        <v>487</v>
      </c>
      <c r="F107" s="55" t="s">
        <v>434</v>
      </c>
      <c r="G107" s="55" t="s">
        <v>435</v>
      </c>
      <c r="H107" s="55" t="s">
        <v>488</v>
      </c>
      <c r="I107" s="56"/>
      <c r="J107" s="56"/>
      <c r="K107" s="56"/>
      <c r="L107" s="56"/>
      <c r="M107" s="56"/>
      <c r="N107" s="56"/>
      <c r="O107" s="56">
        <v>1.0</v>
      </c>
      <c r="P107" s="56">
        <v>1.0</v>
      </c>
      <c r="Q107" s="56" t="s">
        <v>131</v>
      </c>
      <c r="R107" s="58" t="str">
        <f t="shared" si="1"/>
        <v>2024 - 2025</v>
      </c>
      <c r="S107" s="59" t="str">
        <f>SUM(Hoja1!$I107:$P107)</f>
        <v>2</v>
      </c>
      <c r="T107" s="59" t="str">
        <f>IF(OR(Hoja1!$J107=1,Hoja1!$K107=1,Hoja1!$L107=1,Hoja1!$M107=1,Hoja1!$N107=1,Hoja1!$O107=1,Hoja1!$P107=1),"SI","NO")</f>
        <v>SI</v>
      </c>
      <c r="U107" s="59" t="str">
        <f>IF(OR(Hoja1!$K107=1,Hoja1!$L107=1,Hoja1!$M107=1,Hoja1!$N107=1,Hoja1!$O107=1,Hoja1!$P107=1),"SI","NO")</f>
        <v>SI</v>
      </c>
      <c r="V107" s="60">
        <v>0.0</v>
      </c>
      <c r="W107" s="61">
        <v>0.0</v>
      </c>
      <c r="X107" s="61">
        <v>0.0</v>
      </c>
      <c r="Y107" s="60">
        <v>0.0</v>
      </c>
      <c r="Z107" s="61">
        <v>0.0</v>
      </c>
      <c r="AA107" s="61">
        <v>0.0</v>
      </c>
      <c r="AB107" s="60">
        <v>0.0</v>
      </c>
      <c r="AC107" s="61">
        <v>0.0</v>
      </c>
      <c r="AD107" s="61">
        <v>0.0</v>
      </c>
      <c r="AE107" s="60">
        <v>0.0</v>
      </c>
      <c r="AF107" s="61">
        <v>0.0</v>
      </c>
      <c r="AG107" s="61">
        <v>0.0</v>
      </c>
      <c r="AH107" s="60">
        <v>0.0</v>
      </c>
      <c r="AI107" s="61">
        <v>0.0</v>
      </c>
      <c r="AJ107" s="61">
        <v>0.0</v>
      </c>
      <c r="AK107" s="60">
        <v>0.0</v>
      </c>
      <c r="AL107" s="61">
        <v>3.0</v>
      </c>
      <c r="AM107" s="61">
        <v>4.0</v>
      </c>
      <c r="AN107" s="60">
        <v>7.0</v>
      </c>
      <c r="AO107" s="62">
        <v>5.0</v>
      </c>
      <c r="AP107" s="62">
        <v>5.0</v>
      </c>
      <c r="AQ107" s="60">
        <v>10.0</v>
      </c>
      <c r="AR107" s="60" t="str">
        <f>IF(Hoja1!$AQ107&gt;0,Hoja1!$AQ107,IF(Hoja1!$AN107&gt;0,Hoja1!$AN107,IF(Hoja1!$AK107&gt;0,Hoja1!$AK107,IF(Hoja1!$AH107&gt;0,Hoja1!$AH107,IF(Hoja1!$AE107&gt;0,Hoja1!$AE107,IF(Hoja1!$AB107&gt;0,Hoja1!$AB107,IF(Hoja1!$Y107&gt;0,Hoja1!$Y107,IF(Hoja1!$V107&gt;0,Hoja1!$V107," ---"))))))))</f>
        <v>10</v>
      </c>
      <c r="AS107" s="63">
        <v>0.0</v>
      </c>
      <c r="AT107" s="63">
        <v>0.0</v>
      </c>
      <c r="AU107" s="63">
        <v>0.0</v>
      </c>
      <c r="AV107" s="63">
        <v>0.0</v>
      </c>
      <c r="AW107" s="63">
        <v>0.0</v>
      </c>
      <c r="AX107" s="63">
        <v>0.0</v>
      </c>
      <c r="AY107" s="63">
        <v>0.0</v>
      </c>
      <c r="AZ107" s="63">
        <v>0.0</v>
      </c>
      <c r="BA107" s="63">
        <v>30.0</v>
      </c>
      <c r="BB107" s="63">
        <v>7.0</v>
      </c>
      <c r="BC107" s="63">
        <v>19.0</v>
      </c>
      <c r="BD107" s="63">
        <v>4.0</v>
      </c>
      <c r="BE107" s="64">
        <v>0.0</v>
      </c>
      <c r="BF107" s="69">
        <v>0.0</v>
      </c>
      <c r="BG107" s="69">
        <v>0.0</v>
      </c>
      <c r="BH107" s="64">
        <v>0.0</v>
      </c>
      <c r="BI107" s="67" t="str">
        <f>IF('[1]DATA CONSOLIDADA 2018-2025 '!$BH434&gt;'[1]DATA CONSOLIDADA 2018-2025 '!$AN434,"Incremento",IF('[1]DATA CONSOLIDADA 2018-2025 '!$AN434='[1]DATA CONSOLIDADA 2018-2025 '!$BH434,"Sin incremento",IF('[1]DATA CONSOLIDADA 2018-2025 '!$BH434&lt;'[1]DATA CONSOLIDADA 2018-2025 '!$AN434,"Disminución"," ---")))</f>
        <v>#REF!</v>
      </c>
      <c r="BJ107" s="68" t="str">
        <f>'[1]DATA CONSOLIDADA 2018-2025 '!$BH434-'[1]DATA CONSOLIDADA 2018-2025 '!$BE434</f>
        <v>#REF!</v>
      </c>
      <c r="BK107" s="69">
        <v>0.0</v>
      </c>
      <c r="BL107" s="69">
        <v>0.0</v>
      </c>
      <c r="BM107" s="64">
        <v>0.0</v>
      </c>
      <c r="BN107" s="67" t="str">
        <f>IF('[1]DATA CONSOLIDADA 2018-2025 '!$BM434&gt;'[1]DATA CONSOLIDADA 2018-2025 '!$BH434,"Incremento",IF('[1]DATA CONSOLIDADA 2018-2025 '!$BH434='[1]DATA CONSOLIDADA 2018-2025 '!$BM434,"Sin incremento",IF('[1]DATA CONSOLIDADA 2018-2025 '!$BM434&lt;'[1]DATA CONSOLIDADA 2018-2025 '!$BH434,"Disminución"," ---")))</f>
        <v>#REF!</v>
      </c>
      <c r="BO107" s="68" t="str">
        <f>'[1]DATA CONSOLIDADA 2018-2025 '!$BM434-'[1]DATA CONSOLIDADA 2018-2025 '!$BH434</f>
        <v>#REF!</v>
      </c>
      <c r="BP107" s="65">
        <v>0.0</v>
      </c>
      <c r="BQ107" s="65">
        <v>0.0</v>
      </c>
      <c r="BR107" s="66">
        <v>0.0</v>
      </c>
      <c r="BS107" s="67" t="str">
        <f>IF('[1]DATA CONSOLIDADA 2018-2025 '!$BR434&gt;'[1]DATA CONSOLIDADA 2018-2025 '!$BM434,"Incremento",IF('[1]DATA CONSOLIDADA 2018-2025 '!$BM434='[1]DATA CONSOLIDADA 2018-2025 '!$BR434,"Sin incremento",IF('[1]DATA CONSOLIDADA 2018-2025 '!$BR434&lt;'[1]DATA CONSOLIDADA 2018-2025 '!$BM434,"Disminución"," ---")))</f>
        <v>#REF!</v>
      </c>
      <c r="BT107" s="68" t="str">
        <f>'[1]DATA CONSOLIDADA 2018-2025 '!$BR107-Hoja1!$BO107</f>
        <v>#REF!</v>
      </c>
      <c r="BU107" s="69">
        <v>0.0</v>
      </c>
      <c r="BV107" s="65">
        <v>0.0</v>
      </c>
      <c r="BW107" s="66">
        <v>0.0</v>
      </c>
      <c r="BX107" s="67" t="str">
        <f>IF('[1]DATA CONSOLIDADA 2018-2025 '!$BW434&gt;'[1]DATA CONSOLIDADA 2018-2025 '!$BR434,"Incremento",IF('[1]DATA CONSOLIDADA 2018-2025 '!$BR434='[1]DATA CONSOLIDADA 2018-2025 '!$BW434,"Sin incremento",IF('[1]DATA CONSOLIDADA 2018-2025 '!$BW434&lt;'[1]DATA CONSOLIDADA 2018-2025 '!$BR434,"Disminución"," ---")))</f>
        <v>#REF!</v>
      </c>
      <c r="BY107" s="68" t="str">
        <f>'[1]DATA CONSOLIDADA 2018-2025 '!$BW434-'[1]DATA CONSOLIDADA 2018-2025 '!$BR434</f>
        <v>#REF!</v>
      </c>
      <c r="BZ107" s="65">
        <v>0.0</v>
      </c>
      <c r="CA107" s="65">
        <v>0.0</v>
      </c>
      <c r="CB107" s="66">
        <v>0.0</v>
      </c>
      <c r="CC107" s="67" t="str">
        <f>IF('[1]DATA CONSOLIDADA 2018-2025 '!$CB434&gt;'[1]DATA CONSOLIDADA 2018-2025 '!$BW434,"Incremento",IF('[1]DATA CONSOLIDADA 2018-2025 '!$BW434='[1]DATA CONSOLIDADA 2018-2025 '!$CB434,"Sin incremento",IF('[1]DATA CONSOLIDADA 2018-2025 '!$CB434&lt;'[1]DATA CONSOLIDADA 2018-2025 '!$BW434,"Disminución"," ---")))</f>
        <v>#REF!</v>
      </c>
      <c r="CD107" s="68" t="str">
        <f>'[1]DATA CONSOLIDADA 2018-2025 '!$CB107-Hoja1!$BW107</f>
        <v>#REF!</v>
      </c>
      <c r="CE107" s="70">
        <v>170527.2786289</v>
      </c>
      <c r="CF107" s="70">
        <v>0.0</v>
      </c>
      <c r="CG107" s="71">
        <v>170527.2786289</v>
      </c>
      <c r="CH107" s="67" t="str">
        <f>IF('[1]DATA CONSOLIDADA 2018-2025 '!$CG434&gt;'[1]DATA CONSOLIDADA 2018-2025 '!$CB434,"Incremento",IF('[1]DATA CONSOLIDADA 2018-2025 '!$CB434='[1]DATA CONSOLIDADA 2018-2025 '!$CG434,"Sin incremento",IF('[1]DATA CONSOLIDADA 2018-2025 '!$CG434&lt;'[1]DATA CONSOLIDADA 2018-2025 '!$CB434,"Disminución"," ---")))</f>
        <v>#REF!</v>
      </c>
      <c r="CI107" s="68" t="str">
        <f>'[1]DATA CONSOLIDADA 2018-2025 '!$CG107-Hoja1!$CB107</f>
        <v>#REF!</v>
      </c>
      <c r="CJ107" s="64" t="str">
        <f t="shared" si="22"/>
        <v>#REF!</v>
      </c>
      <c r="CK107" s="64">
        <v>340750.0</v>
      </c>
      <c r="CL107" s="64">
        <v>0.0</v>
      </c>
      <c r="CM107" s="64">
        <v>340750.0</v>
      </c>
      <c r="CN107" s="64" t="str">
        <f t="shared" si="12"/>
        <v>#REF!</v>
      </c>
      <c r="CO107" s="68" t="str">
        <f>'[1]DATA CONSOLIDADA 2018-2025 '!$CM107-Hoja1!$CG107</f>
        <v>#REF!</v>
      </c>
      <c r="CP107" s="70">
        <v>0.0</v>
      </c>
      <c r="CQ107" s="70">
        <v>0.0</v>
      </c>
      <c r="CR107" s="70">
        <v>0.0</v>
      </c>
      <c r="CS107" s="70">
        <v>0.0</v>
      </c>
      <c r="CT107" s="70">
        <v>0.0</v>
      </c>
      <c r="CU107" s="70">
        <v>0.0</v>
      </c>
      <c r="CV107" s="64">
        <v>0.0</v>
      </c>
      <c r="CW107" s="64">
        <v>0.0</v>
      </c>
      <c r="CX107" s="64">
        <v>0.0</v>
      </c>
      <c r="CY107" s="64">
        <v>90000.0</v>
      </c>
      <c r="CZ107" s="64">
        <v>0.0</v>
      </c>
      <c r="DA107" s="64">
        <v>80527.2786289</v>
      </c>
      <c r="DB107" s="64">
        <v>170527.2786289</v>
      </c>
      <c r="DC107" s="72">
        <v>0.0</v>
      </c>
      <c r="DD107" s="72">
        <v>0.0</v>
      </c>
      <c r="DE107" s="72">
        <v>340750.0</v>
      </c>
      <c r="DF107" s="72">
        <v>0.0</v>
      </c>
      <c r="DG107" s="72">
        <v>0.0</v>
      </c>
      <c r="DH107" s="72">
        <v>340750.0</v>
      </c>
      <c r="DI107" s="73">
        <v>2.0602881971E10</v>
      </c>
      <c r="DJ107" s="74" t="s">
        <v>489</v>
      </c>
      <c r="DK107" s="74" t="s">
        <v>138</v>
      </c>
      <c r="DL107" s="75"/>
      <c r="DM107" s="75"/>
      <c r="DN107" s="75"/>
      <c r="DO107" s="75"/>
      <c r="DP107" s="75"/>
      <c r="DQ107" s="75"/>
      <c r="DR107" s="75"/>
      <c r="DS107" s="75"/>
      <c r="DT107" s="75"/>
      <c r="DU107" s="75"/>
      <c r="DV107" s="75"/>
      <c r="DW107" s="75"/>
      <c r="DX107" s="75"/>
      <c r="DY107" s="75"/>
      <c r="DZ107" s="75"/>
      <c r="EA107" s="75"/>
      <c r="EB107" s="75"/>
      <c r="EC107" s="75"/>
      <c r="ED107" s="75"/>
      <c r="EE107" s="75"/>
    </row>
    <row r="108" ht="47.25" hidden="1" customHeight="1">
      <c r="A108" s="55" t="s">
        <v>490</v>
      </c>
      <c r="B108" s="55" t="s">
        <v>491</v>
      </c>
      <c r="C108" s="55" t="s">
        <v>491</v>
      </c>
      <c r="D108" s="55" t="s">
        <v>434</v>
      </c>
      <c r="E108" s="55" t="s">
        <v>433</v>
      </c>
      <c r="F108" s="55" t="s">
        <v>434</v>
      </c>
      <c r="G108" s="55" t="s">
        <v>435</v>
      </c>
      <c r="H108" s="55" t="s">
        <v>436</v>
      </c>
      <c r="I108" s="56"/>
      <c r="J108" s="56">
        <v>1.0</v>
      </c>
      <c r="K108" s="56"/>
      <c r="L108" s="56"/>
      <c r="M108" s="56"/>
      <c r="N108" s="56"/>
      <c r="O108" s="56"/>
      <c r="P108" s="56"/>
      <c r="Q108" s="56" t="s">
        <v>131</v>
      </c>
      <c r="R108" s="58" t="str">
        <f t="shared" si="1"/>
        <v>2019</v>
      </c>
      <c r="S108" s="59" t="str">
        <f>SUM(Hoja1!$I108:$P108)</f>
        <v>1</v>
      </c>
      <c r="T108" s="59" t="str">
        <f>IF(OR(Hoja1!$J108=1,Hoja1!$K108=1,Hoja1!$L108=1,Hoja1!$M108=1,Hoja1!$N108=1,Hoja1!$O108=1,Hoja1!$P108=1),"SI","NO")</f>
        <v>SI</v>
      </c>
      <c r="U108" s="59" t="str">
        <f>IF(OR(Hoja1!$K108=1,Hoja1!$L108=1,Hoja1!$M108=1,Hoja1!$N108=1,Hoja1!$O108=1,Hoja1!$P108=1),"SI","NO")</f>
        <v>NO</v>
      </c>
      <c r="V108" s="60">
        <v>0.0</v>
      </c>
      <c r="W108" s="61">
        <v>0.0</v>
      </c>
      <c r="X108" s="61">
        <v>0.0</v>
      </c>
      <c r="Y108" s="60">
        <v>0.0</v>
      </c>
      <c r="Z108" s="61">
        <v>0.0</v>
      </c>
      <c r="AA108" s="61">
        <v>0.0</v>
      </c>
      <c r="AB108" s="60">
        <v>0.0</v>
      </c>
      <c r="AC108" s="61">
        <v>0.0</v>
      </c>
      <c r="AD108" s="61">
        <v>0.0</v>
      </c>
      <c r="AE108" s="60">
        <v>0.0</v>
      </c>
      <c r="AF108" s="61">
        <v>0.0</v>
      </c>
      <c r="AG108" s="61">
        <v>0.0</v>
      </c>
      <c r="AH108" s="60">
        <v>0.0</v>
      </c>
      <c r="AI108" s="61">
        <v>0.0</v>
      </c>
      <c r="AJ108" s="61">
        <v>0.0</v>
      </c>
      <c r="AK108" s="60">
        <v>0.0</v>
      </c>
      <c r="AL108" s="61">
        <v>0.0</v>
      </c>
      <c r="AM108" s="61">
        <v>0.0</v>
      </c>
      <c r="AN108" s="60">
        <v>0.0</v>
      </c>
      <c r="AO108" s="62">
        <v>0.0</v>
      </c>
      <c r="AP108" s="62">
        <v>0.0</v>
      </c>
      <c r="AQ108" s="60">
        <v>0.0</v>
      </c>
      <c r="AR108" s="60" t="str">
        <f>IF(Hoja1!$AQ108&gt;0,Hoja1!$AQ108,IF(Hoja1!$AN108&gt;0,Hoja1!$AN108,IF(Hoja1!$AK108&gt;0,Hoja1!$AK108,IF(Hoja1!$AH108&gt;0,Hoja1!$AH108,IF(Hoja1!$AE108&gt;0,Hoja1!$AE108,IF(Hoja1!$AB108&gt;0,Hoja1!$AB108,IF(Hoja1!$Y108&gt;0,Hoja1!$Y108,IF(Hoja1!$V108&gt;0,Hoja1!$V108," ---"))))))))</f>
        <v> ---</v>
      </c>
      <c r="AS108" s="63">
        <v>0.0</v>
      </c>
      <c r="AT108" s="63">
        <v>0.0</v>
      </c>
      <c r="AU108" s="63">
        <v>0.0</v>
      </c>
      <c r="AV108" s="63">
        <v>0.0</v>
      </c>
      <c r="AW108" s="63">
        <v>0.0</v>
      </c>
      <c r="AX108" s="63">
        <v>0.0</v>
      </c>
      <c r="AY108" s="63">
        <v>0.0</v>
      </c>
      <c r="AZ108" s="63">
        <v>0.0</v>
      </c>
      <c r="BA108" s="63">
        <v>0.0</v>
      </c>
      <c r="BB108" s="63">
        <v>0.0</v>
      </c>
      <c r="BC108" s="63">
        <v>0.0</v>
      </c>
      <c r="BD108" s="63">
        <v>0.0</v>
      </c>
      <c r="BE108" s="66">
        <v>0.0</v>
      </c>
      <c r="BF108" s="65">
        <v>0.0</v>
      </c>
      <c r="BG108" s="65">
        <v>0.0</v>
      </c>
      <c r="BH108" s="66">
        <v>0.0</v>
      </c>
      <c r="BI108" s="67" t="str">
        <f t="shared" ref="BI108:BI146" si="23">IF('[1]DATA CONSOLIDADA 2018-2025 '!$BH108&gt;'[1]DATA CONSOLIDADA 2018-2025 '!$AN108,"Incremento",IF('[1]DATA CONSOLIDADA 2018-2025 '!$AN108='[1]DATA CONSOLIDADA 2018-2025 '!$BH108,"Sin incremento",IF('[1]DATA CONSOLIDADA 2018-2025 '!$BH108&lt;'[1]DATA CONSOLIDADA 2018-2025 '!$AN108,"Disminución"," ---")))</f>
        <v>#REF!</v>
      </c>
      <c r="BJ108" s="68" t="str">
        <f t="shared" ref="BJ108:BJ146" si="24">'[1]DATA CONSOLIDADA 2018-2025 '!$BH108-'[1]DATA CONSOLIDADA 2018-2025 '!$BE108</f>
        <v>#REF!</v>
      </c>
      <c r="BK108" s="65">
        <v>0.0</v>
      </c>
      <c r="BL108" s="65">
        <v>0.0</v>
      </c>
      <c r="BM108" s="66">
        <v>0.0</v>
      </c>
      <c r="BN108" s="67" t="str">
        <f t="shared" ref="BN108:BN146" si="25">IF('[1]DATA CONSOLIDADA 2018-2025 '!$BM108&gt;'[1]DATA CONSOLIDADA 2018-2025 '!$BH108,"Incremento",IF('[1]DATA CONSOLIDADA 2018-2025 '!$BH108='[1]DATA CONSOLIDADA 2018-2025 '!$BM108,"Sin incremento",IF('[1]DATA CONSOLIDADA 2018-2025 '!$BM108&lt;'[1]DATA CONSOLIDADA 2018-2025 '!$BH108,"Disminución"," ---")))</f>
        <v>#REF!</v>
      </c>
      <c r="BO108" s="68" t="str">
        <f t="shared" ref="BO108:BO146" si="26">'[1]DATA CONSOLIDADA 2018-2025 '!$BM108-'[1]DATA CONSOLIDADA 2018-2025 '!$BH108</f>
        <v>#REF!</v>
      </c>
      <c r="BP108" s="65">
        <v>0.0</v>
      </c>
      <c r="BQ108" s="65">
        <v>0.0</v>
      </c>
      <c r="BR108" s="66">
        <v>0.0</v>
      </c>
      <c r="BS108" s="67" t="str">
        <f t="shared" ref="BS108:BS146" si="27">IF('[1]DATA CONSOLIDADA 2018-2025 '!$BR108&gt;'[1]DATA CONSOLIDADA 2018-2025 '!$BM108,"Incremento",IF('[1]DATA CONSOLIDADA 2018-2025 '!$BM108='[1]DATA CONSOLIDADA 2018-2025 '!$BR108,"Sin incremento",IF('[1]DATA CONSOLIDADA 2018-2025 '!$BR108&lt;'[1]DATA CONSOLIDADA 2018-2025 '!$BM108,"Disminución"," ---")))</f>
        <v>#REF!</v>
      </c>
      <c r="BT108" s="68" t="str">
        <f>'[1]DATA CONSOLIDADA 2018-2025 '!$BR108-Hoja1!$BO108</f>
        <v>#REF!</v>
      </c>
      <c r="BU108" s="65">
        <v>0.0</v>
      </c>
      <c r="BV108" s="65">
        <v>0.0</v>
      </c>
      <c r="BW108" s="66">
        <v>0.0</v>
      </c>
      <c r="BX108" s="67" t="str">
        <f t="shared" ref="BX108:BX146" si="28">IF('[1]DATA CONSOLIDADA 2018-2025 '!$BW108&gt;'[1]DATA CONSOLIDADA 2018-2025 '!$BR108,"Incremento",IF('[1]DATA CONSOLIDADA 2018-2025 '!$BR108='[1]DATA CONSOLIDADA 2018-2025 '!$BW108,"Sin incremento",IF('[1]DATA CONSOLIDADA 2018-2025 '!$BW108&lt;'[1]DATA CONSOLIDADA 2018-2025 '!$BR108,"Disminución"," ---")))</f>
        <v>#REF!</v>
      </c>
      <c r="BY108" s="68" t="str">
        <f t="shared" ref="BY108:BY146" si="29">'[1]DATA CONSOLIDADA 2018-2025 '!$BW108-'[1]DATA CONSOLIDADA 2018-2025 '!$BR108</f>
        <v>#REF!</v>
      </c>
      <c r="BZ108" s="65">
        <v>0.0</v>
      </c>
      <c r="CA108" s="65">
        <v>0.0</v>
      </c>
      <c r="CB108" s="66">
        <v>0.0</v>
      </c>
      <c r="CC108" s="67" t="str">
        <f t="shared" ref="CC108:CC146" si="30">IF('[1]DATA CONSOLIDADA 2018-2025 '!$CB108&gt;'[1]DATA CONSOLIDADA 2018-2025 '!$BW108,"Incremento",IF('[1]DATA CONSOLIDADA 2018-2025 '!$BW108='[1]DATA CONSOLIDADA 2018-2025 '!$CB108,"Sin incremento",IF('[1]DATA CONSOLIDADA 2018-2025 '!$CB108&lt;'[1]DATA CONSOLIDADA 2018-2025 '!$BW108,"Disminución"," ---")))</f>
        <v>#REF!</v>
      </c>
      <c r="CD108" s="68" t="str">
        <f>'[1]DATA CONSOLIDADA 2018-2025 '!$CB108-Hoja1!$BW108</f>
        <v>#REF!</v>
      </c>
      <c r="CE108" s="70">
        <v>0.0</v>
      </c>
      <c r="CF108" s="70">
        <v>0.0</v>
      </c>
      <c r="CG108" s="71">
        <v>0.0</v>
      </c>
      <c r="CH108" s="67" t="str">
        <f t="shared" ref="CH108:CH146" si="31">IF('[1]DATA CONSOLIDADA 2018-2025 '!$CG108&gt;'[1]DATA CONSOLIDADA 2018-2025 '!$CB108,"Incremento",IF('[1]DATA CONSOLIDADA 2018-2025 '!$CB108='[1]DATA CONSOLIDADA 2018-2025 '!$CG108,"Sin incremento",IF('[1]DATA CONSOLIDADA 2018-2025 '!$CG108&lt;'[1]DATA CONSOLIDADA 2018-2025 '!$CB108,"Disminución"," ---")))</f>
        <v>#REF!</v>
      </c>
      <c r="CI108" s="68" t="str">
        <f>'[1]DATA CONSOLIDADA 2018-2025 '!$CG108-Hoja1!$CB108</f>
        <v>#REF!</v>
      </c>
      <c r="CJ108" s="64" t="str">
        <f t="shared" si="22"/>
        <v>#REF!</v>
      </c>
      <c r="CK108" s="64">
        <v>0.0</v>
      </c>
      <c r="CL108" s="64">
        <v>0.0</v>
      </c>
      <c r="CM108" s="64">
        <v>0.0</v>
      </c>
      <c r="CN108" s="64" t="str">
        <f t="shared" si="12"/>
        <v>#REF!</v>
      </c>
      <c r="CO108" s="68" t="str">
        <f>'[1]DATA CONSOLIDADA 2018-2025 '!$CM108-Hoja1!$CG108</f>
        <v>#REF!</v>
      </c>
      <c r="CP108" s="70">
        <v>0.0</v>
      </c>
      <c r="CQ108" s="70">
        <v>0.0</v>
      </c>
      <c r="CR108" s="70">
        <v>0.0</v>
      </c>
      <c r="CS108" s="70">
        <v>0.0</v>
      </c>
      <c r="CT108" s="70">
        <v>0.0</v>
      </c>
      <c r="CU108" s="70">
        <v>0.0</v>
      </c>
      <c r="CV108" s="64">
        <v>0.0</v>
      </c>
      <c r="CW108" s="64">
        <v>0.0</v>
      </c>
      <c r="CX108" s="64">
        <v>0.0</v>
      </c>
      <c r="CY108" s="64">
        <v>0.0</v>
      </c>
      <c r="CZ108" s="64">
        <v>0.0</v>
      </c>
      <c r="DA108" s="64">
        <v>0.0</v>
      </c>
      <c r="DB108" s="64">
        <v>0.0</v>
      </c>
      <c r="DC108" s="72">
        <v>0.0</v>
      </c>
      <c r="DD108" s="72">
        <v>0.0</v>
      </c>
      <c r="DE108" s="72">
        <v>0.0</v>
      </c>
      <c r="DF108" s="72">
        <v>0.0</v>
      </c>
      <c r="DG108" s="72">
        <v>0.0</v>
      </c>
      <c r="DH108" s="72">
        <v>0.0</v>
      </c>
      <c r="DI108" s="73">
        <v>2.053459862E10</v>
      </c>
      <c r="DJ108" s="74" t="s">
        <v>492</v>
      </c>
      <c r="DK108" s="74" t="s">
        <v>138</v>
      </c>
      <c r="DL108" s="75"/>
      <c r="DM108" s="75"/>
      <c r="DN108" s="75"/>
      <c r="DO108" s="75"/>
      <c r="DP108" s="75"/>
      <c r="DQ108" s="75"/>
      <c r="DR108" s="75"/>
      <c r="DS108" s="75"/>
      <c r="DT108" s="75"/>
      <c r="DU108" s="75"/>
      <c r="DV108" s="75"/>
      <c r="DW108" s="75"/>
      <c r="DX108" s="75"/>
      <c r="DY108" s="75"/>
      <c r="DZ108" s="75"/>
      <c r="EA108" s="75"/>
      <c r="EB108" s="75"/>
      <c r="EC108" s="75"/>
      <c r="ED108" s="75"/>
      <c r="EE108" s="75"/>
    </row>
    <row r="109" ht="47.25" hidden="1" customHeight="1">
      <c r="A109" s="55" t="s">
        <v>493</v>
      </c>
      <c r="B109" s="55" t="s">
        <v>166</v>
      </c>
      <c r="C109" s="55" t="s">
        <v>166</v>
      </c>
      <c r="D109" s="55" t="s">
        <v>434</v>
      </c>
      <c r="E109" s="55" t="s">
        <v>494</v>
      </c>
      <c r="F109" s="55" t="s">
        <v>434</v>
      </c>
      <c r="G109" s="55" t="s">
        <v>495</v>
      </c>
      <c r="H109" s="55" t="s">
        <v>496</v>
      </c>
      <c r="I109" s="56">
        <v>1.0</v>
      </c>
      <c r="J109" s="56">
        <v>1.0</v>
      </c>
      <c r="K109" s="56">
        <v>1.0</v>
      </c>
      <c r="L109" s="56">
        <v>1.0</v>
      </c>
      <c r="M109" s="56">
        <v>1.0</v>
      </c>
      <c r="N109" s="56">
        <v>1.0</v>
      </c>
      <c r="O109" s="56">
        <v>1.0</v>
      </c>
      <c r="P109" s="56">
        <v>1.0</v>
      </c>
      <c r="Q109" s="56" t="s">
        <v>131</v>
      </c>
      <c r="R109" s="58" t="str">
        <f t="shared" si="1"/>
        <v>2018-2019-2020-2021-2022-2023-2024 - 2025</v>
      </c>
      <c r="S109" s="59" t="str">
        <f>SUM(Hoja1!$I109:$P109)</f>
        <v>8</v>
      </c>
      <c r="T109" s="59" t="str">
        <f>IF(OR(Hoja1!$J109=1,Hoja1!$K109=1,Hoja1!$L109=1,Hoja1!$M109=1,Hoja1!$N109=1,Hoja1!$O109=1,Hoja1!$P109=1),"SI","NO")</f>
        <v>SI</v>
      </c>
      <c r="U109" s="59" t="str">
        <f>IF(OR(Hoja1!$K109=1,Hoja1!$L109=1,Hoja1!$M109=1,Hoja1!$N109=1,Hoja1!$O109=1,Hoja1!$P109=1),"SI","NO")</f>
        <v>SI</v>
      </c>
      <c r="V109" s="60">
        <v>72.0</v>
      </c>
      <c r="W109" s="61">
        <v>52.0</v>
      </c>
      <c r="X109" s="61">
        <v>13.0</v>
      </c>
      <c r="Y109" s="60">
        <v>65.0</v>
      </c>
      <c r="Z109" s="61">
        <v>46.0</v>
      </c>
      <c r="AA109" s="61">
        <v>24.0</v>
      </c>
      <c r="AB109" s="60">
        <v>70.0</v>
      </c>
      <c r="AC109" s="61">
        <v>49.0</v>
      </c>
      <c r="AD109" s="61">
        <v>24.0</v>
      </c>
      <c r="AE109" s="60">
        <v>73.0</v>
      </c>
      <c r="AF109" s="61">
        <v>49.0</v>
      </c>
      <c r="AG109" s="61">
        <v>24.0</v>
      </c>
      <c r="AH109" s="60">
        <v>73.0</v>
      </c>
      <c r="AI109" s="61">
        <v>49.0</v>
      </c>
      <c r="AJ109" s="61">
        <v>24.0</v>
      </c>
      <c r="AK109" s="60">
        <v>73.0</v>
      </c>
      <c r="AL109" s="61">
        <v>37.0</v>
      </c>
      <c r="AM109" s="61">
        <v>16.0</v>
      </c>
      <c r="AN109" s="60">
        <v>53.0</v>
      </c>
      <c r="AO109" s="62">
        <v>49.0</v>
      </c>
      <c r="AP109" s="62">
        <v>24.0</v>
      </c>
      <c r="AQ109" s="60">
        <v>73.0</v>
      </c>
      <c r="AR109" s="60" t="str">
        <f>IF(Hoja1!$AQ109&gt;0,Hoja1!$AQ109,IF(Hoja1!$AN109&gt;0,Hoja1!$AN109,IF(Hoja1!$AK109&gt;0,Hoja1!$AK109,IF(Hoja1!$AH109&gt;0,Hoja1!$AH109,IF(Hoja1!$AE109&gt;0,Hoja1!$AE109,IF(Hoja1!$AB109&gt;0,Hoja1!$AB109,IF(Hoja1!$Y109&gt;0,Hoja1!$Y109,IF(Hoja1!$V109&gt;0,Hoja1!$V109," ---"))))))))</f>
        <v>73</v>
      </c>
      <c r="AS109" s="63">
        <v>11.0</v>
      </c>
      <c r="AT109" s="63">
        <v>4.0</v>
      </c>
      <c r="AU109" s="63">
        <v>24.0</v>
      </c>
      <c r="AV109" s="63">
        <v>3.0</v>
      </c>
      <c r="AW109" s="63">
        <v>17.0</v>
      </c>
      <c r="AX109" s="63">
        <v>4.0</v>
      </c>
      <c r="AY109" s="63">
        <v>26.0</v>
      </c>
      <c r="AZ109" s="63">
        <v>3.0</v>
      </c>
      <c r="BA109" s="63">
        <v>21.0</v>
      </c>
      <c r="BB109" s="63">
        <v>4.0</v>
      </c>
      <c r="BC109" s="63">
        <v>22.0</v>
      </c>
      <c r="BD109" s="63">
        <v>4.0</v>
      </c>
      <c r="BE109" s="64">
        <v>0.0</v>
      </c>
      <c r="BF109" s="65">
        <v>852062.45</v>
      </c>
      <c r="BG109" s="65">
        <v>0.0</v>
      </c>
      <c r="BH109" s="66">
        <v>852062.45</v>
      </c>
      <c r="BI109" s="67" t="str">
        <f t="shared" si="23"/>
        <v>#REF!</v>
      </c>
      <c r="BJ109" s="68" t="str">
        <f t="shared" si="24"/>
        <v>#REF!</v>
      </c>
      <c r="BK109" s="65">
        <v>2225415.0</v>
      </c>
      <c r="BL109" s="65">
        <v>0.0</v>
      </c>
      <c r="BM109" s="66">
        <v>2225415.0</v>
      </c>
      <c r="BN109" s="67" t="str">
        <f t="shared" si="25"/>
        <v>#REF!</v>
      </c>
      <c r="BO109" s="68" t="str">
        <f t="shared" si="26"/>
        <v>#REF!</v>
      </c>
      <c r="BP109" s="65">
        <v>2162109.83</v>
      </c>
      <c r="BQ109" s="65">
        <v>0.0</v>
      </c>
      <c r="BR109" s="66">
        <v>2162109.83</v>
      </c>
      <c r="BS109" s="67" t="str">
        <f t="shared" si="27"/>
        <v>#REF!</v>
      </c>
      <c r="BT109" s="68" t="str">
        <f>'[1]DATA CONSOLIDADA 2018-2025 '!$BR109-Hoja1!$BO109</f>
        <v>#REF!</v>
      </c>
      <c r="BU109" s="65">
        <v>4355018.38</v>
      </c>
      <c r="BV109" s="65">
        <v>0.0</v>
      </c>
      <c r="BW109" s="66">
        <v>4355018.38</v>
      </c>
      <c r="BX109" s="67" t="str">
        <f t="shared" si="28"/>
        <v>#REF!</v>
      </c>
      <c r="BY109" s="68" t="str">
        <f t="shared" si="29"/>
        <v>#REF!</v>
      </c>
      <c r="BZ109" s="65">
        <v>7290944.0</v>
      </c>
      <c r="CA109" s="65">
        <v>0.0</v>
      </c>
      <c r="CB109" s="66">
        <v>7290944.0</v>
      </c>
      <c r="CC109" s="67" t="str">
        <f t="shared" si="30"/>
        <v>#REF!</v>
      </c>
      <c r="CD109" s="68" t="str">
        <f>'[1]DATA CONSOLIDADA 2018-2025 '!$CB109-Hoja1!$BW109</f>
        <v>#REF!</v>
      </c>
      <c r="CE109" s="70">
        <v>555888.0</v>
      </c>
      <c r="CF109" s="70">
        <v>4662229.0</v>
      </c>
      <c r="CG109" s="71">
        <v>5218117.0</v>
      </c>
      <c r="CH109" s="67" t="str">
        <f t="shared" si="31"/>
        <v>#REF!</v>
      </c>
      <c r="CI109" s="68" t="str">
        <f>'[1]DATA CONSOLIDADA 2018-2025 '!$CG109-Hoja1!$CB109</f>
        <v>#REF!</v>
      </c>
      <c r="CJ109" s="64" t="str">
        <f t="shared" si="22"/>
        <v>#REF!</v>
      </c>
      <c r="CK109" s="64">
        <v>2220000.0</v>
      </c>
      <c r="CL109" s="64">
        <v>0.0</v>
      </c>
      <c r="CM109" s="64">
        <v>2220000.0</v>
      </c>
      <c r="CN109" s="64" t="str">
        <f t="shared" si="12"/>
        <v>#REF!</v>
      </c>
      <c r="CO109" s="68" t="str">
        <f>'[1]DATA CONSOLIDADA 2018-2025 '!$CM109-Hoja1!$CG109</f>
        <v>#REF!</v>
      </c>
      <c r="CP109" s="70">
        <v>0.0</v>
      </c>
      <c r="CQ109" s="70">
        <v>7290944.0</v>
      </c>
      <c r="CR109" s="70">
        <v>0.0</v>
      </c>
      <c r="CS109" s="70">
        <v>0.0</v>
      </c>
      <c r="CT109" s="70">
        <v>0.0</v>
      </c>
      <c r="CU109" s="70">
        <v>0.0</v>
      </c>
      <c r="CV109" s="64">
        <v>7290944.0</v>
      </c>
      <c r="CW109" s="64">
        <v>0.0</v>
      </c>
      <c r="CX109" s="64">
        <v>555888.0</v>
      </c>
      <c r="CY109" s="64">
        <v>0.0</v>
      </c>
      <c r="CZ109" s="64">
        <v>4662229.0</v>
      </c>
      <c r="DA109" s="64">
        <v>0.0</v>
      </c>
      <c r="DB109" s="64">
        <v>5218117.0</v>
      </c>
      <c r="DC109" s="72">
        <v>0.0</v>
      </c>
      <c r="DD109" s="72">
        <v>2220000.0</v>
      </c>
      <c r="DE109" s="72">
        <v>0.0</v>
      </c>
      <c r="DF109" s="72">
        <v>0.0</v>
      </c>
      <c r="DG109" s="72">
        <v>0.0</v>
      </c>
      <c r="DH109" s="72">
        <v>2220000.0</v>
      </c>
      <c r="DI109" s="73">
        <v>2.0490264397E10</v>
      </c>
      <c r="DJ109" s="74" t="s">
        <v>493</v>
      </c>
      <c r="DK109" s="74" t="s">
        <v>138</v>
      </c>
      <c r="DL109" s="75"/>
      <c r="DM109" s="75"/>
      <c r="DN109" s="75"/>
      <c r="DO109" s="75"/>
      <c r="DP109" s="75"/>
      <c r="DQ109" s="75"/>
      <c r="DR109" s="75"/>
      <c r="DS109" s="75"/>
      <c r="DT109" s="75"/>
      <c r="DU109" s="75"/>
      <c r="DV109" s="75"/>
      <c r="DW109" s="75"/>
      <c r="DX109" s="75"/>
      <c r="DY109" s="75"/>
      <c r="DZ109" s="75"/>
      <c r="EA109" s="75"/>
      <c r="EB109" s="75"/>
      <c r="EC109" s="75"/>
      <c r="ED109" s="75"/>
      <c r="EE109" s="75"/>
    </row>
    <row r="110" ht="47.25" hidden="1" customHeight="1">
      <c r="A110" s="55" t="s">
        <v>497</v>
      </c>
      <c r="B110" s="55" t="s">
        <v>217</v>
      </c>
      <c r="C110" s="55" t="s">
        <v>217</v>
      </c>
      <c r="D110" s="55" t="s">
        <v>434</v>
      </c>
      <c r="E110" s="55" t="s">
        <v>475</v>
      </c>
      <c r="F110" s="55" t="s">
        <v>434</v>
      </c>
      <c r="G110" s="55" t="s">
        <v>476</v>
      </c>
      <c r="H110" s="55" t="s">
        <v>477</v>
      </c>
      <c r="I110" s="56"/>
      <c r="J110" s="56">
        <v>1.0</v>
      </c>
      <c r="K110" s="56">
        <v>1.0</v>
      </c>
      <c r="L110" s="56">
        <v>1.0</v>
      </c>
      <c r="M110" s="56">
        <v>1.0</v>
      </c>
      <c r="N110" s="56"/>
      <c r="O110" s="56"/>
      <c r="P110" s="56"/>
      <c r="Q110" s="56" t="s">
        <v>131</v>
      </c>
      <c r="R110" s="58" t="str">
        <f t="shared" si="1"/>
        <v>2019-2020-2021-2022</v>
      </c>
      <c r="S110" s="59" t="str">
        <f>SUM(Hoja1!$I110:$P110)</f>
        <v>4</v>
      </c>
      <c r="T110" s="59" t="str">
        <f>IF(OR(Hoja1!$J110=1,Hoja1!$K110=1,Hoja1!$L110=1,Hoja1!$M110=1,Hoja1!$N110=1,Hoja1!$O110=1,Hoja1!$P110=1),"SI","NO")</f>
        <v>SI</v>
      </c>
      <c r="U110" s="59" t="str">
        <f>IF(OR(Hoja1!$K110=1,Hoja1!$L110=1,Hoja1!$M110=1,Hoja1!$N110=1,Hoja1!$O110=1,Hoja1!$P110=1),"SI","NO")</f>
        <v>SI</v>
      </c>
      <c r="V110" s="60">
        <v>0.0</v>
      </c>
      <c r="W110" s="61">
        <v>17.0</v>
      </c>
      <c r="X110" s="61">
        <v>15.0</v>
      </c>
      <c r="Y110" s="60">
        <v>32.0</v>
      </c>
      <c r="Z110" s="61">
        <v>15.0</v>
      </c>
      <c r="AA110" s="61">
        <v>16.0</v>
      </c>
      <c r="AB110" s="60">
        <v>31.0</v>
      </c>
      <c r="AC110" s="61">
        <v>20.0</v>
      </c>
      <c r="AD110" s="61">
        <v>33.0</v>
      </c>
      <c r="AE110" s="60">
        <v>53.0</v>
      </c>
      <c r="AF110" s="61">
        <v>20.0</v>
      </c>
      <c r="AG110" s="61">
        <v>33.0</v>
      </c>
      <c r="AH110" s="60">
        <v>53.0</v>
      </c>
      <c r="AI110" s="61">
        <v>0.0</v>
      </c>
      <c r="AJ110" s="61">
        <v>0.0</v>
      </c>
      <c r="AK110" s="60">
        <v>0.0</v>
      </c>
      <c r="AL110" s="61">
        <v>0.0</v>
      </c>
      <c r="AM110" s="61">
        <v>0.0</v>
      </c>
      <c r="AN110" s="60">
        <v>0.0</v>
      </c>
      <c r="AO110" s="62">
        <v>0.0</v>
      </c>
      <c r="AP110" s="62">
        <v>0.0</v>
      </c>
      <c r="AQ110" s="60">
        <v>0.0</v>
      </c>
      <c r="AR110" s="60" t="str">
        <f>IF(Hoja1!$AQ110&gt;0,Hoja1!$AQ110,IF(Hoja1!$AN110&gt;0,Hoja1!$AN110,IF(Hoja1!$AK110&gt;0,Hoja1!$AK110,IF(Hoja1!$AH110&gt;0,Hoja1!$AH110,IF(Hoja1!$AE110&gt;0,Hoja1!$AE110,IF(Hoja1!$AB110&gt;0,Hoja1!$AB110,IF(Hoja1!$Y110&gt;0,Hoja1!$Y110,IF(Hoja1!$V110&gt;0,Hoja1!$V110," ---"))))))))</f>
        <v>53</v>
      </c>
      <c r="AS110" s="63">
        <v>0.0</v>
      </c>
      <c r="AT110" s="63">
        <v>0.0</v>
      </c>
      <c r="AU110" s="63">
        <v>18.0</v>
      </c>
      <c r="AV110" s="63">
        <v>3.0</v>
      </c>
      <c r="AW110" s="63">
        <v>27.0</v>
      </c>
      <c r="AX110" s="63">
        <v>5.0</v>
      </c>
      <c r="AY110" s="63">
        <v>0.0</v>
      </c>
      <c r="AZ110" s="63">
        <v>0.0</v>
      </c>
      <c r="BA110" s="63">
        <v>0.0</v>
      </c>
      <c r="BB110" s="63">
        <v>0.0</v>
      </c>
      <c r="BC110" s="63">
        <v>0.0</v>
      </c>
      <c r="BD110" s="63">
        <v>0.0</v>
      </c>
      <c r="BE110" s="64">
        <v>0.0</v>
      </c>
      <c r="BF110" s="65">
        <v>119504.0</v>
      </c>
      <c r="BG110" s="65">
        <v>0.0</v>
      </c>
      <c r="BH110" s="66">
        <v>119504.0</v>
      </c>
      <c r="BI110" s="67" t="str">
        <f t="shared" si="23"/>
        <v>#REF!</v>
      </c>
      <c r="BJ110" s="68" t="str">
        <f t="shared" si="24"/>
        <v>#REF!</v>
      </c>
      <c r="BK110" s="65">
        <v>51000.0</v>
      </c>
      <c r="BL110" s="65">
        <v>0.0</v>
      </c>
      <c r="BM110" s="66">
        <v>51000.0</v>
      </c>
      <c r="BN110" s="67" t="str">
        <f t="shared" si="25"/>
        <v>#REF!</v>
      </c>
      <c r="BO110" s="68" t="str">
        <f t="shared" si="26"/>
        <v>#REF!</v>
      </c>
      <c r="BP110" s="65">
        <v>149388.0</v>
      </c>
      <c r="BQ110" s="65">
        <v>0.0</v>
      </c>
      <c r="BR110" s="66">
        <v>149388.0</v>
      </c>
      <c r="BS110" s="67" t="str">
        <f t="shared" si="27"/>
        <v>#REF!</v>
      </c>
      <c r="BT110" s="68" t="str">
        <f>'[1]DATA CONSOLIDADA 2018-2025 '!$BR110-Hoja1!$BO110</f>
        <v>#REF!</v>
      </c>
      <c r="BU110" s="65">
        <v>160300.0</v>
      </c>
      <c r="BV110" s="65">
        <v>0.0</v>
      </c>
      <c r="BW110" s="66">
        <v>160300.0</v>
      </c>
      <c r="BX110" s="67" t="str">
        <f t="shared" si="28"/>
        <v>#REF!</v>
      </c>
      <c r="BY110" s="68" t="str">
        <f t="shared" si="29"/>
        <v>#REF!</v>
      </c>
      <c r="BZ110" s="65">
        <v>0.0</v>
      </c>
      <c r="CA110" s="65">
        <v>0.0</v>
      </c>
      <c r="CB110" s="66">
        <v>0.0</v>
      </c>
      <c r="CC110" s="67" t="str">
        <f t="shared" si="30"/>
        <v>#REF!</v>
      </c>
      <c r="CD110" s="68" t="str">
        <f>'[1]DATA CONSOLIDADA 2018-2025 '!$CB110-Hoja1!$BW110</f>
        <v>#REF!</v>
      </c>
      <c r="CE110" s="70">
        <v>0.0</v>
      </c>
      <c r="CF110" s="70">
        <v>0.0</v>
      </c>
      <c r="CG110" s="71">
        <v>0.0</v>
      </c>
      <c r="CH110" s="67" t="str">
        <f t="shared" si="31"/>
        <v>#REF!</v>
      </c>
      <c r="CI110" s="68" t="str">
        <f>'[1]DATA CONSOLIDADA 2018-2025 '!$CG110-Hoja1!$CB110</f>
        <v>#REF!</v>
      </c>
      <c r="CJ110" s="64" t="str">
        <f t="shared" si="22"/>
        <v>#REF!</v>
      </c>
      <c r="CK110" s="64">
        <v>0.0</v>
      </c>
      <c r="CL110" s="64">
        <v>0.0</v>
      </c>
      <c r="CM110" s="64">
        <v>0.0</v>
      </c>
      <c r="CN110" s="64" t="str">
        <f t="shared" si="12"/>
        <v>#REF!</v>
      </c>
      <c r="CO110" s="68" t="str">
        <f>'[1]DATA CONSOLIDADA 2018-2025 '!$CM110-Hoja1!$CG110</f>
        <v>#REF!</v>
      </c>
      <c r="CP110" s="70">
        <v>0.0</v>
      </c>
      <c r="CQ110" s="70">
        <v>0.0</v>
      </c>
      <c r="CR110" s="70">
        <v>0.0</v>
      </c>
      <c r="CS110" s="70">
        <v>0.0</v>
      </c>
      <c r="CT110" s="70">
        <v>0.0</v>
      </c>
      <c r="CU110" s="70">
        <v>0.0</v>
      </c>
      <c r="CV110" s="64">
        <v>0.0</v>
      </c>
      <c r="CW110" s="64">
        <v>0.0</v>
      </c>
      <c r="CX110" s="64">
        <v>0.0</v>
      </c>
      <c r="CY110" s="64">
        <v>0.0</v>
      </c>
      <c r="CZ110" s="64">
        <v>0.0</v>
      </c>
      <c r="DA110" s="64">
        <v>0.0</v>
      </c>
      <c r="DB110" s="64">
        <v>0.0</v>
      </c>
      <c r="DC110" s="72">
        <v>0.0</v>
      </c>
      <c r="DD110" s="72">
        <v>0.0</v>
      </c>
      <c r="DE110" s="72">
        <v>0.0</v>
      </c>
      <c r="DF110" s="72">
        <v>0.0</v>
      </c>
      <c r="DG110" s="72">
        <v>0.0</v>
      </c>
      <c r="DH110" s="72">
        <v>0.0</v>
      </c>
      <c r="DI110" s="73">
        <v>2.0601360145E10</v>
      </c>
      <c r="DJ110" s="74" t="s">
        <v>478</v>
      </c>
      <c r="DK110" s="74" t="s">
        <v>132</v>
      </c>
      <c r="DL110" s="75"/>
      <c r="DM110" s="75"/>
      <c r="DN110" s="75"/>
      <c r="DO110" s="75"/>
      <c r="DP110" s="75"/>
      <c r="DQ110" s="75"/>
      <c r="DR110" s="75"/>
      <c r="DS110" s="75"/>
      <c r="DT110" s="75"/>
      <c r="DU110" s="75"/>
      <c r="DV110" s="75"/>
      <c r="DW110" s="75"/>
      <c r="DX110" s="75"/>
      <c r="DY110" s="75"/>
      <c r="DZ110" s="75"/>
      <c r="EA110" s="75"/>
      <c r="EB110" s="75"/>
      <c r="EC110" s="75"/>
      <c r="ED110" s="75"/>
      <c r="EE110" s="75"/>
    </row>
    <row r="111" ht="47.25" hidden="1" customHeight="1">
      <c r="A111" s="55" t="s">
        <v>498</v>
      </c>
      <c r="B111" s="55" t="s">
        <v>198</v>
      </c>
      <c r="C111" s="55" t="s">
        <v>198</v>
      </c>
      <c r="D111" s="55" t="s">
        <v>434</v>
      </c>
      <c r="E111" s="55" t="s">
        <v>499</v>
      </c>
      <c r="F111" s="55" t="s">
        <v>434</v>
      </c>
      <c r="G111" s="55" t="s">
        <v>476</v>
      </c>
      <c r="H111" s="55" t="s">
        <v>476</v>
      </c>
      <c r="I111" s="56">
        <v>1.0</v>
      </c>
      <c r="J111" s="56">
        <v>1.0</v>
      </c>
      <c r="K111" s="56">
        <v>1.0</v>
      </c>
      <c r="L111" s="56">
        <v>1.0</v>
      </c>
      <c r="M111" s="56">
        <v>1.0</v>
      </c>
      <c r="N111" s="56"/>
      <c r="O111" s="56"/>
      <c r="P111" s="56"/>
      <c r="Q111" s="56" t="s">
        <v>131</v>
      </c>
      <c r="R111" s="58" t="str">
        <f t="shared" si="1"/>
        <v>2018-2019-2020-2021-2022</v>
      </c>
      <c r="S111" s="59" t="str">
        <f>SUM(Hoja1!$I111:$P111)</f>
        <v>5</v>
      </c>
      <c r="T111" s="59" t="str">
        <f>IF(OR(Hoja1!$J111=1,Hoja1!$K111=1,Hoja1!$L111=1,Hoja1!$M111=1,Hoja1!$N111=1,Hoja1!$O111=1,Hoja1!$P111=1),"SI","NO")</f>
        <v>SI</v>
      </c>
      <c r="U111" s="59" t="str">
        <f>IF(OR(Hoja1!$K111=1,Hoja1!$L111=1,Hoja1!$M111=1,Hoja1!$N111=1,Hoja1!$O111=1,Hoja1!$P111=1),"SI","NO")</f>
        <v>SI</v>
      </c>
      <c r="V111" s="60">
        <v>138.0</v>
      </c>
      <c r="W111" s="61">
        <v>24.0</v>
      </c>
      <c r="X111" s="61">
        <v>8.0</v>
      </c>
      <c r="Y111" s="60">
        <v>32.0</v>
      </c>
      <c r="Z111" s="61">
        <v>20.0</v>
      </c>
      <c r="AA111" s="61">
        <v>6.0</v>
      </c>
      <c r="AB111" s="60">
        <v>26.0</v>
      </c>
      <c r="AC111" s="61">
        <v>80.0</v>
      </c>
      <c r="AD111" s="61">
        <v>47.0</v>
      </c>
      <c r="AE111" s="60">
        <v>127.0</v>
      </c>
      <c r="AF111" s="61">
        <v>80.0</v>
      </c>
      <c r="AG111" s="61">
        <v>47.0</v>
      </c>
      <c r="AH111" s="60">
        <v>127.0</v>
      </c>
      <c r="AI111" s="61">
        <v>0.0</v>
      </c>
      <c r="AJ111" s="61">
        <v>0.0</v>
      </c>
      <c r="AK111" s="60">
        <v>0.0</v>
      </c>
      <c r="AL111" s="61">
        <v>0.0</v>
      </c>
      <c r="AM111" s="61">
        <v>0.0</v>
      </c>
      <c r="AN111" s="60">
        <v>0.0</v>
      </c>
      <c r="AO111" s="62">
        <v>0.0</v>
      </c>
      <c r="AP111" s="62">
        <v>0.0</v>
      </c>
      <c r="AQ111" s="60">
        <v>0.0</v>
      </c>
      <c r="AR111" s="60" t="str">
        <f>IF(Hoja1!$AQ111&gt;0,Hoja1!$AQ111,IF(Hoja1!$AN111&gt;0,Hoja1!$AN111,IF(Hoja1!$AK111&gt;0,Hoja1!$AK111,IF(Hoja1!$AH111&gt;0,Hoja1!$AH111,IF(Hoja1!$AE111&gt;0,Hoja1!$AE111,IF(Hoja1!$AB111&gt;0,Hoja1!$AB111,IF(Hoja1!$Y111&gt;0,Hoja1!$Y111,IF(Hoja1!$V111&gt;0,Hoja1!$V111," ---"))))))))</f>
        <v>127</v>
      </c>
      <c r="AS111" s="63">
        <v>0.0</v>
      </c>
      <c r="AT111" s="63">
        <v>0.0</v>
      </c>
      <c r="AU111" s="63">
        <v>30.0</v>
      </c>
      <c r="AV111" s="63">
        <v>5.0</v>
      </c>
      <c r="AW111" s="63">
        <v>18.0</v>
      </c>
      <c r="AX111" s="63">
        <v>4.0</v>
      </c>
      <c r="AY111" s="63">
        <v>0.0</v>
      </c>
      <c r="AZ111" s="63">
        <v>0.0</v>
      </c>
      <c r="BA111" s="63">
        <v>0.0</v>
      </c>
      <c r="BB111" s="63">
        <v>0.0</v>
      </c>
      <c r="BC111" s="63">
        <v>0.0</v>
      </c>
      <c r="BD111" s="63">
        <v>0.0</v>
      </c>
      <c r="BE111" s="64">
        <v>0.0</v>
      </c>
      <c r="BF111" s="65">
        <v>36111.9</v>
      </c>
      <c r="BG111" s="65">
        <v>0.0</v>
      </c>
      <c r="BH111" s="66">
        <v>36111.9</v>
      </c>
      <c r="BI111" s="67" t="str">
        <f t="shared" si="23"/>
        <v>#REF!</v>
      </c>
      <c r="BJ111" s="68" t="str">
        <f t="shared" si="24"/>
        <v>#REF!</v>
      </c>
      <c r="BK111" s="65">
        <v>55000.0</v>
      </c>
      <c r="BL111" s="65">
        <v>0.0</v>
      </c>
      <c r="BM111" s="66">
        <v>55000.0</v>
      </c>
      <c r="BN111" s="67" t="str">
        <f t="shared" si="25"/>
        <v>#REF!</v>
      </c>
      <c r="BO111" s="68" t="str">
        <f t="shared" si="26"/>
        <v>#REF!</v>
      </c>
      <c r="BP111" s="65">
        <v>113109.2</v>
      </c>
      <c r="BQ111" s="65">
        <v>0.0</v>
      </c>
      <c r="BR111" s="66">
        <v>113109.2</v>
      </c>
      <c r="BS111" s="67" t="str">
        <f t="shared" si="27"/>
        <v>#REF!</v>
      </c>
      <c r="BT111" s="68" t="str">
        <f>'[1]DATA CONSOLIDADA 2018-2025 '!$BR111-Hoja1!$BO111</f>
        <v>#REF!</v>
      </c>
      <c r="BU111" s="65">
        <v>171500.0</v>
      </c>
      <c r="BV111" s="65">
        <v>0.0</v>
      </c>
      <c r="BW111" s="66">
        <v>171500.0</v>
      </c>
      <c r="BX111" s="67" t="str">
        <f t="shared" si="28"/>
        <v>#REF!</v>
      </c>
      <c r="BY111" s="68" t="str">
        <f t="shared" si="29"/>
        <v>#REF!</v>
      </c>
      <c r="BZ111" s="65">
        <v>0.0</v>
      </c>
      <c r="CA111" s="65">
        <v>0.0</v>
      </c>
      <c r="CB111" s="66">
        <v>0.0</v>
      </c>
      <c r="CC111" s="67" t="str">
        <f t="shared" si="30"/>
        <v>#REF!</v>
      </c>
      <c r="CD111" s="68" t="str">
        <f>'[1]DATA CONSOLIDADA 2018-2025 '!$CB111-Hoja1!$BW111</f>
        <v>#REF!</v>
      </c>
      <c r="CE111" s="70">
        <v>0.0</v>
      </c>
      <c r="CF111" s="70">
        <v>0.0</v>
      </c>
      <c r="CG111" s="71">
        <v>0.0</v>
      </c>
      <c r="CH111" s="67" t="str">
        <f t="shared" si="31"/>
        <v>#REF!</v>
      </c>
      <c r="CI111" s="68" t="str">
        <f>'[1]DATA CONSOLIDADA 2018-2025 '!$CG111-Hoja1!$CB111</f>
        <v>#REF!</v>
      </c>
      <c r="CJ111" s="64" t="str">
        <f t="shared" si="22"/>
        <v>#REF!</v>
      </c>
      <c r="CK111" s="64">
        <v>0.0</v>
      </c>
      <c r="CL111" s="64">
        <v>0.0</v>
      </c>
      <c r="CM111" s="64">
        <v>0.0</v>
      </c>
      <c r="CN111" s="64" t="str">
        <f t="shared" si="12"/>
        <v>#REF!</v>
      </c>
      <c r="CO111" s="68" t="str">
        <f>'[1]DATA CONSOLIDADA 2018-2025 '!$CM111-Hoja1!$CG111</f>
        <v>#REF!</v>
      </c>
      <c r="CP111" s="70">
        <v>0.0</v>
      </c>
      <c r="CQ111" s="70">
        <v>0.0</v>
      </c>
      <c r="CR111" s="70">
        <v>0.0</v>
      </c>
      <c r="CS111" s="70">
        <v>0.0</v>
      </c>
      <c r="CT111" s="70">
        <v>0.0</v>
      </c>
      <c r="CU111" s="70">
        <v>0.0</v>
      </c>
      <c r="CV111" s="64">
        <v>0.0</v>
      </c>
      <c r="CW111" s="64">
        <v>0.0</v>
      </c>
      <c r="CX111" s="64">
        <v>0.0</v>
      </c>
      <c r="CY111" s="64">
        <v>0.0</v>
      </c>
      <c r="CZ111" s="64">
        <v>0.0</v>
      </c>
      <c r="DA111" s="64">
        <v>0.0</v>
      </c>
      <c r="DB111" s="64">
        <v>0.0</v>
      </c>
      <c r="DC111" s="72">
        <v>0.0</v>
      </c>
      <c r="DD111" s="72">
        <v>0.0</v>
      </c>
      <c r="DE111" s="72">
        <v>0.0</v>
      </c>
      <c r="DF111" s="72">
        <v>0.0</v>
      </c>
      <c r="DG111" s="72">
        <v>0.0</v>
      </c>
      <c r="DH111" s="72">
        <v>0.0</v>
      </c>
      <c r="DI111" s="73">
        <v>2.049105096E10</v>
      </c>
      <c r="DJ111" s="74" t="s">
        <v>498</v>
      </c>
      <c r="DK111" s="74" t="s">
        <v>132</v>
      </c>
      <c r="DL111" s="75"/>
      <c r="DM111" s="75"/>
      <c r="DN111" s="75"/>
      <c r="DO111" s="75"/>
      <c r="DP111" s="75"/>
      <c r="DQ111" s="75"/>
      <c r="DR111" s="75"/>
      <c r="DS111" s="75"/>
      <c r="DT111" s="75"/>
      <c r="DU111" s="75"/>
      <c r="DV111" s="75"/>
      <c r="DW111" s="75"/>
      <c r="DX111" s="75"/>
      <c r="DY111" s="75"/>
      <c r="DZ111" s="75"/>
      <c r="EA111" s="75"/>
      <c r="EB111" s="75"/>
      <c r="EC111" s="75"/>
      <c r="ED111" s="75"/>
      <c r="EE111" s="75"/>
    </row>
    <row r="112" ht="47.25" hidden="1" customHeight="1">
      <c r="A112" s="55" t="s">
        <v>500</v>
      </c>
      <c r="B112" s="55" t="s">
        <v>287</v>
      </c>
      <c r="C112" s="55" t="s">
        <v>287</v>
      </c>
      <c r="D112" s="55" t="s">
        <v>434</v>
      </c>
      <c r="E112" s="55" t="s">
        <v>501</v>
      </c>
      <c r="F112" s="55" t="s">
        <v>434</v>
      </c>
      <c r="G112" s="55" t="s">
        <v>502</v>
      </c>
      <c r="H112" s="55" t="s">
        <v>503</v>
      </c>
      <c r="I112" s="56">
        <v>1.0</v>
      </c>
      <c r="J112" s="56">
        <v>1.0</v>
      </c>
      <c r="K112" s="56">
        <v>1.0</v>
      </c>
      <c r="L112" s="56">
        <v>1.0</v>
      </c>
      <c r="M112" s="56"/>
      <c r="N112" s="56"/>
      <c r="O112" s="56"/>
      <c r="P112" s="56"/>
      <c r="Q112" s="56" t="s">
        <v>131</v>
      </c>
      <c r="R112" s="58" t="str">
        <f t="shared" si="1"/>
        <v>2018-2019-2020-2021</v>
      </c>
      <c r="S112" s="59" t="str">
        <f>SUM(Hoja1!$I112:$P112)</f>
        <v>4</v>
      </c>
      <c r="T112" s="59" t="str">
        <f>IF(OR(Hoja1!$J112=1,Hoja1!$K112=1,Hoja1!$L112=1,Hoja1!$M112=1,Hoja1!$N112=1,Hoja1!$O112=1,Hoja1!$P112=1),"SI","NO")</f>
        <v>SI</v>
      </c>
      <c r="U112" s="59" t="str">
        <f>IF(OR(Hoja1!$K112=1,Hoja1!$L112=1,Hoja1!$M112=1,Hoja1!$N112=1,Hoja1!$O112=1,Hoja1!$P112=1),"SI","NO")</f>
        <v>SI</v>
      </c>
      <c r="V112" s="60">
        <v>38.0</v>
      </c>
      <c r="W112" s="61">
        <v>34.0</v>
      </c>
      <c r="X112" s="61">
        <v>13.0</v>
      </c>
      <c r="Y112" s="60">
        <v>47.0</v>
      </c>
      <c r="Z112" s="61">
        <v>29.0</v>
      </c>
      <c r="AA112" s="61">
        <v>13.0</v>
      </c>
      <c r="AB112" s="60">
        <v>42.0</v>
      </c>
      <c r="AC112" s="61">
        <v>14.0</v>
      </c>
      <c r="AD112" s="61">
        <v>10.0</v>
      </c>
      <c r="AE112" s="60">
        <v>24.0</v>
      </c>
      <c r="AF112" s="61">
        <v>14.0</v>
      </c>
      <c r="AG112" s="61">
        <v>10.0</v>
      </c>
      <c r="AH112" s="60">
        <v>24.0</v>
      </c>
      <c r="AI112" s="61">
        <v>0.0</v>
      </c>
      <c r="AJ112" s="61">
        <v>0.0</v>
      </c>
      <c r="AK112" s="60">
        <v>0.0</v>
      </c>
      <c r="AL112" s="61">
        <v>0.0</v>
      </c>
      <c r="AM112" s="61">
        <v>0.0</v>
      </c>
      <c r="AN112" s="60">
        <v>0.0</v>
      </c>
      <c r="AO112" s="62">
        <v>0.0</v>
      </c>
      <c r="AP112" s="62">
        <v>0.0</v>
      </c>
      <c r="AQ112" s="60">
        <v>0.0</v>
      </c>
      <c r="AR112" s="60" t="str">
        <f>IF(Hoja1!$AQ112&gt;0,Hoja1!$AQ112,IF(Hoja1!$AN112&gt;0,Hoja1!$AN112,IF(Hoja1!$AK112&gt;0,Hoja1!$AK112,IF(Hoja1!$AH112&gt;0,Hoja1!$AH112,IF(Hoja1!$AE112&gt;0,Hoja1!$AE112,IF(Hoja1!$AB112&gt;0,Hoja1!$AB112,IF(Hoja1!$Y112&gt;0,Hoja1!$Y112,IF(Hoja1!$V112&gt;0,Hoja1!$V112," ---"))))))))</f>
        <v>24</v>
      </c>
      <c r="AS112" s="63">
        <v>0.0</v>
      </c>
      <c r="AT112" s="63">
        <v>5.0</v>
      </c>
      <c r="AU112" s="63">
        <v>27.0</v>
      </c>
      <c r="AV112" s="63">
        <v>5.0</v>
      </c>
      <c r="AW112" s="63">
        <v>0.0</v>
      </c>
      <c r="AX112" s="63">
        <v>0.0</v>
      </c>
      <c r="AY112" s="63">
        <v>0.0</v>
      </c>
      <c r="AZ112" s="63">
        <v>0.0</v>
      </c>
      <c r="BA112" s="63">
        <v>0.0</v>
      </c>
      <c r="BB112" s="63">
        <v>0.0</v>
      </c>
      <c r="BC112" s="63">
        <v>0.0</v>
      </c>
      <c r="BD112" s="63">
        <v>0.0</v>
      </c>
      <c r="BE112" s="64">
        <v>0.0</v>
      </c>
      <c r="BF112" s="65">
        <v>84926.18</v>
      </c>
      <c r="BG112" s="65">
        <v>0.0</v>
      </c>
      <c r="BH112" s="66">
        <v>84926.18</v>
      </c>
      <c r="BI112" s="67" t="str">
        <f t="shared" si="23"/>
        <v>#REF!</v>
      </c>
      <c r="BJ112" s="68" t="str">
        <f t="shared" si="24"/>
        <v>#REF!</v>
      </c>
      <c r="BK112" s="65">
        <v>4307.0</v>
      </c>
      <c r="BL112" s="65">
        <v>0.0</v>
      </c>
      <c r="BM112" s="66">
        <v>4307.0</v>
      </c>
      <c r="BN112" s="67" t="str">
        <f t="shared" si="25"/>
        <v>#REF!</v>
      </c>
      <c r="BO112" s="68" t="str">
        <f t="shared" si="26"/>
        <v>#REF!</v>
      </c>
      <c r="BP112" s="65">
        <v>11511.97</v>
      </c>
      <c r="BQ112" s="65">
        <v>0.0</v>
      </c>
      <c r="BR112" s="66">
        <v>11511.97</v>
      </c>
      <c r="BS112" s="67" t="str">
        <f t="shared" si="27"/>
        <v>#REF!</v>
      </c>
      <c r="BT112" s="68" t="str">
        <f>'[1]DATA CONSOLIDADA 2018-2025 '!$BR112-Hoja1!$BO112</f>
        <v>#REF!</v>
      </c>
      <c r="BU112" s="65">
        <v>0.0</v>
      </c>
      <c r="BV112" s="65">
        <v>0.0</v>
      </c>
      <c r="BW112" s="66">
        <v>0.0</v>
      </c>
      <c r="BX112" s="67" t="str">
        <f t="shared" si="28"/>
        <v>#REF!</v>
      </c>
      <c r="BY112" s="68" t="str">
        <f t="shared" si="29"/>
        <v>#REF!</v>
      </c>
      <c r="BZ112" s="65">
        <v>0.0</v>
      </c>
      <c r="CA112" s="65">
        <v>0.0</v>
      </c>
      <c r="CB112" s="66">
        <v>0.0</v>
      </c>
      <c r="CC112" s="67" t="str">
        <f t="shared" si="30"/>
        <v>#REF!</v>
      </c>
      <c r="CD112" s="68" t="str">
        <f>'[1]DATA CONSOLIDADA 2018-2025 '!$CB112-Hoja1!$BW112</f>
        <v>#REF!</v>
      </c>
      <c r="CE112" s="70">
        <v>0.0</v>
      </c>
      <c r="CF112" s="70">
        <v>0.0</v>
      </c>
      <c r="CG112" s="71">
        <v>0.0</v>
      </c>
      <c r="CH112" s="67" t="str">
        <f t="shared" si="31"/>
        <v>#REF!</v>
      </c>
      <c r="CI112" s="68" t="str">
        <f>'[1]DATA CONSOLIDADA 2018-2025 '!$CG112-Hoja1!$CB112</f>
        <v>#REF!</v>
      </c>
      <c r="CJ112" s="64" t="str">
        <f t="shared" si="22"/>
        <v>#REF!</v>
      </c>
      <c r="CK112" s="64">
        <v>0.0</v>
      </c>
      <c r="CL112" s="64">
        <v>0.0</v>
      </c>
      <c r="CM112" s="64">
        <v>0.0</v>
      </c>
      <c r="CN112" s="64" t="str">
        <f t="shared" si="12"/>
        <v>#REF!</v>
      </c>
      <c r="CO112" s="68" t="str">
        <f>'[1]DATA CONSOLIDADA 2018-2025 '!$CM112-Hoja1!$CG112</f>
        <v>#REF!</v>
      </c>
      <c r="CP112" s="70">
        <v>0.0</v>
      </c>
      <c r="CQ112" s="70">
        <v>0.0</v>
      </c>
      <c r="CR112" s="70">
        <v>0.0</v>
      </c>
      <c r="CS112" s="70">
        <v>0.0</v>
      </c>
      <c r="CT112" s="70">
        <v>0.0</v>
      </c>
      <c r="CU112" s="70">
        <v>0.0</v>
      </c>
      <c r="CV112" s="64">
        <v>0.0</v>
      </c>
      <c r="CW112" s="64">
        <v>0.0</v>
      </c>
      <c r="CX112" s="64">
        <v>0.0</v>
      </c>
      <c r="CY112" s="64">
        <v>0.0</v>
      </c>
      <c r="CZ112" s="64">
        <v>0.0</v>
      </c>
      <c r="DA112" s="64">
        <v>0.0</v>
      </c>
      <c r="DB112" s="64">
        <v>0.0</v>
      </c>
      <c r="DC112" s="72">
        <v>0.0</v>
      </c>
      <c r="DD112" s="72">
        <v>0.0</v>
      </c>
      <c r="DE112" s="72">
        <v>0.0</v>
      </c>
      <c r="DF112" s="72">
        <v>0.0</v>
      </c>
      <c r="DG112" s="72">
        <v>0.0</v>
      </c>
      <c r="DH112" s="72">
        <v>0.0</v>
      </c>
      <c r="DI112" s="73">
        <v>2.0564218589E10</v>
      </c>
      <c r="DJ112" s="74" t="s">
        <v>504</v>
      </c>
      <c r="DK112" s="74" t="s">
        <v>138</v>
      </c>
      <c r="DL112" s="75"/>
      <c r="DM112" s="75"/>
      <c r="DN112" s="75"/>
      <c r="DO112" s="75"/>
      <c r="DP112" s="75"/>
      <c r="DQ112" s="75"/>
      <c r="DR112" s="75"/>
      <c r="DS112" s="75"/>
      <c r="DT112" s="75"/>
      <c r="DU112" s="75"/>
      <c r="DV112" s="75"/>
      <c r="DW112" s="75"/>
      <c r="DX112" s="75"/>
      <c r="DY112" s="75"/>
      <c r="DZ112" s="75"/>
      <c r="EA112" s="75"/>
      <c r="EB112" s="75"/>
      <c r="EC112" s="75"/>
      <c r="ED112" s="75"/>
      <c r="EE112" s="75"/>
    </row>
    <row r="113" ht="47.25" hidden="1" customHeight="1">
      <c r="A113" s="55" t="s">
        <v>505</v>
      </c>
      <c r="B113" s="55" t="s">
        <v>250</v>
      </c>
      <c r="C113" s="55" t="s">
        <v>250</v>
      </c>
      <c r="D113" s="55" t="s">
        <v>434</v>
      </c>
      <c r="E113" s="55" t="s">
        <v>506</v>
      </c>
      <c r="F113" s="55" t="s">
        <v>434</v>
      </c>
      <c r="G113" s="55" t="s">
        <v>470</v>
      </c>
      <c r="H113" s="55" t="s">
        <v>507</v>
      </c>
      <c r="I113" s="56">
        <v>1.0</v>
      </c>
      <c r="J113" s="56">
        <v>1.0</v>
      </c>
      <c r="K113" s="56">
        <v>1.0</v>
      </c>
      <c r="L113" s="56">
        <v>1.0</v>
      </c>
      <c r="M113" s="56">
        <v>1.0</v>
      </c>
      <c r="N113" s="56"/>
      <c r="O113" s="56"/>
      <c r="P113" s="56"/>
      <c r="Q113" s="56" t="s">
        <v>131</v>
      </c>
      <c r="R113" s="58" t="str">
        <f t="shared" si="1"/>
        <v>2018-2019-2020-2021-2022</v>
      </c>
      <c r="S113" s="59" t="str">
        <f>SUM(Hoja1!$I113:$P113)</f>
        <v>5</v>
      </c>
      <c r="T113" s="59" t="str">
        <f>IF(OR(Hoja1!$J113=1,Hoja1!$K113=1,Hoja1!$L113=1,Hoja1!$M113=1,Hoja1!$N113=1,Hoja1!$O113=1,Hoja1!$P113=1),"SI","NO")</f>
        <v>SI</v>
      </c>
      <c r="U113" s="59" t="str">
        <f>IF(OR(Hoja1!$K113=1,Hoja1!$L113=1,Hoja1!$M113=1,Hoja1!$N113=1,Hoja1!$O113=1,Hoja1!$P113=1),"SI","NO")</f>
        <v>SI</v>
      </c>
      <c r="V113" s="60">
        <v>48.0</v>
      </c>
      <c r="W113" s="61">
        <v>0.0</v>
      </c>
      <c r="X113" s="61">
        <v>11.0</v>
      </c>
      <c r="Y113" s="60">
        <v>11.0</v>
      </c>
      <c r="Z113" s="61">
        <v>0.0</v>
      </c>
      <c r="AA113" s="61">
        <v>11.0</v>
      </c>
      <c r="AB113" s="60">
        <v>11.0</v>
      </c>
      <c r="AC113" s="61">
        <v>0.0</v>
      </c>
      <c r="AD113" s="61">
        <v>11.0</v>
      </c>
      <c r="AE113" s="60">
        <v>11.0</v>
      </c>
      <c r="AF113" s="61">
        <v>0.0</v>
      </c>
      <c r="AG113" s="61">
        <v>11.0</v>
      </c>
      <c r="AH113" s="60">
        <v>11.0</v>
      </c>
      <c r="AI113" s="61">
        <v>0.0</v>
      </c>
      <c r="AJ113" s="61">
        <v>0.0</v>
      </c>
      <c r="AK113" s="60">
        <v>0.0</v>
      </c>
      <c r="AL113" s="61">
        <v>0.0</v>
      </c>
      <c r="AM113" s="61">
        <v>0.0</v>
      </c>
      <c r="AN113" s="60">
        <v>0.0</v>
      </c>
      <c r="AO113" s="62">
        <v>0.0</v>
      </c>
      <c r="AP113" s="62">
        <v>0.0</v>
      </c>
      <c r="AQ113" s="60">
        <v>0.0</v>
      </c>
      <c r="AR113" s="60" t="str">
        <f>IF(Hoja1!$AQ113&gt;0,Hoja1!$AQ113,IF(Hoja1!$AN113&gt;0,Hoja1!$AN113,IF(Hoja1!$AK113&gt;0,Hoja1!$AK113,IF(Hoja1!$AH113&gt;0,Hoja1!$AH113,IF(Hoja1!$AE113&gt;0,Hoja1!$AE113,IF(Hoja1!$AB113&gt;0,Hoja1!$AB113,IF(Hoja1!$Y113&gt;0,Hoja1!$Y113,IF(Hoja1!$V113&gt;0,Hoja1!$V113," ---"))))))))</f>
        <v>11</v>
      </c>
      <c r="AS113" s="63">
        <v>5.0</v>
      </c>
      <c r="AT113" s="63">
        <v>1.0</v>
      </c>
      <c r="AU113" s="63">
        <v>29.0</v>
      </c>
      <c r="AV113" s="63">
        <v>7.0</v>
      </c>
      <c r="AW113" s="63">
        <v>24.0</v>
      </c>
      <c r="AX113" s="63">
        <v>12.0</v>
      </c>
      <c r="AY113" s="63">
        <v>0.0</v>
      </c>
      <c r="AZ113" s="63">
        <v>0.0</v>
      </c>
      <c r="BA113" s="63">
        <v>0.0</v>
      </c>
      <c r="BB113" s="63">
        <v>0.0</v>
      </c>
      <c r="BC113" s="63">
        <v>0.0</v>
      </c>
      <c r="BD113" s="63">
        <v>0.0</v>
      </c>
      <c r="BE113" s="64">
        <v>0.0</v>
      </c>
      <c r="BF113" s="65">
        <v>436.7</v>
      </c>
      <c r="BG113" s="65">
        <v>29560.9</v>
      </c>
      <c r="BH113" s="66">
        <v>29997.6</v>
      </c>
      <c r="BI113" s="67" t="str">
        <f t="shared" si="23"/>
        <v>#REF!</v>
      </c>
      <c r="BJ113" s="68" t="str">
        <f t="shared" si="24"/>
        <v>#REF!</v>
      </c>
      <c r="BK113" s="65">
        <v>0.0</v>
      </c>
      <c r="BL113" s="65">
        <v>0.0</v>
      </c>
      <c r="BM113" s="66">
        <v>0.0</v>
      </c>
      <c r="BN113" s="67" t="str">
        <f t="shared" si="25"/>
        <v>#REF!</v>
      </c>
      <c r="BO113" s="68" t="str">
        <f t="shared" si="26"/>
        <v>#REF!</v>
      </c>
      <c r="BP113" s="65">
        <v>0.0</v>
      </c>
      <c r="BQ113" s="65">
        <v>133154.78</v>
      </c>
      <c r="BR113" s="66">
        <v>133154.78</v>
      </c>
      <c r="BS113" s="67" t="str">
        <f t="shared" si="27"/>
        <v>#REF!</v>
      </c>
      <c r="BT113" s="68" t="str">
        <f>'[1]DATA CONSOLIDADA 2018-2025 '!$BR113-Hoja1!$BO113</f>
        <v>#REF!</v>
      </c>
      <c r="BU113" s="65">
        <v>34485.7</v>
      </c>
      <c r="BV113" s="65">
        <v>0.0</v>
      </c>
      <c r="BW113" s="66">
        <v>34485.7</v>
      </c>
      <c r="BX113" s="67" t="str">
        <f t="shared" si="28"/>
        <v>#REF!</v>
      </c>
      <c r="BY113" s="68" t="str">
        <f t="shared" si="29"/>
        <v>#REF!</v>
      </c>
      <c r="BZ113" s="65">
        <v>0.0</v>
      </c>
      <c r="CA113" s="65">
        <v>0.0</v>
      </c>
      <c r="CB113" s="66">
        <v>0.0</v>
      </c>
      <c r="CC113" s="67" t="str">
        <f t="shared" si="30"/>
        <v>#REF!</v>
      </c>
      <c r="CD113" s="68" t="str">
        <f>'[1]DATA CONSOLIDADA 2018-2025 '!$CB113-Hoja1!$BW113</f>
        <v>#REF!</v>
      </c>
      <c r="CE113" s="70">
        <v>0.0</v>
      </c>
      <c r="CF113" s="70">
        <v>0.0</v>
      </c>
      <c r="CG113" s="71">
        <v>0.0</v>
      </c>
      <c r="CH113" s="67" t="str">
        <f t="shared" si="31"/>
        <v>#REF!</v>
      </c>
      <c r="CI113" s="68" t="str">
        <f>'[1]DATA CONSOLIDADA 2018-2025 '!$CG113-Hoja1!$CB113</f>
        <v>#REF!</v>
      </c>
      <c r="CJ113" s="64" t="str">
        <f t="shared" si="22"/>
        <v>#REF!</v>
      </c>
      <c r="CK113" s="64">
        <v>0.0</v>
      </c>
      <c r="CL113" s="64">
        <v>0.0</v>
      </c>
      <c r="CM113" s="64">
        <v>0.0</v>
      </c>
      <c r="CN113" s="64" t="str">
        <f t="shared" si="12"/>
        <v>#REF!</v>
      </c>
      <c r="CO113" s="68" t="str">
        <f>'[1]DATA CONSOLIDADA 2018-2025 '!$CM113-Hoja1!$CG113</f>
        <v>#REF!</v>
      </c>
      <c r="CP113" s="70">
        <v>0.0</v>
      </c>
      <c r="CQ113" s="70">
        <v>0.0</v>
      </c>
      <c r="CR113" s="70">
        <v>0.0</v>
      </c>
      <c r="CS113" s="70">
        <v>0.0</v>
      </c>
      <c r="CT113" s="70">
        <v>0.0</v>
      </c>
      <c r="CU113" s="70">
        <v>0.0</v>
      </c>
      <c r="CV113" s="64">
        <v>0.0</v>
      </c>
      <c r="CW113" s="64">
        <v>0.0</v>
      </c>
      <c r="CX113" s="64">
        <v>0.0</v>
      </c>
      <c r="CY113" s="64">
        <v>0.0</v>
      </c>
      <c r="CZ113" s="64">
        <v>0.0</v>
      </c>
      <c r="DA113" s="64">
        <v>0.0</v>
      </c>
      <c r="DB113" s="64">
        <v>0.0</v>
      </c>
      <c r="DC113" s="72">
        <v>0.0</v>
      </c>
      <c r="DD113" s="72">
        <v>0.0</v>
      </c>
      <c r="DE113" s="72">
        <v>0.0</v>
      </c>
      <c r="DF113" s="72">
        <v>0.0</v>
      </c>
      <c r="DG113" s="72">
        <v>0.0</v>
      </c>
      <c r="DH113" s="72">
        <v>0.0</v>
      </c>
      <c r="DI113" s="73">
        <v>2.0564152031E10</v>
      </c>
      <c r="DJ113" s="74" t="s">
        <v>508</v>
      </c>
      <c r="DK113" s="74" t="s">
        <v>138</v>
      </c>
      <c r="DL113" s="75"/>
      <c r="DM113" s="75"/>
      <c r="DN113" s="75"/>
      <c r="DO113" s="75"/>
      <c r="DP113" s="75"/>
      <c r="DQ113" s="75"/>
      <c r="DR113" s="75"/>
      <c r="DS113" s="75"/>
      <c r="DT113" s="75"/>
      <c r="DU113" s="75"/>
      <c r="DV113" s="75"/>
      <c r="DW113" s="75"/>
      <c r="DX113" s="75"/>
      <c r="DY113" s="75"/>
      <c r="DZ113" s="75"/>
      <c r="EA113" s="75"/>
      <c r="EB113" s="75"/>
      <c r="EC113" s="75"/>
      <c r="ED113" s="75"/>
      <c r="EE113" s="75"/>
    </row>
    <row r="114" ht="47.25" hidden="1" customHeight="1">
      <c r="A114" s="55" t="s">
        <v>509</v>
      </c>
      <c r="B114" s="55" t="s">
        <v>250</v>
      </c>
      <c r="C114" s="55" t="s">
        <v>250</v>
      </c>
      <c r="D114" s="55" t="s">
        <v>434</v>
      </c>
      <c r="E114" s="55" t="s">
        <v>506</v>
      </c>
      <c r="F114" s="55" t="s">
        <v>434</v>
      </c>
      <c r="G114" s="55" t="s">
        <v>470</v>
      </c>
      <c r="H114" s="55" t="s">
        <v>507</v>
      </c>
      <c r="I114" s="56"/>
      <c r="J114" s="56">
        <v>1.0</v>
      </c>
      <c r="K114" s="56">
        <v>1.0</v>
      </c>
      <c r="L114" s="56">
        <v>1.0</v>
      </c>
      <c r="M114" s="56">
        <v>1.0</v>
      </c>
      <c r="N114" s="56"/>
      <c r="O114" s="56"/>
      <c r="P114" s="56"/>
      <c r="Q114" s="56" t="s">
        <v>131</v>
      </c>
      <c r="R114" s="58" t="str">
        <f t="shared" si="1"/>
        <v>2019-2020-2021-2022</v>
      </c>
      <c r="S114" s="59" t="str">
        <f>SUM(Hoja1!$I114:$P114)</f>
        <v>4</v>
      </c>
      <c r="T114" s="59" t="str">
        <f>IF(OR(Hoja1!$J114=1,Hoja1!$K114=1,Hoja1!$L114=1,Hoja1!$M114=1,Hoja1!$N114=1,Hoja1!$O114=1,Hoja1!$P114=1),"SI","NO")</f>
        <v>SI</v>
      </c>
      <c r="U114" s="59" t="str">
        <f>IF(OR(Hoja1!$K114=1,Hoja1!$L114=1,Hoja1!$M114=1,Hoja1!$N114=1,Hoja1!$O114=1,Hoja1!$P114=1),"SI","NO")</f>
        <v>SI</v>
      </c>
      <c r="V114" s="60">
        <v>0.0</v>
      </c>
      <c r="W114" s="61">
        <v>95.0</v>
      </c>
      <c r="X114" s="61">
        <v>13.0</v>
      </c>
      <c r="Y114" s="60">
        <v>108.0</v>
      </c>
      <c r="Z114" s="61">
        <v>94.0</v>
      </c>
      <c r="AA114" s="61">
        <v>14.0</v>
      </c>
      <c r="AB114" s="60">
        <v>108.0</v>
      </c>
      <c r="AC114" s="61">
        <v>95.0</v>
      </c>
      <c r="AD114" s="61">
        <v>13.0</v>
      </c>
      <c r="AE114" s="60">
        <v>108.0</v>
      </c>
      <c r="AF114" s="61">
        <v>95.0</v>
      </c>
      <c r="AG114" s="61">
        <v>13.0</v>
      </c>
      <c r="AH114" s="60">
        <v>108.0</v>
      </c>
      <c r="AI114" s="61">
        <v>0.0</v>
      </c>
      <c r="AJ114" s="61">
        <v>0.0</v>
      </c>
      <c r="AK114" s="60">
        <v>0.0</v>
      </c>
      <c r="AL114" s="61">
        <v>0.0</v>
      </c>
      <c r="AM114" s="61">
        <v>0.0</v>
      </c>
      <c r="AN114" s="60">
        <v>0.0</v>
      </c>
      <c r="AO114" s="62">
        <v>0.0</v>
      </c>
      <c r="AP114" s="62">
        <v>0.0</v>
      </c>
      <c r="AQ114" s="60">
        <v>0.0</v>
      </c>
      <c r="AR114" s="60" t="str">
        <f>IF(Hoja1!$AQ114&gt;0,Hoja1!$AQ114,IF(Hoja1!$AN114&gt;0,Hoja1!$AN114,IF(Hoja1!$AK114&gt;0,Hoja1!$AK114,IF(Hoja1!$AH114&gt;0,Hoja1!$AH114,IF(Hoja1!$AE114&gt;0,Hoja1!$AE114,IF(Hoja1!$AB114&gt;0,Hoja1!$AB114,IF(Hoja1!$Y114&gt;0,Hoja1!$Y114,IF(Hoja1!$V114&gt;0,Hoja1!$V114," ---"))))))))</f>
        <v>108</v>
      </c>
      <c r="AS114" s="63">
        <v>14.0</v>
      </c>
      <c r="AT114" s="63">
        <v>9.0</v>
      </c>
      <c r="AU114" s="63">
        <v>28.0</v>
      </c>
      <c r="AV114" s="63">
        <v>6.0</v>
      </c>
      <c r="AW114" s="63">
        <v>21.0</v>
      </c>
      <c r="AX114" s="63">
        <v>4.0</v>
      </c>
      <c r="AY114" s="63">
        <v>0.0</v>
      </c>
      <c r="AZ114" s="63">
        <v>0.0</v>
      </c>
      <c r="BA114" s="63">
        <v>0.0</v>
      </c>
      <c r="BB114" s="63">
        <v>0.0</v>
      </c>
      <c r="BC114" s="63">
        <v>0.0</v>
      </c>
      <c r="BD114" s="63">
        <v>0.0</v>
      </c>
      <c r="BE114" s="64">
        <v>0.0</v>
      </c>
      <c r="BF114" s="65">
        <v>0.0</v>
      </c>
      <c r="BG114" s="65">
        <v>0.0</v>
      </c>
      <c r="BH114" s="66">
        <v>0.0</v>
      </c>
      <c r="BI114" s="67" t="str">
        <f t="shared" si="23"/>
        <v>#REF!</v>
      </c>
      <c r="BJ114" s="68" t="str">
        <f t="shared" si="24"/>
        <v>#REF!</v>
      </c>
      <c r="BK114" s="65">
        <v>0.0</v>
      </c>
      <c r="BL114" s="65">
        <v>49011.37</v>
      </c>
      <c r="BM114" s="66">
        <v>49011.37</v>
      </c>
      <c r="BN114" s="67" t="str">
        <f t="shared" si="25"/>
        <v>#REF!</v>
      </c>
      <c r="BO114" s="68" t="str">
        <f t="shared" si="26"/>
        <v>#REF!</v>
      </c>
      <c r="BP114" s="65">
        <v>849810.0</v>
      </c>
      <c r="BQ114" s="65">
        <v>0.0</v>
      </c>
      <c r="BR114" s="66">
        <v>849810.0</v>
      </c>
      <c r="BS114" s="67" t="str">
        <f t="shared" si="27"/>
        <v>#REF!</v>
      </c>
      <c r="BT114" s="68" t="str">
        <f>'[1]DATA CONSOLIDADA 2018-2025 '!$BR114-Hoja1!$BO114</f>
        <v>#REF!</v>
      </c>
      <c r="BU114" s="65">
        <v>374960.0</v>
      </c>
      <c r="BV114" s="65">
        <v>0.0</v>
      </c>
      <c r="BW114" s="66">
        <v>374960.0</v>
      </c>
      <c r="BX114" s="67" t="str">
        <f t="shared" si="28"/>
        <v>#REF!</v>
      </c>
      <c r="BY114" s="68" t="str">
        <f t="shared" si="29"/>
        <v>#REF!</v>
      </c>
      <c r="BZ114" s="65">
        <v>0.0</v>
      </c>
      <c r="CA114" s="65">
        <v>0.0</v>
      </c>
      <c r="CB114" s="66">
        <v>0.0</v>
      </c>
      <c r="CC114" s="67" t="str">
        <f t="shared" si="30"/>
        <v>#REF!</v>
      </c>
      <c r="CD114" s="68" t="str">
        <f>'[1]DATA CONSOLIDADA 2018-2025 '!$CB114-Hoja1!$BW114</f>
        <v>#REF!</v>
      </c>
      <c r="CE114" s="70">
        <v>0.0</v>
      </c>
      <c r="CF114" s="70">
        <v>0.0</v>
      </c>
      <c r="CG114" s="71">
        <v>0.0</v>
      </c>
      <c r="CH114" s="67" t="str">
        <f t="shared" si="31"/>
        <v>#REF!</v>
      </c>
      <c r="CI114" s="68" t="str">
        <f>'[1]DATA CONSOLIDADA 2018-2025 '!$CG114-Hoja1!$CB114</f>
        <v>#REF!</v>
      </c>
      <c r="CJ114" s="64" t="str">
        <f t="shared" si="22"/>
        <v>#REF!</v>
      </c>
      <c r="CK114" s="64">
        <v>0.0</v>
      </c>
      <c r="CL114" s="64">
        <v>0.0</v>
      </c>
      <c r="CM114" s="64">
        <v>0.0</v>
      </c>
      <c r="CN114" s="64" t="str">
        <f t="shared" si="12"/>
        <v>#REF!</v>
      </c>
      <c r="CO114" s="68" t="str">
        <f>'[1]DATA CONSOLIDADA 2018-2025 '!$CM114-Hoja1!$CG114</f>
        <v>#REF!</v>
      </c>
      <c r="CP114" s="70">
        <v>0.0</v>
      </c>
      <c r="CQ114" s="70">
        <v>0.0</v>
      </c>
      <c r="CR114" s="70">
        <v>0.0</v>
      </c>
      <c r="CS114" s="70">
        <v>0.0</v>
      </c>
      <c r="CT114" s="70">
        <v>0.0</v>
      </c>
      <c r="CU114" s="70">
        <v>0.0</v>
      </c>
      <c r="CV114" s="64">
        <v>0.0</v>
      </c>
      <c r="CW114" s="64">
        <v>0.0</v>
      </c>
      <c r="CX114" s="64">
        <v>0.0</v>
      </c>
      <c r="CY114" s="64">
        <v>0.0</v>
      </c>
      <c r="CZ114" s="64">
        <v>0.0</v>
      </c>
      <c r="DA114" s="64">
        <v>0.0</v>
      </c>
      <c r="DB114" s="64">
        <v>0.0</v>
      </c>
      <c r="DC114" s="72">
        <v>0.0</v>
      </c>
      <c r="DD114" s="72">
        <v>0.0</v>
      </c>
      <c r="DE114" s="72">
        <v>0.0</v>
      </c>
      <c r="DF114" s="72">
        <v>0.0</v>
      </c>
      <c r="DG114" s="72">
        <v>0.0</v>
      </c>
      <c r="DH114" s="72">
        <v>0.0</v>
      </c>
      <c r="DI114" s="73">
        <v>2.0601427541E10</v>
      </c>
      <c r="DJ114" s="74" t="s">
        <v>509</v>
      </c>
      <c r="DK114" s="74" t="s">
        <v>132</v>
      </c>
      <c r="DL114" s="75"/>
      <c r="DM114" s="75"/>
      <c r="DN114" s="75"/>
      <c r="DO114" s="75"/>
      <c r="DP114" s="75"/>
      <c r="DQ114" s="75"/>
      <c r="DR114" s="75"/>
      <c r="DS114" s="75"/>
      <c r="DT114" s="75"/>
      <c r="DU114" s="75"/>
      <c r="DV114" s="75"/>
      <c r="DW114" s="75"/>
      <c r="DX114" s="75"/>
      <c r="DY114" s="75"/>
      <c r="DZ114" s="75"/>
      <c r="EA114" s="75"/>
      <c r="EB114" s="75"/>
      <c r="EC114" s="75"/>
      <c r="ED114" s="75"/>
      <c r="EE114" s="75"/>
    </row>
    <row r="115" ht="47.25" hidden="1" customHeight="1">
      <c r="A115" s="55" t="s">
        <v>510</v>
      </c>
      <c r="B115" s="55" t="s">
        <v>126</v>
      </c>
      <c r="C115" s="55" t="s">
        <v>126</v>
      </c>
      <c r="D115" s="55" t="s">
        <v>434</v>
      </c>
      <c r="E115" s="55" t="s">
        <v>511</v>
      </c>
      <c r="F115" s="55" t="s">
        <v>434</v>
      </c>
      <c r="G115" s="55" t="s">
        <v>435</v>
      </c>
      <c r="H115" s="55" t="s">
        <v>512</v>
      </c>
      <c r="I115" s="56">
        <v>1.0</v>
      </c>
      <c r="J115" s="56">
        <v>1.0</v>
      </c>
      <c r="K115" s="56">
        <v>1.0</v>
      </c>
      <c r="L115" s="56">
        <v>1.0</v>
      </c>
      <c r="M115" s="56">
        <v>1.0</v>
      </c>
      <c r="N115" s="56">
        <v>1.0</v>
      </c>
      <c r="O115" s="56"/>
      <c r="P115" s="56"/>
      <c r="Q115" s="56" t="s">
        <v>131</v>
      </c>
      <c r="R115" s="58" t="str">
        <f t="shared" si="1"/>
        <v>2018-2019-2020-2021-2022-2023</v>
      </c>
      <c r="S115" s="59" t="str">
        <f>SUM(Hoja1!$I115:$P115)</f>
        <v>6</v>
      </c>
      <c r="T115" s="59" t="str">
        <f>IF(OR(Hoja1!$J115=1,Hoja1!$K115=1,Hoja1!$L115=1,Hoja1!$M115=1,Hoja1!$N115=1,Hoja1!$O115=1,Hoja1!$P115=1),"SI","NO")</f>
        <v>SI</v>
      </c>
      <c r="U115" s="59" t="str">
        <f>IF(OR(Hoja1!$K115=1,Hoja1!$L115=1,Hoja1!$M115=1,Hoja1!$N115=1,Hoja1!$O115=1,Hoja1!$P115=1),"SI","NO")</f>
        <v>SI</v>
      </c>
      <c r="V115" s="60">
        <v>116.0</v>
      </c>
      <c r="W115" s="61">
        <v>84.0</v>
      </c>
      <c r="X115" s="61">
        <v>29.0</v>
      </c>
      <c r="Y115" s="60">
        <v>113.0</v>
      </c>
      <c r="Z115" s="61">
        <v>108.0</v>
      </c>
      <c r="AA115" s="61">
        <v>36.0</v>
      </c>
      <c r="AB115" s="60">
        <v>144.0</v>
      </c>
      <c r="AC115" s="61">
        <v>103.0</v>
      </c>
      <c r="AD115" s="61">
        <v>34.0</v>
      </c>
      <c r="AE115" s="60">
        <v>137.0</v>
      </c>
      <c r="AF115" s="61">
        <v>103.0</v>
      </c>
      <c r="AG115" s="61">
        <v>34.0</v>
      </c>
      <c r="AH115" s="60">
        <v>137.0</v>
      </c>
      <c r="AI115" s="61">
        <v>103.0</v>
      </c>
      <c r="AJ115" s="61">
        <v>34.0</v>
      </c>
      <c r="AK115" s="60">
        <v>137.0</v>
      </c>
      <c r="AL115" s="61">
        <v>0.0</v>
      </c>
      <c r="AM115" s="61">
        <v>0.0</v>
      </c>
      <c r="AN115" s="60">
        <v>0.0</v>
      </c>
      <c r="AO115" s="62">
        <v>0.0</v>
      </c>
      <c r="AP115" s="62">
        <v>0.0</v>
      </c>
      <c r="AQ115" s="60">
        <v>0.0</v>
      </c>
      <c r="AR115" s="60" t="str">
        <f>IF(Hoja1!$AQ115&gt;0,Hoja1!$AQ115,IF(Hoja1!$AN115&gt;0,Hoja1!$AN115,IF(Hoja1!$AK115&gt;0,Hoja1!$AK115,IF(Hoja1!$AH115&gt;0,Hoja1!$AH115,IF(Hoja1!$AE115&gt;0,Hoja1!$AE115,IF(Hoja1!$AB115&gt;0,Hoja1!$AB115,IF(Hoja1!$Y115&gt;0,Hoja1!$Y115,IF(Hoja1!$V115&gt;0,Hoja1!$V115," ---"))))))))</f>
        <v>137</v>
      </c>
      <c r="AS115" s="63">
        <v>0.0</v>
      </c>
      <c r="AT115" s="63">
        <v>7.0</v>
      </c>
      <c r="AU115" s="63">
        <v>20.0</v>
      </c>
      <c r="AV115" s="63">
        <v>4.0</v>
      </c>
      <c r="AW115" s="63">
        <v>15.0</v>
      </c>
      <c r="AX115" s="63">
        <v>3.0</v>
      </c>
      <c r="AY115" s="63">
        <v>23.0</v>
      </c>
      <c r="AZ115" s="63">
        <v>0.0</v>
      </c>
      <c r="BA115" s="63">
        <v>0.0</v>
      </c>
      <c r="BB115" s="63">
        <v>0.0</v>
      </c>
      <c r="BC115" s="63">
        <v>0.0</v>
      </c>
      <c r="BD115" s="63">
        <v>0.0</v>
      </c>
      <c r="BE115" s="64">
        <v>0.0</v>
      </c>
      <c r="BF115" s="65">
        <v>190487.74</v>
      </c>
      <c r="BG115" s="65">
        <v>532530.46</v>
      </c>
      <c r="BH115" s="66">
        <v>723018.2</v>
      </c>
      <c r="BI115" s="67" t="str">
        <f t="shared" si="23"/>
        <v>#REF!</v>
      </c>
      <c r="BJ115" s="68" t="str">
        <f t="shared" si="24"/>
        <v>#REF!</v>
      </c>
      <c r="BK115" s="65">
        <v>923748.54</v>
      </c>
      <c r="BL115" s="65">
        <v>0.0</v>
      </c>
      <c r="BM115" s="66">
        <v>923748.54</v>
      </c>
      <c r="BN115" s="67" t="str">
        <f t="shared" si="25"/>
        <v>#REF!</v>
      </c>
      <c r="BO115" s="68" t="str">
        <f t="shared" si="26"/>
        <v>#REF!</v>
      </c>
      <c r="BP115" s="76">
        <v>1432837.27</v>
      </c>
      <c r="BQ115" s="76">
        <v>0.0</v>
      </c>
      <c r="BR115" s="66">
        <v>1432837.27</v>
      </c>
      <c r="BS115" s="67" t="str">
        <f t="shared" si="27"/>
        <v>#REF!</v>
      </c>
      <c r="BT115" s="68" t="str">
        <f>'[1]DATA CONSOLIDADA 2018-2025 '!$BR115-Hoja1!$BO115</f>
        <v>#REF!</v>
      </c>
      <c r="BU115" s="65">
        <v>477668.71</v>
      </c>
      <c r="BV115" s="65">
        <v>2006942.56</v>
      </c>
      <c r="BW115" s="66">
        <v>2484611.27</v>
      </c>
      <c r="BX115" s="67" t="str">
        <f t="shared" si="28"/>
        <v>#REF!</v>
      </c>
      <c r="BY115" s="68" t="str">
        <f t="shared" si="29"/>
        <v>#REF!</v>
      </c>
      <c r="BZ115" s="65">
        <v>1303391.22</v>
      </c>
      <c r="CA115" s="65">
        <v>546722.31</v>
      </c>
      <c r="CB115" s="66">
        <v>1850113.53</v>
      </c>
      <c r="CC115" s="67" t="str">
        <f t="shared" si="30"/>
        <v>#REF!</v>
      </c>
      <c r="CD115" s="68" t="str">
        <f>'[1]DATA CONSOLIDADA 2018-2025 '!$CB115-Hoja1!$BW115</f>
        <v>#REF!</v>
      </c>
      <c r="CE115" s="70">
        <v>0.0</v>
      </c>
      <c r="CF115" s="70">
        <v>0.0</v>
      </c>
      <c r="CG115" s="71">
        <v>0.0</v>
      </c>
      <c r="CH115" s="67" t="str">
        <f t="shared" si="31"/>
        <v>#REF!</v>
      </c>
      <c r="CI115" s="68" t="str">
        <f>'[1]DATA CONSOLIDADA 2018-2025 '!$CG115-Hoja1!$CB115</f>
        <v>#REF!</v>
      </c>
      <c r="CJ115" s="64" t="str">
        <f t="shared" si="22"/>
        <v>#REF!</v>
      </c>
      <c r="CK115" s="64">
        <v>0.0</v>
      </c>
      <c r="CL115" s="64">
        <v>0.0</v>
      </c>
      <c r="CM115" s="64">
        <v>0.0</v>
      </c>
      <c r="CN115" s="64" t="str">
        <f t="shared" si="12"/>
        <v>#REF!</v>
      </c>
      <c r="CO115" s="68" t="str">
        <f>'[1]DATA CONSOLIDADA 2018-2025 '!$CM115-Hoja1!$CG115</f>
        <v>#REF!</v>
      </c>
      <c r="CP115" s="70">
        <v>0.0</v>
      </c>
      <c r="CQ115" s="70">
        <v>0.0</v>
      </c>
      <c r="CR115" s="70">
        <v>0.0</v>
      </c>
      <c r="CS115" s="70">
        <v>1850120.185402</v>
      </c>
      <c r="CT115" s="70">
        <v>0.0</v>
      </c>
      <c r="CU115" s="70">
        <v>0.0</v>
      </c>
      <c r="CV115" s="64">
        <v>1850120.185402</v>
      </c>
      <c r="CW115" s="64">
        <v>0.0</v>
      </c>
      <c r="CX115" s="64">
        <v>0.0</v>
      </c>
      <c r="CY115" s="64">
        <v>0.0</v>
      </c>
      <c r="CZ115" s="64">
        <v>0.0</v>
      </c>
      <c r="DA115" s="64">
        <v>0.0</v>
      </c>
      <c r="DB115" s="64">
        <v>0.0</v>
      </c>
      <c r="DC115" s="72">
        <v>0.0</v>
      </c>
      <c r="DD115" s="72">
        <v>0.0</v>
      </c>
      <c r="DE115" s="72">
        <v>0.0</v>
      </c>
      <c r="DF115" s="72">
        <v>0.0</v>
      </c>
      <c r="DG115" s="72">
        <v>0.0</v>
      </c>
      <c r="DH115" s="72">
        <v>0.0</v>
      </c>
      <c r="DI115" s="73">
        <v>2.0136201132E10</v>
      </c>
      <c r="DJ115" s="74" t="s">
        <v>513</v>
      </c>
      <c r="DK115" s="74" t="s">
        <v>132</v>
      </c>
      <c r="DL115" s="75"/>
      <c r="DM115" s="75"/>
      <c r="DN115" s="75"/>
      <c r="DO115" s="75"/>
      <c r="DP115" s="75"/>
      <c r="DQ115" s="75"/>
      <c r="DR115" s="75"/>
      <c r="DS115" s="75"/>
      <c r="DT115" s="75"/>
      <c r="DU115" s="75"/>
      <c r="DV115" s="75"/>
      <c r="DW115" s="75"/>
      <c r="DX115" s="75"/>
      <c r="DY115" s="75"/>
      <c r="DZ115" s="75"/>
      <c r="EA115" s="75"/>
      <c r="EB115" s="75"/>
      <c r="EC115" s="75"/>
      <c r="ED115" s="75"/>
      <c r="EE115" s="75"/>
    </row>
    <row r="116" ht="47.25" hidden="1" customHeight="1">
      <c r="A116" s="55" t="s">
        <v>514</v>
      </c>
      <c r="B116" s="55" t="s">
        <v>126</v>
      </c>
      <c r="C116" s="55" t="s">
        <v>126</v>
      </c>
      <c r="D116" s="55" t="s">
        <v>434</v>
      </c>
      <c r="E116" s="55" t="s">
        <v>515</v>
      </c>
      <c r="F116" s="55" t="s">
        <v>434</v>
      </c>
      <c r="G116" s="55" t="s">
        <v>435</v>
      </c>
      <c r="H116" s="55" t="s">
        <v>516</v>
      </c>
      <c r="I116" s="56"/>
      <c r="J116" s="56">
        <v>1.0</v>
      </c>
      <c r="K116" s="56">
        <v>1.0</v>
      </c>
      <c r="L116" s="56">
        <v>1.0</v>
      </c>
      <c r="M116" s="56">
        <v>1.0</v>
      </c>
      <c r="N116" s="56">
        <v>1.0</v>
      </c>
      <c r="O116" s="56"/>
      <c r="P116" s="56"/>
      <c r="Q116" s="56" t="s">
        <v>131</v>
      </c>
      <c r="R116" s="58" t="str">
        <f t="shared" si="1"/>
        <v>2019-2020-2021-2022-2023</v>
      </c>
      <c r="S116" s="59" t="str">
        <f>SUM(Hoja1!$I116:$P116)</f>
        <v>5</v>
      </c>
      <c r="T116" s="59" t="str">
        <f>IF(OR(Hoja1!$J116=1,Hoja1!$K116=1,Hoja1!$L116=1,Hoja1!$M116=1,Hoja1!$N116=1,Hoja1!$O116=1,Hoja1!$P116=1),"SI","NO")</f>
        <v>SI</v>
      </c>
      <c r="U116" s="59" t="str">
        <f>IF(OR(Hoja1!$K116=1,Hoja1!$L116=1,Hoja1!$M116=1,Hoja1!$N116=1,Hoja1!$O116=1,Hoja1!$P116=1),"SI","NO")</f>
        <v>SI</v>
      </c>
      <c r="V116" s="60">
        <v>0.0</v>
      </c>
      <c r="W116" s="61">
        <v>124.0</v>
      </c>
      <c r="X116" s="61">
        <v>79.0</v>
      </c>
      <c r="Y116" s="60">
        <v>203.0</v>
      </c>
      <c r="Z116" s="61">
        <v>138.0</v>
      </c>
      <c r="AA116" s="61">
        <v>79.0</v>
      </c>
      <c r="AB116" s="60">
        <v>217.0</v>
      </c>
      <c r="AC116" s="61">
        <v>116.0</v>
      </c>
      <c r="AD116" s="61">
        <v>74.0</v>
      </c>
      <c r="AE116" s="60">
        <v>190.0</v>
      </c>
      <c r="AF116" s="61">
        <v>116.0</v>
      </c>
      <c r="AG116" s="61">
        <v>74.0</v>
      </c>
      <c r="AH116" s="60">
        <v>190.0</v>
      </c>
      <c r="AI116" s="61">
        <v>116.0</v>
      </c>
      <c r="AJ116" s="61">
        <v>74.0</v>
      </c>
      <c r="AK116" s="60">
        <v>190.0</v>
      </c>
      <c r="AL116" s="61">
        <v>0.0</v>
      </c>
      <c r="AM116" s="61">
        <v>0.0</v>
      </c>
      <c r="AN116" s="60">
        <v>0.0</v>
      </c>
      <c r="AO116" s="62">
        <v>0.0</v>
      </c>
      <c r="AP116" s="62">
        <v>0.0</v>
      </c>
      <c r="AQ116" s="60">
        <v>0.0</v>
      </c>
      <c r="AR116" s="60" t="str">
        <f>IF(Hoja1!$AQ116&gt;0,Hoja1!$AQ116,IF(Hoja1!$AN116&gt;0,Hoja1!$AN116,IF(Hoja1!$AK116&gt;0,Hoja1!$AK116,IF(Hoja1!$AH116&gt;0,Hoja1!$AH116,IF(Hoja1!$AE116&gt;0,Hoja1!$AE116,IF(Hoja1!$AB116&gt;0,Hoja1!$AB116,IF(Hoja1!$Y116&gt;0,Hoja1!$Y116,IF(Hoja1!$V116&gt;0,Hoja1!$V116," ---"))))))))</f>
        <v>190</v>
      </c>
      <c r="AS116" s="63">
        <v>0.0</v>
      </c>
      <c r="AT116" s="63">
        <v>7.0</v>
      </c>
      <c r="AU116" s="63">
        <v>21.0</v>
      </c>
      <c r="AV116" s="63">
        <v>5.0</v>
      </c>
      <c r="AW116" s="63">
        <v>16.0</v>
      </c>
      <c r="AX116" s="63">
        <v>3.0</v>
      </c>
      <c r="AY116" s="63">
        <v>33.0</v>
      </c>
      <c r="AZ116" s="63">
        <v>2.0</v>
      </c>
      <c r="BA116" s="63">
        <v>0.0</v>
      </c>
      <c r="BB116" s="63">
        <v>0.0</v>
      </c>
      <c r="BC116" s="63">
        <v>0.0</v>
      </c>
      <c r="BD116" s="63">
        <v>0.0</v>
      </c>
      <c r="BE116" s="66">
        <v>0.0</v>
      </c>
      <c r="BF116" s="65">
        <v>650453.76</v>
      </c>
      <c r="BG116" s="65">
        <v>0.0</v>
      </c>
      <c r="BH116" s="66">
        <v>650453.76</v>
      </c>
      <c r="BI116" s="67" t="str">
        <f t="shared" si="23"/>
        <v>#REF!</v>
      </c>
      <c r="BJ116" s="68" t="str">
        <f t="shared" si="24"/>
        <v>#REF!</v>
      </c>
      <c r="BK116" s="65">
        <v>1135246.87</v>
      </c>
      <c r="BL116" s="65">
        <v>0.0</v>
      </c>
      <c r="BM116" s="66">
        <v>1135246.87</v>
      </c>
      <c r="BN116" s="67" t="str">
        <f t="shared" si="25"/>
        <v>#REF!</v>
      </c>
      <c r="BO116" s="68" t="str">
        <f t="shared" si="26"/>
        <v>#REF!</v>
      </c>
      <c r="BP116" s="76">
        <v>1633798.09</v>
      </c>
      <c r="BQ116" s="76">
        <v>394487.88</v>
      </c>
      <c r="BR116" s="66">
        <v>2028285.9700000002</v>
      </c>
      <c r="BS116" s="67" t="str">
        <f t="shared" si="27"/>
        <v>#REF!</v>
      </c>
      <c r="BT116" s="68" t="str">
        <f>'[1]DATA CONSOLIDADA 2018-2025 '!$BR116-Hoja1!$BO116</f>
        <v>#REF!</v>
      </c>
      <c r="BU116" s="65">
        <v>479300.86</v>
      </c>
      <c r="BV116" s="65">
        <v>488023.26</v>
      </c>
      <c r="BW116" s="66">
        <v>967324.12</v>
      </c>
      <c r="BX116" s="67" t="str">
        <f t="shared" si="28"/>
        <v>#REF!</v>
      </c>
      <c r="BY116" s="68" t="str">
        <f t="shared" si="29"/>
        <v>#REF!</v>
      </c>
      <c r="BZ116" s="65">
        <v>2195856.67</v>
      </c>
      <c r="CA116" s="65">
        <v>882708.3</v>
      </c>
      <c r="CB116" s="66">
        <v>3078564.97</v>
      </c>
      <c r="CC116" s="67" t="str">
        <f t="shared" si="30"/>
        <v>#REF!</v>
      </c>
      <c r="CD116" s="68" t="str">
        <f>'[1]DATA CONSOLIDADA 2018-2025 '!$CB116-Hoja1!$BW116</f>
        <v>#REF!</v>
      </c>
      <c r="CE116" s="70">
        <v>0.0</v>
      </c>
      <c r="CF116" s="70">
        <v>0.0</v>
      </c>
      <c r="CG116" s="71">
        <v>0.0</v>
      </c>
      <c r="CH116" s="67" t="str">
        <f t="shared" si="31"/>
        <v>#REF!</v>
      </c>
      <c r="CI116" s="68" t="str">
        <f>'[1]DATA CONSOLIDADA 2018-2025 '!$CG116-Hoja1!$CB116</f>
        <v>#REF!</v>
      </c>
      <c r="CJ116" s="64" t="str">
        <f t="shared" si="22"/>
        <v>#REF!</v>
      </c>
      <c r="CK116" s="64">
        <v>0.0</v>
      </c>
      <c r="CL116" s="64">
        <v>0.0</v>
      </c>
      <c r="CM116" s="64">
        <v>0.0</v>
      </c>
      <c r="CN116" s="64" t="str">
        <f t="shared" si="12"/>
        <v>#REF!</v>
      </c>
      <c r="CO116" s="68" t="str">
        <f>'[1]DATA CONSOLIDADA 2018-2025 '!$CM116-Hoja1!$CG116</f>
        <v>#REF!</v>
      </c>
      <c r="CP116" s="70">
        <v>0.0</v>
      </c>
      <c r="CQ116" s="70">
        <v>2195856.6699999995</v>
      </c>
      <c r="CR116" s="70">
        <v>0.0</v>
      </c>
      <c r="CS116" s="70">
        <v>882708.3</v>
      </c>
      <c r="CT116" s="70">
        <v>0.0</v>
      </c>
      <c r="CU116" s="70">
        <v>0.0</v>
      </c>
      <c r="CV116" s="64">
        <v>3078564.9699999997</v>
      </c>
      <c r="CW116" s="64">
        <v>0.0</v>
      </c>
      <c r="CX116" s="64">
        <v>0.0</v>
      </c>
      <c r="CY116" s="64">
        <v>0.0</v>
      </c>
      <c r="CZ116" s="64">
        <v>0.0</v>
      </c>
      <c r="DA116" s="64">
        <v>0.0</v>
      </c>
      <c r="DB116" s="64">
        <v>0.0</v>
      </c>
      <c r="DC116" s="72">
        <v>0.0</v>
      </c>
      <c r="DD116" s="72">
        <v>0.0</v>
      </c>
      <c r="DE116" s="72">
        <v>0.0</v>
      </c>
      <c r="DF116" s="72">
        <v>0.0</v>
      </c>
      <c r="DG116" s="72">
        <v>0.0</v>
      </c>
      <c r="DH116" s="72">
        <v>0.0</v>
      </c>
      <c r="DI116" s="73">
        <v>2.0132509876E10</v>
      </c>
      <c r="DJ116" s="74" t="s">
        <v>517</v>
      </c>
      <c r="DK116" s="74" t="s">
        <v>132</v>
      </c>
      <c r="DL116" s="75"/>
      <c r="DM116" s="75"/>
      <c r="DN116" s="75"/>
      <c r="DO116" s="75"/>
      <c r="DP116" s="75"/>
      <c r="DQ116" s="75"/>
      <c r="DR116" s="75"/>
      <c r="DS116" s="75"/>
      <c r="DT116" s="75"/>
      <c r="DU116" s="75"/>
      <c r="DV116" s="75"/>
      <c r="DW116" s="75"/>
      <c r="DX116" s="75"/>
      <c r="DY116" s="75"/>
      <c r="DZ116" s="75"/>
      <c r="EA116" s="75"/>
      <c r="EB116" s="75"/>
      <c r="EC116" s="75"/>
      <c r="ED116" s="75"/>
      <c r="EE116" s="75"/>
    </row>
    <row r="117" ht="47.25" hidden="1" customHeight="1">
      <c r="A117" s="55" t="s">
        <v>518</v>
      </c>
      <c r="B117" s="55" t="s">
        <v>126</v>
      </c>
      <c r="C117" s="55" t="s">
        <v>126</v>
      </c>
      <c r="D117" s="55" t="s">
        <v>434</v>
      </c>
      <c r="E117" s="55" t="s">
        <v>511</v>
      </c>
      <c r="F117" s="55" t="s">
        <v>434</v>
      </c>
      <c r="G117" s="55" t="s">
        <v>435</v>
      </c>
      <c r="H117" s="55" t="s">
        <v>512</v>
      </c>
      <c r="I117" s="56">
        <v>1.0</v>
      </c>
      <c r="J117" s="56">
        <v>1.0</v>
      </c>
      <c r="K117" s="56">
        <v>1.0</v>
      </c>
      <c r="L117" s="56">
        <v>1.0</v>
      </c>
      <c r="M117" s="56">
        <v>1.0</v>
      </c>
      <c r="N117" s="56">
        <v>1.0</v>
      </c>
      <c r="O117" s="56"/>
      <c r="P117" s="56"/>
      <c r="Q117" s="56" t="s">
        <v>131</v>
      </c>
      <c r="R117" s="58" t="str">
        <f t="shared" si="1"/>
        <v>2018-2019-2020-2021-2022-2023</v>
      </c>
      <c r="S117" s="59" t="str">
        <f>SUM(Hoja1!$I117:$P117)</f>
        <v>6</v>
      </c>
      <c r="T117" s="59" t="str">
        <f>IF(OR(Hoja1!$J117=1,Hoja1!$K117=1,Hoja1!$L117=1,Hoja1!$M117=1,Hoja1!$N117=1,Hoja1!$O117=1,Hoja1!$P117=1),"SI","NO")</f>
        <v>SI</v>
      </c>
      <c r="U117" s="59" t="str">
        <f>IF(OR(Hoja1!$K117=1,Hoja1!$L117=1,Hoja1!$M117=1,Hoja1!$N117=1,Hoja1!$O117=1,Hoja1!$P117=1),"SI","NO")</f>
        <v>SI</v>
      </c>
      <c r="V117" s="60">
        <v>264.0</v>
      </c>
      <c r="W117" s="61">
        <v>188.0</v>
      </c>
      <c r="X117" s="61">
        <v>30.0</v>
      </c>
      <c r="Y117" s="60">
        <v>218.0</v>
      </c>
      <c r="Z117" s="61">
        <v>197.0</v>
      </c>
      <c r="AA117" s="61">
        <v>32.0</v>
      </c>
      <c r="AB117" s="60">
        <v>229.0</v>
      </c>
      <c r="AC117" s="61">
        <v>227.0</v>
      </c>
      <c r="AD117" s="61">
        <v>54.0</v>
      </c>
      <c r="AE117" s="60">
        <v>281.0</v>
      </c>
      <c r="AF117" s="61">
        <v>227.0</v>
      </c>
      <c r="AG117" s="61">
        <v>54.0</v>
      </c>
      <c r="AH117" s="60">
        <v>281.0</v>
      </c>
      <c r="AI117" s="61">
        <v>227.0</v>
      </c>
      <c r="AJ117" s="61">
        <v>54.0</v>
      </c>
      <c r="AK117" s="60">
        <v>281.0</v>
      </c>
      <c r="AL117" s="61">
        <v>0.0</v>
      </c>
      <c r="AM117" s="61">
        <v>0.0</v>
      </c>
      <c r="AN117" s="60">
        <v>0.0</v>
      </c>
      <c r="AO117" s="62">
        <v>0.0</v>
      </c>
      <c r="AP117" s="62">
        <v>0.0</v>
      </c>
      <c r="AQ117" s="60">
        <v>0.0</v>
      </c>
      <c r="AR117" s="60" t="str">
        <f>IF(Hoja1!$AQ117&gt;0,Hoja1!$AQ117,IF(Hoja1!$AN117&gt;0,Hoja1!$AN117,IF(Hoja1!$AK117&gt;0,Hoja1!$AK117,IF(Hoja1!$AH117&gt;0,Hoja1!$AH117,IF(Hoja1!$AE117&gt;0,Hoja1!$AE117,IF(Hoja1!$AB117&gt;0,Hoja1!$AB117,IF(Hoja1!$Y117&gt;0,Hoja1!$Y117,IF(Hoja1!$V117&gt;0,Hoja1!$V117," ---"))))))))</f>
        <v>281</v>
      </c>
      <c r="AS117" s="63">
        <v>0.0</v>
      </c>
      <c r="AT117" s="63">
        <v>8.0</v>
      </c>
      <c r="AU117" s="63">
        <v>20.0</v>
      </c>
      <c r="AV117" s="63">
        <v>4.0</v>
      </c>
      <c r="AW117" s="63">
        <v>15.0</v>
      </c>
      <c r="AX117" s="63">
        <v>3.0</v>
      </c>
      <c r="AY117" s="63">
        <v>26.0</v>
      </c>
      <c r="AZ117" s="63">
        <v>5.0</v>
      </c>
      <c r="BA117" s="63">
        <v>0.0</v>
      </c>
      <c r="BB117" s="63">
        <v>0.0</v>
      </c>
      <c r="BC117" s="63">
        <v>0.0</v>
      </c>
      <c r="BD117" s="63">
        <v>0.0</v>
      </c>
      <c r="BE117" s="64">
        <v>0.0</v>
      </c>
      <c r="BF117" s="65">
        <v>0.0</v>
      </c>
      <c r="BG117" s="65">
        <v>2788235.18</v>
      </c>
      <c r="BH117" s="66">
        <v>2788235.18</v>
      </c>
      <c r="BI117" s="67" t="str">
        <f t="shared" si="23"/>
        <v>#REF!</v>
      </c>
      <c r="BJ117" s="68" t="str">
        <f t="shared" si="24"/>
        <v>#REF!</v>
      </c>
      <c r="BK117" s="65">
        <v>0.0</v>
      </c>
      <c r="BL117" s="65">
        <v>983684.64</v>
      </c>
      <c r="BM117" s="66">
        <v>983684.64</v>
      </c>
      <c r="BN117" s="67" t="str">
        <f t="shared" si="25"/>
        <v>#REF!</v>
      </c>
      <c r="BO117" s="68" t="str">
        <f t="shared" si="26"/>
        <v>#REF!</v>
      </c>
      <c r="BP117" s="76">
        <v>113752.69</v>
      </c>
      <c r="BQ117" s="76">
        <v>2217448.79</v>
      </c>
      <c r="BR117" s="66">
        <v>2331201.48</v>
      </c>
      <c r="BS117" s="67" t="str">
        <f t="shared" si="27"/>
        <v>#REF!</v>
      </c>
      <c r="BT117" s="68" t="str">
        <f>'[1]DATA CONSOLIDADA 2018-2025 '!$BR117-Hoja1!$BO117</f>
        <v>#REF!</v>
      </c>
      <c r="BU117" s="65">
        <v>0.0</v>
      </c>
      <c r="BV117" s="65">
        <v>4795406.38</v>
      </c>
      <c r="BW117" s="66">
        <v>4795406.38</v>
      </c>
      <c r="BX117" s="67" t="str">
        <f t="shared" si="28"/>
        <v>#REF!</v>
      </c>
      <c r="BY117" s="68" t="str">
        <f t="shared" si="29"/>
        <v>#REF!</v>
      </c>
      <c r="BZ117" s="65">
        <v>5497.5</v>
      </c>
      <c r="CA117" s="65">
        <v>4450109.84</v>
      </c>
      <c r="CB117" s="66">
        <v>4455607.34</v>
      </c>
      <c r="CC117" s="67" t="str">
        <f t="shared" si="30"/>
        <v>#REF!</v>
      </c>
      <c r="CD117" s="68" t="str">
        <f>'[1]DATA CONSOLIDADA 2018-2025 '!$CB117-Hoja1!$BW117</f>
        <v>#REF!</v>
      </c>
      <c r="CE117" s="70">
        <v>0.0</v>
      </c>
      <c r="CF117" s="70">
        <v>0.0</v>
      </c>
      <c r="CG117" s="71">
        <v>0.0</v>
      </c>
      <c r="CH117" s="67" t="str">
        <f t="shared" si="31"/>
        <v>#REF!</v>
      </c>
      <c r="CI117" s="68" t="str">
        <f>'[1]DATA CONSOLIDADA 2018-2025 '!$CG117-Hoja1!$CB117</f>
        <v>#REF!</v>
      </c>
      <c r="CJ117" s="64" t="str">
        <f t="shared" si="22"/>
        <v>#REF!</v>
      </c>
      <c r="CK117" s="64">
        <v>0.0</v>
      </c>
      <c r="CL117" s="64">
        <v>0.0</v>
      </c>
      <c r="CM117" s="64">
        <v>0.0</v>
      </c>
      <c r="CN117" s="64" t="str">
        <f t="shared" si="12"/>
        <v>#REF!</v>
      </c>
      <c r="CO117" s="68" t="str">
        <f>'[1]DATA CONSOLIDADA 2018-2025 '!$CM117-Hoja1!$CG117</f>
        <v>#REF!</v>
      </c>
      <c r="CP117" s="70">
        <v>5197.5</v>
      </c>
      <c r="CQ117" s="70">
        <v>132.0</v>
      </c>
      <c r="CR117" s="70">
        <v>0.0</v>
      </c>
      <c r="CS117" s="70">
        <v>4450277.840000001</v>
      </c>
      <c r="CT117" s="70">
        <v>0.0</v>
      </c>
      <c r="CU117" s="70">
        <v>0.0</v>
      </c>
      <c r="CV117" s="64">
        <v>4455607.340000001</v>
      </c>
      <c r="CW117" s="64">
        <v>0.0</v>
      </c>
      <c r="CX117" s="64">
        <v>0.0</v>
      </c>
      <c r="CY117" s="64">
        <v>0.0</v>
      </c>
      <c r="CZ117" s="64">
        <v>0.0</v>
      </c>
      <c r="DA117" s="64">
        <v>0.0</v>
      </c>
      <c r="DB117" s="64">
        <v>0.0</v>
      </c>
      <c r="DC117" s="72">
        <v>0.0</v>
      </c>
      <c r="DD117" s="72">
        <v>0.0</v>
      </c>
      <c r="DE117" s="72">
        <v>0.0</v>
      </c>
      <c r="DF117" s="72">
        <v>0.0</v>
      </c>
      <c r="DG117" s="72">
        <v>0.0</v>
      </c>
      <c r="DH117" s="72">
        <v>0.0</v>
      </c>
      <c r="DI117" s="73">
        <v>2.0132509795E10</v>
      </c>
      <c r="DJ117" s="74" t="s">
        <v>518</v>
      </c>
      <c r="DK117" s="74" t="s">
        <v>132</v>
      </c>
      <c r="DL117" s="75"/>
      <c r="DM117" s="75"/>
      <c r="DN117" s="75"/>
      <c r="DO117" s="75"/>
      <c r="DP117" s="75"/>
      <c r="DQ117" s="75"/>
      <c r="DR117" s="75"/>
      <c r="DS117" s="75"/>
      <c r="DT117" s="75"/>
      <c r="DU117" s="75"/>
      <c r="DV117" s="75"/>
      <c r="DW117" s="75"/>
      <c r="DX117" s="75"/>
      <c r="DY117" s="75"/>
      <c r="DZ117" s="75"/>
      <c r="EA117" s="75"/>
      <c r="EB117" s="75"/>
      <c r="EC117" s="75"/>
      <c r="ED117" s="75"/>
      <c r="EE117" s="75"/>
    </row>
    <row r="118" ht="47.25" customHeight="1">
      <c r="A118" s="55" t="s">
        <v>510</v>
      </c>
      <c r="B118" s="55" t="s">
        <v>146</v>
      </c>
      <c r="C118" s="55" t="s">
        <v>146</v>
      </c>
      <c r="D118" s="55" t="s">
        <v>434</v>
      </c>
      <c r="E118" s="55" t="s">
        <v>511</v>
      </c>
      <c r="F118" s="55" t="s">
        <v>434</v>
      </c>
      <c r="G118" s="55" t="s">
        <v>435</v>
      </c>
      <c r="H118" s="55" t="s">
        <v>512</v>
      </c>
      <c r="I118" s="56"/>
      <c r="J118" s="56">
        <v>1.0</v>
      </c>
      <c r="K118" s="56">
        <v>1.0</v>
      </c>
      <c r="L118" s="56">
        <v>1.0</v>
      </c>
      <c r="M118" s="56">
        <v>1.0</v>
      </c>
      <c r="N118" s="56">
        <v>1.0</v>
      </c>
      <c r="O118" s="56"/>
      <c r="P118" s="56"/>
      <c r="Q118" s="56" t="s">
        <v>131</v>
      </c>
      <c r="R118" s="58" t="str">
        <f t="shared" si="1"/>
        <v>2019-2020-2021-2022-2023</v>
      </c>
      <c r="S118" s="59" t="str">
        <f>SUM(Hoja1!$I118:$P118)</f>
        <v>5</v>
      </c>
      <c r="T118" s="59" t="str">
        <f>IF(OR(Hoja1!$J118=1,Hoja1!$K118=1,Hoja1!$L118=1,Hoja1!$M118=1,Hoja1!$N118=1,Hoja1!$O118=1,Hoja1!$P118=1),"SI","NO")</f>
        <v>SI</v>
      </c>
      <c r="U118" s="59" t="str">
        <f>IF(OR(Hoja1!$K118=1,Hoja1!$L118=1,Hoja1!$M118=1,Hoja1!$N118=1,Hoja1!$O118=1,Hoja1!$P118=1),"SI","NO")</f>
        <v>SI</v>
      </c>
      <c r="V118" s="60">
        <v>0.0</v>
      </c>
      <c r="W118" s="61">
        <v>48.0</v>
      </c>
      <c r="X118" s="61">
        <v>19.0</v>
      </c>
      <c r="Y118" s="60">
        <v>67.0</v>
      </c>
      <c r="Z118" s="61">
        <v>59.0</v>
      </c>
      <c r="AA118" s="61">
        <v>22.0</v>
      </c>
      <c r="AB118" s="60">
        <v>81.0</v>
      </c>
      <c r="AC118" s="61">
        <v>61.0</v>
      </c>
      <c r="AD118" s="61">
        <v>24.0</v>
      </c>
      <c r="AE118" s="60">
        <v>85.0</v>
      </c>
      <c r="AF118" s="61">
        <v>61.0</v>
      </c>
      <c r="AG118" s="61">
        <v>24.0</v>
      </c>
      <c r="AH118" s="60">
        <v>85.0</v>
      </c>
      <c r="AI118" s="61">
        <v>61.0</v>
      </c>
      <c r="AJ118" s="61">
        <v>24.0</v>
      </c>
      <c r="AK118" s="60">
        <v>85.0</v>
      </c>
      <c r="AL118" s="61">
        <v>0.0</v>
      </c>
      <c r="AM118" s="61">
        <v>0.0</v>
      </c>
      <c r="AN118" s="60">
        <v>0.0</v>
      </c>
      <c r="AO118" s="62">
        <v>0.0</v>
      </c>
      <c r="AP118" s="62">
        <v>0.0</v>
      </c>
      <c r="AQ118" s="60">
        <v>0.0</v>
      </c>
      <c r="AR118" s="60" t="str">
        <f>IF(Hoja1!$AQ118&gt;0,Hoja1!$AQ118,IF(Hoja1!$AN118&gt;0,Hoja1!$AN118,IF(Hoja1!$AK118&gt;0,Hoja1!$AK118,IF(Hoja1!$AH118&gt;0,Hoja1!$AH118,IF(Hoja1!$AE118&gt;0,Hoja1!$AE118,IF(Hoja1!$AB118&gt;0,Hoja1!$AB118,IF(Hoja1!$Y118&gt;0,Hoja1!$Y118,IF(Hoja1!$V118&gt;0,Hoja1!$V118," ---"))))))))</f>
        <v>85</v>
      </c>
      <c r="AS118" s="63">
        <v>0.0</v>
      </c>
      <c r="AT118" s="63">
        <v>5.0</v>
      </c>
      <c r="AU118" s="63">
        <v>35.0</v>
      </c>
      <c r="AV118" s="63">
        <v>6.0</v>
      </c>
      <c r="AW118" s="63">
        <v>30.0</v>
      </c>
      <c r="AX118" s="63">
        <v>5.0</v>
      </c>
      <c r="AY118" s="63">
        <v>28.0</v>
      </c>
      <c r="AZ118" s="63">
        <v>0.0</v>
      </c>
      <c r="BA118" s="63">
        <v>0.0</v>
      </c>
      <c r="BB118" s="63">
        <v>0.0</v>
      </c>
      <c r="BC118" s="63">
        <v>0.0</v>
      </c>
      <c r="BD118" s="63">
        <v>0.0</v>
      </c>
      <c r="BE118" s="66">
        <v>0.0</v>
      </c>
      <c r="BF118" s="65">
        <v>262808.81</v>
      </c>
      <c r="BG118" s="65">
        <v>198454.0</v>
      </c>
      <c r="BH118" s="66">
        <v>461262.81</v>
      </c>
      <c r="BI118" s="67" t="str">
        <f t="shared" si="23"/>
        <v>#REF!</v>
      </c>
      <c r="BJ118" s="68" t="str">
        <f t="shared" si="24"/>
        <v>#REF!</v>
      </c>
      <c r="BK118" s="65">
        <v>1271031.72</v>
      </c>
      <c r="BL118" s="65">
        <v>0.0</v>
      </c>
      <c r="BM118" s="66">
        <v>1271031.72</v>
      </c>
      <c r="BN118" s="67" t="str">
        <f t="shared" si="25"/>
        <v>#REF!</v>
      </c>
      <c r="BO118" s="68" t="str">
        <f t="shared" si="26"/>
        <v>#REF!</v>
      </c>
      <c r="BP118" s="76">
        <v>3109929.92</v>
      </c>
      <c r="BQ118" s="76">
        <v>0.0</v>
      </c>
      <c r="BR118" s="66">
        <v>3109929.92</v>
      </c>
      <c r="BS118" s="67" t="str">
        <f t="shared" si="27"/>
        <v>#REF!</v>
      </c>
      <c r="BT118" s="68" t="str">
        <f>'[1]DATA CONSOLIDADA 2018-2025 '!$BR118-Hoja1!$BO118</f>
        <v>#REF!</v>
      </c>
      <c r="BU118" s="65">
        <v>1086104.29</v>
      </c>
      <c r="BV118" s="65">
        <v>39946.4</v>
      </c>
      <c r="BW118" s="66">
        <v>1126050.69</v>
      </c>
      <c r="BX118" s="67" t="str">
        <f t="shared" si="28"/>
        <v>#REF!</v>
      </c>
      <c r="BY118" s="68" t="str">
        <f t="shared" si="29"/>
        <v>#REF!</v>
      </c>
      <c r="BZ118" s="65">
        <v>2596074.75</v>
      </c>
      <c r="CA118" s="65">
        <v>40395.6</v>
      </c>
      <c r="CB118" s="66">
        <v>2636470.35</v>
      </c>
      <c r="CC118" s="67" t="str">
        <f t="shared" si="30"/>
        <v>#REF!</v>
      </c>
      <c r="CD118" s="68" t="str">
        <f>'[1]DATA CONSOLIDADA 2018-2025 '!$CB118-Hoja1!$BW118</f>
        <v>#REF!</v>
      </c>
      <c r="CE118" s="70">
        <v>0.0</v>
      </c>
      <c r="CF118" s="70">
        <v>0.0</v>
      </c>
      <c r="CG118" s="71">
        <v>0.0</v>
      </c>
      <c r="CH118" s="67" t="str">
        <f t="shared" si="31"/>
        <v>#REF!</v>
      </c>
      <c r="CI118" s="68" t="str">
        <f>'[1]DATA CONSOLIDADA 2018-2025 '!$CG118-Hoja1!$CB118</f>
        <v>#REF!</v>
      </c>
      <c r="CJ118" s="64" t="str">
        <f t="shared" si="22"/>
        <v>#REF!</v>
      </c>
      <c r="CK118" s="64">
        <v>0.0</v>
      </c>
      <c r="CL118" s="64">
        <v>0.0</v>
      </c>
      <c r="CM118" s="64">
        <v>0.0</v>
      </c>
      <c r="CN118" s="64" t="str">
        <f t="shared" si="12"/>
        <v>#REF!</v>
      </c>
      <c r="CO118" s="68" t="str">
        <f>'[1]DATA CONSOLIDADA 2018-2025 '!$CM118-Hoja1!$CG118</f>
        <v>#REF!</v>
      </c>
      <c r="CP118" s="70">
        <v>0.0</v>
      </c>
      <c r="CQ118" s="70">
        <v>0.0</v>
      </c>
      <c r="CR118" s="70">
        <v>0.0</v>
      </c>
      <c r="CS118" s="70">
        <v>2636471.1151</v>
      </c>
      <c r="CT118" s="70">
        <v>0.0</v>
      </c>
      <c r="CU118" s="70">
        <v>0.0</v>
      </c>
      <c r="CV118" s="64">
        <v>2636471.1151</v>
      </c>
      <c r="CW118" s="64">
        <v>0.0</v>
      </c>
      <c r="CX118" s="64">
        <v>0.0</v>
      </c>
      <c r="CY118" s="64">
        <v>0.0</v>
      </c>
      <c r="CZ118" s="64">
        <v>0.0</v>
      </c>
      <c r="DA118" s="64">
        <v>0.0</v>
      </c>
      <c r="DB118" s="64">
        <v>0.0</v>
      </c>
      <c r="DC118" s="72">
        <v>0.0</v>
      </c>
      <c r="DD118" s="72">
        <v>0.0</v>
      </c>
      <c r="DE118" s="72">
        <v>0.0</v>
      </c>
      <c r="DF118" s="72">
        <v>0.0</v>
      </c>
      <c r="DG118" s="72">
        <v>0.0</v>
      </c>
      <c r="DH118" s="72">
        <v>0.0</v>
      </c>
      <c r="DI118" s="73">
        <v>2.0136201132E10</v>
      </c>
      <c r="DJ118" s="74" t="s">
        <v>513</v>
      </c>
      <c r="DK118" s="74" t="s">
        <v>132</v>
      </c>
      <c r="DL118" s="75"/>
      <c r="DM118" s="75"/>
      <c r="DN118" s="75"/>
      <c r="DO118" s="75"/>
      <c r="DP118" s="75"/>
      <c r="DQ118" s="75"/>
      <c r="DR118" s="75"/>
      <c r="DS118" s="75"/>
      <c r="DT118" s="75"/>
      <c r="DU118" s="75"/>
      <c r="DV118" s="75"/>
      <c r="DW118" s="75"/>
      <c r="DX118" s="75"/>
      <c r="DY118" s="75"/>
      <c r="DZ118" s="75"/>
      <c r="EA118" s="75"/>
      <c r="EB118" s="75"/>
      <c r="EC118" s="75"/>
      <c r="ED118" s="75"/>
      <c r="EE118" s="75"/>
    </row>
    <row r="119" ht="47.25" customHeight="1">
      <c r="A119" s="55" t="s">
        <v>514</v>
      </c>
      <c r="B119" s="55" t="s">
        <v>146</v>
      </c>
      <c r="C119" s="55" t="s">
        <v>146</v>
      </c>
      <c r="D119" s="55" t="s">
        <v>434</v>
      </c>
      <c r="E119" s="55" t="s">
        <v>515</v>
      </c>
      <c r="F119" s="55" t="s">
        <v>434</v>
      </c>
      <c r="G119" s="55" t="s">
        <v>435</v>
      </c>
      <c r="H119" s="55" t="s">
        <v>516</v>
      </c>
      <c r="I119" s="56">
        <v>1.0</v>
      </c>
      <c r="J119" s="56">
        <v>1.0</v>
      </c>
      <c r="K119" s="56">
        <v>1.0</v>
      </c>
      <c r="L119" s="56">
        <v>1.0</v>
      </c>
      <c r="M119" s="56">
        <v>1.0</v>
      </c>
      <c r="N119" s="56">
        <v>1.0</v>
      </c>
      <c r="O119" s="56"/>
      <c r="P119" s="56"/>
      <c r="Q119" s="56" t="s">
        <v>131</v>
      </c>
      <c r="R119" s="58" t="str">
        <f t="shared" si="1"/>
        <v>2018-2019-2020-2021-2022-2023</v>
      </c>
      <c r="S119" s="59" t="str">
        <f>SUM(Hoja1!$I119:$P119)</f>
        <v>6</v>
      </c>
      <c r="T119" s="59" t="str">
        <f>IF(OR(Hoja1!$J119=1,Hoja1!$K119=1,Hoja1!$L119=1,Hoja1!$M119=1,Hoja1!$N119=1,Hoja1!$O119=1,Hoja1!$P119=1),"SI","NO")</f>
        <v>SI</v>
      </c>
      <c r="U119" s="59" t="str">
        <f>IF(OR(Hoja1!$K119=1,Hoja1!$L119=1,Hoja1!$M119=1,Hoja1!$N119=1,Hoja1!$O119=1,Hoja1!$P119=1),"SI","NO")</f>
        <v>SI</v>
      </c>
      <c r="V119" s="60">
        <v>39.0</v>
      </c>
      <c r="W119" s="61">
        <v>39.0</v>
      </c>
      <c r="X119" s="61">
        <v>16.0</v>
      </c>
      <c r="Y119" s="60">
        <v>55.0</v>
      </c>
      <c r="Z119" s="61">
        <v>43.0</v>
      </c>
      <c r="AA119" s="61">
        <v>18.0</v>
      </c>
      <c r="AB119" s="60">
        <v>61.0</v>
      </c>
      <c r="AC119" s="61">
        <v>32.0</v>
      </c>
      <c r="AD119" s="61">
        <v>15.0</v>
      </c>
      <c r="AE119" s="60">
        <v>47.0</v>
      </c>
      <c r="AF119" s="61">
        <v>32.0</v>
      </c>
      <c r="AG119" s="61">
        <v>15.0</v>
      </c>
      <c r="AH119" s="60">
        <v>47.0</v>
      </c>
      <c r="AI119" s="61">
        <v>32.0</v>
      </c>
      <c r="AJ119" s="61">
        <v>15.0</v>
      </c>
      <c r="AK119" s="60">
        <v>47.0</v>
      </c>
      <c r="AL119" s="61">
        <v>0.0</v>
      </c>
      <c r="AM119" s="61">
        <v>0.0</v>
      </c>
      <c r="AN119" s="60">
        <v>0.0</v>
      </c>
      <c r="AO119" s="62">
        <v>0.0</v>
      </c>
      <c r="AP119" s="62">
        <v>0.0</v>
      </c>
      <c r="AQ119" s="60">
        <v>0.0</v>
      </c>
      <c r="AR119" s="60" t="str">
        <f>IF(Hoja1!$AQ119&gt;0,Hoja1!$AQ119,IF(Hoja1!$AN119&gt;0,Hoja1!$AN119,IF(Hoja1!$AK119&gt;0,Hoja1!$AK119,IF(Hoja1!$AH119&gt;0,Hoja1!$AH119,IF(Hoja1!$AE119&gt;0,Hoja1!$AE119,IF(Hoja1!$AB119&gt;0,Hoja1!$AB119,IF(Hoja1!$Y119&gt;0,Hoja1!$Y119,IF(Hoja1!$V119&gt;0,Hoja1!$V119," ---"))))))))</f>
        <v>47</v>
      </c>
      <c r="AS119" s="63">
        <v>0.0</v>
      </c>
      <c r="AT119" s="63">
        <v>5.0</v>
      </c>
      <c r="AU119" s="63">
        <v>27.0</v>
      </c>
      <c r="AV119" s="63">
        <v>6.0</v>
      </c>
      <c r="AW119" s="63">
        <v>30.0</v>
      </c>
      <c r="AX119" s="63">
        <v>3.0</v>
      </c>
      <c r="AY119" s="63">
        <v>22.0</v>
      </c>
      <c r="AZ119" s="63">
        <v>1.0</v>
      </c>
      <c r="BA119" s="63">
        <v>0.0</v>
      </c>
      <c r="BB119" s="63">
        <v>0.0</v>
      </c>
      <c r="BC119" s="63">
        <v>0.0</v>
      </c>
      <c r="BD119" s="63">
        <v>0.0</v>
      </c>
      <c r="BE119" s="64">
        <v>0.0</v>
      </c>
      <c r="BF119" s="65">
        <v>24762.52</v>
      </c>
      <c r="BG119" s="65">
        <v>0.0</v>
      </c>
      <c r="BH119" s="66">
        <v>24762.52</v>
      </c>
      <c r="BI119" s="67" t="str">
        <f t="shared" si="23"/>
        <v>#REF!</v>
      </c>
      <c r="BJ119" s="68" t="str">
        <f t="shared" si="24"/>
        <v>#REF!</v>
      </c>
      <c r="BK119" s="65">
        <v>43026.51</v>
      </c>
      <c r="BL119" s="65">
        <v>0.0</v>
      </c>
      <c r="BM119" s="66">
        <v>43026.51</v>
      </c>
      <c r="BN119" s="67" t="str">
        <f t="shared" si="25"/>
        <v>#REF!</v>
      </c>
      <c r="BO119" s="68" t="str">
        <f t="shared" si="26"/>
        <v>#REF!</v>
      </c>
      <c r="BP119" s="76">
        <v>61460.0</v>
      </c>
      <c r="BQ119" s="76">
        <v>0.0</v>
      </c>
      <c r="BR119" s="66">
        <v>61460.0</v>
      </c>
      <c r="BS119" s="67" t="str">
        <f t="shared" si="27"/>
        <v>#REF!</v>
      </c>
      <c r="BT119" s="68" t="str">
        <f>'[1]DATA CONSOLIDADA 2018-2025 '!$BR119-Hoja1!$BO119</f>
        <v>#REF!</v>
      </c>
      <c r="BU119" s="65">
        <v>50581.32</v>
      </c>
      <c r="BV119" s="65">
        <v>0.0</v>
      </c>
      <c r="BW119" s="66">
        <v>50581.32</v>
      </c>
      <c r="BX119" s="67" t="str">
        <f t="shared" si="28"/>
        <v>#REF!</v>
      </c>
      <c r="BY119" s="68" t="str">
        <f t="shared" si="29"/>
        <v>#REF!</v>
      </c>
      <c r="BZ119" s="65">
        <v>78707.66</v>
      </c>
      <c r="CA119" s="65">
        <v>0.0</v>
      </c>
      <c r="CB119" s="66">
        <v>78707.66</v>
      </c>
      <c r="CC119" s="67" t="str">
        <f t="shared" si="30"/>
        <v>#REF!</v>
      </c>
      <c r="CD119" s="68" t="str">
        <f>'[1]DATA CONSOLIDADA 2018-2025 '!$CB119-Hoja1!$BW119</f>
        <v>#REF!</v>
      </c>
      <c r="CE119" s="70">
        <v>0.0</v>
      </c>
      <c r="CF119" s="70">
        <v>0.0</v>
      </c>
      <c r="CG119" s="71">
        <v>0.0</v>
      </c>
      <c r="CH119" s="67" t="str">
        <f t="shared" si="31"/>
        <v>#REF!</v>
      </c>
      <c r="CI119" s="68" t="str">
        <f>'[1]DATA CONSOLIDADA 2018-2025 '!$CG119-Hoja1!$CB119</f>
        <v>#REF!</v>
      </c>
      <c r="CJ119" s="64" t="str">
        <f t="shared" si="22"/>
        <v>#REF!</v>
      </c>
      <c r="CK119" s="64">
        <v>0.0</v>
      </c>
      <c r="CL119" s="64">
        <v>0.0</v>
      </c>
      <c r="CM119" s="64">
        <v>0.0</v>
      </c>
      <c r="CN119" s="64" t="str">
        <f t="shared" si="12"/>
        <v>#REF!</v>
      </c>
      <c r="CO119" s="68" t="str">
        <f>'[1]DATA CONSOLIDADA 2018-2025 '!$CM119-Hoja1!$CG119</f>
        <v>#REF!</v>
      </c>
      <c r="CP119" s="70">
        <v>0.0</v>
      </c>
      <c r="CQ119" s="70">
        <v>78707.66</v>
      </c>
      <c r="CR119" s="70">
        <v>0.0</v>
      </c>
      <c r="CS119" s="70">
        <v>0.0</v>
      </c>
      <c r="CT119" s="70">
        <v>0.0</v>
      </c>
      <c r="CU119" s="70">
        <v>0.0</v>
      </c>
      <c r="CV119" s="64">
        <v>78707.66</v>
      </c>
      <c r="CW119" s="64">
        <v>0.0</v>
      </c>
      <c r="CX119" s="64">
        <v>0.0</v>
      </c>
      <c r="CY119" s="64">
        <v>0.0</v>
      </c>
      <c r="CZ119" s="64">
        <v>0.0</v>
      </c>
      <c r="DA119" s="64">
        <v>0.0</v>
      </c>
      <c r="DB119" s="64">
        <v>0.0</v>
      </c>
      <c r="DC119" s="72">
        <v>0.0</v>
      </c>
      <c r="DD119" s="72">
        <v>0.0</v>
      </c>
      <c r="DE119" s="72">
        <v>0.0</v>
      </c>
      <c r="DF119" s="72">
        <v>0.0</v>
      </c>
      <c r="DG119" s="72">
        <v>0.0</v>
      </c>
      <c r="DH119" s="72">
        <v>0.0</v>
      </c>
      <c r="DI119" s="73">
        <v>2.0132509876E10</v>
      </c>
      <c r="DJ119" s="74" t="s">
        <v>519</v>
      </c>
      <c r="DK119" s="74" t="s">
        <v>132</v>
      </c>
      <c r="DL119" s="75"/>
      <c r="DM119" s="75"/>
      <c r="DN119" s="75"/>
      <c r="DO119" s="75"/>
      <c r="DP119" s="75"/>
      <c r="DQ119" s="75"/>
      <c r="DR119" s="75"/>
      <c r="DS119" s="75"/>
      <c r="DT119" s="75"/>
      <c r="DU119" s="75"/>
      <c r="DV119" s="75"/>
      <c r="DW119" s="75"/>
      <c r="DX119" s="75"/>
      <c r="DY119" s="75"/>
      <c r="DZ119" s="75"/>
      <c r="EA119" s="75"/>
      <c r="EB119" s="75"/>
      <c r="EC119" s="75"/>
      <c r="ED119" s="75"/>
      <c r="EE119" s="75"/>
    </row>
    <row r="120" ht="47.25" hidden="1" customHeight="1">
      <c r="A120" s="55" t="s">
        <v>520</v>
      </c>
      <c r="B120" s="55" t="s">
        <v>449</v>
      </c>
      <c r="C120" s="55" t="s">
        <v>450</v>
      </c>
      <c r="D120" s="55" t="s">
        <v>434</v>
      </c>
      <c r="E120" s="55" t="s">
        <v>521</v>
      </c>
      <c r="F120" s="55" t="s">
        <v>434</v>
      </c>
      <c r="G120" s="55" t="s">
        <v>470</v>
      </c>
      <c r="H120" s="55" t="s">
        <v>522</v>
      </c>
      <c r="I120" s="56"/>
      <c r="J120" s="56">
        <v>1.0</v>
      </c>
      <c r="K120" s="56">
        <v>1.0</v>
      </c>
      <c r="L120" s="56">
        <v>1.0</v>
      </c>
      <c r="M120" s="56">
        <v>1.0</v>
      </c>
      <c r="N120" s="56"/>
      <c r="O120" s="56"/>
      <c r="P120" s="56"/>
      <c r="Q120" s="56" t="s">
        <v>131</v>
      </c>
      <c r="R120" s="58" t="str">
        <f t="shared" si="1"/>
        <v>2019-2020-2021-2022</v>
      </c>
      <c r="S120" s="59" t="str">
        <f>SUM(Hoja1!$I120:$P120)</f>
        <v>4</v>
      </c>
      <c r="T120" s="59" t="str">
        <f>IF(OR(Hoja1!$J120=1,Hoja1!$K120=1,Hoja1!$L120=1,Hoja1!$M120=1,Hoja1!$N120=1,Hoja1!$O120=1,Hoja1!$P120=1),"SI","NO")</f>
        <v>SI</v>
      </c>
      <c r="U120" s="59" t="str">
        <f>IF(OR(Hoja1!$K120=1,Hoja1!$L120=1,Hoja1!$M120=1,Hoja1!$N120=1,Hoja1!$O120=1,Hoja1!$P120=1),"SI","NO")</f>
        <v>SI</v>
      </c>
      <c r="V120" s="60">
        <v>0.0</v>
      </c>
      <c r="W120" s="61">
        <v>12.0</v>
      </c>
      <c r="X120" s="61">
        <v>12.0</v>
      </c>
      <c r="Y120" s="60">
        <v>24.0</v>
      </c>
      <c r="Z120" s="61">
        <v>134.0</v>
      </c>
      <c r="AA120" s="61">
        <v>141.0</v>
      </c>
      <c r="AB120" s="60">
        <v>275.0</v>
      </c>
      <c r="AC120" s="61">
        <v>132.0</v>
      </c>
      <c r="AD120" s="61">
        <v>143.0</v>
      </c>
      <c r="AE120" s="60">
        <v>275.0</v>
      </c>
      <c r="AF120" s="61">
        <v>132.0</v>
      </c>
      <c r="AG120" s="61">
        <v>143.0</v>
      </c>
      <c r="AH120" s="60">
        <v>275.0</v>
      </c>
      <c r="AI120" s="61">
        <v>0.0</v>
      </c>
      <c r="AJ120" s="61">
        <v>0.0</v>
      </c>
      <c r="AK120" s="60">
        <v>0.0</v>
      </c>
      <c r="AL120" s="61">
        <v>0.0</v>
      </c>
      <c r="AM120" s="61">
        <v>0.0</v>
      </c>
      <c r="AN120" s="60">
        <v>0.0</v>
      </c>
      <c r="AO120" s="62">
        <v>0.0</v>
      </c>
      <c r="AP120" s="62">
        <v>0.0</v>
      </c>
      <c r="AQ120" s="60">
        <v>0.0</v>
      </c>
      <c r="AR120" s="60" t="str">
        <f>IF(Hoja1!$AQ120&gt;0,Hoja1!$AQ120,IF(Hoja1!$AN120&gt;0,Hoja1!$AN120,IF(Hoja1!$AK120&gt;0,Hoja1!$AK120,IF(Hoja1!$AH120&gt;0,Hoja1!$AH120,IF(Hoja1!$AE120&gt;0,Hoja1!$AE120,IF(Hoja1!$AB120&gt;0,Hoja1!$AB120,IF(Hoja1!$Y120&gt;0,Hoja1!$Y120,IF(Hoja1!$V120&gt;0,Hoja1!$V120," ---"))))))))</f>
        <v>275</v>
      </c>
      <c r="AS120" s="63">
        <v>17.0</v>
      </c>
      <c r="AT120" s="63">
        <v>10.0</v>
      </c>
      <c r="AU120" s="63">
        <v>12.0</v>
      </c>
      <c r="AV120" s="63">
        <v>4.0</v>
      </c>
      <c r="AW120" s="63">
        <v>27.0</v>
      </c>
      <c r="AX120" s="63">
        <v>5.0</v>
      </c>
      <c r="AY120" s="63">
        <v>0.0</v>
      </c>
      <c r="AZ120" s="63">
        <v>0.0</v>
      </c>
      <c r="BA120" s="63">
        <v>0.0</v>
      </c>
      <c r="BB120" s="63">
        <v>0.0</v>
      </c>
      <c r="BC120" s="63">
        <v>0.0</v>
      </c>
      <c r="BD120" s="63">
        <v>0.0</v>
      </c>
      <c r="BE120" s="64">
        <v>0.0</v>
      </c>
      <c r="BF120" s="65">
        <v>929947.54</v>
      </c>
      <c r="BG120" s="65">
        <v>0.0</v>
      </c>
      <c r="BH120" s="66">
        <v>929947.54</v>
      </c>
      <c r="BI120" s="67" t="str">
        <f t="shared" si="23"/>
        <v>#REF!</v>
      </c>
      <c r="BJ120" s="68" t="str">
        <f t="shared" si="24"/>
        <v>#REF!</v>
      </c>
      <c r="BK120" s="65">
        <v>277823.04</v>
      </c>
      <c r="BL120" s="65">
        <v>0.0</v>
      </c>
      <c r="BM120" s="66">
        <v>277823.04</v>
      </c>
      <c r="BN120" s="67" t="str">
        <f t="shared" si="25"/>
        <v>#REF!</v>
      </c>
      <c r="BO120" s="68" t="str">
        <f t="shared" si="26"/>
        <v>#REF!</v>
      </c>
      <c r="BP120" s="65">
        <v>133019.1</v>
      </c>
      <c r="BQ120" s="65">
        <v>0.0</v>
      </c>
      <c r="BR120" s="66">
        <v>133019.1</v>
      </c>
      <c r="BS120" s="67" t="str">
        <f t="shared" si="27"/>
        <v>#REF!</v>
      </c>
      <c r="BT120" s="68" t="str">
        <f>'[1]DATA CONSOLIDADA 2018-2025 '!$BR120-Hoja1!$BO120</f>
        <v>#REF!</v>
      </c>
      <c r="BU120" s="65">
        <v>447786.43</v>
      </c>
      <c r="BV120" s="65">
        <v>0.0</v>
      </c>
      <c r="BW120" s="66">
        <v>447786.43</v>
      </c>
      <c r="BX120" s="67" t="str">
        <f t="shared" si="28"/>
        <v>#REF!</v>
      </c>
      <c r="BY120" s="68" t="str">
        <f t="shared" si="29"/>
        <v>#REF!</v>
      </c>
      <c r="BZ120" s="65">
        <v>0.0</v>
      </c>
      <c r="CA120" s="65">
        <v>0.0</v>
      </c>
      <c r="CB120" s="66">
        <v>0.0</v>
      </c>
      <c r="CC120" s="67" t="str">
        <f t="shared" si="30"/>
        <v>#REF!</v>
      </c>
      <c r="CD120" s="68" t="str">
        <f>'[1]DATA CONSOLIDADA 2018-2025 '!$CB120-Hoja1!$BW120</f>
        <v>#REF!</v>
      </c>
      <c r="CE120" s="70">
        <v>0.0</v>
      </c>
      <c r="CF120" s="70">
        <v>0.0</v>
      </c>
      <c r="CG120" s="71">
        <v>0.0</v>
      </c>
      <c r="CH120" s="67" t="str">
        <f t="shared" si="31"/>
        <v>#REF!</v>
      </c>
      <c r="CI120" s="68" t="str">
        <f>'[1]DATA CONSOLIDADA 2018-2025 '!$CG120-Hoja1!$CB120</f>
        <v>#REF!</v>
      </c>
      <c r="CJ120" s="64" t="str">
        <f t="shared" si="22"/>
        <v>#REF!</v>
      </c>
      <c r="CK120" s="64">
        <v>0.0</v>
      </c>
      <c r="CL120" s="64">
        <v>0.0</v>
      </c>
      <c r="CM120" s="64">
        <v>0.0</v>
      </c>
      <c r="CN120" s="64" t="str">
        <f t="shared" si="12"/>
        <v>#REF!</v>
      </c>
      <c r="CO120" s="68" t="str">
        <f>'[1]DATA CONSOLIDADA 2018-2025 '!$CM120-Hoja1!$CG120</f>
        <v>#REF!</v>
      </c>
      <c r="CP120" s="70">
        <v>0.0</v>
      </c>
      <c r="CQ120" s="70">
        <v>0.0</v>
      </c>
      <c r="CR120" s="70">
        <v>0.0</v>
      </c>
      <c r="CS120" s="70">
        <v>0.0</v>
      </c>
      <c r="CT120" s="70">
        <v>0.0</v>
      </c>
      <c r="CU120" s="70">
        <v>0.0</v>
      </c>
      <c r="CV120" s="64">
        <v>0.0</v>
      </c>
      <c r="CW120" s="64">
        <v>0.0</v>
      </c>
      <c r="CX120" s="64">
        <v>0.0</v>
      </c>
      <c r="CY120" s="64">
        <v>0.0</v>
      </c>
      <c r="CZ120" s="64">
        <v>0.0</v>
      </c>
      <c r="DA120" s="64">
        <v>0.0</v>
      </c>
      <c r="DB120" s="64">
        <v>0.0</v>
      </c>
      <c r="DC120" s="72">
        <v>0.0</v>
      </c>
      <c r="DD120" s="72">
        <v>0.0</v>
      </c>
      <c r="DE120" s="72">
        <v>0.0</v>
      </c>
      <c r="DF120" s="72">
        <v>0.0</v>
      </c>
      <c r="DG120" s="72">
        <v>0.0</v>
      </c>
      <c r="DH120" s="72">
        <v>0.0</v>
      </c>
      <c r="DI120" s="73" t="s">
        <v>193</v>
      </c>
      <c r="DJ120" s="74" t="s">
        <v>194</v>
      </c>
      <c r="DK120" s="74" t="s">
        <v>523</v>
      </c>
      <c r="DL120" s="75"/>
      <c r="DM120" s="75"/>
      <c r="DN120" s="75"/>
      <c r="DO120" s="75"/>
      <c r="DP120" s="75"/>
      <c r="DQ120" s="75"/>
      <c r="DR120" s="75"/>
      <c r="DS120" s="75"/>
      <c r="DT120" s="75"/>
      <c r="DU120" s="75"/>
      <c r="DV120" s="75"/>
      <c r="DW120" s="75"/>
      <c r="DX120" s="75"/>
      <c r="DY120" s="75"/>
      <c r="DZ120" s="75"/>
      <c r="EA120" s="75"/>
      <c r="EB120" s="75"/>
      <c r="EC120" s="75"/>
      <c r="ED120" s="75"/>
      <c r="EE120" s="75"/>
    </row>
    <row r="121" ht="47.25" hidden="1" customHeight="1">
      <c r="A121" s="55" t="s">
        <v>524</v>
      </c>
      <c r="B121" s="55" t="s">
        <v>525</v>
      </c>
      <c r="C121" s="55" t="s">
        <v>525</v>
      </c>
      <c r="D121" s="55" t="s">
        <v>434</v>
      </c>
      <c r="E121" s="55" t="s">
        <v>526</v>
      </c>
      <c r="F121" s="55" t="s">
        <v>434</v>
      </c>
      <c r="G121" s="55" t="s">
        <v>435</v>
      </c>
      <c r="H121" s="55" t="s">
        <v>527</v>
      </c>
      <c r="I121" s="56"/>
      <c r="J121" s="56">
        <v>1.0</v>
      </c>
      <c r="K121" s="56">
        <v>1.0</v>
      </c>
      <c r="L121" s="56">
        <v>1.0</v>
      </c>
      <c r="M121" s="56">
        <v>1.0</v>
      </c>
      <c r="N121" s="56">
        <v>1.0</v>
      </c>
      <c r="O121" s="56"/>
      <c r="P121" s="56"/>
      <c r="Q121" s="56" t="s">
        <v>131</v>
      </c>
      <c r="R121" s="58" t="str">
        <f t="shared" si="1"/>
        <v>2019-2020-2021-2022-2023</v>
      </c>
      <c r="S121" s="59" t="str">
        <f>SUM(Hoja1!$I121:$P121)</f>
        <v>5</v>
      </c>
      <c r="T121" s="59" t="str">
        <f>IF(OR(Hoja1!$J121=1,Hoja1!$K121=1,Hoja1!$L121=1,Hoja1!$M121=1,Hoja1!$N121=1,Hoja1!$O121=1,Hoja1!$P121=1),"SI","NO")</f>
        <v>SI</v>
      </c>
      <c r="U121" s="59" t="str">
        <f>IF(OR(Hoja1!$K121=1,Hoja1!$L121=1,Hoja1!$M121=1,Hoja1!$N121=1,Hoja1!$O121=1,Hoja1!$P121=1),"SI","NO")</f>
        <v>SI</v>
      </c>
      <c r="V121" s="60">
        <v>0.0</v>
      </c>
      <c r="W121" s="61">
        <v>75.0</v>
      </c>
      <c r="X121" s="61">
        <v>19.0</v>
      </c>
      <c r="Y121" s="60">
        <v>94.0</v>
      </c>
      <c r="Z121" s="61">
        <v>62.0</v>
      </c>
      <c r="AA121" s="61">
        <v>18.0</v>
      </c>
      <c r="AB121" s="60">
        <v>80.0</v>
      </c>
      <c r="AC121" s="61">
        <v>62.0</v>
      </c>
      <c r="AD121" s="61">
        <v>17.0</v>
      </c>
      <c r="AE121" s="60">
        <v>79.0</v>
      </c>
      <c r="AF121" s="61">
        <v>62.0</v>
      </c>
      <c r="AG121" s="61">
        <v>17.0</v>
      </c>
      <c r="AH121" s="60">
        <v>79.0</v>
      </c>
      <c r="AI121" s="61">
        <v>62.0</v>
      </c>
      <c r="AJ121" s="61">
        <v>17.0</v>
      </c>
      <c r="AK121" s="60">
        <v>79.0</v>
      </c>
      <c r="AL121" s="61">
        <v>0.0</v>
      </c>
      <c r="AM121" s="61">
        <v>0.0</v>
      </c>
      <c r="AN121" s="60">
        <v>0.0</v>
      </c>
      <c r="AO121" s="62">
        <v>0.0</v>
      </c>
      <c r="AP121" s="62">
        <v>0.0</v>
      </c>
      <c r="AQ121" s="60">
        <v>0.0</v>
      </c>
      <c r="AR121" s="60" t="str">
        <f>IF(Hoja1!$AQ121&gt;0,Hoja1!$AQ121,IF(Hoja1!$AN121&gt;0,Hoja1!$AN121,IF(Hoja1!$AK121&gt;0,Hoja1!$AK121,IF(Hoja1!$AH121&gt;0,Hoja1!$AH121,IF(Hoja1!$AE121&gt;0,Hoja1!$AE121,IF(Hoja1!$AB121&gt;0,Hoja1!$AB121,IF(Hoja1!$Y121&gt;0,Hoja1!$Y121,IF(Hoja1!$V121&gt;0,Hoja1!$V121," ---"))))))))</f>
        <v>79</v>
      </c>
      <c r="AS121" s="63">
        <v>0.0</v>
      </c>
      <c r="AT121" s="63">
        <v>8.0</v>
      </c>
      <c r="AU121" s="63">
        <v>60.0</v>
      </c>
      <c r="AV121" s="63">
        <v>7.0</v>
      </c>
      <c r="AW121" s="63">
        <v>32.0</v>
      </c>
      <c r="AX121" s="63">
        <v>5.0</v>
      </c>
      <c r="AY121" s="63">
        <v>21.0</v>
      </c>
      <c r="AZ121" s="63">
        <v>2.0</v>
      </c>
      <c r="BA121" s="63">
        <v>0.0</v>
      </c>
      <c r="BB121" s="63">
        <v>0.0</v>
      </c>
      <c r="BC121" s="63">
        <v>0.0</v>
      </c>
      <c r="BD121" s="63">
        <v>0.0</v>
      </c>
      <c r="BE121" s="66">
        <v>0.0</v>
      </c>
      <c r="BF121" s="65">
        <v>126414.0</v>
      </c>
      <c r="BG121" s="65">
        <v>0.0</v>
      </c>
      <c r="BH121" s="66">
        <v>126414.0</v>
      </c>
      <c r="BI121" s="67" t="str">
        <f t="shared" si="23"/>
        <v>#REF!</v>
      </c>
      <c r="BJ121" s="68" t="str">
        <f t="shared" si="24"/>
        <v>#REF!</v>
      </c>
      <c r="BK121" s="65">
        <v>53481.0</v>
      </c>
      <c r="BL121" s="65">
        <v>0.0</v>
      </c>
      <c r="BM121" s="66">
        <v>53481.0</v>
      </c>
      <c r="BN121" s="67" t="str">
        <f t="shared" si="25"/>
        <v>#REF!</v>
      </c>
      <c r="BO121" s="68" t="str">
        <f t="shared" si="26"/>
        <v>#REF!</v>
      </c>
      <c r="BP121" s="65">
        <v>30897.8</v>
      </c>
      <c r="BQ121" s="65">
        <v>0.0</v>
      </c>
      <c r="BR121" s="66">
        <v>30897.8</v>
      </c>
      <c r="BS121" s="67" t="str">
        <f t="shared" si="27"/>
        <v>#REF!</v>
      </c>
      <c r="BT121" s="68" t="str">
        <f>'[1]DATA CONSOLIDADA 2018-2025 '!$BR121-Hoja1!$BO121</f>
        <v>#REF!</v>
      </c>
      <c r="BU121" s="65">
        <v>39677.0</v>
      </c>
      <c r="BV121" s="65">
        <v>0.0</v>
      </c>
      <c r="BW121" s="66">
        <v>39677.0</v>
      </c>
      <c r="BX121" s="67" t="str">
        <f t="shared" si="28"/>
        <v>#REF!</v>
      </c>
      <c r="BY121" s="68" t="str">
        <f t="shared" si="29"/>
        <v>#REF!</v>
      </c>
      <c r="BZ121" s="65">
        <v>19964.0</v>
      </c>
      <c r="CA121" s="65">
        <v>0.0</v>
      </c>
      <c r="CB121" s="66">
        <v>19964.0</v>
      </c>
      <c r="CC121" s="67" t="str">
        <f t="shared" si="30"/>
        <v>#REF!</v>
      </c>
      <c r="CD121" s="68" t="str">
        <f>'[1]DATA CONSOLIDADA 2018-2025 '!$CB121-Hoja1!$BW121</f>
        <v>#REF!</v>
      </c>
      <c r="CE121" s="70">
        <v>0.0</v>
      </c>
      <c r="CF121" s="70">
        <v>0.0</v>
      </c>
      <c r="CG121" s="71">
        <v>0.0</v>
      </c>
      <c r="CH121" s="67" t="str">
        <f t="shared" si="31"/>
        <v>#REF!</v>
      </c>
      <c r="CI121" s="68" t="str">
        <f>'[1]DATA CONSOLIDADA 2018-2025 '!$CG121-Hoja1!$CB121</f>
        <v>#REF!</v>
      </c>
      <c r="CJ121" s="64" t="str">
        <f t="shared" si="22"/>
        <v>#REF!</v>
      </c>
      <c r="CK121" s="64">
        <v>0.0</v>
      </c>
      <c r="CL121" s="64">
        <v>0.0</v>
      </c>
      <c r="CM121" s="64">
        <v>0.0</v>
      </c>
      <c r="CN121" s="64" t="str">
        <f t="shared" si="12"/>
        <v>#REF!</v>
      </c>
      <c r="CO121" s="68" t="str">
        <f>'[1]DATA CONSOLIDADA 2018-2025 '!$CM121-Hoja1!$CG121</f>
        <v>#REF!</v>
      </c>
      <c r="CP121" s="70">
        <v>0.0</v>
      </c>
      <c r="CQ121" s="70">
        <v>0.0</v>
      </c>
      <c r="CR121" s="70">
        <v>0.0</v>
      </c>
      <c r="CS121" s="70">
        <v>19964.0</v>
      </c>
      <c r="CT121" s="70">
        <v>0.0</v>
      </c>
      <c r="CU121" s="70">
        <v>0.0</v>
      </c>
      <c r="CV121" s="64">
        <v>19964.0</v>
      </c>
      <c r="CW121" s="64">
        <v>0.0</v>
      </c>
      <c r="CX121" s="64">
        <v>0.0</v>
      </c>
      <c r="CY121" s="64">
        <v>0.0</v>
      </c>
      <c r="CZ121" s="64">
        <v>0.0</v>
      </c>
      <c r="DA121" s="64">
        <v>0.0</v>
      </c>
      <c r="DB121" s="64">
        <v>0.0</v>
      </c>
      <c r="DC121" s="72">
        <v>0.0</v>
      </c>
      <c r="DD121" s="72">
        <v>0.0</v>
      </c>
      <c r="DE121" s="72">
        <v>0.0</v>
      </c>
      <c r="DF121" s="72">
        <v>0.0</v>
      </c>
      <c r="DG121" s="72">
        <v>0.0</v>
      </c>
      <c r="DH121" s="72">
        <v>0.0</v>
      </c>
      <c r="DI121" s="73">
        <v>2.0600161378E10</v>
      </c>
      <c r="DJ121" s="74" t="s">
        <v>528</v>
      </c>
      <c r="DK121" s="74" t="s">
        <v>132</v>
      </c>
      <c r="DL121" s="75"/>
      <c r="DM121" s="75"/>
      <c r="DN121" s="75"/>
      <c r="DO121" s="75"/>
      <c r="DP121" s="75"/>
      <c r="DQ121" s="75"/>
      <c r="DR121" s="75"/>
      <c r="DS121" s="75"/>
      <c r="DT121" s="75"/>
      <c r="DU121" s="75"/>
      <c r="DV121" s="75"/>
      <c r="DW121" s="75"/>
      <c r="DX121" s="75"/>
      <c r="DY121" s="75"/>
      <c r="DZ121" s="75"/>
      <c r="EA121" s="75"/>
      <c r="EB121" s="75"/>
      <c r="EC121" s="75"/>
      <c r="ED121" s="75"/>
      <c r="EE121" s="75"/>
    </row>
    <row r="122" ht="47.25" hidden="1" customHeight="1">
      <c r="A122" s="55" t="s">
        <v>529</v>
      </c>
      <c r="B122" s="55" t="s">
        <v>530</v>
      </c>
      <c r="C122" s="55" t="s">
        <v>530</v>
      </c>
      <c r="D122" s="55" t="s">
        <v>434</v>
      </c>
      <c r="E122" s="55" t="s">
        <v>531</v>
      </c>
      <c r="F122" s="55" t="s">
        <v>434</v>
      </c>
      <c r="G122" s="55" t="s">
        <v>476</v>
      </c>
      <c r="H122" s="55" t="s">
        <v>532</v>
      </c>
      <c r="I122" s="56"/>
      <c r="J122" s="56">
        <v>1.0</v>
      </c>
      <c r="K122" s="56">
        <v>1.0</v>
      </c>
      <c r="L122" s="56">
        <v>1.0</v>
      </c>
      <c r="M122" s="56">
        <v>1.0</v>
      </c>
      <c r="N122" s="56"/>
      <c r="O122" s="56"/>
      <c r="P122" s="56"/>
      <c r="Q122" s="56" t="s">
        <v>131</v>
      </c>
      <c r="R122" s="58" t="str">
        <f t="shared" si="1"/>
        <v>2019-2020-2021-2022</v>
      </c>
      <c r="S122" s="59" t="str">
        <f>SUM(Hoja1!$I122:$P122)</f>
        <v>4</v>
      </c>
      <c r="T122" s="59" t="str">
        <f>IF(OR(Hoja1!$J122=1,Hoja1!$K122=1,Hoja1!$L122=1,Hoja1!$M122=1,Hoja1!$N122=1,Hoja1!$O122=1,Hoja1!$P122=1),"SI","NO")</f>
        <v>SI</v>
      </c>
      <c r="U122" s="59" t="str">
        <f>IF(OR(Hoja1!$K122=1,Hoja1!$L122=1,Hoja1!$M122=1,Hoja1!$N122=1,Hoja1!$O122=1,Hoja1!$P122=1),"SI","NO")</f>
        <v>SI</v>
      </c>
      <c r="V122" s="60">
        <v>0.0</v>
      </c>
      <c r="W122" s="61">
        <v>11.0</v>
      </c>
      <c r="X122" s="61">
        <v>17.0</v>
      </c>
      <c r="Y122" s="60">
        <v>28.0</v>
      </c>
      <c r="Z122" s="61">
        <v>11.0</v>
      </c>
      <c r="AA122" s="61">
        <v>17.0</v>
      </c>
      <c r="AB122" s="60">
        <v>28.0</v>
      </c>
      <c r="AC122" s="61">
        <v>16.0</v>
      </c>
      <c r="AD122" s="61">
        <v>4.0</v>
      </c>
      <c r="AE122" s="60">
        <v>20.0</v>
      </c>
      <c r="AF122" s="61">
        <v>16.0</v>
      </c>
      <c r="AG122" s="61">
        <v>4.0</v>
      </c>
      <c r="AH122" s="60">
        <v>20.0</v>
      </c>
      <c r="AI122" s="61">
        <v>0.0</v>
      </c>
      <c r="AJ122" s="61">
        <v>0.0</v>
      </c>
      <c r="AK122" s="60">
        <v>0.0</v>
      </c>
      <c r="AL122" s="61">
        <v>0.0</v>
      </c>
      <c r="AM122" s="61">
        <v>0.0</v>
      </c>
      <c r="AN122" s="60">
        <v>0.0</v>
      </c>
      <c r="AO122" s="62">
        <v>0.0</v>
      </c>
      <c r="AP122" s="62">
        <v>0.0</v>
      </c>
      <c r="AQ122" s="60">
        <v>0.0</v>
      </c>
      <c r="AR122" s="60" t="str">
        <f>IF(Hoja1!$AQ122&gt;0,Hoja1!$AQ122,IF(Hoja1!$AN122&gt;0,Hoja1!$AN122,IF(Hoja1!$AK122&gt;0,Hoja1!$AK122,IF(Hoja1!$AH122&gt;0,Hoja1!$AH122,IF(Hoja1!$AE122&gt;0,Hoja1!$AE122,IF(Hoja1!$AB122&gt;0,Hoja1!$AB122,IF(Hoja1!$Y122&gt;0,Hoja1!$Y122,IF(Hoja1!$V122&gt;0,Hoja1!$V122," ---"))))))))</f>
        <v>20</v>
      </c>
      <c r="AS122" s="63">
        <v>14.0</v>
      </c>
      <c r="AT122" s="63">
        <v>6.0</v>
      </c>
      <c r="AU122" s="63">
        <v>50.0</v>
      </c>
      <c r="AV122" s="63">
        <v>6.0</v>
      </c>
      <c r="AW122" s="63">
        <v>16.0</v>
      </c>
      <c r="AX122" s="63">
        <v>6.0</v>
      </c>
      <c r="AY122" s="63">
        <v>0.0</v>
      </c>
      <c r="AZ122" s="63">
        <v>0.0</v>
      </c>
      <c r="BA122" s="63">
        <v>0.0</v>
      </c>
      <c r="BB122" s="63">
        <v>0.0</v>
      </c>
      <c r="BC122" s="63">
        <v>0.0</v>
      </c>
      <c r="BD122" s="63">
        <v>0.0</v>
      </c>
      <c r="BE122" s="66">
        <v>0.0</v>
      </c>
      <c r="BF122" s="65">
        <v>52362.0</v>
      </c>
      <c r="BG122" s="65">
        <v>0.0</v>
      </c>
      <c r="BH122" s="66">
        <v>52362.0</v>
      </c>
      <c r="BI122" s="67" t="str">
        <f t="shared" si="23"/>
        <v>#REF!</v>
      </c>
      <c r="BJ122" s="68" t="str">
        <f t="shared" si="24"/>
        <v>#REF!</v>
      </c>
      <c r="BK122" s="65">
        <v>304400.0</v>
      </c>
      <c r="BL122" s="65">
        <v>0.0</v>
      </c>
      <c r="BM122" s="66">
        <v>304400.0</v>
      </c>
      <c r="BN122" s="67" t="str">
        <f t="shared" si="25"/>
        <v>#REF!</v>
      </c>
      <c r="BO122" s="68" t="str">
        <f t="shared" si="26"/>
        <v>#REF!</v>
      </c>
      <c r="BP122" s="65">
        <v>205665.0</v>
      </c>
      <c r="BQ122" s="65">
        <v>0.0</v>
      </c>
      <c r="BR122" s="66">
        <v>205665.0</v>
      </c>
      <c r="BS122" s="67" t="str">
        <f t="shared" si="27"/>
        <v>#REF!</v>
      </c>
      <c r="BT122" s="68" t="str">
        <f>'[1]DATA CONSOLIDADA 2018-2025 '!$BR122-Hoja1!$BO122</f>
        <v>#REF!</v>
      </c>
      <c r="BU122" s="65">
        <v>362000.0</v>
      </c>
      <c r="BV122" s="65">
        <v>0.0</v>
      </c>
      <c r="BW122" s="66">
        <v>362000.0</v>
      </c>
      <c r="BX122" s="67" t="str">
        <f t="shared" si="28"/>
        <v>#REF!</v>
      </c>
      <c r="BY122" s="68" t="str">
        <f t="shared" si="29"/>
        <v>#REF!</v>
      </c>
      <c r="BZ122" s="65">
        <v>0.0</v>
      </c>
      <c r="CA122" s="65">
        <v>0.0</v>
      </c>
      <c r="CB122" s="66">
        <v>0.0</v>
      </c>
      <c r="CC122" s="67" t="str">
        <f t="shared" si="30"/>
        <v>#REF!</v>
      </c>
      <c r="CD122" s="68" t="str">
        <f>'[1]DATA CONSOLIDADA 2018-2025 '!$CB122-Hoja1!$BW122</f>
        <v>#REF!</v>
      </c>
      <c r="CE122" s="70">
        <v>0.0</v>
      </c>
      <c r="CF122" s="70">
        <v>0.0</v>
      </c>
      <c r="CG122" s="71">
        <v>0.0</v>
      </c>
      <c r="CH122" s="67" t="str">
        <f t="shared" si="31"/>
        <v>#REF!</v>
      </c>
      <c r="CI122" s="68" t="str">
        <f>'[1]DATA CONSOLIDADA 2018-2025 '!$CG122-Hoja1!$CB122</f>
        <v>#REF!</v>
      </c>
      <c r="CJ122" s="64" t="str">
        <f t="shared" si="22"/>
        <v>#REF!</v>
      </c>
      <c r="CK122" s="64">
        <v>0.0</v>
      </c>
      <c r="CL122" s="64">
        <v>0.0</v>
      </c>
      <c r="CM122" s="64">
        <v>0.0</v>
      </c>
      <c r="CN122" s="64" t="str">
        <f t="shared" si="12"/>
        <v>#REF!</v>
      </c>
      <c r="CO122" s="68" t="str">
        <f>'[1]DATA CONSOLIDADA 2018-2025 '!$CM122-Hoja1!$CG122</f>
        <v>#REF!</v>
      </c>
      <c r="CP122" s="70">
        <v>0.0</v>
      </c>
      <c r="CQ122" s="70">
        <v>0.0</v>
      </c>
      <c r="CR122" s="70">
        <v>0.0</v>
      </c>
      <c r="CS122" s="70">
        <v>0.0</v>
      </c>
      <c r="CT122" s="70">
        <v>0.0</v>
      </c>
      <c r="CU122" s="70">
        <v>0.0</v>
      </c>
      <c r="CV122" s="64">
        <v>0.0</v>
      </c>
      <c r="CW122" s="64">
        <v>0.0</v>
      </c>
      <c r="CX122" s="64">
        <v>0.0</v>
      </c>
      <c r="CY122" s="64">
        <v>0.0</v>
      </c>
      <c r="CZ122" s="64">
        <v>0.0</v>
      </c>
      <c r="DA122" s="64">
        <v>0.0</v>
      </c>
      <c r="DB122" s="64">
        <v>0.0</v>
      </c>
      <c r="DC122" s="72">
        <v>0.0</v>
      </c>
      <c r="DD122" s="72">
        <v>0.0</v>
      </c>
      <c r="DE122" s="72">
        <v>0.0</v>
      </c>
      <c r="DF122" s="72">
        <v>0.0</v>
      </c>
      <c r="DG122" s="72">
        <v>0.0</v>
      </c>
      <c r="DH122" s="72">
        <v>0.0</v>
      </c>
      <c r="DI122" s="73">
        <v>2.0602220355E10</v>
      </c>
      <c r="DJ122" s="74" t="s">
        <v>529</v>
      </c>
      <c r="DK122" s="74" t="s">
        <v>138</v>
      </c>
      <c r="DL122" s="75"/>
      <c r="DM122" s="75"/>
      <c r="DN122" s="75"/>
      <c r="DO122" s="75"/>
      <c r="DP122" s="75"/>
      <c r="DQ122" s="75"/>
      <c r="DR122" s="75"/>
      <c r="DS122" s="75"/>
      <c r="DT122" s="75"/>
      <c r="DU122" s="75"/>
      <c r="DV122" s="75"/>
      <c r="DW122" s="75"/>
      <c r="DX122" s="75"/>
      <c r="DY122" s="75"/>
      <c r="DZ122" s="75"/>
      <c r="EA122" s="75"/>
      <c r="EB122" s="75"/>
      <c r="EC122" s="75"/>
      <c r="ED122" s="75"/>
      <c r="EE122" s="75"/>
    </row>
    <row r="123" ht="47.25" customHeight="1">
      <c r="A123" s="55" t="s">
        <v>518</v>
      </c>
      <c r="B123" s="55" t="s">
        <v>146</v>
      </c>
      <c r="C123" s="55" t="s">
        <v>146</v>
      </c>
      <c r="D123" s="55" t="s">
        <v>434</v>
      </c>
      <c r="E123" s="55" t="s">
        <v>511</v>
      </c>
      <c r="F123" s="55" t="s">
        <v>434</v>
      </c>
      <c r="G123" s="55" t="s">
        <v>435</v>
      </c>
      <c r="H123" s="55" t="s">
        <v>512</v>
      </c>
      <c r="I123" s="56"/>
      <c r="J123" s="56">
        <v>1.0</v>
      </c>
      <c r="K123" s="56">
        <v>1.0</v>
      </c>
      <c r="L123" s="56">
        <v>1.0</v>
      </c>
      <c r="M123" s="56">
        <v>1.0</v>
      </c>
      <c r="N123" s="56">
        <v>1.0</v>
      </c>
      <c r="O123" s="56"/>
      <c r="P123" s="56"/>
      <c r="Q123" s="56" t="s">
        <v>131</v>
      </c>
      <c r="R123" s="58" t="str">
        <f t="shared" si="1"/>
        <v>2019-2020-2021-2022-2023</v>
      </c>
      <c r="S123" s="59" t="str">
        <f>SUM(Hoja1!$I123:$P123)</f>
        <v>5</v>
      </c>
      <c r="T123" s="59" t="str">
        <f>IF(OR(Hoja1!$J123=1,Hoja1!$K123=1,Hoja1!$L123=1,Hoja1!$M123=1,Hoja1!$N123=1,Hoja1!$O123=1,Hoja1!$P123=1),"SI","NO")</f>
        <v>SI</v>
      </c>
      <c r="U123" s="59" t="str">
        <f>IF(OR(Hoja1!$K123=1,Hoja1!$L123=1,Hoja1!$M123=1,Hoja1!$N123=1,Hoja1!$O123=1,Hoja1!$P123=1),"SI","NO")</f>
        <v>SI</v>
      </c>
      <c r="V123" s="60">
        <v>0.0</v>
      </c>
      <c r="W123" s="61">
        <v>65.0</v>
      </c>
      <c r="X123" s="61">
        <v>11.0</v>
      </c>
      <c r="Y123" s="60">
        <v>76.0</v>
      </c>
      <c r="Z123" s="61">
        <v>66.0</v>
      </c>
      <c r="AA123" s="61">
        <v>11.0</v>
      </c>
      <c r="AB123" s="60">
        <v>77.0</v>
      </c>
      <c r="AC123" s="61">
        <v>60.0</v>
      </c>
      <c r="AD123" s="61">
        <v>13.0</v>
      </c>
      <c r="AE123" s="60">
        <v>73.0</v>
      </c>
      <c r="AF123" s="61">
        <v>60.0</v>
      </c>
      <c r="AG123" s="61">
        <v>13.0</v>
      </c>
      <c r="AH123" s="60">
        <v>73.0</v>
      </c>
      <c r="AI123" s="61">
        <v>60.0</v>
      </c>
      <c r="AJ123" s="61">
        <v>13.0</v>
      </c>
      <c r="AK123" s="60">
        <v>73.0</v>
      </c>
      <c r="AL123" s="61">
        <v>0.0</v>
      </c>
      <c r="AM123" s="61">
        <v>0.0</v>
      </c>
      <c r="AN123" s="60">
        <v>0.0</v>
      </c>
      <c r="AO123" s="62">
        <v>0.0</v>
      </c>
      <c r="AP123" s="62">
        <v>0.0</v>
      </c>
      <c r="AQ123" s="60">
        <v>0.0</v>
      </c>
      <c r="AR123" s="60" t="str">
        <f>IF(Hoja1!$AQ123&gt;0,Hoja1!$AQ123,IF(Hoja1!$AN123&gt;0,Hoja1!$AN123,IF(Hoja1!$AK123&gt;0,Hoja1!$AK123,IF(Hoja1!$AH123&gt;0,Hoja1!$AH123,IF(Hoja1!$AE123&gt;0,Hoja1!$AE123,IF(Hoja1!$AB123&gt;0,Hoja1!$AB123,IF(Hoja1!$Y123&gt;0,Hoja1!$Y123,IF(Hoja1!$V123&gt;0,Hoja1!$V123," ---"))))))))</f>
        <v>73</v>
      </c>
      <c r="AS123" s="63">
        <v>0.0</v>
      </c>
      <c r="AT123" s="63">
        <v>5.0</v>
      </c>
      <c r="AU123" s="63">
        <v>28.0</v>
      </c>
      <c r="AV123" s="63">
        <v>5.0</v>
      </c>
      <c r="AW123" s="63">
        <v>29.0</v>
      </c>
      <c r="AX123" s="63">
        <v>0.0</v>
      </c>
      <c r="AY123" s="63">
        <v>15.0</v>
      </c>
      <c r="AZ123" s="63">
        <v>4.0</v>
      </c>
      <c r="BA123" s="63">
        <v>0.0</v>
      </c>
      <c r="BB123" s="63">
        <v>0.0</v>
      </c>
      <c r="BC123" s="63">
        <v>0.0</v>
      </c>
      <c r="BD123" s="63">
        <v>0.0</v>
      </c>
      <c r="BE123" s="66">
        <v>0.0</v>
      </c>
      <c r="BF123" s="65">
        <v>0.0</v>
      </c>
      <c r="BG123" s="65">
        <v>0.0</v>
      </c>
      <c r="BH123" s="66">
        <v>0.0</v>
      </c>
      <c r="BI123" s="67" t="str">
        <f t="shared" si="23"/>
        <v>#REF!</v>
      </c>
      <c r="BJ123" s="68" t="str">
        <f t="shared" si="24"/>
        <v>#REF!</v>
      </c>
      <c r="BK123" s="65">
        <v>0.0</v>
      </c>
      <c r="BL123" s="65">
        <v>276032.35</v>
      </c>
      <c r="BM123" s="66">
        <v>276032.35</v>
      </c>
      <c r="BN123" s="67" t="str">
        <f t="shared" si="25"/>
        <v>#REF!</v>
      </c>
      <c r="BO123" s="68" t="str">
        <f t="shared" si="26"/>
        <v>#REF!</v>
      </c>
      <c r="BP123" s="76">
        <v>333200.0</v>
      </c>
      <c r="BQ123" s="76">
        <v>0.0</v>
      </c>
      <c r="BR123" s="66">
        <v>333200.0</v>
      </c>
      <c r="BS123" s="67" t="str">
        <f t="shared" si="27"/>
        <v>#REF!</v>
      </c>
      <c r="BT123" s="68" t="str">
        <f>'[1]DATA CONSOLIDADA 2018-2025 '!$BR123-Hoja1!$BO123</f>
        <v>#REF!</v>
      </c>
      <c r="BU123" s="65">
        <v>643186.0</v>
      </c>
      <c r="BV123" s="65">
        <v>0.0</v>
      </c>
      <c r="BW123" s="66">
        <v>643186.0</v>
      </c>
      <c r="BX123" s="67" t="str">
        <f t="shared" si="28"/>
        <v>#REF!</v>
      </c>
      <c r="BY123" s="68" t="str">
        <f t="shared" si="29"/>
        <v>#REF!</v>
      </c>
      <c r="BZ123" s="65">
        <v>594120.0</v>
      </c>
      <c r="CA123" s="65">
        <v>0.0</v>
      </c>
      <c r="CB123" s="66">
        <v>594120.0</v>
      </c>
      <c r="CC123" s="67" t="str">
        <f t="shared" si="30"/>
        <v>#REF!</v>
      </c>
      <c r="CD123" s="68" t="str">
        <f>'[1]DATA CONSOLIDADA 2018-2025 '!$CB123-Hoja1!$BW123</f>
        <v>#REF!</v>
      </c>
      <c r="CE123" s="70">
        <v>0.0</v>
      </c>
      <c r="CF123" s="70">
        <v>0.0</v>
      </c>
      <c r="CG123" s="71">
        <v>0.0</v>
      </c>
      <c r="CH123" s="67" t="str">
        <f t="shared" si="31"/>
        <v>#REF!</v>
      </c>
      <c r="CI123" s="68" t="str">
        <f>'[1]DATA CONSOLIDADA 2018-2025 '!$CG123-Hoja1!$CB123</f>
        <v>#REF!</v>
      </c>
      <c r="CJ123" s="64" t="str">
        <f t="shared" si="22"/>
        <v>#REF!</v>
      </c>
      <c r="CK123" s="64">
        <v>0.0</v>
      </c>
      <c r="CL123" s="64">
        <v>0.0</v>
      </c>
      <c r="CM123" s="64">
        <v>0.0</v>
      </c>
      <c r="CN123" s="64" t="str">
        <f t="shared" si="12"/>
        <v>#REF!</v>
      </c>
      <c r="CO123" s="68" t="str">
        <f>'[1]DATA CONSOLIDADA 2018-2025 '!$CM123-Hoja1!$CG123</f>
        <v>#REF!</v>
      </c>
      <c r="CP123" s="70">
        <v>1216.0</v>
      </c>
      <c r="CQ123" s="70">
        <v>592904.0</v>
      </c>
      <c r="CR123" s="70">
        <v>0.0</v>
      </c>
      <c r="CS123" s="70">
        <v>0.0</v>
      </c>
      <c r="CT123" s="70">
        <v>0.0</v>
      </c>
      <c r="CU123" s="70">
        <v>0.0</v>
      </c>
      <c r="CV123" s="64">
        <v>594120.0</v>
      </c>
      <c r="CW123" s="64">
        <v>0.0</v>
      </c>
      <c r="CX123" s="64">
        <v>0.0</v>
      </c>
      <c r="CY123" s="64">
        <v>0.0</v>
      </c>
      <c r="CZ123" s="64">
        <v>0.0</v>
      </c>
      <c r="DA123" s="64">
        <v>0.0</v>
      </c>
      <c r="DB123" s="64">
        <v>0.0</v>
      </c>
      <c r="DC123" s="72">
        <v>0.0</v>
      </c>
      <c r="DD123" s="72">
        <v>0.0</v>
      </c>
      <c r="DE123" s="72">
        <v>0.0</v>
      </c>
      <c r="DF123" s="72">
        <v>0.0</v>
      </c>
      <c r="DG123" s="72">
        <v>0.0</v>
      </c>
      <c r="DH123" s="72">
        <v>0.0</v>
      </c>
      <c r="DI123" s="73">
        <v>2.0132509795E10</v>
      </c>
      <c r="DJ123" s="74" t="s">
        <v>518</v>
      </c>
      <c r="DK123" s="74" t="s">
        <v>132</v>
      </c>
      <c r="DL123" s="75"/>
      <c r="DM123" s="75"/>
      <c r="DN123" s="75"/>
      <c r="DO123" s="75"/>
      <c r="DP123" s="75"/>
      <c r="DQ123" s="75"/>
      <c r="DR123" s="75"/>
      <c r="DS123" s="75"/>
      <c r="DT123" s="75"/>
      <c r="DU123" s="75"/>
      <c r="DV123" s="75"/>
      <c r="DW123" s="75"/>
      <c r="DX123" s="75"/>
      <c r="DY123" s="75"/>
      <c r="DZ123" s="75"/>
      <c r="EA123" s="75"/>
      <c r="EB123" s="75"/>
      <c r="EC123" s="75"/>
      <c r="ED123" s="75"/>
      <c r="EE123" s="75"/>
    </row>
    <row r="124" ht="47.25" hidden="1" customHeight="1">
      <c r="A124" s="55" t="s">
        <v>533</v>
      </c>
      <c r="B124" s="55" t="s">
        <v>250</v>
      </c>
      <c r="C124" s="55" t="s">
        <v>250</v>
      </c>
      <c r="D124" s="55" t="s">
        <v>434</v>
      </c>
      <c r="E124" s="55" t="s">
        <v>534</v>
      </c>
      <c r="F124" s="55" t="s">
        <v>434</v>
      </c>
      <c r="G124" s="55" t="s">
        <v>535</v>
      </c>
      <c r="H124" s="55" t="s">
        <v>536</v>
      </c>
      <c r="I124" s="56"/>
      <c r="J124" s="56">
        <v>1.0</v>
      </c>
      <c r="K124" s="56">
        <v>1.0</v>
      </c>
      <c r="L124" s="56">
        <v>1.0</v>
      </c>
      <c r="M124" s="56">
        <v>1.0</v>
      </c>
      <c r="N124" s="56">
        <v>1.0</v>
      </c>
      <c r="O124" s="56"/>
      <c r="P124" s="56"/>
      <c r="Q124" s="56" t="s">
        <v>131</v>
      </c>
      <c r="R124" s="58" t="str">
        <f t="shared" si="1"/>
        <v>2019-2020-2021-2022-2023</v>
      </c>
      <c r="S124" s="59" t="str">
        <f>SUM(Hoja1!$I124:$P124)</f>
        <v>5</v>
      </c>
      <c r="T124" s="59" t="str">
        <f>IF(OR(Hoja1!$J124=1,Hoja1!$K124=1,Hoja1!$L124=1,Hoja1!$M124=1,Hoja1!$N124=1,Hoja1!$O124=1,Hoja1!$P124=1),"SI","NO")</f>
        <v>SI</v>
      </c>
      <c r="U124" s="59" t="str">
        <f>IF(OR(Hoja1!$K124=1,Hoja1!$L124=1,Hoja1!$M124=1,Hoja1!$N124=1,Hoja1!$O124=1,Hoja1!$P124=1),"SI","NO")</f>
        <v>SI</v>
      </c>
      <c r="V124" s="60">
        <v>0.0</v>
      </c>
      <c r="W124" s="61">
        <v>14.0</v>
      </c>
      <c r="X124" s="61">
        <v>10.0</v>
      </c>
      <c r="Y124" s="60">
        <v>24.0</v>
      </c>
      <c r="Z124" s="61">
        <v>15.0</v>
      </c>
      <c r="AA124" s="61">
        <v>9.0</v>
      </c>
      <c r="AB124" s="60">
        <v>24.0</v>
      </c>
      <c r="AC124" s="61">
        <v>14.0</v>
      </c>
      <c r="AD124" s="61">
        <v>10.0</v>
      </c>
      <c r="AE124" s="60">
        <v>24.0</v>
      </c>
      <c r="AF124" s="61">
        <v>14.0</v>
      </c>
      <c r="AG124" s="61">
        <v>10.0</v>
      </c>
      <c r="AH124" s="60">
        <v>24.0</v>
      </c>
      <c r="AI124" s="61">
        <v>40.0</v>
      </c>
      <c r="AJ124" s="61">
        <v>20.0</v>
      </c>
      <c r="AK124" s="60">
        <v>60.0</v>
      </c>
      <c r="AL124" s="61">
        <v>0.0</v>
      </c>
      <c r="AM124" s="61">
        <v>0.0</v>
      </c>
      <c r="AN124" s="60">
        <v>0.0</v>
      </c>
      <c r="AO124" s="62">
        <v>0.0</v>
      </c>
      <c r="AP124" s="62">
        <v>0.0</v>
      </c>
      <c r="AQ124" s="60">
        <v>0.0</v>
      </c>
      <c r="AR124" s="60" t="str">
        <f>IF(Hoja1!$AQ124&gt;0,Hoja1!$AQ124,IF(Hoja1!$AN124&gt;0,Hoja1!$AN124,IF(Hoja1!$AK124&gt;0,Hoja1!$AK124,IF(Hoja1!$AH124&gt;0,Hoja1!$AH124,IF(Hoja1!$AE124&gt;0,Hoja1!$AE124,IF(Hoja1!$AB124&gt;0,Hoja1!$AB124,IF(Hoja1!$Y124&gt;0,Hoja1!$Y124,IF(Hoja1!$V124&gt;0,Hoja1!$V124," ---"))))))))</f>
        <v>60</v>
      </c>
      <c r="AS124" s="63">
        <v>15.0</v>
      </c>
      <c r="AT124" s="63">
        <v>7.0</v>
      </c>
      <c r="AU124" s="63">
        <v>27.0</v>
      </c>
      <c r="AV124" s="63">
        <v>9.0</v>
      </c>
      <c r="AW124" s="63">
        <v>26.0</v>
      </c>
      <c r="AX124" s="63">
        <v>5.0</v>
      </c>
      <c r="AY124" s="63">
        <v>10.0</v>
      </c>
      <c r="AZ124" s="63">
        <v>2.0</v>
      </c>
      <c r="BA124" s="63">
        <v>0.0</v>
      </c>
      <c r="BB124" s="63">
        <v>0.0</v>
      </c>
      <c r="BC124" s="63">
        <v>0.0</v>
      </c>
      <c r="BD124" s="63">
        <v>0.0</v>
      </c>
      <c r="BE124" s="64">
        <v>0.0</v>
      </c>
      <c r="BF124" s="65">
        <v>53047.0</v>
      </c>
      <c r="BG124" s="65">
        <v>0.0</v>
      </c>
      <c r="BH124" s="66">
        <v>53047.0</v>
      </c>
      <c r="BI124" s="67" t="str">
        <f t="shared" si="23"/>
        <v>#REF!</v>
      </c>
      <c r="BJ124" s="68" t="str">
        <f t="shared" si="24"/>
        <v>#REF!</v>
      </c>
      <c r="BK124" s="65">
        <v>21762.0</v>
      </c>
      <c r="BL124" s="65">
        <v>0.0</v>
      </c>
      <c r="BM124" s="66">
        <v>21762.0</v>
      </c>
      <c r="BN124" s="67" t="str">
        <f t="shared" si="25"/>
        <v>#REF!</v>
      </c>
      <c r="BO124" s="68" t="str">
        <f t="shared" si="26"/>
        <v>#REF!</v>
      </c>
      <c r="BP124" s="65">
        <v>253944.18</v>
      </c>
      <c r="BQ124" s="65">
        <v>0.0</v>
      </c>
      <c r="BR124" s="66">
        <v>253944.18</v>
      </c>
      <c r="BS124" s="67" t="str">
        <f t="shared" si="27"/>
        <v>#REF!</v>
      </c>
      <c r="BT124" s="68" t="str">
        <f>'[1]DATA CONSOLIDADA 2018-2025 '!$BR124-Hoja1!$BO124</f>
        <v>#REF!</v>
      </c>
      <c r="BU124" s="65">
        <v>123653.4</v>
      </c>
      <c r="BV124" s="65">
        <v>0.0</v>
      </c>
      <c r="BW124" s="66">
        <v>123653.4</v>
      </c>
      <c r="BX124" s="67" t="str">
        <f t="shared" si="28"/>
        <v>#REF!</v>
      </c>
      <c r="BY124" s="68" t="str">
        <f t="shared" si="29"/>
        <v>#REF!</v>
      </c>
      <c r="BZ124" s="65">
        <v>1074383.5</v>
      </c>
      <c r="CA124" s="65">
        <v>0.0</v>
      </c>
      <c r="CB124" s="66">
        <v>1074383.5</v>
      </c>
      <c r="CC124" s="67" t="str">
        <f t="shared" si="30"/>
        <v>#REF!</v>
      </c>
      <c r="CD124" s="68" t="str">
        <f>'[1]DATA CONSOLIDADA 2018-2025 '!$CB124-Hoja1!$BW124</f>
        <v>#REF!</v>
      </c>
      <c r="CE124" s="70">
        <v>0.0</v>
      </c>
      <c r="CF124" s="70">
        <v>0.0</v>
      </c>
      <c r="CG124" s="71">
        <v>0.0</v>
      </c>
      <c r="CH124" s="67" t="str">
        <f t="shared" si="31"/>
        <v>#REF!</v>
      </c>
      <c r="CI124" s="68" t="str">
        <f>'[1]DATA CONSOLIDADA 2018-2025 '!$CG124-Hoja1!$CB124</f>
        <v>#REF!</v>
      </c>
      <c r="CJ124" s="64" t="str">
        <f t="shared" si="22"/>
        <v>#REF!</v>
      </c>
      <c r="CK124" s="64">
        <v>0.0</v>
      </c>
      <c r="CL124" s="64">
        <v>0.0</v>
      </c>
      <c r="CM124" s="64">
        <v>0.0</v>
      </c>
      <c r="CN124" s="64" t="str">
        <f t="shared" si="12"/>
        <v>#REF!</v>
      </c>
      <c r="CO124" s="68" t="str">
        <f>'[1]DATA CONSOLIDADA 2018-2025 '!$CM124-Hoja1!$CG124</f>
        <v>#REF!</v>
      </c>
      <c r="CP124" s="70">
        <v>0.0</v>
      </c>
      <c r="CQ124" s="70">
        <v>790672.5</v>
      </c>
      <c r="CR124" s="70">
        <v>0.0</v>
      </c>
      <c r="CS124" s="70">
        <v>283711.0</v>
      </c>
      <c r="CT124" s="70">
        <v>0.0</v>
      </c>
      <c r="CU124" s="70">
        <v>0.0</v>
      </c>
      <c r="CV124" s="64">
        <v>1074383.5</v>
      </c>
      <c r="CW124" s="64">
        <v>0.0</v>
      </c>
      <c r="CX124" s="64">
        <v>0.0</v>
      </c>
      <c r="CY124" s="64">
        <v>0.0</v>
      </c>
      <c r="CZ124" s="64">
        <v>0.0</v>
      </c>
      <c r="DA124" s="64">
        <v>0.0</v>
      </c>
      <c r="DB124" s="64">
        <v>0.0</v>
      </c>
      <c r="DC124" s="72">
        <v>0.0</v>
      </c>
      <c r="DD124" s="72">
        <v>0.0</v>
      </c>
      <c r="DE124" s="72">
        <v>0.0</v>
      </c>
      <c r="DF124" s="72">
        <v>0.0</v>
      </c>
      <c r="DG124" s="72">
        <v>0.0</v>
      </c>
      <c r="DH124" s="72">
        <v>0.0</v>
      </c>
      <c r="DI124" s="73">
        <v>2.0563994453E10</v>
      </c>
      <c r="DJ124" s="74" t="s">
        <v>537</v>
      </c>
      <c r="DK124" s="74" t="s">
        <v>132</v>
      </c>
      <c r="DL124" s="75"/>
      <c r="DM124" s="75"/>
      <c r="DN124" s="75"/>
      <c r="DO124" s="75"/>
      <c r="DP124" s="75"/>
      <c r="DQ124" s="75"/>
      <c r="DR124" s="75"/>
      <c r="DS124" s="75"/>
      <c r="DT124" s="75"/>
      <c r="DU124" s="75"/>
      <c r="DV124" s="75"/>
      <c r="DW124" s="75"/>
      <c r="DX124" s="75"/>
      <c r="DY124" s="75"/>
      <c r="DZ124" s="75"/>
      <c r="EA124" s="75"/>
      <c r="EB124" s="75"/>
      <c r="EC124" s="75"/>
      <c r="ED124" s="75"/>
      <c r="EE124" s="75"/>
    </row>
    <row r="125" ht="47.25" hidden="1" customHeight="1">
      <c r="A125" s="55" t="s">
        <v>538</v>
      </c>
      <c r="B125" s="55" t="s">
        <v>287</v>
      </c>
      <c r="C125" s="55" t="s">
        <v>287</v>
      </c>
      <c r="D125" s="55" t="s">
        <v>434</v>
      </c>
      <c r="E125" s="55" t="s">
        <v>539</v>
      </c>
      <c r="F125" s="55" t="s">
        <v>434</v>
      </c>
      <c r="G125" s="55" t="s">
        <v>465</v>
      </c>
      <c r="H125" s="55" t="s">
        <v>540</v>
      </c>
      <c r="I125" s="56"/>
      <c r="J125" s="56"/>
      <c r="K125" s="56">
        <v>1.0</v>
      </c>
      <c r="L125" s="56">
        <v>1.0</v>
      </c>
      <c r="M125" s="56">
        <v>1.0</v>
      </c>
      <c r="N125" s="56">
        <v>1.0</v>
      </c>
      <c r="O125" s="56"/>
      <c r="P125" s="56"/>
      <c r="Q125" s="56" t="s">
        <v>131</v>
      </c>
      <c r="R125" s="58" t="str">
        <f t="shared" si="1"/>
        <v>2020-2021-2022-2023</v>
      </c>
      <c r="S125" s="59" t="str">
        <f>SUM(Hoja1!$I125:$P125)</f>
        <v>4</v>
      </c>
      <c r="T125" s="59" t="str">
        <f>IF(OR(Hoja1!$J125=1,Hoja1!$K125=1,Hoja1!$L125=1,Hoja1!$M125=1,Hoja1!$N125=1,Hoja1!$O125=1,Hoja1!$P125=1),"SI","NO")</f>
        <v>SI</v>
      </c>
      <c r="U125" s="59" t="str">
        <f>IF(OR(Hoja1!$K125=1,Hoja1!$L125=1,Hoja1!$M125=1,Hoja1!$N125=1,Hoja1!$O125=1,Hoja1!$P125=1),"SI","NO")</f>
        <v>SI</v>
      </c>
      <c r="V125" s="60">
        <v>0.0</v>
      </c>
      <c r="W125" s="61">
        <v>0.0</v>
      </c>
      <c r="X125" s="61">
        <v>0.0</v>
      </c>
      <c r="Y125" s="60">
        <v>0.0</v>
      </c>
      <c r="Z125" s="61">
        <v>26.0</v>
      </c>
      <c r="AA125" s="61">
        <v>44.0</v>
      </c>
      <c r="AB125" s="60">
        <v>70.0</v>
      </c>
      <c r="AC125" s="61">
        <v>26.0</v>
      </c>
      <c r="AD125" s="61">
        <v>43.0</v>
      </c>
      <c r="AE125" s="60">
        <v>69.0</v>
      </c>
      <c r="AF125" s="61">
        <v>26.0</v>
      </c>
      <c r="AG125" s="61">
        <v>43.0</v>
      </c>
      <c r="AH125" s="60">
        <v>69.0</v>
      </c>
      <c r="AI125" s="61">
        <v>26.0</v>
      </c>
      <c r="AJ125" s="61">
        <v>43.0</v>
      </c>
      <c r="AK125" s="60">
        <v>69.0</v>
      </c>
      <c r="AL125" s="61">
        <v>0.0</v>
      </c>
      <c r="AM125" s="61">
        <v>0.0</v>
      </c>
      <c r="AN125" s="60">
        <v>0.0</v>
      </c>
      <c r="AO125" s="62">
        <v>0.0</v>
      </c>
      <c r="AP125" s="62">
        <v>0.0</v>
      </c>
      <c r="AQ125" s="60">
        <v>0.0</v>
      </c>
      <c r="AR125" s="60" t="str">
        <f>IF(Hoja1!$AQ125&gt;0,Hoja1!$AQ125,IF(Hoja1!$AN125&gt;0,Hoja1!$AN125,IF(Hoja1!$AK125&gt;0,Hoja1!$AK125,IF(Hoja1!$AH125&gt;0,Hoja1!$AH125,IF(Hoja1!$AE125&gt;0,Hoja1!$AE125,IF(Hoja1!$AB125&gt;0,Hoja1!$AB125,IF(Hoja1!$Y125&gt;0,Hoja1!$Y125,IF(Hoja1!$V125&gt;0,Hoja1!$V125," ---"))))))))</f>
        <v>69</v>
      </c>
      <c r="AS125" s="63">
        <v>14.0</v>
      </c>
      <c r="AT125" s="63">
        <v>8.0</v>
      </c>
      <c r="AU125" s="63">
        <v>54.0</v>
      </c>
      <c r="AV125" s="63">
        <v>7.0</v>
      </c>
      <c r="AW125" s="63">
        <v>27.0</v>
      </c>
      <c r="AX125" s="63">
        <v>4.0</v>
      </c>
      <c r="AY125" s="63">
        <v>33.0</v>
      </c>
      <c r="AZ125" s="63">
        <v>6.0</v>
      </c>
      <c r="BA125" s="63">
        <v>0.0</v>
      </c>
      <c r="BB125" s="63">
        <v>0.0</v>
      </c>
      <c r="BC125" s="63">
        <v>0.0</v>
      </c>
      <c r="BD125" s="63">
        <v>0.0</v>
      </c>
      <c r="BE125" s="64">
        <v>0.0</v>
      </c>
      <c r="BF125" s="69">
        <v>0.0</v>
      </c>
      <c r="BG125" s="69">
        <v>0.0</v>
      </c>
      <c r="BH125" s="64">
        <v>0.0</v>
      </c>
      <c r="BI125" s="67" t="str">
        <f t="shared" si="23"/>
        <v>#REF!</v>
      </c>
      <c r="BJ125" s="68" t="str">
        <f t="shared" si="24"/>
        <v>#REF!</v>
      </c>
      <c r="BK125" s="65">
        <v>404052.0</v>
      </c>
      <c r="BL125" s="65">
        <v>0.0</v>
      </c>
      <c r="BM125" s="66">
        <v>404052.0</v>
      </c>
      <c r="BN125" s="67" t="str">
        <f t="shared" si="25"/>
        <v>#REF!</v>
      </c>
      <c r="BO125" s="68" t="str">
        <f t="shared" si="26"/>
        <v>#REF!</v>
      </c>
      <c r="BP125" s="65">
        <v>452969.0</v>
      </c>
      <c r="BQ125" s="65">
        <v>0.0</v>
      </c>
      <c r="BR125" s="66">
        <v>452969.0</v>
      </c>
      <c r="BS125" s="67" t="str">
        <f t="shared" si="27"/>
        <v>#REF!</v>
      </c>
      <c r="BT125" s="68" t="str">
        <f>'[1]DATA CONSOLIDADA 2018-2025 '!$BR125-Hoja1!$BO125</f>
        <v>#REF!</v>
      </c>
      <c r="BU125" s="65">
        <v>471773.5</v>
      </c>
      <c r="BV125" s="65">
        <v>0.0</v>
      </c>
      <c r="BW125" s="66">
        <v>471773.5</v>
      </c>
      <c r="BX125" s="67" t="str">
        <f t="shared" si="28"/>
        <v>#REF!</v>
      </c>
      <c r="BY125" s="68" t="str">
        <f t="shared" si="29"/>
        <v>#REF!</v>
      </c>
      <c r="BZ125" s="65">
        <v>478424.22</v>
      </c>
      <c r="CA125" s="65">
        <v>0.0</v>
      </c>
      <c r="CB125" s="66">
        <v>478424.22</v>
      </c>
      <c r="CC125" s="67" t="str">
        <f t="shared" si="30"/>
        <v>#REF!</v>
      </c>
      <c r="CD125" s="68" t="str">
        <f>'[1]DATA CONSOLIDADA 2018-2025 '!$CB125-Hoja1!$BW125</f>
        <v>#REF!</v>
      </c>
      <c r="CE125" s="70">
        <v>0.0</v>
      </c>
      <c r="CF125" s="70">
        <v>0.0</v>
      </c>
      <c r="CG125" s="71">
        <v>0.0</v>
      </c>
      <c r="CH125" s="67" t="str">
        <f t="shared" si="31"/>
        <v>#REF!</v>
      </c>
      <c r="CI125" s="68" t="str">
        <f>'[1]DATA CONSOLIDADA 2018-2025 '!$CG125-Hoja1!$CB125</f>
        <v>#REF!</v>
      </c>
      <c r="CJ125" s="64" t="str">
        <f t="shared" si="22"/>
        <v>#REF!</v>
      </c>
      <c r="CK125" s="64">
        <v>0.0</v>
      </c>
      <c r="CL125" s="64">
        <v>0.0</v>
      </c>
      <c r="CM125" s="64">
        <v>0.0</v>
      </c>
      <c r="CN125" s="64" t="str">
        <f t="shared" si="12"/>
        <v>#REF!</v>
      </c>
      <c r="CO125" s="68" t="str">
        <f>'[1]DATA CONSOLIDADA 2018-2025 '!$CM125-Hoja1!$CG125</f>
        <v>#REF!</v>
      </c>
      <c r="CP125" s="70">
        <v>0.0</v>
      </c>
      <c r="CQ125" s="70">
        <v>478424.23384999996</v>
      </c>
      <c r="CR125" s="70">
        <v>0.0</v>
      </c>
      <c r="CS125" s="70">
        <v>0.0</v>
      </c>
      <c r="CT125" s="70">
        <v>0.0</v>
      </c>
      <c r="CU125" s="70">
        <v>0.0</v>
      </c>
      <c r="CV125" s="64">
        <v>478424.23384999996</v>
      </c>
      <c r="CW125" s="64">
        <v>0.0</v>
      </c>
      <c r="CX125" s="64">
        <v>0.0</v>
      </c>
      <c r="CY125" s="64">
        <v>0.0</v>
      </c>
      <c r="CZ125" s="64">
        <v>0.0</v>
      </c>
      <c r="DA125" s="64">
        <v>0.0</v>
      </c>
      <c r="DB125" s="64">
        <v>0.0</v>
      </c>
      <c r="DC125" s="72">
        <v>0.0</v>
      </c>
      <c r="DD125" s="72">
        <v>0.0</v>
      </c>
      <c r="DE125" s="72">
        <v>0.0</v>
      </c>
      <c r="DF125" s="72">
        <v>0.0</v>
      </c>
      <c r="DG125" s="72">
        <v>0.0</v>
      </c>
      <c r="DH125" s="72">
        <v>0.0</v>
      </c>
      <c r="DI125" s="73">
        <v>2.0490989871E10</v>
      </c>
      <c r="DJ125" s="74" t="s">
        <v>538</v>
      </c>
      <c r="DK125" s="74" t="s">
        <v>138</v>
      </c>
      <c r="DL125" s="75"/>
      <c r="DM125" s="75"/>
      <c r="DN125" s="75"/>
      <c r="DO125" s="75"/>
      <c r="DP125" s="75"/>
      <c r="DQ125" s="75"/>
      <c r="DR125" s="75"/>
      <c r="DS125" s="75"/>
      <c r="DT125" s="75"/>
      <c r="DU125" s="75"/>
      <c r="DV125" s="75"/>
      <c r="DW125" s="75"/>
      <c r="DX125" s="75"/>
      <c r="DY125" s="75"/>
      <c r="DZ125" s="75"/>
      <c r="EA125" s="75"/>
      <c r="EB125" s="75"/>
      <c r="EC125" s="75"/>
      <c r="ED125" s="75"/>
      <c r="EE125" s="75"/>
    </row>
    <row r="126" ht="47.25" hidden="1" customHeight="1">
      <c r="A126" s="55" t="s">
        <v>541</v>
      </c>
      <c r="B126" s="55" t="s">
        <v>542</v>
      </c>
      <c r="C126" s="55" t="s">
        <v>542</v>
      </c>
      <c r="D126" s="55" t="s">
        <v>434</v>
      </c>
      <c r="E126" s="55" t="s">
        <v>543</v>
      </c>
      <c r="F126" s="55" t="s">
        <v>434</v>
      </c>
      <c r="G126" s="55" t="s">
        <v>544</v>
      </c>
      <c r="H126" s="55" t="s">
        <v>545</v>
      </c>
      <c r="I126" s="56"/>
      <c r="J126" s="56"/>
      <c r="K126" s="56">
        <v>1.0</v>
      </c>
      <c r="L126" s="56">
        <v>1.0</v>
      </c>
      <c r="M126" s="56">
        <v>1.0</v>
      </c>
      <c r="N126" s="56">
        <v>1.0</v>
      </c>
      <c r="O126" s="56"/>
      <c r="P126" s="56"/>
      <c r="Q126" s="56" t="s">
        <v>131</v>
      </c>
      <c r="R126" s="58" t="str">
        <f t="shared" si="1"/>
        <v>2020-2021-2022-2023</v>
      </c>
      <c r="S126" s="59" t="str">
        <f>SUM(Hoja1!$I126:$P126)</f>
        <v>4</v>
      </c>
      <c r="T126" s="59" t="str">
        <f>IF(OR(Hoja1!$J126=1,Hoja1!$K126=1,Hoja1!$L126=1,Hoja1!$M126=1,Hoja1!$N126=1,Hoja1!$O126=1,Hoja1!$P126=1),"SI","NO")</f>
        <v>SI</v>
      </c>
      <c r="U126" s="59" t="str">
        <f>IF(OR(Hoja1!$K126=1,Hoja1!$L126=1,Hoja1!$M126=1,Hoja1!$N126=1,Hoja1!$O126=1,Hoja1!$P126=1),"SI","NO")</f>
        <v>SI</v>
      </c>
      <c r="V126" s="60">
        <v>0.0</v>
      </c>
      <c r="W126" s="61">
        <v>0.0</v>
      </c>
      <c r="X126" s="61">
        <v>0.0</v>
      </c>
      <c r="Y126" s="60">
        <v>0.0</v>
      </c>
      <c r="Z126" s="61">
        <v>5.0</v>
      </c>
      <c r="AA126" s="61">
        <v>16.0</v>
      </c>
      <c r="AB126" s="60">
        <v>21.0</v>
      </c>
      <c r="AC126" s="61">
        <v>14.0</v>
      </c>
      <c r="AD126" s="61">
        <v>16.0</v>
      </c>
      <c r="AE126" s="60">
        <v>30.0</v>
      </c>
      <c r="AF126" s="61">
        <v>14.0</v>
      </c>
      <c r="AG126" s="61">
        <v>16.0</v>
      </c>
      <c r="AH126" s="60">
        <v>30.0</v>
      </c>
      <c r="AI126" s="61">
        <v>14.0</v>
      </c>
      <c r="AJ126" s="61">
        <v>16.0</v>
      </c>
      <c r="AK126" s="60">
        <v>30.0</v>
      </c>
      <c r="AL126" s="61">
        <v>0.0</v>
      </c>
      <c r="AM126" s="61">
        <v>0.0</v>
      </c>
      <c r="AN126" s="60">
        <v>0.0</v>
      </c>
      <c r="AO126" s="62">
        <v>0.0</v>
      </c>
      <c r="AP126" s="62">
        <v>0.0</v>
      </c>
      <c r="AQ126" s="60">
        <v>0.0</v>
      </c>
      <c r="AR126" s="60" t="str">
        <f>IF(Hoja1!$AQ126&gt;0,Hoja1!$AQ126,IF(Hoja1!$AN126&gt;0,Hoja1!$AN126,IF(Hoja1!$AK126&gt;0,Hoja1!$AK126,IF(Hoja1!$AH126&gt;0,Hoja1!$AH126,IF(Hoja1!$AE126&gt;0,Hoja1!$AE126,IF(Hoja1!$AB126&gt;0,Hoja1!$AB126,IF(Hoja1!$Y126&gt;0,Hoja1!$Y126,IF(Hoja1!$V126&gt;0,Hoja1!$V126," ---"))))))))</f>
        <v>30</v>
      </c>
      <c r="AS126" s="63">
        <v>0.0</v>
      </c>
      <c r="AT126" s="63">
        <v>0.0</v>
      </c>
      <c r="AU126" s="63">
        <v>17.0</v>
      </c>
      <c r="AV126" s="63">
        <v>3.0</v>
      </c>
      <c r="AW126" s="63">
        <v>31.0</v>
      </c>
      <c r="AX126" s="63">
        <v>5.0</v>
      </c>
      <c r="AY126" s="63">
        <v>23.0</v>
      </c>
      <c r="AZ126" s="63">
        <v>5.0</v>
      </c>
      <c r="BA126" s="63">
        <v>0.0</v>
      </c>
      <c r="BB126" s="63">
        <v>0.0</v>
      </c>
      <c r="BC126" s="63">
        <v>0.0</v>
      </c>
      <c r="BD126" s="63">
        <v>0.0</v>
      </c>
      <c r="BE126" s="64">
        <v>0.0</v>
      </c>
      <c r="BF126" s="69">
        <v>0.0</v>
      </c>
      <c r="BG126" s="69">
        <v>0.0</v>
      </c>
      <c r="BH126" s="64">
        <v>0.0</v>
      </c>
      <c r="BI126" s="67" t="str">
        <f t="shared" si="23"/>
        <v>#REF!</v>
      </c>
      <c r="BJ126" s="68" t="str">
        <f t="shared" si="24"/>
        <v>#REF!</v>
      </c>
      <c r="BK126" s="65">
        <v>230000.0</v>
      </c>
      <c r="BL126" s="65">
        <v>0.0</v>
      </c>
      <c r="BM126" s="66">
        <v>230000.0</v>
      </c>
      <c r="BN126" s="67" t="str">
        <f t="shared" si="25"/>
        <v>#REF!</v>
      </c>
      <c r="BO126" s="68" t="str">
        <f t="shared" si="26"/>
        <v>#REF!</v>
      </c>
      <c r="BP126" s="65">
        <v>157500.0</v>
      </c>
      <c r="BQ126" s="65">
        <v>0.0</v>
      </c>
      <c r="BR126" s="66">
        <v>157500.0</v>
      </c>
      <c r="BS126" s="67" t="str">
        <f t="shared" si="27"/>
        <v>#REF!</v>
      </c>
      <c r="BT126" s="68" t="str">
        <f>'[1]DATA CONSOLIDADA 2018-2025 '!$BR126-Hoja1!$BO126</f>
        <v>#REF!</v>
      </c>
      <c r="BU126" s="65">
        <v>383500.0</v>
      </c>
      <c r="BV126" s="65">
        <v>0.0</v>
      </c>
      <c r="BW126" s="66">
        <v>383500.0</v>
      </c>
      <c r="BX126" s="67" t="str">
        <f t="shared" si="28"/>
        <v>#REF!</v>
      </c>
      <c r="BY126" s="68" t="str">
        <f t="shared" si="29"/>
        <v>#REF!</v>
      </c>
      <c r="BZ126" s="65">
        <v>498592.9</v>
      </c>
      <c r="CA126" s="65">
        <v>0.0</v>
      </c>
      <c r="CB126" s="66">
        <v>498592.9</v>
      </c>
      <c r="CC126" s="67" t="str">
        <f t="shared" si="30"/>
        <v>#REF!</v>
      </c>
      <c r="CD126" s="68" t="str">
        <f>'[1]DATA CONSOLIDADA 2018-2025 '!$CB126-Hoja1!$BW126</f>
        <v>#REF!</v>
      </c>
      <c r="CE126" s="70">
        <v>0.0</v>
      </c>
      <c r="CF126" s="70">
        <v>0.0</v>
      </c>
      <c r="CG126" s="71">
        <v>0.0</v>
      </c>
      <c r="CH126" s="67" t="str">
        <f t="shared" si="31"/>
        <v>#REF!</v>
      </c>
      <c r="CI126" s="68" t="str">
        <f>'[1]DATA CONSOLIDADA 2018-2025 '!$CG126-Hoja1!$CB126</f>
        <v>#REF!</v>
      </c>
      <c r="CJ126" s="64" t="str">
        <f t="shared" si="22"/>
        <v>#REF!</v>
      </c>
      <c r="CK126" s="64">
        <v>0.0</v>
      </c>
      <c r="CL126" s="64">
        <v>0.0</v>
      </c>
      <c r="CM126" s="64">
        <v>0.0</v>
      </c>
      <c r="CN126" s="64" t="str">
        <f t="shared" si="12"/>
        <v>#REF!</v>
      </c>
      <c r="CO126" s="68" t="str">
        <f>'[1]DATA CONSOLIDADA 2018-2025 '!$CM126-Hoja1!$CG126</f>
        <v>#REF!</v>
      </c>
      <c r="CP126" s="70">
        <v>0.0</v>
      </c>
      <c r="CQ126" s="70">
        <v>307650.0</v>
      </c>
      <c r="CR126" s="70">
        <v>0.0</v>
      </c>
      <c r="CS126" s="70">
        <v>0.0</v>
      </c>
      <c r="CT126" s="70">
        <v>0.0</v>
      </c>
      <c r="CU126" s="70">
        <v>190942.90000000002</v>
      </c>
      <c r="CV126" s="64">
        <v>498592.9</v>
      </c>
      <c r="CW126" s="64">
        <v>0.0</v>
      </c>
      <c r="CX126" s="64">
        <v>0.0</v>
      </c>
      <c r="CY126" s="64">
        <v>0.0</v>
      </c>
      <c r="CZ126" s="64">
        <v>0.0</v>
      </c>
      <c r="DA126" s="64">
        <v>0.0</v>
      </c>
      <c r="DB126" s="64">
        <v>0.0</v>
      </c>
      <c r="DC126" s="72">
        <v>0.0</v>
      </c>
      <c r="DD126" s="72">
        <v>0.0</v>
      </c>
      <c r="DE126" s="72">
        <v>0.0</v>
      </c>
      <c r="DF126" s="72">
        <v>0.0</v>
      </c>
      <c r="DG126" s="72">
        <v>0.0</v>
      </c>
      <c r="DH126" s="72">
        <v>0.0</v>
      </c>
      <c r="DI126" s="73">
        <v>2.0606047364E10</v>
      </c>
      <c r="DJ126" s="74" t="s">
        <v>541</v>
      </c>
      <c r="DK126" s="74" t="s">
        <v>138</v>
      </c>
      <c r="DL126" s="75"/>
      <c r="DM126" s="75"/>
      <c r="DN126" s="75"/>
      <c r="DO126" s="75"/>
      <c r="DP126" s="75"/>
      <c r="DQ126" s="75"/>
      <c r="DR126" s="75"/>
      <c r="DS126" s="75"/>
      <c r="DT126" s="75"/>
      <c r="DU126" s="75"/>
      <c r="DV126" s="75"/>
      <c r="DW126" s="75"/>
      <c r="DX126" s="75"/>
      <c r="DY126" s="75"/>
      <c r="DZ126" s="75"/>
      <c r="EA126" s="75"/>
      <c r="EB126" s="75"/>
      <c r="EC126" s="75"/>
      <c r="ED126" s="75"/>
      <c r="EE126" s="75"/>
    </row>
    <row r="127" ht="47.25" hidden="1" customHeight="1">
      <c r="A127" s="55" t="s">
        <v>546</v>
      </c>
      <c r="B127" s="55" t="s">
        <v>525</v>
      </c>
      <c r="C127" s="55" t="s">
        <v>525</v>
      </c>
      <c r="D127" s="55" t="s">
        <v>434</v>
      </c>
      <c r="E127" s="55" t="s">
        <v>526</v>
      </c>
      <c r="F127" s="55" t="s">
        <v>434</v>
      </c>
      <c r="G127" s="55" t="s">
        <v>435</v>
      </c>
      <c r="H127" s="55" t="s">
        <v>527</v>
      </c>
      <c r="I127" s="56"/>
      <c r="J127" s="56"/>
      <c r="K127" s="56"/>
      <c r="L127" s="56">
        <v>1.0</v>
      </c>
      <c r="M127" s="56">
        <v>1.0</v>
      </c>
      <c r="N127" s="56">
        <v>1.0</v>
      </c>
      <c r="O127" s="56">
        <v>1.0</v>
      </c>
      <c r="P127" s="56">
        <v>1.0</v>
      </c>
      <c r="Q127" s="56" t="s">
        <v>131</v>
      </c>
      <c r="R127" s="58" t="str">
        <f t="shared" si="1"/>
        <v>2021-2022-2023-2024 - 2025</v>
      </c>
      <c r="S127" s="59" t="str">
        <f>SUM(Hoja1!$I127:$P127)</f>
        <v>5</v>
      </c>
      <c r="T127" s="59" t="str">
        <f>IF(OR(Hoja1!$J127=1,Hoja1!$K127=1,Hoja1!$L127=1,Hoja1!$M127=1,Hoja1!$N127=1,Hoja1!$O127=1,Hoja1!$P127=1),"SI","NO")</f>
        <v>SI</v>
      </c>
      <c r="U127" s="59" t="str">
        <f>IF(OR(Hoja1!$K127=1,Hoja1!$L127=1,Hoja1!$M127=1,Hoja1!$N127=1,Hoja1!$O127=1,Hoja1!$P127=1),"SI","NO")</f>
        <v>SI</v>
      </c>
      <c r="V127" s="60">
        <v>0.0</v>
      </c>
      <c r="W127" s="61">
        <v>0.0</v>
      </c>
      <c r="X127" s="61">
        <v>0.0</v>
      </c>
      <c r="Y127" s="60">
        <v>0.0</v>
      </c>
      <c r="Z127" s="61">
        <v>0.0</v>
      </c>
      <c r="AA127" s="61">
        <v>0.0</v>
      </c>
      <c r="AB127" s="60">
        <v>0.0</v>
      </c>
      <c r="AC127" s="61">
        <v>17.0</v>
      </c>
      <c r="AD127" s="61">
        <v>7.0</v>
      </c>
      <c r="AE127" s="60">
        <v>24.0</v>
      </c>
      <c r="AF127" s="61">
        <v>17.0</v>
      </c>
      <c r="AG127" s="61">
        <v>7.0</v>
      </c>
      <c r="AH127" s="60">
        <v>24.0</v>
      </c>
      <c r="AI127" s="61">
        <v>17.0</v>
      </c>
      <c r="AJ127" s="61">
        <v>7.0</v>
      </c>
      <c r="AK127" s="60">
        <v>24.0</v>
      </c>
      <c r="AL127" s="61">
        <v>21.0</v>
      </c>
      <c r="AM127" s="61">
        <v>10.0</v>
      </c>
      <c r="AN127" s="60">
        <v>31.0</v>
      </c>
      <c r="AO127" s="62">
        <v>22.0</v>
      </c>
      <c r="AP127" s="62">
        <v>9.0</v>
      </c>
      <c r="AQ127" s="60">
        <v>31.0</v>
      </c>
      <c r="AR127" s="60" t="str">
        <f>IF(Hoja1!$AQ127&gt;0,Hoja1!$AQ127,IF(Hoja1!$AN127&gt;0,Hoja1!$AN127,IF(Hoja1!$AK127&gt;0,Hoja1!$AK127,IF(Hoja1!$AH127&gt;0,Hoja1!$AH127,IF(Hoja1!$AE127&gt;0,Hoja1!$AE127,IF(Hoja1!$AB127&gt;0,Hoja1!$AB127,IF(Hoja1!$Y127&gt;0,Hoja1!$Y127,IF(Hoja1!$V127&gt;0,Hoja1!$V127," ---"))))))))</f>
        <v>31</v>
      </c>
      <c r="AS127" s="63">
        <v>0.0</v>
      </c>
      <c r="AT127" s="63">
        <v>0.0</v>
      </c>
      <c r="AU127" s="63">
        <v>23.0</v>
      </c>
      <c r="AV127" s="63">
        <v>4.0</v>
      </c>
      <c r="AW127" s="63">
        <v>33.0</v>
      </c>
      <c r="AX127" s="63">
        <v>6.0</v>
      </c>
      <c r="AY127" s="63">
        <v>38.0</v>
      </c>
      <c r="AZ127" s="63">
        <v>5.0</v>
      </c>
      <c r="BA127" s="63">
        <v>34.0</v>
      </c>
      <c r="BB127" s="63">
        <v>7.0</v>
      </c>
      <c r="BC127" s="63">
        <v>25.0</v>
      </c>
      <c r="BD127" s="63">
        <v>5.0</v>
      </c>
      <c r="BE127" s="64">
        <v>0.0</v>
      </c>
      <c r="BF127" s="69">
        <v>0.0</v>
      </c>
      <c r="BG127" s="69">
        <v>0.0</v>
      </c>
      <c r="BH127" s="64">
        <v>0.0</v>
      </c>
      <c r="BI127" s="67" t="str">
        <f t="shared" si="23"/>
        <v>#REF!</v>
      </c>
      <c r="BJ127" s="68" t="str">
        <f t="shared" si="24"/>
        <v>#REF!</v>
      </c>
      <c r="BK127" s="69">
        <v>0.0</v>
      </c>
      <c r="BL127" s="69">
        <v>0.0</v>
      </c>
      <c r="BM127" s="66">
        <v>0.0</v>
      </c>
      <c r="BN127" s="67" t="str">
        <f t="shared" si="25"/>
        <v>#REF!</v>
      </c>
      <c r="BO127" s="68" t="str">
        <f t="shared" si="26"/>
        <v>#REF!</v>
      </c>
      <c r="BP127" s="65">
        <v>11267.5</v>
      </c>
      <c r="BQ127" s="65">
        <v>0.0</v>
      </c>
      <c r="BR127" s="66">
        <v>11267.5</v>
      </c>
      <c r="BS127" s="67" t="str">
        <f t="shared" si="27"/>
        <v>#REF!</v>
      </c>
      <c r="BT127" s="68" t="str">
        <f>'[1]DATA CONSOLIDADA 2018-2025 '!$BR127-Hoja1!$BO127</f>
        <v>#REF!</v>
      </c>
      <c r="BU127" s="65">
        <v>75014.0</v>
      </c>
      <c r="BV127" s="65">
        <v>0.0</v>
      </c>
      <c r="BW127" s="66">
        <v>75014.0</v>
      </c>
      <c r="BX127" s="67" t="str">
        <f t="shared" si="28"/>
        <v>#REF!</v>
      </c>
      <c r="BY127" s="68" t="str">
        <f t="shared" si="29"/>
        <v>#REF!</v>
      </c>
      <c r="BZ127" s="65">
        <v>110208.0</v>
      </c>
      <c r="CA127" s="65">
        <v>0.0</v>
      </c>
      <c r="CB127" s="66">
        <v>110208.0</v>
      </c>
      <c r="CC127" s="67" t="str">
        <f t="shared" si="30"/>
        <v>#REF!</v>
      </c>
      <c r="CD127" s="68" t="str">
        <f>'[1]DATA CONSOLIDADA 2018-2025 '!$CB127-Hoja1!$BW127</f>
        <v>#REF!</v>
      </c>
      <c r="CE127" s="70">
        <v>45825.402500000004</v>
      </c>
      <c r="CF127" s="70">
        <v>0.0</v>
      </c>
      <c r="CG127" s="71">
        <v>45825.402500000004</v>
      </c>
      <c r="CH127" s="67" t="str">
        <f t="shared" si="31"/>
        <v>#REF!</v>
      </c>
      <c r="CI127" s="68" t="str">
        <f>'[1]DATA CONSOLIDADA 2018-2025 '!$CG127-Hoja1!$CB127</f>
        <v>#REF!</v>
      </c>
      <c r="CJ127" s="64" t="str">
        <f t="shared" si="22"/>
        <v>#REF!</v>
      </c>
      <c r="CK127" s="64">
        <v>167028.99800000002</v>
      </c>
      <c r="CL127" s="64">
        <v>0.0</v>
      </c>
      <c r="CM127" s="64">
        <v>167028.99800000002</v>
      </c>
      <c r="CN127" s="64" t="str">
        <f t="shared" si="12"/>
        <v>#REF!</v>
      </c>
      <c r="CO127" s="68" t="str">
        <f>'[1]DATA CONSOLIDADA 2018-2025 '!$CM127-Hoja1!$CG127</f>
        <v>#REF!</v>
      </c>
      <c r="CP127" s="70">
        <v>65795.5</v>
      </c>
      <c r="CQ127" s="70">
        <v>0.0</v>
      </c>
      <c r="CR127" s="70">
        <v>0.0</v>
      </c>
      <c r="CS127" s="70">
        <v>44412.5</v>
      </c>
      <c r="CT127" s="70">
        <v>0.0</v>
      </c>
      <c r="CU127" s="70">
        <v>0.0</v>
      </c>
      <c r="CV127" s="64">
        <v>110208.0</v>
      </c>
      <c r="CW127" s="64">
        <v>0.0</v>
      </c>
      <c r="CX127" s="64">
        <v>0.0</v>
      </c>
      <c r="CY127" s="64">
        <v>45825.402500000004</v>
      </c>
      <c r="CZ127" s="64">
        <v>0.0</v>
      </c>
      <c r="DA127" s="64">
        <v>0.0</v>
      </c>
      <c r="DB127" s="64">
        <v>45825.402500000004</v>
      </c>
      <c r="DC127" s="72">
        <v>29041.5</v>
      </c>
      <c r="DD127" s="72">
        <v>0.0</v>
      </c>
      <c r="DE127" s="72">
        <v>137987.498</v>
      </c>
      <c r="DF127" s="72">
        <v>0.0</v>
      </c>
      <c r="DG127" s="72">
        <v>0.0</v>
      </c>
      <c r="DH127" s="72">
        <v>167028.998</v>
      </c>
      <c r="DI127" s="73">
        <v>2.0143224857E10</v>
      </c>
      <c r="DJ127" s="74" t="s">
        <v>547</v>
      </c>
      <c r="DK127" s="74" t="s">
        <v>132</v>
      </c>
      <c r="DL127" s="75"/>
      <c r="DM127" s="75"/>
      <c r="DN127" s="75"/>
      <c r="DO127" s="75"/>
      <c r="DP127" s="75"/>
      <c r="DQ127" s="75"/>
      <c r="DR127" s="75"/>
      <c r="DS127" s="75"/>
      <c r="DT127" s="75"/>
      <c r="DU127" s="75"/>
      <c r="DV127" s="75"/>
      <c r="DW127" s="75"/>
      <c r="DX127" s="75"/>
      <c r="DY127" s="75"/>
      <c r="DZ127" s="75"/>
      <c r="EA127" s="75"/>
      <c r="EB127" s="75"/>
      <c r="EC127" s="75"/>
      <c r="ED127" s="75"/>
      <c r="EE127" s="75"/>
    </row>
    <row r="128" ht="47.25" hidden="1" customHeight="1">
      <c r="A128" s="55" t="s">
        <v>548</v>
      </c>
      <c r="B128" s="55" t="s">
        <v>287</v>
      </c>
      <c r="C128" s="55" t="s">
        <v>287</v>
      </c>
      <c r="D128" s="55" t="s">
        <v>434</v>
      </c>
      <c r="E128" s="55" t="s">
        <v>549</v>
      </c>
      <c r="F128" s="55" t="s">
        <v>434</v>
      </c>
      <c r="G128" s="55" t="s">
        <v>465</v>
      </c>
      <c r="H128" s="55" t="s">
        <v>550</v>
      </c>
      <c r="I128" s="56"/>
      <c r="J128" s="56"/>
      <c r="K128" s="56"/>
      <c r="L128" s="56">
        <v>1.0</v>
      </c>
      <c r="M128" s="56">
        <v>1.0</v>
      </c>
      <c r="N128" s="56">
        <v>1.0</v>
      </c>
      <c r="O128" s="56">
        <v>1.0</v>
      </c>
      <c r="P128" s="56">
        <v>1.0</v>
      </c>
      <c r="Q128" s="56" t="s">
        <v>131</v>
      </c>
      <c r="R128" s="58" t="str">
        <f t="shared" si="1"/>
        <v>2021-2022-2023-2024 - 2025</v>
      </c>
      <c r="S128" s="59" t="str">
        <f>SUM(Hoja1!$I128:$P128)</f>
        <v>5</v>
      </c>
      <c r="T128" s="59" t="str">
        <f>IF(OR(Hoja1!$J128=1,Hoja1!$K128=1,Hoja1!$L128=1,Hoja1!$M128=1,Hoja1!$N128=1,Hoja1!$O128=1,Hoja1!$P128=1),"SI","NO")</f>
        <v>SI</v>
      </c>
      <c r="U128" s="59" t="str">
        <f>IF(OR(Hoja1!$K128=1,Hoja1!$L128=1,Hoja1!$M128=1,Hoja1!$N128=1,Hoja1!$O128=1,Hoja1!$P128=1),"SI","NO")</f>
        <v>SI</v>
      </c>
      <c r="V128" s="60">
        <v>0.0</v>
      </c>
      <c r="W128" s="61">
        <v>0.0</v>
      </c>
      <c r="X128" s="61">
        <v>0.0</v>
      </c>
      <c r="Y128" s="60">
        <v>0.0</v>
      </c>
      <c r="Z128" s="61">
        <v>0.0</v>
      </c>
      <c r="AA128" s="61">
        <v>0.0</v>
      </c>
      <c r="AB128" s="60">
        <v>0.0</v>
      </c>
      <c r="AC128" s="61">
        <v>43.0</v>
      </c>
      <c r="AD128" s="61">
        <v>24.0</v>
      </c>
      <c r="AE128" s="60">
        <v>67.0</v>
      </c>
      <c r="AF128" s="61">
        <v>43.0</v>
      </c>
      <c r="AG128" s="61">
        <v>24.0</v>
      </c>
      <c r="AH128" s="60">
        <v>67.0</v>
      </c>
      <c r="AI128" s="61">
        <v>43.0</v>
      </c>
      <c r="AJ128" s="61">
        <v>24.0</v>
      </c>
      <c r="AK128" s="60">
        <v>67.0</v>
      </c>
      <c r="AL128" s="61">
        <v>44.0</v>
      </c>
      <c r="AM128" s="61">
        <v>20.0</v>
      </c>
      <c r="AN128" s="60">
        <v>64.0</v>
      </c>
      <c r="AO128" s="62">
        <v>30.0</v>
      </c>
      <c r="AP128" s="62">
        <v>25.0</v>
      </c>
      <c r="AQ128" s="60">
        <v>55.0</v>
      </c>
      <c r="AR128" s="60" t="str">
        <f>IF(Hoja1!$AQ128&gt;0,Hoja1!$AQ128,IF(Hoja1!$AN128&gt;0,Hoja1!$AN128,IF(Hoja1!$AK128&gt;0,Hoja1!$AK128,IF(Hoja1!$AH128&gt;0,Hoja1!$AH128,IF(Hoja1!$AE128&gt;0,Hoja1!$AE128,IF(Hoja1!$AB128&gt;0,Hoja1!$AB128,IF(Hoja1!$Y128&gt;0,Hoja1!$Y128,IF(Hoja1!$V128&gt;0,Hoja1!$V128," ---"))))))))</f>
        <v>55</v>
      </c>
      <c r="AS128" s="63">
        <v>0.0</v>
      </c>
      <c r="AT128" s="63">
        <v>0.0</v>
      </c>
      <c r="AU128" s="63">
        <v>18.0</v>
      </c>
      <c r="AV128" s="63">
        <v>3.0</v>
      </c>
      <c r="AW128" s="63">
        <v>29.0</v>
      </c>
      <c r="AX128" s="63">
        <v>4.0</v>
      </c>
      <c r="AY128" s="63">
        <v>31.0</v>
      </c>
      <c r="AZ128" s="63">
        <v>6.0</v>
      </c>
      <c r="BA128" s="63">
        <v>39.0</v>
      </c>
      <c r="BB128" s="63">
        <v>8.0</v>
      </c>
      <c r="BC128" s="63">
        <v>9.0</v>
      </c>
      <c r="BD128" s="63">
        <v>2.0</v>
      </c>
      <c r="BE128" s="64">
        <v>0.0</v>
      </c>
      <c r="BF128" s="69">
        <v>0.0</v>
      </c>
      <c r="BG128" s="69">
        <v>0.0</v>
      </c>
      <c r="BH128" s="64">
        <v>0.0</v>
      </c>
      <c r="BI128" s="67" t="str">
        <f t="shared" si="23"/>
        <v>#REF!</v>
      </c>
      <c r="BJ128" s="68" t="str">
        <f t="shared" si="24"/>
        <v>#REF!</v>
      </c>
      <c r="BK128" s="69">
        <v>0.0</v>
      </c>
      <c r="BL128" s="69">
        <v>0.0</v>
      </c>
      <c r="BM128" s="66">
        <v>0.0</v>
      </c>
      <c r="BN128" s="67" t="str">
        <f t="shared" si="25"/>
        <v>#REF!</v>
      </c>
      <c r="BO128" s="68" t="str">
        <f t="shared" si="26"/>
        <v>#REF!</v>
      </c>
      <c r="BP128" s="65">
        <v>99860.0</v>
      </c>
      <c r="BQ128" s="65">
        <v>0.0</v>
      </c>
      <c r="BR128" s="66">
        <v>99860.0</v>
      </c>
      <c r="BS128" s="67" t="str">
        <f t="shared" si="27"/>
        <v>#REF!</v>
      </c>
      <c r="BT128" s="68" t="str">
        <f>'[1]DATA CONSOLIDADA 2018-2025 '!$BR128-Hoja1!$BO128</f>
        <v>#REF!</v>
      </c>
      <c r="BU128" s="65">
        <v>119703.55</v>
      </c>
      <c r="BV128" s="65">
        <v>0.0</v>
      </c>
      <c r="BW128" s="66">
        <v>119703.55</v>
      </c>
      <c r="BX128" s="67" t="str">
        <f t="shared" si="28"/>
        <v>#REF!</v>
      </c>
      <c r="BY128" s="68" t="str">
        <f t="shared" si="29"/>
        <v>#REF!</v>
      </c>
      <c r="BZ128" s="65">
        <v>149468.55</v>
      </c>
      <c r="CA128" s="65">
        <v>0.0</v>
      </c>
      <c r="CB128" s="66">
        <v>149468.55</v>
      </c>
      <c r="CC128" s="67" t="str">
        <f t="shared" si="30"/>
        <v>#REF!</v>
      </c>
      <c r="CD128" s="68" t="str">
        <f>'[1]DATA CONSOLIDADA 2018-2025 '!$CB128-Hoja1!$BW128</f>
        <v>#REF!</v>
      </c>
      <c r="CE128" s="70">
        <v>230727.19400000002</v>
      </c>
      <c r="CF128" s="70">
        <v>0.0</v>
      </c>
      <c r="CG128" s="71">
        <v>230727.19400000002</v>
      </c>
      <c r="CH128" s="67" t="str">
        <f t="shared" si="31"/>
        <v>#REF!</v>
      </c>
      <c r="CI128" s="68" t="str">
        <f>'[1]DATA CONSOLIDADA 2018-2025 '!$CG128-Hoja1!$CB128</f>
        <v>#REF!</v>
      </c>
      <c r="CJ128" s="64" t="str">
        <f t="shared" si="22"/>
        <v>#REF!</v>
      </c>
      <c r="CK128" s="64">
        <v>132224.99994</v>
      </c>
      <c r="CL128" s="64">
        <v>0.0</v>
      </c>
      <c r="CM128" s="64">
        <v>132224.99994</v>
      </c>
      <c r="CN128" s="64" t="str">
        <f t="shared" si="12"/>
        <v>#REF!</v>
      </c>
      <c r="CO128" s="68" t="str">
        <f>'[1]DATA CONSOLIDADA 2018-2025 '!$CM128-Hoja1!$CG128</f>
        <v>#REF!</v>
      </c>
      <c r="CP128" s="70">
        <v>0.0</v>
      </c>
      <c r="CQ128" s="70">
        <v>122257.54074</v>
      </c>
      <c r="CR128" s="70">
        <v>0.0</v>
      </c>
      <c r="CS128" s="70">
        <v>27210.9950695</v>
      </c>
      <c r="CT128" s="70">
        <v>0.0</v>
      </c>
      <c r="CU128" s="70">
        <v>0.0</v>
      </c>
      <c r="CV128" s="64">
        <v>149468.5358095</v>
      </c>
      <c r="CW128" s="64">
        <v>0.0</v>
      </c>
      <c r="CX128" s="64">
        <v>230727.19400000002</v>
      </c>
      <c r="CY128" s="64">
        <v>0.0</v>
      </c>
      <c r="CZ128" s="64">
        <v>0.0</v>
      </c>
      <c r="DA128" s="64">
        <v>0.0</v>
      </c>
      <c r="DB128" s="64">
        <v>230727.19400000002</v>
      </c>
      <c r="DC128" s="72">
        <v>0.0</v>
      </c>
      <c r="DD128" s="72">
        <v>126615.0</v>
      </c>
      <c r="DE128" s="72">
        <v>0.0</v>
      </c>
      <c r="DF128" s="72">
        <v>0.0</v>
      </c>
      <c r="DG128" s="72">
        <v>5609.99994</v>
      </c>
      <c r="DH128" s="72">
        <v>132224.99994</v>
      </c>
      <c r="DI128" s="73">
        <v>2.0602682758E10</v>
      </c>
      <c r="DJ128" s="74" t="s">
        <v>548</v>
      </c>
      <c r="DK128" s="74" t="s">
        <v>138</v>
      </c>
      <c r="DL128" s="75"/>
      <c r="DM128" s="75"/>
      <c r="DN128" s="75"/>
      <c r="DO128" s="75"/>
      <c r="DP128" s="75"/>
      <c r="DQ128" s="75"/>
      <c r="DR128" s="75"/>
      <c r="DS128" s="75"/>
      <c r="DT128" s="75"/>
      <c r="DU128" s="75"/>
      <c r="DV128" s="75"/>
      <c r="DW128" s="75"/>
      <c r="DX128" s="75"/>
      <c r="DY128" s="75"/>
      <c r="DZ128" s="75"/>
      <c r="EA128" s="75"/>
      <c r="EB128" s="75"/>
      <c r="EC128" s="75"/>
      <c r="ED128" s="75"/>
      <c r="EE128" s="75"/>
    </row>
    <row r="129" ht="47.25" hidden="1" customHeight="1">
      <c r="A129" s="55" t="s">
        <v>551</v>
      </c>
      <c r="B129" s="55" t="s">
        <v>530</v>
      </c>
      <c r="C129" s="55" t="s">
        <v>530</v>
      </c>
      <c r="D129" s="55" t="s">
        <v>434</v>
      </c>
      <c r="E129" s="55" t="s">
        <v>487</v>
      </c>
      <c r="F129" s="55" t="s">
        <v>434</v>
      </c>
      <c r="G129" s="55" t="s">
        <v>435</v>
      </c>
      <c r="H129" s="55" t="s">
        <v>488</v>
      </c>
      <c r="I129" s="56"/>
      <c r="J129" s="56"/>
      <c r="K129" s="56"/>
      <c r="L129" s="56">
        <v>1.0</v>
      </c>
      <c r="M129" s="56">
        <v>1.0</v>
      </c>
      <c r="N129" s="56">
        <v>1.0</v>
      </c>
      <c r="O129" s="56">
        <v>1.0</v>
      </c>
      <c r="P129" s="56">
        <v>1.0</v>
      </c>
      <c r="Q129" s="56" t="s">
        <v>131</v>
      </c>
      <c r="R129" s="58" t="str">
        <f t="shared" si="1"/>
        <v>2021-2022-2023-2024 - 2025</v>
      </c>
      <c r="S129" s="59" t="str">
        <f>SUM(Hoja1!$I129:$P129)</f>
        <v>5</v>
      </c>
      <c r="T129" s="59" t="str">
        <f>IF(OR(Hoja1!$J129=1,Hoja1!$K129=1,Hoja1!$L129=1,Hoja1!$M129=1,Hoja1!$N129=1,Hoja1!$O129=1,Hoja1!$P129=1),"SI","NO")</f>
        <v>SI</v>
      </c>
      <c r="U129" s="59" t="str">
        <f>IF(OR(Hoja1!$K129=1,Hoja1!$L129=1,Hoja1!$M129=1,Hoja1!$N129=1,Hoja1!$O129=1,Hoja1!$P129=1),"SI","NO")</f>
        <v>SI</v>
      </c>
      <c r="V129" s="60">
        <v>0.0</v>
      </c>
      <c r="W129" s="61">
        <v>0.0</v>
      </c>
      <c r="X129" s="61">
        <v>0.0</v>
      </c>
      <c r="Y129" s="60">
        <v>0.0</v>
      </c>
      <c r="Z129" s="61">
        <v>0.0</v>
      </c>
      <c r="AA129" s="61">
        <v>0.0</v>
      </c>
      <c r="AB129" s="60">
        <v>0.0</v>
      </c>
      <c r="AC129" s="61">
        <v>12.0</v>
      </c>
      <c r="AD129" s="61">
        <v>4.0</v>
      </c>
      <c r="AE129" s="60">
        <v>16.0</v>
      </c>
      <c r="AF129" s="61">
        <v>12.0</v>
      </c>
      <c r="AG129" s="61">
        <v>4.0</v>
      </c>
      <c r="AH129" s="60">
        <v>16.0</v>
      </c>
      <c r="AI129" s="61">
        <v>12.0</v>
      </c>
      <c r="AJ129" s="61">
        <v>4.0</v>
      </c>
      <c r="AK129" s="60">
        <v>16.0</v>
      </c>
      <c r="AL129" s="61">
        <v>12.0</v>
      </c>
      <c r="AM129" s="61">
        <v>4.0</v>
      </c>
      <c r="AN129" s="60">
        <v>16.0</v>
      </c>
      <c r="AO129" s="62">
        <v>18.0</v>
      </c>
      <c r="AP129" s="62">
        <v>2.0</v>
      </c>
      <c r="AQ129" s="60">
        <v>20.0</v>
      </c>
      <c r="AR129" s="60" t="str">
        <f>IF(Hoja1!$AQ129&gt;0,Hoja1!$AQ129,IF(Hoja1!$AN129&gt;0,Hoja1!$AN129,IF(Hoja1!$AK129&gt;0,Hoja1!$AK129,IF(Hoja1!$AH129&gt;0,Hoja1!$AH129,IF(Hoja1!$AE129&gt;0,Hoja1!$AE129,IF(Hoja1!$AB129&gt;0,Hoja1!$AB129,IF(Hoja1!$Y129&gt;0,Hoja1!$Y129,IF(Hoja1!$V129&gt;0,Hoja1!$V129," ---"))))))))</f>
        <v>20</v>
      </c>
      <c r="AS129" s="63">
        <v>0.0</v>
      </c>
      <c r="AT129" s="63">
        <v>0.0</v>
      </c>
      <c r="AU129" s="63">
        <v>10.0</v>
      </c>
      <c r="AV129" s="63">
        <v>3.0</v>
      </c>
      <c r="AW129" s="63">
        <v>18.0</v>
      </c>
      <c r="AX129" s="63">
        <v>6.0</v>
      </c>
      <c r="AY129" s="63">
        <v>15.0</v>
      </c>
      <c r="AZ129" s="63">
        <v>4.0</v>
      </c>
      <c r="BA129" s="63">
        <v>33.0</v>
      </c>
      <c r="BB129" s="63">
        <v>8.0</v>
      </c>
      <c r="BC129" s="63">
        <v>20.0</v>
      </c>
      <c r="BD129" s="63">
        <v>4.0</v>
      </c>
      <c r="BE129" s="66">
        <v>0.0</v>
      </c>
      <c r="BF129" s="65">
        <v>0.0</v>
      </c>
      <c r="BG129" s="65">
        <v>0.0</v>
      </c>
      <c r="BH129" s="66">
        <v>0.0</v>
      </c>
      <c r="BI129" s="67" t="str">
        <f t="shared" si="23"/>
        <v>#REF!</v>
      </c>
      <c r="BJ129" s="68" t="str">
        <f t="shared" si="24"/>
        <v>#REF!</v>
      </c>
      <c r="BK129" s="65">
        <v>0.0</v>
      </c>
      <c r="BL129" s="65">
        <v>0.0</v>
      </c>
      <c r="BM129" s="66">
        <v>0.0</v>
      </c>
      <c r="BN129" s="67" t="str">
        <f t="shared" si="25"/>
        <v>#REF!</v>
      </c>
      <c r="BO129" s="68" t="str">
        <f t="shared" si="26"/>
        <v>#REF!</v>
      </c>
      <c r="BP129" s="65">
        <v>0.0</v>
      </c>
      <c r="BQ129" s="65">
        <v>0.0</v>
      </c>
      <c r="BR129" s="66">
        <v>0.0</v>
      </c>
      <c r="BS129" s="67" t="str">
        <f t="shared" si="27"/>
        <v>#REF!</v>
      </c>
      <c r="BT129" s="68" t="str">
        <f>'[1]DATA CONSOLIDADA 2018-2025 '!$BR129-Hoja1!$BO129</f>
        <v>#REF!</v>
      </c>
      <c r="BU129" s="65">
        <v>553280.0</v>
      </c>
      <c r="BV129" s="65">
        <v>0.0</v>
      </c>
      <c r="BW129" s="66">
        <v>553280.0</v>
      </c>
      <c r="BX129" s="67" t="str">
        <f t="shared" si="28"/>
        <v>#REF!</v>
      </c>
      <c r="BY129" s="68" t="str">
        <f t="shared" si="29"/>
        <v>#REF!</v>
      </c>
      <c r="BZ129" s="65">
        <v>979000.0</v>
      </c>
      <c r="CA129" s="65">
        <v>0.0</v>
      </c>
      <c r="CB129" s="66">
        <v>979000.0</v>
      </c>
      <c r="CC129" s="67" t="str">
        <f t="shared" si="30"/>
        <v>#REF!</v>
      </c>
      <c r="CD129" s="68" t="str">
        <f>'[1]DATA CONSOLIDADA 2018-2025 '!$CB129-Hoja1!$BW129</f>
        <v>#REF!</v>
      </c>
      <c r="CE129" s="70">
        <v>492500.0</v>
      </c>
      <c r="CF129" s="70">
        <v>0.0</v>
      </c>
      <c r="CG129" s="71">
        <v>492500.0</v>
      </c>
      <c r="CH129" s="67" t="str">
        <f t="shared" si="31"/>
        <v>#REF!</v>
      </c>
      <c r="CI129" s="68" t="str">
        <f>'[1]DATA CONSOLIDADA 2018-2025 '!$CG129-Hoja1!$CB129</f>
        <v>#REF!</v>
      </c>
      <c r="CJ129" s="64" t="str">
        <f t="shared" si="22"/>
        <v>#REF!</v>
      </c>
      <c r="CK129" s="64">
        <v>97171.99635</v>
      </c>
      <c r="CL129" s="64">
        <v>0.0</v>
      </c>
      <c r="CM129" s="64">
        <v>97171.99635</v>
      </c>
      <c r="CN129" s="64" t="str">
        <f t="shared" si="12"/>
        <v>#REF!</v>
      </c>
      <c r="CO129" s="68" t="str">
        <f>'[1]DATA CONSOLIDADA 2018-2025 '!$CM129-Hoja1!$CG129</f>
        <v>#REF!</v>
      </c>
      <c r="CP129" s="70">
        <v>0.0</v>
      </c>
      <c r="CQ129" s="70">
        <v>979000.0</v>
      </c>
      <c r="CR129" s="70">
        <v>0.0</v>
      </c>
      <c r="CS129" s="70">
        <v>0.0</v>
      </c>
      <c r="CT129" s="70">
        <v>0.0</v>
      </c>
      <c r="CU129" s="70">
        <v>0.0</v>
      </c>
      <c r="CV129" s="64">
        <v>979000.0</v>
      </c>
      <c r="CW129" s="64">
        <v>0.0</v>
      </c>
      <c r="CX129" s="64">
        <v>492500.0</v>
      </c>
      <c r="CY129" s="64">
        <v>0.0</v>
      </c>
      <c r="CZ129" s="64">
        <v>0.0</v>
      </c>
      <c r="DA129" s="64">
        <v>0.0</v>
      </c>
      <c r="DB129" s="64">
        <v>492500.0</v>
      </c>
      <c r="DC129" s="72">
        <v>0.0</v>
      </c>
      <c r="DD129" s="72">
        <v>97171.99635</v>
      </c>
      <c r="DE129" s="72">
        <v>0.0</v>
      </c>
      <c r="DF129" s="72">
        <v>0.0</v>
      </c>
      <c r="DG129" s="72">
        <v>0.0</v>
      </c>
      <c r="DH129" s="72">
        <v>97171.99635</v>
      </c>
      <c r="DI129" s="73">
        <v>2.0605363092E10</v>
      </c>
      <c r="DJ129" s="74" t="s">
        <v>552</v>
      </c>
      <c r="DK129" s="74" t="s">
        <v>138</v>
      </c>
      <c r="DL129" s="75"/>
      <c r="DM129" s="75"/>
      <c r="DN129" s="75"/>
      <c r="DO129" s="75"/>
      <c r="DP129" s="75"/>
      <c r="DQ129" s="75"/>
      <c r="DR129" s="75"/>
      <c r="DS129" s="75"/>
      <c r="DT129" s="75"/>
      <c r="DU129" s="75"/>
      <c r="DV129" s="75"/>
      <c r="DW129" s="75"/>
      <c r="DX129" s="75"/>
      <c r="DY129" s="75"/>
      <c r="DZ129" s="75"/>
      <c r="EA129" s="75"/>
      <c r="EB129" s="75"/>
      <c r="EC129" s="75"/>
      <c r="ED129" s="75"/>
      <c r="EE129" s="75"/>
    </row>
    <row r="130" ht="47.25" hidden="1" customHeight="1">
      <c r="A130" s="55" t="s">
        <v>553</v>
      </c>
      <c r="B130" s="55" t="s">
        <v>554</v>
      </c>
      <c r="C130" s="55" t="s">
        <v>554</v>
      </c>
      <c r="D130" s="55" t="s">
        <v>434</v>
      </c>
      <c r="E130" s="55" t="s">
        <v>487</v>
      </c>
      <c r="F130" s="55" t="s">
        <v>434</v>
      </c>
      <c r="G130" s="55" t="s">
        <v>435</v>
      </c>
      <c r="H130" s="55" t="s">
        <v>488</v>
      </c>
      <c r="I130" s="56"/>
      <c r="J130" s="56"/>
      <c r="K130" s="56"/>
      <c r="L130" s="56">
        <v>1.0</v>
      </c>
      <c r="M130" s="56">
        <v>1.0</v>
      </c>
      <c r="N130" s="56">
        <v>1.0</v>
      </c>
      <c r="O130" s="56">
        <v>1.0</v>
      </c>
      <c r="P130" s="56">
        <v>1.0</v>
      </c>
      <c r="Q130" s="56" t="s">
        <v>131</v>
      </c>
      <c r="R130" s="58" t="str">
        <f t="shared" si="1"/>
        <v>2021-2022-2023-2024 - 2025</v>
      </c>
      <c r="S130" s="59" t="str">
        <f>SUM(Hoja1!$I130:$P130)</f>
        <v>5</v>
      </c>
      <c r="T130" s="59" t="str">
        <f>IF(OR(Hoja1!$J130=1,Hoja1!$K130=1,Hoja1!$L130=1,Hoja1!$M130=1,Hoja1!$N130=1,Hoja1!$O130=1,Hoja1!$P130=1),"SI","NO")</f>
        <v>SI</v>
      </c>
      <c r="U130" s="59" t="str">
        <f>IF(OR(Hoja1!$K130=1,Hoja1!$L130=1,Hoja1!$M130=1,Hoja1!$N130=1,Hoja1!$O130=1,Hoja1!$P130=1),"SI","NO")</f>
        <v>SI</v>
      </c>
      <c r="V130" s="60">
        <v>0.0</v>
      </c>
      <c r="W130" s="61">
        <v>0.0</v>
      </c>
      <c r="X130" s="61">
        <v>0.0</v>
      </c>
      <c r="Y130" s="60">
        <v>0.0</v>
      </c>
      <c r="Z130" s="61">
        <v>0.0</v>
      </c>
      <c r="AA130" s="61">
        <v>0.0</v>
      </c>
      <c r="AB130" s="60">
        <v>0.0</v>
      </c>
      <c r="AC130" s="61">
        <v>9.0</v>
      </c>
      <c r="AD130" s="61">
        <v>7.0</v>
      </c>
      <c r="AE130" s="60">
        <v>16.0</v>
      </c>
      <c r="AF130" s="61">
        <v>9.0</v>
      </c>
      <c r="AG130" s="61">
        <v>7.0</v>
      </c>
      <c r="AH130" s="60">
        <v>16.0</v>
      </c>
      <c r="AI130" s="61">
        <v>9.0</v>
      </c>
      <c r="AJ130" s="61">
        <v>7.0</v>
      </c>
      <c r="AK130" s="60">
        <v>16.0</v>
      </c>
      <c r="AL130" s="61">
        <v>12.0</v>
      </c>
      <c r="AM130" s="61">
        <v>8.0</v>
      </c>
      <c r="AN130" s="60">
        <v>20.0</v>
      </c>
      <c r="AO130" s="62">
        <v>7.0</v>
      </c>
      <c r="AP130" s="62">
        <v>9.0</v>
      </c>
      <c r="AQ130" s="60">
        <v>16.0</v>
      </c>
      <c r="AR130" s="60" t="str">
        <f>IF(Hoja1!$AQ130&gt;0,Hoja1!$AQ130,IF(Hoja1!$AN130&gt;0,Hoja1!$AN130,IF(Hoja1!$AK130&gt;0,Hoja1!$AK130,IF(Hoja1!$AH130&gt;0,Hoja1!$AH130,IF(Hoja1!$AE130&gt;0,Hoja1!$AE130,IF(Hoja1!$AB130&gt;0,Hoja1!$AB130,IF(Hoja1!$Y130&gt;0,Hoja1!$Y130,IF(Hoja1!$V130&gt;0,Hoja1!$V130," ---"))))))))</f>
        <v>16</v>
      </c>
      <c r="AS130" s="63">
        <v>0.0</v>
      </c>
      <c r="AT130" s="63">
        <v>0.0</v>
      </c>
      <c r="AU130" s="63">
        <v>11.0</v>
      </c>
      <c r="AV130" s="63">
        <v>3.0</v>
      </c>
      <c r="AW130" s="63">
        <v>14.0</v>
      </c>
      <c r="AX130" s="63">
        <v>6.0</v>
      </c>
      <c r="AY130" s="63">
        <v>12.0</v>
      </c>
      <c r="AZ130" s="63">
        <v>3.0</v>
      </c>
      <c r="BA130" s="63">
        <v>28.0</v>
      </c>
      <c r="BB130" s="63">
        <v>8.0</v>
      </c>
      <c r="BC130" s="63">
        <v>20.0</v>
      </c>
      <c r="BD130" s="63">
        <v>4.0</v>
      </c>
      <c r="BE130" s="64">
        <v>0.0</v>
      </c>
      <c r="BF130" s="69">
        <v>0.0</v>
      </c>
      <c r="BG130" s="69">
        <v>0.0</v>
      </c>
      <c r="BH130" s="64">
        <v>0.0</v>
      </c>
      <c r="BI130" s="67" t="str">
        <f t="shared" si="23"/>
        <v>#REF!</v>
      </c>
      <c r="BJ130" s="68" t="str">
        <f t="shared" si="24"/>
        <v>#REF!</v>
      </c>
      <c r="BK130" s="69">
        <v>0.0</v>
      </c>
      <c r="BL130" s="69">
        <v>0.0</v>
      </c>
      <c r="BM130" s="66">
        <v>0.0</v>
      </c>
      <c r="BN130" s="67" t="str">
        <f t="shared" si="25"/>
        <v>#REF!</v>
      </c>
      <c r="BO130" s="68" t="str">
        <f t="shared" si="26"/>
        <v>#REF!</v>
      </c>
      <c r="BP130" s="65">
        <v>47000.8</v>
      </c>
      <c r="BQ130" s="65">
        <v>0.0</v>
      </c>
      <c r="BR130" s="66">
        <v>47000.8</v>
      </c>
      <c r="BS130" s="67" t="str">
        <f t="shared" si="27"/>
        <v>#REF!</v>
      </c>
      <c r="BT130" s="68" t="str">
        <f>'[1]DATA CONSOLIDADA 2018-2025 '!$BR130-Hoja1!$BO130</f>
        <v>#REF!</v>
      </c>
      <c r="BU130" s="65">
        <v>742400.0</v>
      </c>
      <c r="BV130" s="65">
        <v>0.0</v>
      </c>
      <c r="BW130" s="66">
        <v>742400.0</v>
      </c>
      <c r="BX130" s="67" t="str">
        <f t="shared" si="28"/>
        <v>#REF!</v>
      </c>
      <c r="BY130" s="68" t="str">
        <f t="shared" si="29"/>
        <v>#REF!</v>
      </c>
      <c r="BZ130" s="65">
        <v>1230000.0</v>
      </c>
      <c r="CA130" s="65">
        <v>0.0</v>
      </c>
      <c r="CB130" s="66">
        <v>1230000.0</v>
      </c>
      <c r="CC130" s="67" t="str">
        <f t="shared" si="30"/>
        <v>#REF!</v>
      </c>
      <c r="CD130" s="68" t="str">
        <f>'[1]DATA CONSOLIDADA 2018-2025 '!$CB130-Hoja1!$BW130</f>
        <v>#REF!</v>
      </c>
      <c r="CE130" s="70">
        <v>874100.0</v>
      </c>
      <c r="CF130" s="70">
        <v>0.0</v>
      </c>
      <c r="CG130" s="71">
        <v>874100.0</v>
      </c>
      <c r="CH130" s="67" t="str">
        <f t="shared" si="31"/>
        <v>#REF!</v>
      </c>
      <c r="CI130" s="68" t="str">
        <f>'[1]DATA CONSOLIDADA 2018-2025 '!$CG130-Hoja1!$CB130</f>
        <v>#REF!</v>
      </c>
      <c r="CJ130" s="64" t="str">
        <f t="shared" si="22"/>
        <v>#REF!</v>
      </c>
      <c r="CK130" s="64">
        <v>330980.0</v>
      </c>
      <c r="CL130" s="64">
        <v>0.0</v>
      </c>
      <c r="CM130" s="64">
        <v>330980.0</v>
      </c>
      <c r="CN130" s="64" t="str">
        <f t="shared" si="12"/>
        <v>#REF!</v>
      </c>
      <c r="CO130" s="68" t="str">
        <f>'[1]DATA CONSOLIDADA 2018-2025 '!$CM130-Hoja1!$CG130</f>
        <v>#REF!</v>
      </c>
      <c r="CP130" s="70">
        <v>0.0</v>
      </c>
      <c r="CQ130" s="70">
        <v>1230000.0</v>
      </c>
      <c r="CR130" s="70">
        <v>0.0</v>
      </c>
      <c r="CS130" s="70">
        <v>0.0</v>
      </c>
      <c r="CT130" s="70">
        <v>0.0</v>
      </c>
      <c r="CU130" s="70">
        <v>0.0</v>
      </c>
      <c r="CV130" s="64">
        <v>1230000.0</v>
      </c>
      <c r="CW130" s="64">
        <v>0.0</v>
      </c>
      <c r="CX130" s="64">
        <v>874100.0</v>
      </c>
      <c r="CY130" s="64">
        <v>0.0</v>
      </c>
      <c r="CZ130" s="64">
        <v>0.0</v>
      </c>
      <c r="DA130" s="64">
        <v>0.0</v>
      </c>
      <c r="DB130" s="64">
        <v>874100.0</v>
      </c>
      <c r="DC130" s="72">
        <v>0.0</v>
      </c>
      <c r="DD130" s="72">
        <v>330980.0</v>
      </c>
      <c r="DE130" s="72">
        <v>0.0</v>
      </c>
      <c r="DF130" s="72">
        <v>0.0</v>
      </c>
      <c r="DG130" s="72">
        <v>0.0</v>
      </c>
      <c r="DH130" s="72">
        <v>330980.0</v>
      </c>
      <c r="DI130" s="73">
        <v>2.0605783229E10</v>
      </c>
      <c r="DJ130" s="74" t="s">
        <v>555</v>
      </c>
      <c r="DK130" s="74" t="s">
        <v>138</v>
      </c>
      <c r="DL130" s="75"/>
      <c r="DM130" s="75"/>
      <c r="DN130" s="75"/>
      <c r="DO130" s="75"/>
      <c r="DP130" s="75"/>
      <c r="DQ130" s="75"/>
      <c r="DR130" s="75"/>
      <c r="DS130" s="75"/>
      <c r="DT130" s="75"/>
      <c r="DU130" s="75"/>
      <c r="DV130" s="75"/>
      <c r="DW130" s="75"/>
      <c r="DX130" s="75"/>
      <c r="DY130" s="75"/>
      <c r="DZ130" s="75"/>
      <c r="EA130" s="75"/>
      <c r="EB130" s="75"/>
      <c r="EC130" s="75"/>
      <c r="ED130" s="75"/>
      <c r="EE130" s="75"/>
    </row>
    <row r="131" ht="47.25" hidden="1" customHeight="1">
      <c r="A131" s="55" t="s">
        <v>556</v>
      </c>
      <c r="B131" s="55" t="s">
        <v>236</v>
      </c>
      <c r="C131" s="55" t="s">
        <v>237</v>
      </c>
      <c r="D131" s="55" t="s">
        <v>434</v>
      </c>
      <c r="E131" s="55" t="s">
        <v>557</v>
      </c>
      <c r="F131" s="55" t="s">
        <v>434</v>
      </c>
      <c r="G131" s="55" t="s">
        <v>495</v>
      </c>
      <c r="H131" s="55" t="s">
        <v>495</v>
      </c>
      <c r="I131" s="74"/>
      <c r="J131" s="74"/>
      <c r="K131" s="74"/>
      <c r="L131" s="74"/>
      <c r="M131" s="56">
        <v>1.0</v>
      </c>
      <c r="N131" s="56">
        <v>1.0</v>
      </c>
      <c r="O131" s="56">
        <v>1.0</v>
      </c>
      <c r="P131" s="56">
        <v>1.0</v>
      </c>
      <c r="Q131" s="56" t="s">
        <v>131</v>
      </c>
      <c r="R131" s="58" t="str">
        <f t="shared" si="1"/>
        <v>2022-2023-2024 - 2025</v>
      </c>
      <c r="S131" s="59" t="str">
        <f>SUM(Hoja1!$I131:$P131)</f>
        <v>4</v>
      </c>
      <c r="T131" s="59" t="str">
        <f>IF(OR(Hoja1!$J131=1,Hoja1!$K131=1,Hoja1!$L131=1,Hoja1!$M131=1,Hoja1!$N131=1,Hoja1!$O131=1,Hoja1!$P131=1),"SI","NO")</f>
        <v>SI</v>
      </c>
      <c r="U131" s="59" t="str">
        <f>IF(OR(Hoja1!$K131=1,Hoja1!$L131=1,Hoja1!$M131=1,Hoja1!$N131=1,Hoja1!$O131=1,Hoja1!$P131=1),"SI","NO")</f>
        <v>SI</v>
      </c>
      <c r="V131" s="60">
        <v>0.0</v>
      </c>
      <c r="W131" s="61">
        <v>0.0</v>
      </c>
      <c r="X131" s="61">
        <v>0.0</v>
      </c>
      <c r="Y131" s="60">
        <v>0.0</v>
      </c>
      <c r="Z131" s="61">
        <v>0.0</v>
      </c>
      <c r="AA131" s="61">
        <v>0.0</v>
      </c>
      <c r="AB131" s="60">
        <v>0.0</v>
      </c>
      <c r="AC131" s="61">
        <v>0.0</v>
      </c>
      <c r="AD131" s="61">
        <v>0.0</v>
      </c>
      <c r="AE131" s="60">
        <v>0.0</v>
      </c>
      <c r="AF131" s="61">
        <v>15.0</v>
      </c>
      <c r="AG131" s="61">
        <v>27.0</v>
      </c>
      <c r="AH131" s="60">
        <v>42.0</v>
      </c>
      <c r="AI131" s="61">
        <v>15.0</v>
      </c>
      <c r="AJ131" s="61">
        <v>27.0</v>
      </c>
      <c r="AK131" s="60">
        <v>42.0</v>
      </c>
      <c r="AL131" s="61">
        <v>15.0</v>
      </c>
      <c r="AM131" s="61">
        <v>27.0</v>
      </c>
      <c r="AN131" s="60">
        <v>42.0</v>
      </c>
      <c r="AO131" s="62">
        <v>13.0</v>
      </c>
      <c r="AP131" s="62">
        <v>11.0</v>
      </c>
      <c r="AQ131" s="60">
        <v>24.0</v>
      </c>
      <c r="AR131" s="60" t="str">
        <f>IF(Hoja1!$AQ131&gt;0,Hoja1!$AQ131,IF(Hoja1!$AN131&gt;0,Hoja1!$AN131,IF(Hoja1!$AK131&gt;0,Hoja1!$AK131,IF(Hoja1!$AH131&gt;0,Hoja1!$AH131,IF(Hoja1!$AE131&gt;0,Hoja1!$AE131,IF(Hoja1!$AB131&gt;0,Hoja1!$AB131,IF(Hoja1!$Y131&gt;0,Hoja1!$Y131,IF(Hoja1!$V131&gt;0,Hoja1!$V131," ---"))))))))</f>
        <v>24</v>
      </c>
      <c r="AS131" s="63">
        <v>0.0</v>
      </c>
      <c r="AT131" s="63">
        <v>0.0</v>
      </c>
      <c r="AU131" s="63">
        <v>0.0</v>
      </c>
      <c r="AV131" s="63">
        <v>0.0</v>
      </c>
      <c r="AW131" s="63">
        <v>22.0</v>
      </c>
      <c r="AX131" s="63">
        <v>4.0</v>
      </c>
      <c r="AY131" s="63">
        <v>13.0</v>
      </c>
      <c r="AZ131" s="63">
        <v>3.0</v>
      </c>
      <c r="BA131" s="63">
        <v>40.0</v>
      </c>
      <c r="BB131" s="63">
        <v>8.0</v>
      </c>
      <c r="BC131" s="63">
        <v>10.0</v>
      </c>
      <c r="BD131" s="63">
        <v>2.0</v>
      </c>
      <c r="BE131" s="66">
        <v>0.0</v>
      </c>
      <c r="BF131" s="65">
        <v>0.0</v>
      </c>
      <c r="BG131" s="65">
        <v>0.0</v>
      </c>
      <c r="BH131" s="66">
        <v>0.0</v>
      </c>
      <c r="BI131" s="67" t="str">
        <f t="shared" si="23"/>
        <v>#REF!</v>
      </c>
      <c r="BJ131" s="68" t="str">
        <f t="shared" si="24"/>
        <v>#REF!</v>
      </c>
      <c r="BK131" s="65">
        <v>0.0</v>
      </c>
      <c r="BL131" s="65">
        <v>0.0</v>
      </c>
      <c r="BM131" s="66">
        <v>0.0</v>
      </c>
      <c r="BN131" s="67" t="str">
        <f t="shared" si="25"/>
        <v>#REF!</v>
      </c>
      <c r="BO131" s="68" t="str">
        <f t="shared" si="26"/>
        <v>#REF!</v>
      </c>
      <c r="BP131" s="65">
        <v>0.0</v>
      </c>
      <c r="BQ131" s="65">
        <v>0.0</v>
      </c>
      <c r="BR131" s="66">
        <v>0.0</v>
      </c>
      <c r="BS131" s="67" t="str">
        <f t="shared" si="27"/>
        <v>#REF!</v>
      </c>
      <c r="BT131" s="68" t="str">
        <f>'[1]DATA CONSOLIDADA 2018-2025 '!$BR131-Hoja1!$BO131</f>
        <v>#REF!</v>
      </c>
      <c r="BU131" s="65">
        <v>294600.0</v>
      </c>
      <c r="BV131" s="65">
        <v>0.0</v>
      </c>
      <c r="BW131" s="66">
        <v>294600.0</v>
      </c>
      <c r="BX131" s="67" t="str">
        <f t="shared" si="28"/>
        <v>#REF!</v>
      </c>
      <c r="BY131" s="68" t="str">
        <f t="shared" si="29"/>
        <v>#REF!</v>
      </c>
      <c r="BZ131" s="65">
        <v>150000.0</v>
      </c>
      <c r="CA131" s="65">
        <v>0.0</v>
      </c>
      <c r="CB131" s="66">
        <v>150000.0</v>
      </c>
      <c r="CC131" s="67" t="str">
        <f t="shared" si="30"/>
        <v>#REF!</v>
      </c>
      <c r="CD131" s="68" t="str">
        <f>'[1]DATA CONSOLIDADA 2018-2025 '!$CB131-Hoja1!$BW131</f>
        <v>#REF!</v>
      </c>
      <c r="CE131" s="70">
        <v>56691.58</v>
      </c>
      <c r="CF131" s="70">
        <v>0.0</v>
      </c>
      <c r="CG131" s="71">
        <v>56691.58</v>
      </c>
      <c r="CH131" s="67" t="str">
        <f t="shared" si="31"/>
        <v>#REF!</v>
      </c>
      <c r="CI131" s="68" t="str">
        <f>'[1]DATA CONSOLIDADA 2018-2025 '!$CG131-Hoja1!$CB131</f>
        <v>#REF!</v>
      </c>
      <c r="CJ131" s="64" t="str">
        <f t="shared" si="22"/>
        <v>#REF!</v>
      </c>
      <c r="CK131" s="64">
        <v>36699.296</v>
      </c>
      <c r="CL131" s="64">
        <v>0.0</v>
      </c>
      <c r="CM131" s="64">
        <v>36699.296</v>
      </c>
      <c r="CN131" s="64" t="str">
        <f t="shared" si="12"/>
        <v>#REF!</v>
      </c>
      <c r="CO131" s="68" t="str">
        <f>'[1]DATA CONSOLIDADA 2018-2025 '!$CM131-Hoja1!$CG131</f>
        <v>#REF!</v>
      </c>
      <c r="CP131" s="70">
        <v>0.0</v>
      </c>
      <c r="CQ131" s="70">
        <v>0.0</v>
      </c>
      <c r="CR131" s="70">
        <v>0.0</v>
      </c>
      <c r="CS131" s="70">
        <v>150000.0</v>
      </c>
      <c r="CT131" s="70">
        <v>0.0</v>
      </c>
      <c r="CU131" s="70">
        <v>0.0</v>
      </c>
      <c r="CV131" s="64">
        <v>150000.0</v>
      </c>
      <c r="CW131" s="64">
        <v>0.0</v>
      </c>
      <c r="CX131" s="64">
        <v>56691.58</v>
      </c>
      <c r="CY131" s="64">
        <v>0.0</v>
      </c>
      <c r="CZ131" s="64">
        <v>0.0</v>
      </c>
      <c r="DA131" s="64">
        <v>0.0</v>
      </c>
      <c r="DB131" s="64">
        <v>56691.58</v>
      </c>
      <c r="DC131" s="72">
        <v>0.0</v>
      </c>
      <c r="DD131" s="72">
        <v>36699.296</v>
      </c>
      <c r="DE131" s="72">
        <v>0.0</v>
      </c>
      <c r="DF131" s="72">
        <v>0.0</v>
      </c>
      <c r="DG131" s="72">
        <v>0.0</v>
      </c>
      <c r="DH131" s="72">
        <v>36699.296</v>
      </c>
      <c r="DI131" s="73">
        <v>2.0602920128E10</v>
      </c>
      <c r="DJ131" s="74" t="s">
        <v>558</v>
      </c>
      <c r="DK131" s="74" t="s">
        <v>132</v>
      </c>
      <c r="DL131" s="75"/>
      <c r="DM131" s="75"/>
      <c r="DN131" s="75"/>
      <c r="DO131" s="75"/>
      <c r="DP131" s="75"/>
      <c r="DQ131" s="75"/>
      <c r="DR131" s="75"/>
      <c r="DS131" s="75"/>
      <c r="DT131" s="75"/>
      <c r="DU131" s="75"/>
      <c r="DV131" s="75"/>
      <c r="DW131" s="75"/>
      <c r="DX131" s="75"/>
      <c r="DY131" s="75"/>
      <c r="DZ131" s="75"/>
      <c r="EA131" s="75"/>
      <c r="EB131" s="75"/>
      <c r="EC131" s="75"/>
      <c r="ED131" s="75"/>
      <c r="EE131" s="75"/>
    </row>
    <row r="132" ht="47.25" hidden="1" customHeight="1">
      <c r="A132" s="55" t="s">
        <v>559</v>
      </c>
      <c r="B132" s="55" t="s">
        <v>236</v>
      </c>
      <c r="C132" s="55" t="s">
        <v>237</v>
      </c>
      <c r="D132" s="55" t="s">
        <v>434</v>
      </c>
      <c r="E132" s="55" t="s">
        <v>560</v>
      </c>
      <c r="F132" s="55" t="s">
        <v>434</v>
      </c>
      <c r="G132" s="55" t="s">
        <v>502</v>
      </c>
      <c r="H132" s="55" t="s">
        <v>429</v>
      </c>
      <c r="I132" s="56"/>
      <c r="J132" s="56"/>
      <c r="K132" s="56"/>
      <c r="L132" s="56"/>
      <c r="M132" s="56">
        <v>1.0</v>
      </c>
      <c r="N132" s="56">
        <v>1.0</v>
      </c>
      <c r="O132" s="56">
        <v>1.0</v>
      </c>
      <c r="P132" s="56"/>
      <c r="Q132" s="56" t="s">
        <v>131</v>
      </c>
      <c r="R132" s="58" t="str">
        <f t="shared" si="1"/>
        <v>2022-2023-2024</v>
      </c>
      <c r="S132" s="59" t="str">
        <f>SUM(Hoja1!$I132:$P132)</f>
        <v>3</v>
      </c>
      <c r="T132" s="59" t="str">
        <f>IF(OR(Hoja1!$J132=1,Hoja1!$K132=1,Hoja1!$L132=1,Hoja1!$M132=1,Hoja1!$N132=1,Hoja1!$O132=1,Hoja1!$P132=1),"SI","NO")</f>
        <v>SI</v>
      </c>
      <c r="U132" s="59" t="str">
        <f>IF(OR(Hoja1!$K132=1,Hoja1!$L132=1,Hoja1!$M132=1,Hoja1!$N132=1,Hoja1!$O132=1,Hoja1!$P132=1),"SI","NO")</f>
        <v>SI</v>
      </c>
      <c r="V132" s="60">
        <v>0.0</v>
      </c>
      <c r="W132" s="61">
        <v>0.0</v>
      </c>
      <c r="X132" s="61">
        <v>0.0</v>
      </c>
      <c r="Y132" s="60">
        <v>0.0</v>
      </c>
      <c r="Z132" s="61">
        <v>0.0</v>
      </c>
      <c r="AA132" s="61">
        <v>0.0</v>
      </c>
      <c r="AB132" s="60">
        <v>0.0</v>
      </c>
      <c r="AC132" s="61">
        <v>0.0</v>
      </c>
      <c r="AD132" s="61">
        <v>0.0</v>
      </c>
      <c r="AE132" s="60">
        <v>0.0</v>
      </c>
      <c r="AF132" s="61">
        <v>64.0</v>
      </c>
      <c r="AG132" s="61">
        <v>17.0</v>
      </c>
      <c r="AH132" s="60">
        <v>81.0</v>
      </c>
      <c r="AI132" s="61">
        <v>64.0</v>
      </c>
      <c r="AJ132" s="61">
        <v>17.0</v>
      </c>
      <c r="AK132" s="60">
        <v>81.0</v>
      </c>
      <c r="AL132" s="61">
        <v>66.0</v>
      </c>
      <c r="AM132" s="61">
        <v>15.0</v>
      </c>
      <c r="AN132" s="60">
        <v>81.0</v>
      </c>
      <c r="AO132" s="62">
        <v>0.0</v>
      </c>
      <c r="AP132" s="62">
        <v>0.0</v>
      </c>
      <c r="AQ132" s="60">
        <v>0.0</v>
      </c>
      <c r="AR132" s="60" t="str">
        <f>IF(Hoja1!$AQ132&gt;0,Hoja1!$AQ132,IF(Hoja1!$AN132&gt;0,Hoja1!$AN132,IF(Hoja1!$AK132&gt;0,Hoja1!$AK132,IF(Hoja1!$AH132&gt;0,Hoja1!$AH132,IF(Hoja1!$AE132&gt;0,Hoja1!$AE132,IF(Hoja1!$AB132&gt;0,Hoja1!$AB132,IF(Hoja1!$Y132&gt;0,Hoja1!$Y132,IF(Hoja1!$V132&gt;0,Hoja1!$V132," ---"))))))))</f>
        <v>81</v>
      </c>
      <c r="AS132" s="63">
        <v>0.0</v>
      </c>
      <c r="AT132" s="63">
        <v>0.0</v>
      </c>
      <c r="AU132" s="63">
        <v>0.0</v>
      </c>
      <c r="AV132" s="63">
        <v>0.0</v>
      </c>
      <c r="AW132" s="63">
        <v>27.0</v>
      </c>
      <c r="AX132" s="63">
        <v>4.0</v>
      </c>
      <c r="AY132" s="63">
        <v>27.0</v>
      </c>
      <c r="AZ132" s="63">
        <v>6.0</v>
      </c>
      <c r="BA132" s="63">
        <v>41.0</v>
      </c>
      <c r="BB132" s="63">
        <v>8.0</v>
      </c>
      <c r="BC132" s="63">
        <v>0.0</v>
      </c>
      <c r="BD132" s="63">
        <v>0.0</v>
      </c>
      <c r="BE132" s="64">
        <v>0.0</v>
      </c>
      <c r="BF132" s="69">
        <v>0.0</v>
      </c>
      <c r="BG132" s="69">
        <v>0.0</v>
      </c>
      <c r="BH132" s="64">
        <v>0.0</v>
      </c>
      <c r="BI132" s="67" t="str">
        <f t="shared" si="23"/>
        <v>#REF!</v>
      </c>
      <c r="BJ132" s="68" t="str">
        <f t="shared" si="24"/>
        <v>#REF!</v>
      </c>
      <c r="BK132" s="69">
        <v>0.0</v>
      </c>
      <c r="BL132" s="69">
        <v>0.0</v>
      </c>
      <c r="BM132" s="64">
        <v>0.0</v>
      </c>
      <c r="BN132" s="67" t="str">
        <f t="shared" si="25"/>
        <v>#REF!</v>
      </c>
      <c r="BO132" s="68" t="str">
        <f t="shared" si="26"/>
        <v>#REF!</v>
      </c>
      <c r="BP132" s="65">
        <v>0.0</v>
      </c>
      <c r="BQ132" s="65">
        <v>0.0</v>
      </c>
      <c r="BR132" s="66">
        <v>0.0</v>
      </c>
      <c r="BS132" s="67" t="str">
        <f t="shared" si="27"/>
        <v>#REF!</v>
      </c>
      <c r="BT132" s="68" t="str">
        <f>'[1]DATA CONSOLIDADA 2018-2025 '!$BR132-Hoja1!$BO132</f>
        <v>#REF!</v>
      </c>
      <c r="BU132" s="65">
        <v>304846.04</v>
      </c>
      <c r="BV132" s="65">
        <v>0.0</v>
      </c>
      <c r="BW132" s="66">
        <v>304846.04</v>
      </c>
      <c r="BX132" s="67" t="str">
        <f t="shared" si="28"/>
        <v>#REF!</v>
      </c>
      <c r="BY132" s="68" t="str">
        <f t="shared" si="29"/>
        <v>#REF!</v>
      </c>
      <c r="BZ132" s="65">
        <v>349896.57</v>
      </c>
      <c r="CA132" s="65">
        <v>0.0</v>
      </c>
      <c r="CB132" s="66">
        <v>349896.57</v>
      </c>
      <c r="CC132" s="67" t="str">
        <f t="shared" si="30"/>
        <v>#REF!</v>
      </c>
      <c r="CD132" s="68" t="str">
        <f>'[1]DATA CONSOLIDADA 2018-2025 '!$CB132-Hoja1!$BW132</f>
        <v>#REF!</v>
      </c>
      <c r="CE132" s="70">
        <v>222236.876</v>
      </c>
      <c r="CF132" s="70">
        <v>0.0</v>
      </c>
      <c r="CG132" s="71">
        <v>222236.876</v>
      </c>
      <c r="CH132" s="67" t="str">
        <f t="shared" si="31"/>
        <v>#REF!</v>
      </c>
      <c r="CI132" s="68" t="str">
        <f>'[1]DATA CONSOLIDADA 2018-2025 '!$CG132-Hoja1!$CB132</f>
        <v>#REF!</v>
      </c>
      <c r="CJ132" s="64" t="str">
        <f t="shared" si="22"/>
        <v>#REF!</v>
      </c>
      <c r="CK132" s="64">
        <v>0.0</v>
      </c>
      <c r="CL132" s="64">
        <v>0.0</v>
      </c>
      <c r="CM132" s="64">
        <v>0.0</v>
      </c>
      <c r="CN132" s="64" t="str">
        <f t="shared" si="12"/>
        <v>#REF!</v>
      </c>
      <c r="CO132" s="68" t="str">
        <f>'[1]DATA CONSOLIDADA 2018-2025 '!$CM132-Hoja1!$CG132</f>
        <v>#REF!</v>
      </c>
      <c r="CP132" s="70">
        <v>0.0</v>
      </c>
      <c r="CQ132" s="70">
        <v>250237.611684</v>
      </c>
      <c r="CR132" s="70">
        <v>0.0</v>
      </c>
      <c r="CS132" s="70">
        <v>99658.95577494</v>
      </c>
      <c r="CT132" s="70">
        <v>0.0</v>
      </c>
      <c r="CU132" s="70">
        <v>0.0</v>
      </c>
      <c r="CV132" s="64">
        <v>349896.56745894</v>
      </c>
      <c r="CW132" s="64">
        <v>0.0</v>
      </c>
      <c r="CX132" s="64">
        <v>222236.876</v>
      </c>
      <c r="CY132" s="64">
        <v>0.0</v>
      </c>
      <c r="CZ132" s="64">
        <v>0.0</v>
      </c>
      <c r="DA132" s="64">
        <v>0.0</v>
      </c>
      <c r="DB132" s="64">
        <v>222236.876</v>
      </c>
      <c r="DC132" s="72">
        <v>0.0</v>
      </c>
      <c r="DD132" s="72">
        <v>0.0</v>
      </c>
      <c r="DE132" s="72">
        <v>0.0</v>
      </c>
      <c r="DF132" s="72">
        <v>0.0</v>
      </c>
      <c r="DG132" s="72">
        <v>0.0</v>
      </c>
      <c r="DH132" s="72">
        <v>0.0</v>
      </c>
      <c r="DI132" s="73">
        <v>2.0490790447E10</v>
      </c>
      <c r="DJ132" s="74" t="s">
        <v>561</v>
      </c>
      <c r="DK132" s="74" t="s">
        <v>132</v>
      </c>
      <c r="DL132" s="75"/>
      <c r="DM132" s="75"/>
      <c r="DN132" s="75"/>
      <c r="DO132" s="75"/>
      <c r="DP132" s="75"/>
      <c r="DQ132" s="75"/>
      <c r="DR132" s="75"/>
      <c r="DS132" s="75"/>
      <c r="DT132" s="75"/>
      <c r="DU132" s="75"/>
      <c r="DV132" s="75"/>
      <c r="DW132" s="75"/>
      <c r="DX132" s="75"/>
      <c r="DY132" s="75"/>
      <c r="DZ132" s="75"/>
      <c r="EA132" s="75"/>
      <c r="EB132" s="75"/>
      <c r="EC132" s="75"/>
      <c r="ED132" s="75"/>
      <c r="EE132" s="75"/>
    </row>
    <row r="133" ht="47.25" hidden="1" customHeight="1">
      <c r="A133" s="55" t="s">
        <v>562</v>
      </c>
      <c r="B133" s="55" t="s">
        <v>250</v>
      </c>
      <c r="C133" s="55" t="s">
        <v>250</v>
      </c>
      <c r="D133" s="55" t="s">
        <v>563</v>
      </c>
      <c r="E133" s="55" t="s">
        <v>564</v>
      </c>
      <c r="F133" s="55" t="s">
        <v>563</v>
      </c>
      <c r="G133" s="55" t="s">
        <v>563</v>
      </c>
      <c r="H133" s="55" t="s">
        <v>563</v>
      </c>
      <c r="I133" s="56"/>
      <c r="J133" s="56">
        <v>1.0</v>
      </c>
      <c r="K133" s="56"/>
      <c r="L133" s="56">
        <v>1.0</v>
      </c>
      <c r="M133" s="56"/>
      <c r="N133" s="56"/>
      <c r="O133" s="56"/>
      <c r="P133" s="56"/>
      <c r="Q133" s="56" t="s">
        <v>131</v>
      </c>
      <c r="R133" s="58" t="str">
        <f t="shared" si="1"/>
        <v>2019-2021</v>
      </c>
      <c r="S133" s="59" t="str">
        <f>SUM(Hoja1!$I133:$P133)</f>
        <v>2</v>
      </c>
      <c r="T133" s="59" t="str">
        <f>IF(OR(Hoja1!$J133=1,Hoja1!$K133=1,Hoja1!$L133=1,Hoja1!$M133=1,Hoja1!$N133=1,Hoja1!$O133=1,Hoja1!$P133=1),"SI","NO")</f>
        <v>SI</v>
      </c>
      <c r="U133" s="59" t="str">
        <f>IF(OR(Hoja1!$K133=1,Hoja1!$L133=1,Hoja1!$M133=1,Hoja1!$N133=1,Hoja1!$O133=1,Hoja1!$P133=1),"SI","NO")</f>
        <v>SI</v>
      </c>
      <c r="V133" s="60">
        <v>0.0</v>
      </c>
      <c r="W133" s="61">
        <v>45.0</v>
      </c>
      <c r="X133" s="61">
        <v>12.0</v>
      </c>
      <c r="Y133" s="60">
        <v>57.0</v>
      </c>
      <c r="Z133" s="61">
        <v>0.0</v>
      </c>
      <c r="AA133" s="61">
        <v>0.0</v>
      </c>
      <c r="AB133" s="60">
        <v>0.0</v>
      </c>
      <c r="AC133" s="61">
        <v>45.0</v>
      </c>
      <c r="AD133" s="61">
        <v>25.0</v>
      </c>
      <c r="AE133" s="60">
        <v>70.0</v>
      </c>
      <c r="AF133" s="61">
        <v>0.0</v>
      </c>
      <c r="AG133" s="61">
        <v>0.0</v>
      </c>
      <c r="AH133" s="60">
        <v>0.0</v>
      </c>
      <c r="AI133" s="61">
        <v>0.0</v>
      </c>
      <c r="AJ133" s="61">
        <v>0.0</v>
      </c>
      <c r="AK133" s="60">
        <v>0.0</v>
      </c>
      <c r="AL133" s="61">
        <v>0.0</v>
      </c>
      <c r="AM133" s="61">
        <v>0.0</v>
      </c>
      <c r="AN133" s="60">
        <v>0.0</v>
      </c>
      <c r="AO133" s="62">
        <v>0.0</v>
      </c>
      <c r="AP133" s="62">
        <v>0.0</v>
      </c>
      <c r="AQ133" s="60">
        <v>0.0</v>
      </c>
      <c r="AR133" s="60" t="str">
        <f>IF(Hoja1!$AQ133&gt;0,Hoja1!$AQ133,IF(Hoja1!$AN133&gt;0,Hoja1!$AN133,IF(Hoja1!$AK133&gt;0,Hoja1!$AK133,IF(Hoja1!$AH133&gt;0,Hoja1!$AH133,IF(Hoja1!$AE133&gt;0,Hoja1!$AE133,IF(Hoja1!$AB133&gt;0,Hoja1!$AB133,IF(Hoja1!$Y133&gt;0,Hoja1!$Y133,IF(Hoja1!$V133&gt;0,Hoja1!$V133," ---"))))))))</f>
        <v>70</v>
      </c>
      <c r="AS133" s="63">
        <v>0.0</v>
      </c>
      <c r="AT133" s="63">
        <v>0.0</v>
      </c>
      <c r="AU133" s="63">
        <v>24.0</v>
      </c>
      <c r="AV133" s="63">
        <v>3.0</v>
      </c>
      <c r="AW133" s="63">
        <v>0.0</v>
      </c>
      <c r="AX133" s="63">
        <v>0.0</v>
      </c>
      <c r="AY133" s="63">
        <v>0.0</v>
      </c>
      <c r="AZ133" s="63">
        <v>0.0</v>
      </c>
      <c r="BA133" s="63">
        <v>0.0</v>
      </c>
      <c r="BB133" s="63">
        <v>0.0</v>
      </c>
      <c r="BC133" s="63">
        <v>0.0</v>
      </c>
      <c r="BD133" s="63">
        <v>0.0</v>
      </c>
      <c r="BE133" s="64">
        <v>0.0</v>
      </c>
      <c r="BF133" s="65">
        <v>123074.0</v>
      </c>
      <c r="BG133" s="65">
        <v>0.0</v>
      </c>
      <c r="BH133" s="66">
        <v>123074.0</v>
      </c>
      <c r="BI133" s="67" t="str">
        <f t="shared" si="23"/>
        <v>#REF!</v>
      </c>
      <c r="BJ133" s="68" t="str">
        <f t="shared" si="24"/>
        <v>#REF!</v>
      </c>
      <c r="BK133" s="69">
        <v>0.0</v>
      </c>
      <c r="BL133" s="69">
        <v>0.0</v>
      </c>
      <c r="BM133" s="64">
        <v>0.0</v>
      </c>
      <c r="BN133" s="67" t="str">
        <f t="shared" si="25"/>
        <v>#REF!</v>
      </c>
      <c r="BO133" s="68" t="str">
        <f t="shared" si="26"/>
        <v>#REF!</v>
      </c>
      <c r="BP133" s="65">
        <v>0.0</v>
      </c>
      <c r="BQ133" s="65">
        <v>0.0</v>
      </c>
      <c r="BR133" s="66">
        <v>0.0</v>
      </c>
      <c r="BS133" s="67" t="str">
        <f t="shared" si="27"/>
        <v>#REF!</v>
      </c>
      <c r="BT133" s="68" t="str">
        <f>'[1]DATA CONSOLIDADA 2018-2025 '!$BR133-Hoja1!$BO133</f>
        <v>#REF!</v>
      </c>
      <c r="BU133" s="65">
        <v>0.0</v>
      </c>
      <c r="BV133" s="65">
        <v>0.0</v>
      </c>
      <c r="BW133" s="66">
        <v>0.0</v>
      </c>
      <c r="BX133" s="67" t="str">
        <f t="shared" si="28"/>
        <v>#REF!</v>
      </c>
      <c r="BY133" s="68" t="str">
        <f t="shared" si="29"/>
        <v>#REF!</v>
      </c>
      <c r="BZ133" s="65">
        <v>0.0</v>
      </c>
      <c r="CA133" s="65">
        <v>0.0</v>
      </c>
      <c r="CB133" s="66">
        <v>0.0</v>
      </c>
      <c r="CC133" s="67" t="str">
        <f t="shared" si="30"/>
        <v>#REF!</v>
      </c>
      <c r="CD133" s="68" t="str">
        <f>'[1]DATA CONSOLIDADA 2018-2025 '!$CB133-Hoja1!$BW133</f>
        <v>#REF!</v>
      </c>
      <c r="CE133" s="70">
        <v>0.0</v>
      </c>
      <c r="CF133" s="70">
        <v>0.0</v>
      </c>
      <c r="CG133" s="71">
        <v>0.0</v>
      </c>
      <c r="CH133" s="67" t="str">
        <f t="shared" si="31"/>
        <v>#REF!</v>
      </c>
      <c r="CI133" s="68" t="str">
        <f>'[1]DATA CONSOLIDADA 2018-2025 '!$CG133-Hoja1!$CB133</f>
        <v>#REF!</v>
      </c>
      <c r="CJ133" s="64" t="str">
        <f t="shared" si="22"/>
        <v>#REF!</v>
      </c>
      <c r="CK133" s="64">
        <v>0.0</v>
      </c>
      <c r="CL133" s="64">
        <v>0.0</v>
      </c>
      <c r="CM133" s="64">
        <v>0.0</v>
      </c>
      <c r="CN133" s="64" t="str">
        <f t="shared" si="12"/>
        <v>#REF!</v>
      </c>
      <c r="CO133" s="68" t="str">
        <f>'[1]DATA CONSOLIDADA 2018-2025 '!$CM133-Hoja1!$CG133</f>
        <v>#REF!</v>
      </c>
      <c r="CP133" s="70">
        <v>0.0</v>
      </c>
      <c r="CQ133" s="70">
        <v>0.0</v>
      </c>
      <c r="CR133" s="70">
        <v>0.0</v>
      </c>
      <c r="CS133" s="70">
        <v>0.0</v>
      </c>
      <c r="CT133" s="70">
        <v>0.0</v>
      </c>
      <c r="CU133" s="70">
        <v>0.0</v>
      </c>
      <c r="CV133" s="64">
        <v>0.0</v>
      </c>
      <c r="CW133" s="64">
        <v>0.0</v>
      </c>
      <c r="CX133" s="64">
        <v>0.0</v>
      </c>
      <c r="CY133" s="64">
        <v>0.0</v>
      </c>
      <c r="CZ133" s="64">
        <v>0.0</v>
      </c>
      <c r="DA133" s="64">
        <v>0.0</v>
      </c>
      <c r="DB133" s="64">
        <v>0.0</v>
      </c>
      <c r="DC133" s="72">
        <v>0.0</v>
      </c>
      <c r="DD133" s="72">
        <v>0.0</v>
      </c>
      <c r="DE133" s="72">
        <v>0.0</v>
      </c>
      <c r="DF133" s="72">
        <v>0.0</v>
      </c>
      <c r="DG133" s="72">
        <v>0.0</v>
      </c>
      <c r="DH133" s="72">
        <v>0.0</v>
      </c>
      <c r="DI133" s="73">
        <v>2.048621783E10</v>
      </c>
      <c r="DJ133" s="74" t="s">
        <v>562</v>
      </c>
      <c r="DK133" s="74" t="s">
        <v>523</v>
      </c>
      <c r="DL133" s="75"/>
      <c r="DM133" s="75"/>
      <c r="DN133" s="75"/>
      <c r="DO133" s="75"/>
      <c r="DP133" s="75"/>
      <c r="DQ133" s="75"/>
      <c r="DR133" s="75"/>
      <c r="DS133" s="75"/>
      <c r="DT133" s="75"/>
      <c r="DU133" s="75"/>
      <c r="DV133" s="75"/>
      <c r="DW133" s="75"/>
      <c r="DX133" s="75"/>
      <c r="DY133" s="75"/>
      <c r="DZ133" s="75"/>
      <c r="EA133" s="75"/>
      <c r="EB133" s="75"/>
      <c r="EC133" s="75"/>
      <c r="ED133" s="75"/>
      <c r="EE133" s="75"/>
    </row>
    <row r="134" ht="47.25" hidden="1" customHeight="1">
      <c r="A134" s="55" t="s">
        <v>565</v>
      </c>
      <c r="B134" s="55" t="s">
        <v>198</v>
      </c>
      <c r="C134" s="55" t="s">
        <v>198</v>
      </c>
      <c r="D134" s="55" t="s">
        <v>563</v>
      </c>
      <c r="E134" s="55" t="s">
        <v>566</v>
      </c>
      <c r="F134" s="55" t="s">
        <v>563</v>
      </c>
      <c r="G134" s="55" t="s">
        <v>567</v>
      </c>
      <c r="H134" s="55" t="s">
        <v>568</v>
      </c>
      <c r="I134" s="56"/>
      <c r="J134" s="56">
        <v>1.0</v>
      </c>
      <c r="K134" s="56"/>
      <c r="L134" s="56"/>
      <c r="M134" s="56"/>
      <c r="N134" s="56"/>
      <c r="O134" s="56"/>
      <c r="P134" s="56"/>
      <c r="Q134" s="56" t="s">
        <v>131</v>
      </c>
      <c r="R134" s="58" t="str">
        <f t="shared" si="1"/>
        <v>2019</v>
      </c>
      <c r="S134" s="59" t="str">
        <f>SUM(Hoja1!$I134:$P134)</f>
        <v>1</v>
      </c>
      <c r="T134" s="59" t="str">
        <f>IF(OR(Hoja1!$J134=1,Hoja1!$K134=1,Hoja1!$L134=1,Hoja1!$M134=1,Hoja1!$N134=1,Hoja1!$O134=1,Hoja1!$P134=1),"SI","NO")</f>
        <v>SI</v>
      </c>
      <c r="U134" s="59" t="str">
        <f>IF(OR(Hoja1!$K134=1,Hoja1!$L134=1,Hoja1!$M134=1,Hoja1!$N134=1,Hoja1!$O134=1,Hoja1!$P134=1),"SI","NO")</f>
        <v>NO</v>
      </c>
      <c r="V134" s="60">
        <v>0.0</v>
      </c>
      <c r="W134" s="61">
        <v>9.0</v>
      </c>
      <c r="X134" s="61">
        <v>6.0</v>
      </c>
      <c r="Y134" s="60">
        <v>15.0</v>
      </c>
      <c r="Z134" s="61">
        <v>0.0</v>
      </c>
      <c r="AA134" s="61">
        <v>0.0</v>
      </c>
      <c r="AB134" s="60">
        <v>0.0</v>
      </c>
      <c r="AC134" s="61">
        <v>0.0</v>
      </c>
      <c r="AD134" s="61">
        <v>0.0</v>
      </c>
      <c r="AE134" s="60">
        <v>0.0</v>
      </c>
      <c r="AF134" s="61">
        <v>0.0</v>
      </c>
      <c r="AG134" s="61">
        <v>0.0</v>
      </c>
      <c r="AH134" s="60">
        <v>0.0</v>
      </c>
      <c r="AI134" s="61">
        <v>0.0</v>
      </c>
      <c r="AJ134" s="61">
        <v>0.0</v>
      </c>
      <c r="AK134" s="60">
        <v>0.0</v>
      </c>
      <c r="AL134" s="61">
        <v>0.0</v>
      </c>
      <c r="AM134" s="61">
        <v>0.0</v>
      </c>
      <c r="AN134" s="60">
        <v>0.0</v>
      </c>
      <c r="AO134" s="62">
        <v>0.0</v>
      </c>
      <c r="AP134" s="62">
        <v>0.0</v>
      </c>
      <c r="AQ134" s="60">
        <v>0.0</v>
      </c>
      <c r="AR134" s="60" t="str">
        <f>IF(Hoja1!$AQ134&gt;0,Hoja1!$AQ134,IF(Hoja1!$AN134&gt;0,Hoja1!$AN134,IF(Hoja1!$AK134&gt;0,Hoja1!$AK134,IF(Hoja1!$AH134&gt;0,Hoja1!$AH134,IF(Hoja1!$AE134&gt;0,Hoja1!$AE134,IF(Hoja1!$AB134&gt;0,Hoja1!$AB134,IF(Hoja1!$Y134&gt;0,Hoja1!$Y134,IF(Hoja1!$V134&gt;0,Hoja1!$V134," ---"))))))))</f>
        <v>15</v>
      </c>
      <c r="AS134" s="63">
        <v>0.0</v>
      </c>
      <c r="AT134" s="63">
        <v>0.0</v>
      </c>
      <c r="AU134" s="63">
        <v>0.0</v>
      </c>
      <c r="AV134" s="63">
        <v>0.0</v>
      </c>
      <c r="AW134" s="63">
        <v>0.0</v>
      </c>
      <c r="AX134" s="63">
        <v>0.0</v>
      </c>
      <c r="AY134" s="63">
        <v>0.0</v>
      </c>
      <c r="AZ134" s="63">
        <v>0.0</v>
      </c>
      <c r="BA134" s="63">
        <v>0.0</v>
      </c>
      <c r="BB134" s="63">
        <v>0.0</v>
      </c>
      <c r="BC134" s="63">
        <v>0.0</v>
      </c>
      <c r="BD134" s="63">
        <v>0.0</v>
      </c>
      <c r="BE134" s="64">
        <v>0.0</v>
      </c>
      <c r="BF134" s="65">
        <v>0.0</v>
      </c>
      <c r="BG134" s="65">
        <v>0.0</v>
      </c>
      <c r="BH134" s="66">
        <v>0.0</v>
      </c>
      <c r="BI134" s="67" t="str">
        <f t="shared" si="23"/>
        <v>#REF!</v>
      </c>
      <c r="BJ134" s="68" t="str">
        <f t="shared" si="24"/>
        <v>#REF!</v>
      </c>
      <c r="BK134" s="69">
        <v>0.0</v>
      </c>
      <c r="BL134" s="69">
        <v>0.0</v>
      </c>
      <c r="BM134" s="64">
        <v>0.0</v>
      </c>
      <c r="BN134" s="67" t="str">
        <f t="shared" si="25"/>
        <v>#REF!</v>
      </c>
      <c r="BO134" s="68" t="str">
        <f t="shared" si="26"/>
        <v>#REF!</v>
      </c>
      <c r="BP134" s="65">
        <v>0.0</v>
      </c>
      <c r="BQ134" s="65">
        <v>0.0</v>
      </c>
      <c r="BR134" s="66">
        <v>0.0</v>
      </c>
      <c r="BS134" s="67" t="str">
        <f t="shared" si="27"/>
        <v>#REF!</v>
      </c>
      <c r="BT134" s="68" t="str">
        <f>'[1]DATA CONSOLIDADA 2018-2025 '!$BR134-Hoja1!$BO134</f>
        <v>#REF!</v>
      </c>
      <c r="BU134" s="65">
        <v>0.0</v>
      </c>
      <c r="BV134" s="65">
        <v>0.0</v>
      </c>
      <c r="BW134" s="66">
        <v>0.0</v>
      </c>
      <c r="BX134" s="67" t="str">
        <f t="shared" si="28"/>
        <v>#REF!</v>
      </c>
      <c r="BY134" s="68" t="str">
        <f t="shared" si="29"/>
        <v>#REF!</v>
      </c>
      <c r="BZ134" s="65">
        <v>0.0</v>
      </c>
      <c r="CA134" s="65">
        <v>0.0</v>
      </c>
      <c r="CB134" s="66">
        <v>0.0</v>
      </c>
      <c r="CC134" s="67" t="str">
        <f t="shared" si="30"/>
        <v>#REF!</v>
      </c>
      <c r="CD134" s="68" t="str">
        <f>'[1]DATA CONSOLIDADA 2018-2025 '!$CB134-Hoja1!$BW134</f>
        <v>#REF!</v>
      </c>
      <c r="CE134" s="70">
        <v>0.0</v>
      </c>
      <c r="CF134" s="70">
        <v>0.0</v>
      </c>
      <c r="CG134" s="71">
        <v>0.0</v>
      </c>
      <c r="CH134" s="67" t="str">
        <f t="shared" si="31"/>
        <v>#REF!</v>
      </c>
      <c r="CI134" s="68" t="str">
        <f>'[1]DATA CONSOLIDADA 2018-2025 '!$CG134-Hoja1!$CB134</f>
        <v>#REF!</v>
      </c>
      <c r="CJ134" s="64" t="str">
        <f t="shared" si="22"/>
        <v>#REF!</v>
      </c>
      <c r="CK134" s="64">
        <v>0.0</v>
      </c>
      <c r="CL134" s="64">
        <v>0.0</v>
      </c>
      <c r="CM134" s="64">
        <v>0.0</v>
      </c>
      <c r="CN134" s="64" t="str">
        <f t="shared" si="12"/>
        <v>#REF!</v>
      </c>
      <c r="CO134" s="68" t="str">
        <f>'[1]DATA CONSOLIDADA 2018-2025 '!$CM134-Hoja1!$CG134</f>
        <v>#REF!</v>
      </c>
      <c r="CP134" s="70">
        <v>0.0</v>
      </c>
      <c r="CQ134" s="70">
        <v>0.0</v>
      </c>
      <c r="CR134" s="70">
        <v>0.0</v>
      </c>
      <c r="CS134" s="70">
        <v>0.0</v>
      </c>
      <c r="CT134" s="70">
        <v>0.0</v>
      </c>
      <c r="CU134" s="70">
        <v>0.0</v>
      </c>
      <c r="CV134" s="64">
        <v>0.0</v>
      </c>
      <c r="CW134" s="64">
        <v>0.0</v>
      </c>
      <c r="CX134" s="64">
        <v>0.0</v>
      </c>
      <c r="CY134" s="64">
        <v>0.0</v>
      </c>
      <c r="CZ134" s="64">
        <v>0.0</v>
      </c>
      <c r="DA134" s="64">
        <v>0.0</v>
      </c>
      <c r="DB134" s="64">
        <v>0.0</v>
      </c>
      <c r="DC134" s="72">
        <v>0.0</v>
      </c>
      <c r="DD134" s="72">
        <v>0.0</v>
      </c>
      <c r="DE134" s="72">
        <v>0.0</v>
      </c>
      <c r="DF134" s="72">
        <v>0.0</v>
      </c>
      <c r="DG134" s="72">
        <v>0.0</v>
      </c>
      <c r="DH134" s="72">
        <v>0.0</v>
      </c>
      <c r="DI134" s="73">
        <v>2.0568587333E10</v>
      </c>
      <c r="DJ134" s="74" t="s">
        <v>565</v>
      </c>
      <c r="DK134" s="74" t="s">
        <v>138</v>
      </c>
      <c r="DL134" s="75"/>
      <c r="DM134" s="75"/>
      <c r="DN134" s="75"/>
      <c r="DO134" s="75"/>
      <c r="DP134" s="75"/>
      <c r="DQ134" s="75"/>
      <c r="DR134" s="75"/>
      <c r="DS134" s="75"/>
      <c r="DT134" s="75"/>
      <c r="DU134" s="75"/>
      <c r="DV134" s="75"/>
      <c r="DW134" s="75"/>
      <c r="DX134" s="75"/>
      <c r="DY134" s="75"/>
      <c r="DZ134" s="75"/>
      <c r="EA134" s="75"/>
      <c r="EB134" s="75"/>
      <c r="EC134" s="75"/>
      <c r="ED134" s="75"/>
      <c r="EE134" s="75"/>
    </row>
    <row r="135" ht="47.25" hidden="1" customHeight="1">
      <c r="A135" s="55" t="s">
        <v>569</v>
      </c>
      <c r="B135" s="55" t="s">
        <v>256</v>
      </c>
      <c r="C135" s="55" t="s">
        <v>256</v>
      </c>
      <c r="D135" s="55" t="s">
        <v>563</v>
      </c>
      <c r="E135" s="55" t="s">
        <v>570</v>
      </c>
      <c r="F135" s="55" t="s">
        <v>563</v>
      </c>
      <c r="G135" s="55" t="s">
        <v>567</v>
      </c>
      <c r="H135" s="55" t="s">
        <v>571</v>
      </c>
      <c r="I135" s="56">
        <v>1.0</v>
      </c>
      <c r="J135" s="56">
        <v>1.0</v>
      </c>
      <c r="K135" s="56"/>
      <c r="L135" s="56"/>
      <c r="M135" s="56"/>
      <c r="N135" s="56"/>
      <c r="O135" s="56"/>
      <c r="P135" s="56"/>
      <c r="Q135" s="56" t="s">
        <v>131</v>
      </c>
      <c r="R135" s="58" t="str">
        <f t="shared" si="1"/>
        <v>2018-2019</v>
      </c>
      <c r="S135" s="59" t="str">
        <f>SUM(Hoja1!$I135:$P135)</f>
        <v>2</v>
      </c>
      <c r="T135" s="59" t="str">
        <f>IF(OR(Hoja1!$J135=1,Hoja1!$K135=1,Hoja1!$L135=1,Hoja1!$M135=1,Hoja1!$N135=1,Hoja1!$O135=1,Hoja1!$P135=1),"SI","NO")</f>
        <v>SI</v>
      </c>
      <c r="U135" s="59" t="str">
        <f>IF(OR(Hoja1!$K135=1,Hoja1!$L135=1,Hoja1!$M135=1,Hoja1!$N135=1,Hoja1!$O135=1,Hoja1!$P135=1),"SI","NO")</f>
        <v>NO</v>
      </c>
      <c r="V135" s="60">
        <v>94.0</v>
      </c>
      <c r="W135" s="61">
        <v>27.0</v>
      </c>
      <c r="X135" s="61">
        <v>34.0</v>
      </c>
      <c r="Y135" s="60">
        <v>61.0</v>
      </c>
      <c r="Z135" s="61">
        <v>0.0</v>
      </c>
      <c r="AA135" s="61">
        <v>0.0</v>
      </c>
      <c r="AB135" s="60">
        <v>0.0</v>
      </c>
      <c r="AC135" s="61">
        <v>0.0</v>
      </c>
      <c r="AD135" s="61">
        <v>0.0</v>
      </c>
      <c r="AE135" s="60">
        <v>0.0</v>
      </c>
      <c r="AF135" s="61">
        <v>0.0</v>
      </c>
      <c r="AG135" s="61">
        <v>0.0</v>
      </c>
      <c r="AH135" s="60">
        <v>0.0</v>
      </c>
      <c r="AI135" s="61">
        <v>0.0</v>
      </c>
      <c r="AJ135" s="61">
        <v>0.0</v>
      </c>
      <c r="AK135" s="60">
        <v>0.0</v>
      </c>
      <c r="AL135" s="61">
        <v>0.0</v>
      </c>
      <c r="AM135" s="61">
        <v>0.0</v>
      </c>
      <c r="AN135" s="60">
        <v>0.0</v>
      </c>
      <c r="AO135" s="62">
        <v>0.0</v>
      </c>
      <c r="AP135" s="62">
        <v>0.0</v>
      </c>
      <c r="AQ135" s="60">
        <v>0.0</v>
      </c>
      <c r="AR135" s="60" t="str">
        <f>IF(Hoja1!$AQ135&gt;0,Hoja1!$AQ135,IF(Hoja1!$AN135&gt;0,Hoja1!$AN135,IF(Hoja1!$AK135&gt;0,Hoja1!$AK135,IF(Hoja1!$AH135&gt;0,Hoja1!$AH135,IF(Hoja1!$AE135&gt;0,Hoja1!$AE135,IF(Hoja1!$AB135&gt;0,Hoja1!$AB135,IF(Hoja1!$Y135&gt;0,Hoja1!$Y135,IF(Hoja1!$V135&gt;0,Hoja1!$V135," ---"))))))))</f>
        <v>61</v>
      </c>
      <c r="AS135" s="63">
        <v>0.0</v>
      </c>
      <c r="AT135" s="63">
        <v>0.0</v>
      </c>
      <c r="AU135" s="63">
        <v>0.0</v>
      </c>
      <c r="AV135" s="63">
        <v>0.0</v>
      </c>
      <c r="AW135" s="63">
        <v>0.0</v>
      </c>
      <c r="AX135" s="63">
        <v>0.0</v>
      </c>
      <c r="AY135" s="63">
        <v>0.0</v>
      </c>
      <c r="AZ135" s="63">
        <v>0.0</v>
      </c>
      <c r="BA135" s="63">
        <v>0.0</v>
      </c>
      <c r="BB135" s="63">
        <v>0.0</v>
      </c>
      <c r="BC135" s="63">
        <v>0.0</v>
      </c>
      <c r="BD135" s="63">
        <v>0.0</v>
      </c>
      <c r="BE135" s="64">
        <v>0.0</v>
      </c>
      <c r="BF135" s="65">
        <v>0.0</v>
      </c>
      <c r="BG135" s="65">
        <v>0.0</v>
      </c>
      <c r="BH135" s="66">
        <v>0.0</v>
      </c>
      <c r="BI135" s="67" t="str">
        <f t="shared" si="23"/>
        <v>#REF!</v>
      </c>
      <c r="BJ135" s="68" t="str">
        <f t="shared" si="24"/>
        <v>#REF!</v>
      </c>
      <c r="BK135" s="69">
        <v>0.0</v>
      </c>
      <c r="BL135" s="69">
        <v>0.0</v>
      </c>
      <c r="BM135" s="64">
        <v>0.0</v>
      </c>
      <c r="BN135" s="67" t="str">
        <f t="shared" si="25"/>
        <v>#REF!</v>
      </c>
      <c r="BO135" s="68" t="str">
        <f t="shared" si="26"/>
        <v>#REF!</v>
      </c>
      <c r="BP135" s="65">
        <v>0.0</v>
      </c>
      <c r="BQ135" s="65">
        <v>0.0</v>
      </c>
      <c r="BR135" s="66">
        <v>0.0</v>
      </c>
      <c r="BS135" s="67" t="str">
        <f t="shared" si="27"/>
        <v>#REF!</v>
      </c>
      <c r="BT135" s="68" t="str">
        <f>'[1]DATA CONSOLIDADA 2018-2025 '!$BR135-Hoja1!$BO135</f>
        <v>#REF!</v>
      </c>
      <c r="BU135" s="65">
        <v>0.0</v>
      </c>
      <c r="BV135" s="65">
        <v>0.0</v>
      </c>
      <c r="BW135" s="66">
        <v>0.0</v>
      </c>
      <c r="BX135" s="67" t="str">
        <f t="shared" si="28"/>
        <v>#REF!</v>
      </c>
      <c r="BY135" s="68" t="str">
        <f t="shared" si="29"/>
        <v>#REF!</v>
      </c>
      <c r="BZ135" s="65">
        <v>0.0</v>
      </c>
      <c r="CA135" s="65">
        <v>0.0</v>
      </c>
      <c r="CB135" s="66">
        <v>0.0</v>
      </c>
      <c r="CC135" s="67" t="str">
        <f t="shared" si="30"/>
        <v>#REF!</v>
      </c>
      <c r="CD135" s="68" t="str">
        <f>'[1]DATA CONSOLIDADA 2018-2025 '!$CB135-Hoja1!$BW135</f>
        <v>#REF!</v>
      </c>
      <c r="CE135" s="70">
        <v>0.0</v>
      </c>
      <c r="CF135" s="70">
        <v>0.0</v>
      </c>
      <c r="CG135" s="71">
        <v>0.0</v>
      </c>
      <c r="CH135" s="67" t="str">
        <f t="shared" si="31"/>
        <v>#REF!</v>
      </c>
      <c r="CI135" s="68" t="str">
        <f>'[1]DATA CONSOLIDADA 2018-2025 '!$CG135-Hoja1!$CB135</f>
        <v>#REF!</v>
      </c>
      <c r="CJ135" s="64" t="str">
        <f t="shared" si="22"/>
        <v>#REF!</v>
      </c>
      <c r="CK135" s="64">
        <v>0.0</v>
      </c>
      <c r="CL135" s="64">
        <v>0.0</v>
      </c>
      <c r="CM135" s="64">
        <v>0.0</v>
      </c>
      <c r="CN135" s="64" t="str">
        <f t="shared" si="12"/>
        <v>#REF!</v>
      </c>
      <c r="CO135" s="68" t="str">
        <f>'[1]DATA CONSOLIDADA 2018-2025 '!$CM135-Hoja1!$CG135</f>
        <v>#REF!</v>
      </c>
      <c r="CP135" s="70">
        <v>0.0</v>
      </c>
      <c r="CQ135" s="70">
        <v>0.0</v>
      </c>
      <c r="CR135" s="70">
        <v>0.0</v>
      </c>
      <c r="CS135" s="70">
        <v>0.0</v>
      </c>
      <c r="CT135" s="70">
        <v>0.0</v>
      </c>
      <c r="CU135" s="70">
        <v>0.0</v>
      </c>
      <c r="CV135" s="64">
        <v>0.0</v>
      </c>
      <c r="CW135" s="64">
        <v>0.0</v>
      </c>
      <c r="CX135" s="64">
        <v>0.0</v>
      </c>
      <c r="CY135" s="64">
        <v>0.0</v>
      </c>
      <c r="CZ135" s="64">
        <v>0.0</v>
      </c>
      <c r="DA135" s="64">
        <v>0.0</v>
      </c>
      <c r="DB135" s="64">
        <v>0.0</v>
      </c>
      <c r="DC135" s="72">
        <v>0.0</v>
      </c>
      <c r="DD135" s="72">
        <v>0.0</v>
      </c>
      <c r="DE135" s="72">
        <v>0.0</v>
      </c>
      <c r="DF135" s="72">
        <v>0.0</v>
      </c>
      <c r="DG135" s="72">
        <v>0.0</v>
      </c>
      <c r="DH135" s="72">
        <v>0.0</v>
      </c>
      <c r="DI135" s="73">
        <v>2.0600717902E10</v>
      </c>
      <c r="DJ135" s="74" t="s">
        <v>569</v>
      </c>
      <c r="DK135" s="74" t="s">
        <v>132</v>
      </c>
      <c r="DL135" s="75"/>
      <c r="DM135" s="75"/>
      <c r="DN135" s="75"/>
      <c r="DO135" s="75"/>
      <c r="DP135" s="75"/>
      <c r="DQ135" s="75"/>
      <c r="DR135" s="75"/>
      <c r="DS135" s="75"/>
      <c r="DT135" s="75"/>
      <c r="DU135" s="75"/>
      <c r="DV135" s="75"/>
      <c r="DW135" s="75"/>
      <c r="DX135" s="75"/>
      <c r="DY135" s="75"/>
      <c r="DZ135" s="75"/>
      <c r="EA135" s="75"/>
      <c r="EB135" s="75"/>
      <c r="EC135" s="75"/>
      <c r="ED135" s="75"/>
      <c r="EE135" s="75"/>
    </row>
    <row r="136" ht="47.25" hidden="1" customHeight="1">
      <c r="A136" s="55" t="s">
        <v>572</v>
      </c>
      <c r="B136" s="55" t="s">
        <v>166</v>
      </c>
      <c r="C136" s="55" t="s">
        <v>166</v>
      </c>
      <c r="D136" s="55" t="s">
        <v>563</v>
      </c>
      <c r="E136" s="55" t="s">
        <v>573</v>
      </c>
      <c r="F136" s="55" t="s">
        <v>563</v>
      </c>
      <c r="G136" s="55" t="s">
        <v>567</v>
      </c>
      <c r="H136" s="55" t="s">
        <v>574</v>
      </c>
      <c r="I136" s="56"/>
      <c r="J136" s="56">
        <v>1.0</v>
      </c>
      <c r="K136" s="56">
        <v>1.0</v>
      </c>
      <c r="L136" s="56">
        <v>1.0</v>
      </c>
      <c r="M136" s="56">
        <v>1.0</v>
      </c>
      <c r="N136" s="56"/>
      <c r="O136" s="56"/>
      <c r="P136" s="56"/>
      <c r="Q136" s="56" t="s">
        <v>131</v>
      </c>
      <c r="R136" s="58" t="str">
        <f t="shared" si="1"/>
        <v>2019-2020-2021-2022</v>
      </c>
      <c r="S136" s="59" t="str">
        <f>SUM(Hoja1!$I136:$P136)</f>
        <v>4</v>
      </c>
      <c r="T136" s="59" t="str">
        <f>IF(OR(Hoja1!$J136=1,Hoja1!$K136=1,Hoja1!$L136=1,Hoja1!$M136=1,Hoja1!$N136=1,Hoja1!$O136=1,Hoja1!$P136=1),"SI","NO")</f>
        <v>SI</v>
      </c>
      <c r="U136" s="59" t="str">
        <f>IF(OR(Hoja1!$K136=1,Hoja1!$L136=1,Hoja1!$M136=1,Hoja1!$N136=1,Hoja1!$O136=1,Hoja1!$P136=1),"SI","NO")</f>
        <v>SI</v>
      </c>
      <c r="V136" s="60">
        <v>0.0</v>
      </c>
      <c r="W136" s="61">
        <v>139.0</v>
      </c>
      <c r="X136" s="61">
        <v>54.0</v>
      </c>
      <c r="Y136" s="60">
        <v>193.0</v>
      </c>
      <c r="Z136" s="61">
        <v>140.0</v>
      </c>
      <c r="AA136" s="61">
        <v>53.0</v>
      </c>
      <c r="AB136" s="60">
        <v>193.0</v>
      </c>
      <c r="AC136" s="61">
        <v>141.0</v>
      </c>
      <c r="AD136" s="61">
        <v>55.0</v>
      </c>
      <c r="AE136" s="60">
        <v>196.0</v>
      </c>
      <c r="AF136" s="61">
        <v>141.0</v>
      </c>
      <c r="AG136" s="61">
        <v>55.0</v>
      </c>
      <c r="AH136" s="60">
        <v>196.0</v>
      </c>
      <c r="AI136" s="61">
        <v>0.0</v>
      </c>
      <c r="AJ136" s="61">
        <v>0.0</v>
      </c>
      <c r="AK136" s="60">
        <v>0.0</v>
      </c>
      <c r="AL136" s="61">
        <v>0.0</v>
      </c>
      <c r="AM136" s="61">
        <v>0.0</v>
      </c>
      <c r="AN136" s="60">
        <v>0.0</v>
      </c>
      <c r="AO136" s="62">
        <v>0.0</v>
      </c>
      <c r="AP136" s="62">
        <v>0.0</v>
      </c>
      <c r="AQ136" s="60">
        <v>0.0</v>
      </c>
      <c r="AR136" s="60" t="str">
        <f>IF(Hoja1!$AQ136&gt;0,Hoja1!$AQ136,IF(Hoja1!$AN136&gt;0,Hoja1!$AN136,IF(Hoja1!$AK136&gt;0,Hoja1!$AK136,IF(Hoja1!$AH136&gt;0,Hoja1!$AH136,IF(Hoja1!$AE136&gt;0,Hoja1!$AE136,IF(Hoja1!$AB136&gt;0,Hoja1!$AB136,IF(Hoja1!$Y136&gt;0,Hoja1!$Y136,IF(Hoja1!$V136&gt;0,Hoja1!$V136," ---"))))))))</f>
        <v>196</v>
      </c>
      <c r="AS136" s="63">
        <v>0.0</v>
      </c>
      <c r="AT136" s="63">
        <v>10.0</v>
      </c>
      <c r="AU136" s="63">
        <v>108.0</v>
      </c>
      <c r="AV136" s="63">
        <v>15.0</v>
      </c>
      <c r="AW136" s="63">
        <v>66.0</v>
      </c>
      <c r="AX136" s="63">
        <v>11.0</v>
      </c>
      <c r="AY136" s="63">
        <v>0.0</v>
      </c>
      <c r="AZ136" s="63">
        <v>0.0</v>
      </c>
      <c r="BA136" s="63">
        <v>0.0</v>
      </c>
      <c r="BB136" s="63">
        <v>0.0</v>
      </c>
      <c r="BC136" s="63">
        <v>0.0</v>
      </c>
      <c r="BD136" s="63">
        <v>0.0</v>
      </c>
      <c r="BE136" s="64">
        <v>0.0</v>
      </c>
      <c r="BF136" s="65">
        <v>1192779.7</v>
      </c>
      <c r="BG136" s="65">
        <v>0.0</v>
      </c>
      <c r="BH136" s="66">
        <v>1192779.7</v>
      </c>
      <c r="BI136" s="67" t="str">
        <f t="shared" si="23"/>
        <v>#REF!</v>
      </c>
      <c r="BJ136" s="68" t="str">
        <f t="shared" si="24"/>
        <v>#REF!</v>
      </c>
      <c r="BK136" s="65">
        <v>1719540.0</v>
      </c>
      <c r="BL136" s="65">
        <v>0.0</v>
      </c>
      <c r="BM136" s="66">
        <v>1719540.0</v>
      </c>
      <c r="BN136" s="67" t="str">
        <f t="shared" si="25"/>
        <v>#REF!</v>
      </c>
      <c r="BO136" s="68" t="str">
        <f t="shared" si="26"/>
        <v>#REF!</v>
      </c>
      <c r="BP136" s="65">
        <v>1250029.0</v>
      </c>
      <c r="BQ136" s="65">
        <v>0.0</v>
      </c>
      <c r="BR136" s="66">
        <v>1250029.0</v>
      </c>
      <c r="BS136" s="67" t="str">
        <f t="shared" si="27"/>
        <v>#REF!</v>
      </c>
      <c r="BT136" s="68" t="str">
        <f>'[1]DATA CONSOLIDADA 2018-2025 '!$BR136-Hoja1!$BO136</f>
        <v>#REF!</v>
      </c>
      <c r="BU136" s="65">
        <v>1287160.0</v>
      </c>
      <c r="BV136" s="65">
        <v>0.0</v>
      </c>
      <c r="BW136" s="66">
        <v>1287160.0</v>
      </c>
      <c r="BX136" s="67" t="str">
        <f t="shared" si="28"/>
        <v>#REF!</v>
      </c>
      <c r="BY136" s="68" t="str">
        <f t="shared" si="29"/>
        <v>#REF!</v>
      </c>
      <c r="BZ136" s="65">
        <v>0.0</v>
      </c>
      <c r="CA136" s="65">
        <v>0.0</v>
      </c>
      <c r="CB136" s="66">
        <v>0.0</v>
      </c>
      <c r="CC136" s="67" t="str">
        <f t="shared" si="30"/>
        <v>#REF!</v>
      </c>
      <c r="CD136" s="68" t="str">
        <f>'[1]DATA CONSOLIDADA 2018-2025 '!$CB136-Hoja1!$BW136</f>
        <v>#REF!</v>
      </c>
      <c r="CE136" s="70">
        <v>0.0</v>
      </c>
      <c r="CF136" s="70">
        <v>0.0</v>
      </c>
      <c r="CG136" s="71">
        <v>0.0</v>
      </c>
      <c r="CH136" s="67" t="str">
        <f t="shared" si="31"/>
        <v>#REF!</v>
      </c>
      <c r="CI136" s="68" t="str">
        <f>'[1]DATA CONSOLIDADA 2018-2025 '!$CG136-Hoja1!$CB136</f>
        <v>#REF!</v>
      </c>
      <c r="CJ136" s="64" t="str">
        <f t="shared" si="22"/>
        <v>#REF!</v>
      </c>
      <c r="CK136" s="64">
        <v>0.0</v>
      </c>
      <c r="CL136" s="64">
        <v>0.0</v>
      </c>
      <c r="CM136" s="64">
        <v>0.0</v>
      </c>
      <c r="CN136" s="64" t="str">
        <f t="shared" si="12"/>
        <v>#REF!</v>
      </c>
      <c r="CO136" s="68" t="str">
        <f>'[1]DATA CONSOLIDADA 2018-2025 '!$CM136-Hoja1!$CG136</f>
        <v>#REF!</v>
      </c>
      <c r="CP136" s="70">
        <v>0.0</v>
      </c>
      <c r="CQ136" s="70">
        <v>0.0</v>
      </c>
      <c r="CR136" s="70">
        <v>0.0</v>
      </c>
      <c r="CS136" s="70">
        <v>0.0</v>
      </c>
      <c r="CT136" s="70">
        <v>0.0</v>
      </c>
      <c r="CU136" s="70">
        <v>0.0</v>
      </c>
      <c r="CV136" s="64">
        <v>0.0</v>
      </c>
      <c r="CW136" s="64">
        <v>0.0</v>
      </c>
      <c r="CX136" s="64">
        <v>0.0</v>
      </c>
      <c r="CY136" s="64">
        <v>0.0</v>
      </c>
      <c r="CZ136" s="64">
        <v>0.0</v>
      </c>
      <c r="DA136" s="64">
        <v>0.0</v>
      </c>
      <c r="DB136" s="64">
        <v>0.0</v>
      </c>
      <c r="DC136" s="72">
        <v>0.0</v>
      </c>
      <c r="DD136" s="72">
        <v>0.0</v>
      </c>
      <c r="DE136" s="72">
        <v>0.0</v>
      </c>
      <c r="DF136" s="72">
        <v>0.0</v>
      </c>
      <c r="DG136" s="72">
        <v>0.0</v>
      </c>
      <c r="DH136" s="72">
        <v>0.0</v>
      </c>
      <c r="DI136" s="73">
        <v>2.0602526365E10</v>
      </c>
      <c r="DJ136" s="74" t="s">
        <v>572</v>
      </c>
      <c r="DK136" s="74" t="s">
        <v>132</v>
      </c>
      <c r="DL136" s="75"/>
      <c r="DM136" s="75"/>
      <c r="DN136" s="75"/>
      <c r="DO136" s="75"/>
      <c r="DP136" s="75"/>
      <c r="DQ136" s="75"/>
      <c r="DR136" s="75"/>
      <c r="DS136" s="75"/>
      <c r="DT136" s="75"/>
      <c r="DU136" s="75"/>
      <c r="DV136" s="75"/>
      <c r="DW136" s="75"/>
      <c r="DX136" s="75"/>
      <c r="DY136" s="75"/>
      <c r="DZ136" s="75"/>
      <c r="EA136" s="75"/>
      <c r="EB136" s="75"/>
      <c r="EC136" s="75"/>
      <c r="ED136" s="75"/>
      <c r="EE136" s="75"/>
    </row>
    <row r="137" ht="47.25" hidden="1" customHeight="1">
      <c r="A137" s="55" t="s">
        <v>575</v>
      </c>
      <c r="B137" s="55" t="s">
        <v>250</v>
      </c>
      <c r="C137" s="55" t="s">
        <v>250</v>
      </c>
      <c r="D137" s="55" t="s">
        <v>563</v>
      </c>
      <c r="E137" s="55" t="s">
        <v>576</v>
      </c>
      <c r="F137" s="55" t="s">
        <v>563</v>
      </c>
      <c r="G137" s="55" t="s">
        <v>577</v>
      </c>
      <c r="H137" s="55" t="s">
        <v>578</v>
      </c>
      <c r="I137" s="56"/>
      <c r="J137" s="56">
        <v>1.0</v>
      </c>
      <c r="K137" s="56"/>
      <c r="L137" s="56">
        <v>1.0</v>
      </c>
      <c r="M137" s="56"/>
      <c r="N137" s="56"/>
      <c r="O137" s="56"/>
      <c r="P137" s="56"/>
      <c r="Q137" s="56" t="s">
        <v>131</v>
      </c>
      <c r="R137" s="58" t="str">
        <f t="shared" si="1"/>
        <v>2019-2021</v>
      </c>
      <c r="S137" s="59" t="str">
        <f>SUM(Hoja1!$I137:$P137)</f>
        <v>2</v>
      </c>
      <c r="T137" s="59" t="str">
        <f>IF(OR(Hoja1!$J137=1,Hoja1!$K137=1,Hoja1!$L137=1,Hoja1!$M137=1,Hoja1!$N137=1,Hoja1!$O137=1,Hoja1!$P137=1),"SI","NO")</f>
        <v>SI</v>
      </c>
      <c r="U137" s="59" t="str">
        <f>IF(OR(Hoja1!$K137=1,Hoja1!$L137=1,Hoja1!$M137=1,Hoja1!$N137=1,Hoja1!$O137=1,Hoja1!$P137=1),"SI","NO")</f>
        <v>SI</v>
      </c>
      <c r="V137" s="60">
        <v>0.0</v>
      </c>
      <c r="W137" s="61">
        <v>13.0</v>
      </c>
      <c r="X137" s="61">
        <v>13.0</v>
      </c>
      <c r="Y137" s="60">
        <v>26.0</v>
      </c>
      <c r="Z137" s="61">
        <v>0.0</v>
      </c>
      <c r="AA137" s="61">
        <v>0.0</v>
      </c>
      <c r="AB137" s="60">
        <v>0.0</v>
      </c>
      <c r="AC137" s="61">
        <v>11.0</v>
      </c>
      <c r="AD137" s="61">
        <v>12.0</v>
      </c>
      <c r="AE137" s="60">
        <v>23.0</v>
      </c>
      <c r="AF137" s="61">
        <v>0.0</v>
      </c>
      <c r="AG137" s="61">
        <v>0.0</v>
      </c>
      <c r="AH137" s="60">
        <v>0.0</v>
      </c>
      <c r="AI137" s="61">
        <v>0.0</v>
      </c>
      <c r="AJ137" s="61">
        <v>0.0</v>
      </c>
      <c r="AK137" s="60">
        <v>0.0</v>
      </c>
      <c r="AL137" s="61">
        <v>0.0</v>
      </c>
      <c r="AM137" s="61">
        <v>0.0</v>
      </c>
      <c r="AN137" s="60">
        <v>0.0</v>
      </c>
      <c r="AO137" s="62">
        <v>0.0</v>
      </c>
      <c r="AP137" s="62">
        <v>0.0</v>
      </c>
      <c r="AQ137" s="60">
        <v>0.0</v>
      </c>
      <c r="AR137" s="60" t="str">
        <f>IF(Hoja1!$AQ137&gt;0,Hoja1!$AQ137,IF(Hoja1!$AN137&gt;0,Hoja1!$AN137,IF(Hoja1!$AK137&gt;0,Hoja1!$AK137,IF(Hoja1!$AH137&gt;0,Hoja1!$AH137,IF(Hoja1!$AE137&gt;0,Hoja1!$AE137,IF(Hoja1!$AB137&gt;0,Hoja1!$AB137,IF(Hoja1!$Y137&gt;0,Hoja1!$Y137,IF(Hoja1!$V137&gt;0,Hoja1!$V137," ---"))))))))</f>
        <v>23</v>
      </c>
      <c r="AS137" s="63">
        <v>0.0</v>
      </c>
      <c r="AT137" s="63">
        <v>0.0</v>
      </c>
      <c r="AU137" s="63">
        <v>29.0</v>
      </c>
      <c r="AV137" s="63">
        <v>6.0</v>
      </c>
      <c r="AW137" s="63">
        <v>0.0</v>
      </c>
      <c r="AX137" s="63">
        <v>0.0</v>
      </c>
      <c r="AY137" s="63">
        <v>0.0</v>
      </c>
      <c r="AZ137" s="63">
        <v>0.0</v>
      </c>
      <c r="BA137" s="63">
        <v>0.0</v>
      </c>
      <c r="BB137" s="63">
        <v>0.0</v>
      </c>
      <c r="BC137" s="63">
        <v>0.0</v>
      </c>
      <c r="BD137" s="63">
        <v>0.0</v>
      </c>
      <c r="BE137" s="64">
        <v>0.0</v>
      </c>
      <c r="BF137" s="65">
        <v>0.0</v>
      </c>
      <c r="BG137" s="65">
        <v>0.0</v>
      </c>
      <c r="BH137" s="66">
        <v>0.0</v>
      </c>
      <c r="BI137" s="67" t="str">
        <f t="shared" si="23"/>
        <v>#REF!</v>
      </c>
      <c r="BJ137" s="68" t="str">
        <f t="shared" si="24"/>
        <v>#REF!</v>
      </c>
      <c r="BK137" s="69">
        <v>0.0</v>
      </c>
      <c r="BL137" s="69">
        <v>0.0</v>
      </c>
      <c r="BM137" s="64">
        <v>0.0</v>
      </c>
      <c r="BN137" s="67" t="str">
        <f t="shared" si="25"/>
        <v>#REF!</v>
      </c>
      <c r="BO137" s="68" t="str">
        <f t="shared" si="26"/>
        <v>#REF!</v>
      </c>
      <c r="BP137" s="65">
        <v>0.0</v>
      </c>
      <c r="BQ137" s="65">
        <v>0.0</v>
      </c>
      <c r="BR137" s="66">
        <v>0.0</v>
      </c>
      <c r="BS137" s="67" t="str">
        <f t="shared" si="27"/>
        <v>#REF!</v>
      </c>
      <c r="BT137" s="68" t="str">
        <f>'[1]DATA CONSOLIDADA 2018-2025 '!$BR137-Hoja1!$BO137</f>
        <v>#REF!</v>
      </c>
      <c r="BU137" s="65">
        <v>0.0</v>
      </c>
      <c r="BV137" s="65">
        <v>0.0</v>
      </c>
      <c r="BW137" s="66">
        <v>0.0</v>
      </c>
      <c r="BX137" s="67" t="str">
        <f t="shared" si="28"/>
        <v>#REF!</v>
      </c>
      <c r="BY137" s="68" t="str">
        <f t="shared" si="29"/>
        <v>#REF!</v>
      </c>
      <c r="BZ137" s="65">
        <v>0.0</v>
      </c>
      <c r="CA137" s="65">
        <v>0.0</v>
      </c>
      <c r="CB137" s="66">
        <v>0.0</v>
      </c>
      <c r="CC137" s="67" t="str">
        <f t="shared" si="30"/>
        <v>#REF!</v>
      </c>
      <c r="CD137" s="68" t="str">
        <f>'[1]DATA CONSOLIDADA 2018-2025 '!$CB137-Hoja1!$BW137</f>
        <v>#REF!</v>
      </c>
      <c r="CE137" s="70">
        <v>0.0</v>
      </c>
      <c r="CF137" s="70">
        <v>0.0</v>
      </c>
      <c r="CG137" s="71">
        <v>0.0</v>
      </c>
      <c r="CH137" s="67" t="str">
        <f t="shared" si="31"/>
        <v>#REF!</v>
      </c>
      <c r="CI137" s="68" t="str">
        <f>'[1]DATA CONSOLIDADA 2018-2025 '!$CG137-Hoja1!$CB137</f>
        <v>#REF!</v>
      </c>
      <c r="CJ137" s="64" t="str">
        <f t="shared" si="22"/>
        <v>#REF!</v>
      </c>
      <c r="CK137" s="64">
        <v>0.0</v>
      </c>
      <c r="CL137" s="64">
        <v>0.0</v>
      </c>
      <c r="CM137" s="64">
        <v>0.0</v>
      </c>
      <c r="CN137" s="64" t="str">
        <f t="shared" si="12"/>
        <v>#REF!</v>
      </c>
      <c r="CO137" s="68" t="str">
        <f>'[1]DATA CONSOLIDADA 2018-2025 '!$CM137-Hoja1!$CG137</f>
        <v>#REF!</v>
      </c>
      <c r="CP137" s="70">
        <v>0.0</v>
      </c>
      <c r="CQ137" s="70">
        <v>0.0</v>
      </c>
      <c r="CR137" s="70">
        <v>0.0</v>
      </c>
      <c r="CS137" s="70">
        <v>0.0</v>
      </c>
      <c r="CT137" s="70">
        <v>0.0</v>
      </c>
      <c r="CU137" s="70">
        <v>0.0</v>
      </c>
      <c r="CV137" s="64">
        <v>0.0</v>
      </c>
      <c r="CW137" s="64">
        <v>0.0</v>
      </c>
      <c r="CX137" s="64">
        <v>0.0</v>
      </c>
      <c r="CY137" s="64">
        <v>0.0</v>
      </c>
      <c r="CZ137" s="64">
        <v>0.0</v>
      </c>
      <c r="DA137" s="64">
        <v>0.0</v>
      </c>
      <c r="DB137" s="64">
        <v>0.0</v>
      </c>
      <c r="DC137" s="72">
        <v>0.0</v>
      </c>
      <c r="DD137" s="72">
        <v>0.0</v>
      </c>
      <c r="DE137" s="72">
        <v>0.0</v>
      </c>
      <c r="DF137" s="72">
        <v>0.0</v>
      </c>
      <c r="DG137" s="72">
        <v>0.0</v>
      </c>
      <c r="DH137" s="72">
        <v>0.0</v>
      </c>
      <c r="DI137" s="73">
        <v>2.0601043212E10</v>
      </c>
      <c r="DJ137" s="74" t="s">
        <v>579</v>
      </c>
      <c r="DK137" s="74" t="s">
        <v>138</v>
      </c>
      <c r="DL137" s="75"/>
      <c r="DM137" s="75"/>
      <c r="DN137" s="75"/>
      <c r="DO137" s="75"/>
      <c r="DP137" s="75"/>
      <c r="DQ137" s="75"/>
      <c r="DR137" s="75"/>
      <c r="DS137" s="75"/>
      <c r="DT137" s="75"/>
      <c r="DU137" s="75"/>
      <c r="DV137" s="75"/>
      <c r="DW137" s="75"/>
      <c r="DX137" s="75"/>
      <c r="DY137" s="75"/>
      <c r="DZ137" s="75"/>
      <c r="EA137" s="75"/>
      <c r="EB137" s="75"/>
      <c r="EC137" s="75"/>
      <c r="ED137" s="75"/>
      <c r="EE137" s="75"/>
    </row>
    <row r="138" ht="47.25" hidden="1" customHeight="1">
      <c r="A138" s="55" t="s">
        <v>580</v>
      </c>
      <c r="B138" s="55" t="s">
        <v>198</v>
      </c>
      <c r="C138" s="55" t="s">
        <v>198</v>
      </c>
      <c r="D138" s="55" t="s">
        <v>563</v>
      </c>
      <c r="E138" s="55" t="s">
        <v>566</v>
      </c>
      <c r="F138" s="55" t="s">
        <v>563</v>
      </c>
      <c r="G138" s="55" t="s">
        <v>567</v>
      </c>
      <c r="H138" s="55" t="s">
        <v>568</v>
      </c>
      <c r="I138" s="56"/>
      <c r="J138" s="56">
        <v>1.0</v>
      </c>
      <c r="K138" s="56"/>
      <c r="L138" s="56"/>
      <c r="M138" s="56"/>
      <c r="N138" s="56"/>
      <c r="O138" s="56"/>
      <c r="P138" s="56"/>
      <c r="Q138" s="56" t="s">
        <v>131</v>
      </c>
      <c r="R138" s="58" t="str">
        <f t="shared" si="1"/>
        <v>2019</v>
      </c>
      <c r="S138" s="59" t="str">
        <f>SUM(Hoja1!$I138:$P138)</f>
        <v>1</v>
      </c>
      <c r="T138" s="59" t="str">
        <f>IF(OR(Hoja1!$J138=1,Hoja1!$K138=1,Hoja1!$L138=1,Hoja1!$M138=1,Hoja1!$N138=1,Hoja1!$O138=1,Hoja1!$P138=1),"SI","NO")</f>
        <v>SI</v>
      </c>
      <c r="U138" s="59" t="str">
        <f>IF(OR(Hoja1!$K138=1,Hoja1!$L138=1,Hoja1!$M138=1,Hoja1!$N138=1,Hoja1!$O138=1,Hoja1!$P138=1),"SI","NO")</f>
        <v>NO</v>
      </c>
      <c r="V138" s="60">
        <v>0.0</v>
      </c>
      <c r="W138" s="61">
        <v>12.0</v>
      </c>
      <c r="X138" s="61">
        <v>3.0</v>
      </c>
      <c r="Y138" s="60">
        <v>15.0</v>
      </c>
      <c r="Z138" s="61">
        <v>0.0</v>
      </c>
      <c r="AA138" s="61">
        <v>0.0</v>
      </c>
      <c r="AB138" s="60">
        <v>0.0</v>
      </c>
      <c r="AC138" s="61">
        <v>0.0</v>
      </c>
      <c r="AD138" s="61">
        <v>0.0</v>
      </c>
      <c r="AE138" s="60">
        <v>0.0</v>
      </c>
      <c r="AF138" s="61">
        <v>0.0</v>
      </c>
      <c r="AG138" s="61">
        <v>0.0</v>
      </c>
      <c r="AH138" s="60">
        <v>0.0</v>
      </c>
      <c r="AI138" s="61">
        <v>0.0</v>
      </c>
      <c r="AJ138" s="61">
        <v>0.0</v>
      </c>
      <c r="AK138" s="60">
        <v>0.0</v>
      </c>
      <c r="AL138" s="61">
        <v>0.0</v>
      </c>
      <c r="AM138" s="61">
        <v>0.0</v>
      </c>
      <c r="AN138" s="60">
        <v>0.0</v>
      </c>
      <c r="AO138" s="62">
        <v>0.0</v>
      </c>
      <c r="AP138" s="62">
        <v>0.0</v>
      </c>
      <c r="AQ138" s="60">
        <v>0.0</v>
      </c>
      <c r="AR138" s="60" t="str">
        <f>IF(Hoja1!$AQ138&gt;0,Hoja1!$AQ138,IF(Hoja1!$AN138&gt;0,Hoja1!$AN138,IF(Hoja1!$AK138&gt;0,Hoja1!$AK138,IF(Hoja1!$AH138&gt;0,Hoja1!$AH138,IF(Hoja1!$AE138&gt;0,Hoja1!$AE138,IF(Hoja1!$AB138&gt;0,Hoja1!$AB138,IF(Hoja1!$Y138&gt;0,Hoja1!$Y138,IF(Hoja1!$V138&gt;0,Hoja1!$V138," ---"))))))))</f>
        <v>15</v>
      </c>
      <c r="AS138" s="63">
        <v>0.0</v>
      </c>
      <c r="AT138" s="63">
        <v>0.0</v>
      </c>
      <c r="AU138" s="63">
        <v>0.0</v>
      </c>
      <c r="AV138" s="63">
        <v>0.0</v>
      </c>
      <c r="AW138" s="63">
        <v>0.0</v>
      </c>
      <c r="AX138" s="63">
        <v>0.0</v>
      </c>
      <c r="AY138" s="63">
        <v>0.0</v>
      </c>
      <c r="AZ138" s="63">
        <v>0.0</v>
      </c>
      <c r="BA138" s="63">
        <v>0.0</v>
      </c>
      <c r="BB138" s="63">
        <v>0.0</v>
      </c>
      <c r="BC138" s="63">
        <v>0.0</v>
      </c>
      <c r="BD138" s="63">
        <v>0.0</v>
      </c>
      <c r="BE138" s="64">
        <v>0.0</v>
      </c>
      <c r="BF138" s="65">
        <v>0.0</v>
      </c>
      <c r="BG138" s="65">
        <v>0.0</v>
      </c>
      <c r="BH138" s="66">
        <v>0.0</v>
      </c>
      <c r="BI138" s="67" t="str">
        <f t="shared" si="23"/>
        <v>#REF!</v>
      </c>
      <c r="BJ138" s="68" t="str">
        <f t="shared" si="24"/>
        <v>#REF!</v>
      </c>
      <c r="BK138" s="69">
        <v>0.0</v>
      </c>
      <c r="BL138" s="69">
        <v>0.0</v>
      </c>
      <c r="BM138" s="64">
        <v>0.0</v>
      </c>
      <c r="BN138" s="67" t="str">
        <f t="shared" si="25"/>
        <v>#REF!</v>
      </c>
      <c r="BO138" s="68" t="str">
        <f t="shared" si="26"/>
        <v>#REF!</v>
      </c>
      <c r="BP138" s="65">
        <v>0.0</v>
      </c>
      <c r="BQ138" s="65">
        <v>0.0</v>
      </c>
      <c r="BR138" s="66">
        <v>0.0</v>
      </c>
      <c r="BS138" s="67" t="str">
        <f t="shared" si="27"/>
        <v>#REF!</v>
      </c>
      <c r="BT138" s="68" t="str">
        <f>'[1]DATA CONSOLIDADA 2018-2025 '!$BR138-Hoja1!$BO138</f>
        <v>#REF!</v>
      </c>
      <c r="BU138" s="65">
        <v>0.0</v>
      </c>
      <c r="BV138" s="65">
        <v>0.0</v>
      </c>
      <c r="BW138" s="66">
        <v>0.0</v>
      </c>
      <c r="BX138" s="67" t="str">
        <f t="shared" si="28"/>
        <v>#REF!</v>
      </c>
      <c r="BY138" s="68" t="str">
        <f t="shared" si="29"/>
        <v>#REF!</v>
      </c>
      <c r="BZ138" s="65">
        <v>0.0</v>
      </c>
      <c r="CA138" s="65">
        <v>0.0</v>
      </c>
      <c r="CB138" s="66">
        <v>0.0</v>
      </c>
      <c r="CC138" s="67" t="str">
        <f t="shared" si="30"/>
        <v>#REF!</v>
      </c>
      <c r="CD138" s="68" t="str">
        <f>'[1]DATA CONSOLIDADA 2018-2025 '!$CB138-Hoja1!$BW138</f>
        <v>#REF!</v>
      </c>
      <c r="CE138" s="70">
        <v>0.0</v>
      </c>
      <c r="CF138" s="70">
        <v>0.0</v>
      </c>
      <c r="CG138" s="71">
        <v>0.0</v>
      </c>
      <c r="CH138" s="67" t="str">
        <f t="shared" si="31"/>
        <v>#REF!</v>
      </c>
      <c r="CI138" s="68" t="str">
        <f>'[1]DATA CONSOLIDADA 2018-2025 '!$CG138-Hoja1!$CB138</f>
        <v>#REF!</v>
      </c>
      <c r="CJ138" s="64" t="str">
        <f t="shared" si="22"/>
        <v>#REF!</v>
      </c>
      <c r="CK138" s="64">
        <v>0.0</v>
      </c>
      <c r="CL138" s="64">
        <v>0.0</v>
      </c>
      <c r="CM138" s="64">
        <v>0.0</v>
      </c>
      <c r="CN138" s="64" t="str">
        <f t="shared" si="12"/>
        <v>#REF!</v>
      </c>
      <c r="CO138" s="68" t="str">
        <f>'[1]DATA CONSOLIDADA 2018-2025 '!$CM138-Hoja1!$CG138</f>
        <v>#REF!</v>
      </c>
      <c r="CP138" s="70">
        <v>0.0</v>
      </c>
      <c r="CQ138" s="70">
        <v>0.0</v>
      </c>
      <c r="CR138" s="70">
        <v>0.0</v>
      </c>
      <c r="CS138" s="70">
        <v>0.0</v>
      </c>
      <c r="CT138" s="70">
        <v>0.0</v>
      </c>
      <c r="CU138" s="70">
        <v>0.0</v>
      </c>
      <c r="CV138" s="64">
        <v>0.0</v>
      </c>
      <c r="CW138" s="64">
        <v>0.0</v>
      </c>
      <c r="CX138" s="64">
        <v>0.0</v>
      </c>
      <c r="CY138" s="64">
        <v>0.0</v>
      </c>
      <c r="CZ138" s="64">
        <v>0.0</v>
      </c>
      <c r="DA138" s="64">
        <v>0.0</v>
      </c>
      <c r="DB138" s="64">
        <v>0.0</v>
      </c>
      <c r="DC138" s="72">
        <v>0.0</v>
      </c>
      <c r="DD138" s="72">
        <v>0.0</v>
      </c>
      <c r="DE138" s="72">
        <v>0.0</v>
      </c>
      <c r="DF138" s="72">
        <v>0.0</v>
      </c>
      <c r="DG138" s="72">
        <v>0.0</v>
      </c>
      <c r="DH138" s="72">
        <v>0.0</v>
      </c>
      <c r="DI138" s="73">
        <v>2.0603776616E10</v>
      </c>
      <c r="DJ138" s="74" t="s">
        <v>580</v>
      </c>
      <c r="DK138" s="74" t="s">
        <v>138</v>
      </c>
      <c r="DL138" s="75"/>
      <c r="DM138" s="75"/>
      <c r="DN138" s="75"/>
      <c r="DO138" s="75"/>
      <c r="DP138" s="75"/>
      <c r="DQ138" s="75"/>
      <c r="DR138" s="75"/>
      <c r="DS138" s="75"/>
      <c r="DT138" s="75"/>
      <c r="DU138" s="75"/>
      <c r="DV138" s="75"/>
      <c r="DW138" s="75"/>
      <c r="DX138" s="75"/>
      <c r="DY138" s="75"/>
      <c r="DZ138" s="75"/>
      <c r="EA138" s="75"/>
      <c r="EB138" s="75"/>
      <c r="EC138" s="75"/>
      <c r="ED138" s="75"/>
      <c r="EE138" s="75"/>
    </row>
    <row r="139" ht="47.25" hidden="1" customHeight="1">
      <c r="A139" s="55" t="s">
        <v>581</v>
      </c>
      <c r="B139" s="55" t="s">
        <v>250</v>
      </c>
      <c r="C139" s="55" t="s">
        <v>250</v>
      </c>
      <c r="D139" s="55" t="s">
        <v>563</v>
      </c>
      <c r="E139" s="55" t="s">
        <v>582</v>
      </c>
      <c r="F139" s="55" t="s">
        <v>563</v>
      </c>
      <c r="G139" s="55" t="s">
        <v>563</v>
      </c>
      <c r="H139" s="55" t="s">
        <v>574</v>
      </c>
      <c r="I139" s="56"/>
      <c r="J139" s="56">
        <v>1.0</v>
      </c>
      <c r="K139" s="56"/>
      <c r="L139" s="56"/>
      <c r="M139" s="56"/>
      <c r="N139" s="56"/>
      <c r="O139" s="56"/>
      <c r="P139" s="56"/>
      <c r="Q139" s="56" t="s">
        <v>131</v>
      </c>
      <c r="R139" s="58" t="str">
        <f t="shared" si="1"/>
        <v>2019</v>
      </c>
      <c r="S139" s="59" t="str">
        <f>SUM(Hoja1!$I139:$P139)</f>
        <v>1</v>
      </c>
      <c r="T139" s="59" t="str">
        <f>IF(OR(Hoja1!$J139=1,Hoja1!$K139=1,Hoja1!$L139=1,Hoja1!$M139=1,Hoja1!$N139=1,Hoja1!$O139=1,Hoja1!$P139=1),"SI","NO")</f>
        <v>SI</v>
      </c>
      <c r="U139" s="59" t="str">
        <f>IF(OR(Hoja1!$K139=1,Hoja1!$L139=1,Hoja1!$M139=1,Hoja1!$N139=1,Hoja1!$O139=1,Hoja1!$P139=1),"SI","NO")</f>
        <v>NO</v>
      </c>
      <c r="V139" s="60">
        <v>0.0</v>
      </c>
      <c r="W139" s="61">
        <v>7.0</v>
      </c>
      <c r="X139" s="61">
        <v>3.0</v>
      </c>
      <c r="Y139" s="60">
        <v>10.0</v>
      </c>
      <c r="Z139" s="61">
        <v>0.0</v>
      </c>
      <c r="AA139" s="61">
        <v>0.0</v>
      </c>
      <c r="AB139" s="60">
        <v>0.0</v>
      </c>
      <c r="AC139" s="61">
        <v>0.0</v>
      </c>
      <c r="AD139" s="61">
        <v>0.0</v>
      </c>
      <c r="AE139" s="60">
        <v>0.0</v>
      </c>
      <c r="AF139" s="61">
        <v>0.0</v>
      </c>
      <c r="AG139" s="61">
        <v>0.0</v>
      </c>
      <c r="AH139" s="60">
        <v>0.0</v>
      </c>
      <c r="AI139" s="61">
        <v>0.0</v>
      </c>
      <c r="AJ139" s="61">
        <v>0.0</v>
      </c>
      <c r="AK139" s="60">
        <v>0.0</v>
      </c>
      <c r="AL139" s="61">
        <v>0.0</v>
      </c>
      <c r="AM139" s="61">
        <v>0.0</v>
      </c>
      <c r="AN139" s="60">
        <v>0.0</v>
      </c>
      <c r="AO139" s="62">
        <v>0.0</v>
      </c>
      <c r="AP139" s="62">
        <v>0.0</v>
      </c>
      <c r="AQ139" s="60">
        <v>0.0</v>
      </c>
      <c r="AR139" s="60" t="str">
        <f>IF(Hoja1!$AQ139&gt;0,Hoja1!$AQ139,IF(Hoja1!$AN139&gt;0,Hoja1!$AN139,IF(Hoja1!$AK139&gt;0,Hoja1!$AK139,IF(Hoja1!$AH139&gt;0,Hoja1!$AH139,IF(Hoja1!$AE139&gt;0,Hoja1!$AE139,IF(Hoja1!$AB139&gt;0,Hoja1!$AB139,IF(Hoja1!$Y139&gt;0,Hoja1!$Y139,IF(Hoja1!$V139&gt;0,Hoja1!$V139," ---"))))))))</f>
        <v>10</v>
      </c>
      <c r="AS139" s="63">
        <v>0.0</v>
      </c>
      <c r="AT139" s="63">
        <v>0.0</v>
      </c>
      <c r="AU139" s="63">
        <v>0.0</v>
      </c>
      <c r="AV139" s="63">
        <v>0.0</v>
      </c>
      <c r="AW139" s="63">
        <v>0.0</v>
      </c>
      <c r="AX139" s="63">
        <v>0.0</v>
      </c>
      <c r="AY139" s="63">
        <v>0.0</v>
      </c>
      <c r="AZ139" s="63">
        <v>0.0</v>
      </c>
      <c r="BA139" s="63">
        <v>0.0</v>
      </c>
      <c r="BB139" s="63">
        <v>0.0</v>
      </c>
      <c r="BC139" s="63">
        <v>0.0</v>
      </c>
      <c r="BD139" s="63">
        <v>0.0</v>
      </c>
      <c r="BE139" s="64">
        <v>0.0</v>
      </c>
      <c r="BF139" s="65">
        <v>0.0</v>
      </c>
      <c r="BG139" s="65">
        <v>0.0</v>
      </c>
      <c r="BH139" s="66">
        <v>0.0</v>
      </c>
      <c r="BI139" s="67" t="str">
        <f t="shared" si="23"/>
        <v>#REF!</v>
      </c>
      <c r="BJ139" s="68" t="str">
        <f t="shared" si="24"/>
        <v>#REF!</v>
      </c>
      <c r="BK139" s="69">
        <v>0.0</v>
      </c>
      <c r="BL139" s="69">
        <v>0.0</v>
      </c>
      <c r="BM139" s="64">
        <v>0.0</v>
      </c>
      <c r="BN139" s="67" t="str">
        <f t="shared" si="25"/>
        <v>#REF!</v>
      </c>
      <c r="BO139" s="68" t="str">
        <f t="shared" si="26"/>
        <v>#REF!</v>
      </c>
      <c r="BP139" s="65">
        <v>0.0</v>
      </c>
      <c r="BQ139" s="65">
        <v>0.0</v>
      </c>
      <c r="BR139" s="66">
        <v>0.0</v>
      </c>
      <c r="BS139" s="67" t="str">
        <f t="shared" si="27"/>
        <v>#REF!</v>
      </c>
      <c r="BT139" s="68" t="str">
        <f>'[1]DATA CONSOLIDADA 2018-2025 '!$BR139-Hoja1!$BO139</f>
        <v>#REF!</v>
      </c>
      <c r="BU139" s="65">
        <v>0.0</v>
      </c>
      <c r="BV139" s="65">
        <v>0.0</v>
      </c>
      <c r="BW139" s="66">
        <v>0.0</v>
      </c>
      <c r="BX139" s="67" t="str">
        <f t="shared" si="28"/>
        <v>#REF!</v>
      </c>
      <c r="BY139" s="68" t="str">
        <f t="shared" si="29"/>
        <v>#REF!</v>
      </c>
      <c r="BZ139" s="65">
        <v>0.0</v>
      </c>
      <c r="CA139" s="65">
        <v>0.0</v>
      </c>
      <c r="CB139" s="66">
        <v>0.0</v>
      </c>
      <c r="CC139" s="67" t="str">
        <f t="shared" si="30"/>
        <v>#REF!</v>
      </c>
      <c r="CD139" s="68" t="str">
        <f>'[1]DATA CONSOLIDADA 2018-2025 '!$CB139-Hoja1!$BW139</f>
        <v>#REF!</v>
      </c>
      <c r="CE139" s="70">
        <v>0.0</v>
      </c>
      <c r="CF139" s="70">
        <v>0.0</v>
      </c>
      <c r="CG139" s="71">
        <v>0.0</v>
      </c>
      <c r="CH139" s="67" t="str">
        <f t="shared" si="31"/>
        <v>#REF!</v>
      </c>
      <c r="CI139" s="68" t="str">
        <f>'[1]DATA CONSOLIDADA 2018-2025 '!$CG139-Hoja1!$CB139</f>
        <v>#REF!</v>
      </c>
      <c r="CJ139" s="64" t="str">
        <f t="shared" si="22"/>
        <v>#REF!</v>
      </c>
      <c r="CK139" s="64">
        <v>0.0</v>
      </c>
      <c r="CL139" s="64">
        <v>0.0</v>
      </c>
      <c r="CM139" s="64">
        <v>0.0</v>
      </c>
      <c r="CN139" s="64" t="str">
        <f t="shared" si="12"/>
        <v>#REF!</v>
      </c>
      <c r="CO139" s="68" t="str">
        <f>'[1]DATA CONSOLIDADA 2018-2025 '!$CM139-Hoja1!$CG139</f>
        <v>#REF!</v>
      </c>
      <c r="CP139" s="70">
        <v>0.0</v>
      </c>
      <c r="CQ139" s="70">
        <v>0.0</v>
      </c>
      <c r="CR139" s="70">
        <v>0.0</v>
      </c>
      <c r="CS139" s="70">
        <v>0.0</v>
      </c>
      <c r="CT139" s="70">
        <v>0.0</v>
      </c>
      <c r="CU139" s="70">
        <v>0.0</v>
      </c>
      <c r="CV139" s="64">
        <v>0.0</v>
      </c>
      <c r="CW139" s="64">
        <v>0.0</v>
      </c>
      <c r="CX139" s="64">
        <v>0.0</v>
      </c>
      <c r="CY139" s="64">
        <v>0.0</v>
      </c>
      <c r="CZ139" s="64">
        <v>0.0</v>
      </c>
      <c r="DA139" s="64">
        <v>0.0</v>
      </c>
      <c r="DB139" s="64">
        <v>0.0</v>
      </c>
      <c r="DC139" s="72">
        <v>0.0</v>
      </c>
      <c r="DD139" s="72">
        <v>0.0</v>
      </c>
      <c r="DE139" s="72">
        <v>0.0</v>
      </c>
      <c r="DF139" s="72">
        <v>0.0</v>
      </c>
      <c r="DG139" s="72">
        <v>0.0</v>
      </c>
      <c r="DH139" s="72">
        <v>0.0</v>
      </c>
      <c r="DI139" s="73">
        <v>2.0603684487E10</v>
      </c>
      <c r="DJ139" s="74" t="s">
        <v>581</v>
      </c>
      <c r="DK139" s="74" t="s">
        <v>138</v>
      </c>
      <c r="DL139" s="75"/>
      <c r="DM139" s="75"/>
      <c r="DN139" s="75"/>
      <c r="DO139" s="75"/>
      <c r="DP139" s="75"/>
      <c r="DQ139" s="75"/>
      <c r="DR139" s="75"/>
      <c r="DS139" s="75"/>
      <c r="DT139" s="75"/>
      <c r="DU139" s="75"/>
      <c r="DV139" s="75"/>
      <c r="DW139" s="75"/>
      <c r="DX139" s="75"/>
      <c r="DY139" s="75"/>
      <c r="DZ139" s="75"/>
      <c r="EA139" s="75"/>
      <c r="EB139" s="75"/>
      <c r="EC139" s="75"/>
      <c r="ED139" s="75"/>
      <c r="EE139" s="75"/>
    </row>
    <row r="140" ht="47.25" hidden="1" customHeight="1">
      <c r="A140" s="55" t="s">
        <v>583</v>
      </c>
      <c r="B140" s="55" t="s">
        <v>256</v>
      </c>
      <c r="C140" s="55" t="s">
        <v>272</v>
      </c>
      <c r="D140" s="55" t="s">
        <v>563</v>
      </c>
      <c r="E140" s="55" t="s">
        <v>584</v>
      </c>
      <c r="F140" s="55" t="s">
        <v>563</v>
      </c>
      <c r="G140" s="55" t="s">
        <v>585</v>
      </c>
      <c r="H140" s="55" t="s">
        <v>585</v>
      </c>
      <c r="I140" s="56">
        <v>1.0</v>
      </c>
      <c r="J140" s="56">
        <v>1.0</v>
      </c>
      <c r="K140" s="56">
        <v>1.0</v>
      </c>
      <c r="L140" s="56">
        <v>1.0</v>
      </c>
      <c r="M140" s="56">
        <v>1.0</v>
      </c>
      <c r="N140" s="56">
        <v>1.0</v>
      </c>
      <c r="O140" s="56"/>
      <c r="P140" s="56"/>
      <c r="Q140" s="56" t="s">
        <v>131</v>
      </c>
      <c r="R140" s="58" t="str">
        <f t="shared" si="1"/>
        <v>2018-2019-2020-2021-2022-2023</v>
      </c>
      <c r="S140" s="59" t="str">
        <f>SUM(Hoja1!$I140:$P140)</f>
        <v>6</v>
      </c>
      <c r="T140" s="59" t="str">
        <f>IF(OR(Hoja1!$J140=1,Hoja1!$K140=1,Hoja1!$L140=1,Hoja1!$M140=1,Hoja1!$N140=1,Hoja1!$O140=1,Hoja1!$P140=1),"SI","NO")</f>
        <v>SI</v>
      </c>
      <c r="U140" s="59" t="str">
        <f>IF(OR(Hoja1!$K140=1,Hoja1!$L140=1,Hoja1!$M140=1,Hoja1!$N140=1,Hoja1!$O140=1,Hoja1!$P140=1),"SI","NO")</f>
        <v>SI</v>
      </c>
      <c r="V140" s="60">
        <v>25.0</v>
      </c>
      <c r="W140" s="61">
        <v>17.0</v>
      </c>
      <c r="X140" s="61">
        <v>8.0</v>
      </c>
      <c r="Y140" s="60">
        <v>25.0</v>
      </c>
      <c r="Z140" s="61">
        <v>17.0</v>
      </c>
      <c r="AA140" s="61">
        <v>8.0</v>
      </c>
      <c r="AB140" s="60">
        <v>25.0</v>
      </c>
      <c r="AC140" s="61">
        <v>20.0</v>
      </c>
      <c r="AD140" s="61">
        <v>11.0</v>
      </c>
      <c r="AE140" s="60">
        <v>31.0</v>
      </c>
      <c r="AF140" s="61">
        <v>20.0</v>
      </c>
      <c r="AG140" s="61">
        <v>11.0</v>
      </c>
      <c r="AH140" s="60">
        <v>31.0</v>
      </c>
      <c r="AI140" s="61">
        <v>20.0</v>
      </c>
      <c r="AJ140" s="61">
        <v>11.0</v>
      </c>
      <c r="AK140" s="60">
        <v>31.0</v>
      </c>
      <c r="AL140" s="61">
        <v>0.0</v>
      </c>
      <c r="AM140" s="61">
        <v>0.0</v>
      </c>
      <c r="AN140" s="60">
        <v>0.0</v>
      </c>
      <c r="AO140" s="62">
        <v>0.0</v>
      </c>
      <c r="AP140" s="62">
        <v>0.0</v>
      </c>
      <c r="AQ140" s="60">
        <v>0.0</v>
      </c>
      <c r="AR140" s="60" t="str">
        <f>IF(Hoja1!$AQ140&gt;0,Hoja1!$AQ140,IF(Hoja1!$AN140&gt;0,Hoja1!$AN140,IF(Hoja1!$AK140&gt;0,Hoja1!$AK140,IF(Hoja1!$AH140&gt;0,Hoja1!$AH140,IF(Hoja1!$AE140&gt;0,Hoja1!$AE140,IF(Hoja1!$AB140&gt;0,Hoja1!$AB140,IF(Hoja1!$Y140&gt;0,Hoja1!$Y140,IF(Hoja1!$V140&gt;0,Hoja1!$V140," ---"))))))))</f>
        <v>31</v>
      </c>
      <c r="AS140" s="63">
        <v>0.0</v>
      </c>
      <c r="AT140" s="63">
        <v>6.0</v>
      </c>
      <c r="AU140" s="63">
        <v>62.0</v>
      </c>
      <c r="AV140" s="63">
        <v>13.0</v>
      </c>
      <c r="AW140" s="63">
        <v>7.0</v>
      </c>
      <c r="AX140" s="63">
        <v>2.0</v>
      </c>
      <c r="AY140" s="63">
        <v>21.0</v>
      </c>
      <c r="AZ140" s="63">
        <v>3.0</v>
      </c>
      <c r="BA140" s="63">
        <v>0.0</v>
      </c>
      <c r="BB140" s="63">
        <v>0.0</v>
      </c>
      <c r="BC140" s="63">
        <v>0.0</v>
      </c>
      <c r="BD140" s="63">
        <v>0.0</v>
      </c>
      <c r="BE140" s="64">
        <v>0.0</v>
      </c>
      <c r="BF140" s="65">
        <v>0.0</v>
      </c>
      <c r="BG140" s="65">
        <v>0.0</v>
      </c>
      <c r="BH140" s="66">
        <v>0.0</v>
      </c>
      <c r="BI140" s="67" t="str">
        <f t="shared" si="23"/>
        <v>#REF!</v>
      </c>
      <c r="BJ140" s="68" t="str">
        <f t="shared" si="24"/>
        <v>#REF!</v>
      </c>
      <c r="BK140" s="65">
        <v>80776.0</v>
      </c>
      <c r="BL140" s="65">
        <v>0.0</v>
      </c>
      <c r="BM140" s="66">
        <v>80776.0</v>
      </c>
      <c r="BN140" s="67" t="str">
        <f t="shared" si="25"/>
        <v>#REF!</v>
      </c>
      <c r="BO140" s="68" t="str">
        <f t="shared" si="26"/>
        <v>#REF!</v>
      </c>
      <c r="BP140" s="65">
        <v>156649.55</v>
      </c>
      <c r="BQ140" s="65">
        <v>0.0</v>
      </c>
      <c r="BR140" s="66">
        <v>156649.55</v>
      </c>
      <c r="BS140" s="67" t="str">
        <f t="shared" si="27"/>
        <v>#REF!</v>
      </c>
      <c r="BT140" s="68" t="str">
        <f>'[1]DATA CONSOLIDADA 2018-2025 '!$BR140-Hoja1!$BO140</f>
        <v>#REF!</v>
      </c>
      <c r="BU140" s="65">
        <v>127497.75</v>
      </c>
      <c r="BV140" s="65">
        <v>0.0</v>
      </c>
      <c r="BW140" s="66">
        <v>127497.75</v>
      </c>
      <c r="BX140" s="67" t="str">
        <f t="shared" si="28"/>
        <v>#REF!</v>
      </c>
      <c r="BY140" s="68" t="str">
        <f t="shared" si="29"/>
        <v>#REF!</v>
      </c>
      <c r="BZ140" s="65">
        <v>53919.0</v>
      </c>
      <c r="CA140" s="65">
        <v>0.0</v>
      </c>
      <c r="CB140" s="66">
        <v>53919.0</v>
      </c>
      <c r="CC140" s="67" t="str">
        <f t="shared" si="30"/>
        <v>#REF!</v>
      </c>
      <c r="CD140" s="68" t="str">
        <f>'[1]DATA CONSOLIDADA 2018-2025 '!$CB140-Hoja1!$BW140</f>
        <v>#REF!</v>
      </c>
      <c r="CE140" s="70">
        <v>0.0</v>
      </c>
      <c r="CF140" s="70">
        <v>0.0</v>
      </c>
      <c r="CG140" s="71">
        <v>0.0</v>
      </c>
      <c r="CH140" s="67" t="str">
        <f t="shared" si="31"/>
        <v>#REF!</v>
      </c>
      <c r="CI140" s="68" t="str">
        <f>'[1]DATA CONSOLIDADA 2018-2025 '!$CG140-Hoja1!$CB140</f>
        <v>#REF!</v>
      </c>
      <c r="CJ140" s="64" t="str">
        <f t="shared" si="22"/>
        <v>#REF!</v>
      </c>
      <c r="CK140" s="64">
        <v>0.0</v>
      </c>
      <c r="CL140" s="64">
        <v>0.0</v>
      </c>
      <c r="CM140" s="64">
        <v>0.0</v>
      </c>
      <c r="CN140" s="64" t="str">
        <f t="shared" si="12"/>
        <v>#REF!</v>
      </c>
      <c r="CO140" s="68" t="str">
        <f>'[1]DATA CONSOLIDADA 2018-2025 '!$CM140-Hoja1!$CG140</f>
        <v>#REF!</v>
      </c>
      <c r="CP140" s="70">
        <v>0.0</v>
      </c>
      <c r="CQ140" s="70">
        <v>0.0</v>
      </c>
      <c r="CR140" s="70">
        <v>0.0</v>
      </c>
      <c r="CS140" s="70">
        <v>53919.0</v>
      </c>
      <c r="CT140" s="70">
        <v>0.0</v>
      </c>
      <c r="CU140" s="70">
        <v>0.0</v>
      </c>
      <c r="CV140" s="64">
        <v>53919.0</v>
      </c>
      <c r="CW140" s="64">
        <v>0.0</v>
      </c>
      <c r="CX140" s="64">
        <v>0.0</v>
      </c>
      <c r="CY140" s="64">
        <v>0.0</v>
      </c>
      <c r="CZ140" s="64">
        <v>0.0</v>
      </c>
      <c r="DA140" s="64">
        <v>0.0</v>
      </c>
      <c r="DB140" s="64">
        <v>0.0</v>
      </c>
      <c r="DC140" s="72">
        <v>0.0</v>
      </c>
      <c r="DD140" s="72">
        <v>0.0</v>
      </c>
      <c r="DE140" s="72">
        <v>0.0</v>
      </c>
      <c r="DF140" s="72">
        <v>0.0</v>
      </c>
      <c r="DG140" s="72">
        <v>0.0</v>
      </c>
      <c r="DH140" s="72">
        <v>0.0</v>
      </c>
      <c r="DI140" s="73">
        <v>2.0568720866E10</v>
      </c>
      <c r="DJ140" s="74" t="s">
        <v>586</v>
      </c>
      <c r="DK140" s="74" t="s">
        <v>138</v>
      </c>
      <c r="DL140" s="75"/>
      <c r="DM140" s="75"/>
      <c r="DN140" s="75"/>
      <c r="DO140" s="75"/>
      <c r="DP140" s="75"/>
      <c r="DQ140" s="75"/>
      <c r="DR140" s="75"/>
      <c r="DS140" s="75"/>
      <c r="DT140" s="75"/>
      <c r="DU140" s="75"/>
      <c r="DV140" s="75"/>
      <c r="DW140" s="75"/>
      <c r="DX140" s="75"/>
      <c r="DY140" s="75"/>
      <c r="DZ140" s="75"/>
      <c r="EA140" s="75"/>
      <c r="EB140" s="75"/>
      <c r="EC140" s="75"/>
      <c r="ED140" s="75"/>
      <c r="EE140" s="75"/>
    </row>
    <row r="141" ht="47.25" hidden="1" customHeight="1">
      <c r="A141" s="55" t="s">
        <v>587</v>
      </c>
      <c r="B141" s="55" t="s">
        <v>256</v>
      </c>
      <c r="C141" s="55" t="s">
        <v>256</v>
      </c>
      <c r="D141" s="55" t="s">
        <v>563</v>
      </c>
      <c r="E141" s="55" t="s">
        <v>584</v>
      </c>
      <c r="F141" s="55" t="s">
        <v>563</v>
      </c>
      <c r="G141" s="55" t="s">
        <v>585</v>
      </c>
      <c r="H141" s="55" t="s">
        <v>585</v>
      </c>
      <c r="I141" s="56"/>
      <c r="J141" s="56">
        <v>1.0</v>
      </c>
      <c r="K141" s="56"/>
      <c r="L141" s="56"/>
      <c r="M141" s="56"/>
      <c r="N141" s="56"/>
      <c r="O141" s="56"/>
      <c r="P141" s="56"/>
      <c r="Q141" s="56" t="s">
        <v>131</v>
      </c>
      <c r="R141" s="58" t="str">
        <f t="shared" si="1"/>
        <v>2019</v>
      </c>
      <c r="S141" s="59" t="str">
        <f>SUM(Hoja1!$I141:$P141)</f>
        <v>1</v>
      </c>
      <c r="T141" s="59" t="str">
        <f>IF(OR(Hoja1!$J141=1,Hoja1!$K141=1,Hoja1!$L141=1,Hoja1!$M141=1,Hoja1!$N141=1,Hoja1!$O141=1,Hoja1!$P141=1),"SI","NO")</f>
        <v>SI</v>
      </c>
      <c r="U141" s="59" t="str">
        <f>IF(OR(Hoja1!$K141=1,Hoja1!$L141=1,Hoja1!$M141=1,Hoja1!$N141=1,Hoja1!$O141=1,Hoja1!$P141=1),"SI","NO")</f>
        <v>NO</v>
      </c>
      <c r="V141" s="60">
        <v>0.0</v>
      </c>
      <c r="W141" s="61">
        <v>14.0</v>
      </c>
      <c r="X141" s="61">
        <v>5.0</v>
      </c>
      <c r="Y141" s="60">
        <v>19.0</v>
      </c>
      <c r="Z141" s="61">
        <v>0.0</v>
      </c>
      <c r="AA141" s="61">
        <v>0.0</v>
      </c>
      <c r="AB141" s="60">
        <v>0.0</v>
      </c>
      <c r="AC141" s="61">
        <v>0.0</v>
      </c>
      <c r="AD141" s="61">
        <v>0.0</v>
      </c>
      <c r="AE141" s="60">
        <v>0.0</v>
      </c>
      <c r="AF141" s="61">
        <v>0.0</v>
      </c>
      <c r="AG141" s="61">
        <v>0.0</v>
      </c>
      <c r="AH141" s="60">
        <v>0.0</v>
      </c>
      <c r="AI141" s="61">
        <v>0.0</v>
      </c>
      <c r="AJ141" s="61">
        <v>0.0</v>
      </c>
      <c r="AK141" s="60">
        <v>0.0</v>
      </c>
      <c r="AL141" s="61">
        <v>0.0</v>
      </c>
      <c r="AM141" s="61">
        <v>0.0</v>
      </c>
      <c r="AN141" s="60">
        <v>0.0</v>
      </c>
      <c r="AO141" s="62">
        <v>0.0</v>
      </c>
      <c r="AP141" s="62">
        <v>0.0</v>
      </c>
      <c r="AQ141" s="60">
        <v>0.0</v>
      </c>
      <c r="AR141" s="60" t="str">
        <f>IF(Hoja1!$AQ141&gt;0,Hoja1!$AQ141,IF(Hoja1!$AN141&gt;0,Hoja1!$AN141,IF(Hoja1!$AK141&gt;0,Hoja1!$AK141,IF(Hoja1!$AH141&gt;0,Hoja1!$AH141,IF(Hoja1!$AE141&gt;0,Hoja1!$AE141,IF(Hoja1!$AB141&gt;0,Hoja1!$AB141,IF(Hoja1!$Y141&gt;0,Hoja1!$Y141,IF(Hoja1!$V141&gt;0,Hoja1!$V141," ---"))))))))</f>
        <v>19</v>
      </c>
      <c r="AS141" s="63">
        <v>0.0</v>
      </c>
      <c r="AT141" s="63">
        <v>0.0</v>
      </c>
      <c r="AU141" s="63">
        <v>0.0</v>
      </c>
      <c r="AV141" s="63">
        <v>0.0</v>
      </c>
      <c r="AW141" s="63">
        <v>0.0</v>
      </c>
      <c r="AX141" s="63">
        <v>0.0</v>
      </c>
      <c r="AY141" s="63">
        <v>0.0</v>
      </c>
      <c r="AZ141" s="63">
        <v>0.0</v>
      </c>
      <c r="BA141" s="63">
        <v>0.0</v>
      </c>
      <c r="BB141" s="63">
        <v>0.0</v>
      </c>
      <c r="BC141" s="63">
        <v>0.0</v>
      </c>
      <c r="BD141" s="63">
        <v>0.0</v>
      </c>
      <c r="BE141" s="64">
        <v>0.0</v>
      </c>
      <c r="BF141" s="65">
        <v>0.0</v>
      </c>
      <c r="BG141" s="65">
        <v>0.0</v>
      </c>
      <c r="BH141" s="66">
        <v>0.0</v>
      </c>
      <c r="BI141" s="67" t="str">
        <f t="shared" si="23"/>
        <v>#REF!</v>
      </c>
      <c r="BJ141" s="68" t="str">
        <f t="shared" si="24"/>
        <v>#REF!</v>
      </c>
      <c r="BK141" s="69">
        <v>0.0</v>
      </c>
      <c r="BL141" s="69">
        <v>0.0</v>
      </c>
      <c r="BM141" s="64">
        <v>0.0</v>
      </c>
      <c r="BN141" s="67" t="str">
        <f t="shared" si="25"/>
        <v>#REF!</v>
      </c>
      <c r="BO141" s="68" t="str">
        <f t="shared" si="26"/>
        <v>#REF!</v>
      </c>
      <c r="BP141" s="65">
        <v>0.0</v>
      </c>
      <c r="BQ141" s="65">
        <v>0.0</v>
      </c>
      <c r="BR141" s="66">
        <v>0.0</v>
      </c>
      <c r="BS141" s="67" t="str">
        <f t="shared" si="27"/>
        <v>#REF!</v>
      </c>
      <c r="BT141" s="68" t="str">
        <f>'[1]DATA CONSOLIDADA 2018-2025 '!$BR141-Hoja1!$BO141</f>
        <v>#REF!</v>
      </c>
      <c r="BU141" s="65">
        <v>0.0</v>
      </c>
      <c r="BV141" s="65">
        <v>0.0</v>
      </c>
      <c r="BW141" s="66">
        <v>0.0</v>
      </c>
      <c r="BX141" s="67" t="str">
        <f t="shared" si="28"/>
        <v>#REF!</v>
      </c>
      <c r="BY141" s="68" t="str">
        <f t="shared" si="29"/>
        <v>#REF!</v>
      </c>
      <c r="BZ141" s="65">
        <v>0.0</v>
      </c>
      <c r="CA141" s="65">
        <v>0.0</v>
      </c>
      <c r="CB141" s="66">
        <v>0.0</v>
      </c>
      <c r="CC141" s="67" t="str">
        <f t="shared" si="30"/>
        <v>#REF!</v>
      </c>
      <c r="CD141" s="68" t="str">
        <f>'[1]DATA CONSOLIDADA 2018-2025 '!$CB141-Hoja1!$BW141</f>
        <v>#REF!</v>
      </c>
      <c r="CE141" s="70">
        <v>0.0</v>
      </c>
      <c r="CF141" s="70">
        <v>0.0</v>
      </c>
      <c r="CG141" s="71">
        <v>0.0</v>
      </c>
      <c r="CH141" s="67" t="str">
        <f t="shared" si="31"/>
        <v>#REF!</v>
      </c>
      <c r="CI141" s="68" t="str">
        <f>'[1]DATA CONSOLIDADA 2018-2025 '!$CG141-Hoja1!$CB141</f>
        <v>#REF!</v>
      </c>
      <c r="CJ141" s="64" t="str">
        <f t="shared" si="22"/>
        <v>#REF!</v>
      </c>
      <c r="CK141" s="64">
        <v>0.0</v>
      </c>
      <c r="CL141" s="64">
        <v>0.0</v>
      </c>
      <c r="CM141" s="64">
        <v>0.0</v>
      </c>
      <c r="CN141" s="64" t="str">
        <f t="shared" si="12"/>
        <v>#REF!</v>
      </c>
      <c r="CO141" s="68" t="str">
        <f>'[1]DATA CONSOLIDADA 2018-2025 '!$CM141-Hoja1!$CG141</f>
        <v>#REF!</v>
      </c>
      <c r="CP141" s="70">
        <v>0.0</v>
      </c>
      <c r="CQ141" s="70">
        <v>0.0</v>
      </c>
      <c r="CR141" s="70">
        <v>0.0</v>
      </c>
      <c r="CS141" s="70">
        <v>0.0</v>
      </c>
      <c r="CT141" s="70">
        <v>0.0</v>
      </c>
      <c r="CU141" s="70">
        <v>0.0</v>
      </c>
      <c r="CV141" s="64">
        <v>0.0</v>
      </c>
      <c r="CW141" s="64">
        <v>0.0</v>
      </c>
      <c r="CX141" s="64">
        <v>0.0</v>
      </c>
      <c r="CY141" s="64">
        <v>0.0</v>
      </c>
      <c r="CZ141" s="64">
        <v>0.0</v>
      </c>
      <c r="DA141" s="64">
        <v>0.0</v>
      </c>
      <c r="DB141" s="64">
        <v>0.0</v>
      </c>
      <c r="DC141" s="72">
        <v>0.0</v>
      </c>
      <c r="DD141" s="72">
        <v>0.0</v>
      </c>
      <c r="DE141" s="72">
        <v>0.0</v>
      </c>
      <c r="DF141" s="72">
        <v>0.0</v>
      </c>
      <c r="DG141" s="72">
        <v>0.0</v>
      </c>
      <c r="DH141" s="72">
        <v>0.0</v>
      </c>
      <c r="DI141" s="73">
        <v>2.056846603E10</v>
      </c>
      <c r="DJ141" s="74" t="s">
        <v>588</v>
      </c>
      <c r="DK141" s="74" t="s">
        <v>138</v>
      </c>
      <c r="DL141" s="75"/>
      <c r="DM141" s="75"/>
      <c r="DN141" s="75"/>
      <c r="DO141" s="75"/>
      <c r="DP141" s="75"/>
      <c r="DQ141" s="75"/>
      <c r="DR141" s="75"/>
      <c r="DS141" s="75"/>
      <c r="DT141" s="75"/>
      <c r="DU141" s="75"/>
      <c r="DV141" s="75"/>
      <c r="DW141" s="75"/>
      <c r="DX141" s="75"/>
      <c r="DY141" s="75"/>
      <c r="DZ141" s="75"/>
      <c r="EA141" s="75"/>
      <c r="EB141" s="75"/>
      <c r="EC141" s="75"/>
      <c r="ED141" s="75"/>
      <c r="EE141" s="75"/>
    </row>
    <row r="142" ht="47.25" hidden="1" customHeight="1">
      <c r="A142" s="55" t="s">
        <v>589</v>
      </c>
      <c r="B142" s="55" t="s">
        <v>250</v>
      </c>
      <c r="C142" s="55" t="s">
        <v>250</v>
      </c>
      <c r="D142" s="55" t="s">
        <v>563</v>
      </c>
      <c r="E142" s="55" t="s">
        <v>576</v>
      </c>
      <c r="F142" s="55" t="s">
        <v>563</v>
      </c>
      <c r="G142" s="55" t="s">
        <v>577</v>
      </c>
      <c r="H142" s="55" t="s">
        <v>578</v>
      </c>
      <c r="I142" s="74"/>
      <c r="J142" s="74"/>
      <c r="K142" s="74"/>
      <c r="L142" s="74"/>
      <c r="M142" s="56">
        <v>1.0</v>
      </c>
      <c r="N142" s="56">
        <v>1.0</v>
      </c>
      <c r="O142" s="56"/>
      <c r="P142" s="56"/>
      <c r="Q142" s="56" t="s">
        <v>131</v>
      </c>
      <c r="R142" s="58" t="str">
        <f t="shared" si="1"/>
        <v>2022-2023</v>
      </c>
      <c r="S142" s="59" t="str">
        <f>SUM(Hoja1!$I142:$P142)</f>
        <v>2</v>
      </c>
      <c r="T142" s="59" t="str">
        <f>IF(OR(Hoja1!$J142=1,Hoja1!$K142=1,Hoja1!$L142=1,Hoja1!$M142=1,Hoja1!$N142=1,Hoja1!$O142=1,Hoja1!$P142=1),"SI","NO")</f>
        <v>SI</v>
      </c>
      <c r="U142" s="59" t="str">
        <f>IF(OR(Hoja1!$K142=1,Hoja1!$L142=1,Hoja1!$M142=1,Hoja1!$N142=1,Hoja1!$O142=1,Hoja1!$P142=1),"SI","NO")</f>
        <v>SI</v>
      </c>
      <c r="V142" s="60">
        <v>0.0</v>
      </c>
      <c r="W142" s="61">
        <v>0.0</v>
      </c>
      <c r="X142" s="61">
        <v>0.0</v>
      </c>
      <c r="Y142" s="60">
        <v>0.0</v>
      </c>
      <c r="Z142" s="61">
        <v>0.0</v>
      </c>
      <c r="AA142" s="61">
        <v>0.0</v>
      </c>
      <c r="AB142" s="60">
        <v>0.0</v>
      </c>
      <c r="AC142" s="61">
        <v>0.0</v>
      </c>
      <c r="AD142" s="61">
        <v>0.0</v>
      </c>
      <c r="AE142" s="60">
        <v>0.0</v>
      </c>
      <c r="AF142" s="61">
        <v>128.0</v>
      </c>
      <c r="AG142" s="61">
        <v>152.0</v>
      </c>
      <c r="AH142" s="60">
        <v>280.0</v>
      </c>
      <c r="AI142" s="61">
        <v>128.0</v>
      </c>
      <c r="AJ142" s="61">
        <v>152.0</v>
      </c>
      <c r="AK142" s="60">
        <v>280.0</v>
      </c>
      <c r="AL142" s="61">
        <v>0.0</v>
      </c>
      <c r="AM142" s="61">
        <v>0.0</v>
      </c>
      <c r="AN142" s="60">
        <v>0.0</v>
      </c>
      <c r="AO142" s="62">
        <v>0.0</v>
      </c>
      <c r="AP142" s="62">
        <v>0.0</v>
      </c>
      <c r="AQ142" s="60">
        <v>0.0</v>
      </c>
      <c r="AR142" s="60" t="str">
        <f>IF(Hoja1!$AQ142&gt;0,Hoja1!$AQ142,IF(Hoja1!$AN142&gt;0,Hoja1!$AN142,IF(Hoja1!$AK142&gt;0,Hoja1!$AK142,IF(Hoja1!$AH142&gt;0,Hoja1!$AH142,IF(Hoja1!$AE142&gt;0,Hoja1!$AE142,IF(Hoja1!$AB142&gt;0,Hoja1!$AB142,IF(Hoja1!$Y142&gt;0,Hoja1!$Y142,IF(Hoja1!$V142&gt;0,Hoja1!$V142," ---"))))))))</f>
        <v>280</v>
      </c>
      <c r="AS142" s="63">
        <v>0.0</v>
      </c>
      <c r="AT142" s="63">
        <v>0.0</v>
      </c>
      <c r="AU142" s="63">
        <v>0.0</v>
      </c>
      <c r="AV142" s="63">
        <v>0.0</v>
      </c>
      <c r="AW142" s="63">
        <v>14.0</v>
      </c>
      <c r="AX142" s="63">
        <v>4.0</v>
      </c>
      <c r="AY142" s="63">
        <v>2.0</v>
      </c>
      <c r="AZ142" s="63">
        <v>1.0</v>
      </c>
      <c r="BA142" s="63">
        <v>0.0</v>
      </c>
      <c r="BB142" s="63">
        <v>0.0</v>
      </c>
      <c r="BC142" s="63">
        <v>0.0</v>
      </c>
      <c r="BD142" s="63">
        <v>0.0</v>
      </c>
      <c r="BE142" s="66">
        <v>0.0</v>
      </c>
      <c r="BF142" s="65">
        <v>0.0</v>
      </c>
      <c r="BG142" s="65">
        <v>0.0</v>
      </c>
      <c r="BH142" s="66">
        <v>0.0</v>
      </c>
      <c r="BI142" s="67" t="str">
        <f t="shared" si="23"/>
        <v>#REF!</v>
      </c>
      <c r="BJ142" s="68" t="str">
        <f t="shared" si="24"/>
        <v>#REF!</v>
      </c>
      <c r="BK142" s="65">
        <v>0.0</v>
      </c>
      <c r="BL142" s="65">
        <v>0.0</v>
      </c>
      <c r="BM142" s="66">
        <v>0.0</v>
      </c>
      <c r="BN142" s="67" t="str">
        <f t="shared" si="25"/>
        <v>#REF!</v>
      </c>
      <c r="BO142" s="68" t="str">
        <f t="shared" si="26"/>
        <v>#REF!</v>
      </c>
      <c r="BP142" s="69">
        <v>0.0</v>
      </c>
      <c r="BQ142" s="69">
        <v>0.0</v>
      </c>
      <c r="BR142" s="64">
        <v>0.0</v>
      </c>
      <c r="BS142" s="67" t="str">
        <f t="shared" si="27"/>
        <v>#REF!</v>
      </c>
      <c r="BT142" s="68" t="str">
        <f>'[1]DATA CONSOLIDADA 2018-2025 '!$BR142-Hoja1!$BO142</f>
        <v>#REF!</v>
      </c>
      <c r="BU142" s="65">
        <v>0.0</v>
      </c>
      <c r="BV142" s="65">
        <v>0.0</v>
      </c>
      <c r="BW142" s="66">
        <v>0.0</v>
      </c>
      <c r="BX142" s="67" t="str">
        <f t="shared" si="28"/>
        <v>#REF!</v>
      </c>
      <c r="BY142" s="68" t="str">
        <f t="shared" si="29"/>
        <v>#REF!</v>
      </c>
      <c r="BZ142" s="65">
        <v>0.0</v>
      </c>
      <c r="CA142" s="65">
        <v>0.0</v>
      </c>
      <c r="CB142" s="66">
        <v>0.0</v>
      </c>
      <c r="CC142" s="67" t="str">
        <f t="shared" si="30"/>
        <v>#REF!</v>
      </c>
      <c r="CD142" s="68" t="str">
        <f>'[1]DATA CONSOLIDADA 2018-2025 '!$CB142-Hoja1!$BW142</f>
        <v>#REF!</v>
      </c>
      <c r="CE142" s="70">
        <v>0.0</v>
      </c>
      <c r="CF142" s="70">
        <v>0.0</v>
      </c>
      <c r="CG142" s="71">
        <v>0.0</v>
      </c>
      <c r="CH142" s="67" t="str">
        <f t="shared" si="31"/>
        <v>#REF!</v>
      </c>
      <c r="CI142" s="68" t="str">
        <f>'[1]DATA CONSOLIDADA 2018-2025 '!$CG142-Hoja1!$CB142</f>
        <v>#REF!</v>
      </c>
      <c r="CJ142" s="64" t="str">
        <f t="shared" si="22"/>
        <v>#REF!</v>
      </c>
      <c r="CK142" s="64">
        <v>0.0</v>
      </c>
      <c r="CL142" s="64">
        <v>0.0</v>
      </c>
      <c r="CM142" s="64">
        <v>0.0</v>
      </c>
      <c r="CN142" s="64" t="str">
        <f t="shared" si="12"/>
        <v>#REF!</v>
      </c>
      <c r="CO142" s="68" t="str">
        <f>'[1]DATA CONSOLIDADA 2018-2025 '!$CM142-Hoja1!$CG142</f>
        <v>#REF!</v>
      </c>
      <c r="CP142" s="70">
        <v>0.0</v>
      </c>
      <c r="CQ142" s="70">
        <v>0.0</v>
      </c>
      <c r="CR142" s="70">
        <v>0.0</v>
      </c>
      <c r="CS142" s="70">
        <v>0.0</v>
      </c>
      <c r="CT142" s="70">
        <v>0.0</v>
      </c>
      <c r="CU142" s="70">
        <v>0.0</v>
      </c>
      <c r="CV142" s="64">
        <v>0.0</v>
      </c>
      <c r="CW142" s="64">
        <v>0.0</v>
      </c>
      <c r="CX142" s="64">
        <v>0.0</v>
      </c>
      <c r="CY142" s="64">
        <v>0.0</v>
      </c>
      <c r="CZ142" s="64">
        <v>0.0</v>
      </c>
      <c r="DA142" s="64">
        <v>0.0</v>
      </c>
      <c r="DB142" s="64">
        <v>0.0</v>
      </c>
      <c r="DC142" s="72">
        <v>0.0</v>
      </c>
      <c r="DD142" s="72">
        <v>0.0</v>
      </c>
      <c r="DE142" s="72">
        <v>0.0</v>
      </c>
      <c r="DF142" s="72">
        <v>0.0</v>
      </c>
      <c r="DG142" s="72">
        <v>0.0</v>
      </c>
      <c r="DH142" s="72">
        <v>0.0</v>
      </c>
      <c r="DI142" s="73">
        <v>2.0535132047E10</v>
      </c>
      <c r="DJ142" s="74" t="s">
        <v>590</v>
      </c>
      <c r="DK142" s="74" t="s">
        <v>523</v>
      </c>
      <c r="DL142" s="75"/>
      <c r="DM142" s="75"/>
      <c r="DN142" s="75"/>
      <c r="DO142" s="75"/>
      <c r="DP142" s="75"/>
      <c r="DQ142" s="75"/>
      <c r="DR142" s="75"/>
      <c r="DS142" s="75"/>
      <c r="DT142" s="75"/>
      <c r="DU142" s="75"/>
      <c r="DV142" s="75"/>
      <c r="DW142" s="75"/>
      <c r="DX142" s="75"/>
      <c r="DY142" s="75"/>
      <c r="DZ142" s="75"/>
      <c r="EA142" s="75"/>
      <c r="EB142" s="75"/>
      <c r="EC142" s="75"/>
      <c r="ED142" s="75"/>
      <c r="EE142" s="75"/>
    </row>
    <row r="143" ht="47.25" hidden="1" customHeight="1">
      <c r="A143" s="55" t="s">
        <v>591</v>
      </c>
      <c r="B143" s="55" t="s">
        <v>250</v>
      </c>
      <c r="C143" s="55" t="s">
        <v>250</v>
      </c>
      <c r="D143" s="55" t="s">
        <v>563</v>
      </c>
      <c r="E143" s="55" t="s">
        <v>564</v>
      </c>
      <c r="F143" s="55" t="s">
        <v>563</v>
      </c>
      <c r="G143" s="55" t="s">
        <v>563</v>
      </c>
      <c r="H143" s="55" t="s">
        <v>563</v>
      </c>
      <c r="I143" s="74"/>
      <c r="J143" s="74"/>
      <c r="K143" s="74"/>
      <c r="L143" s="74"/>
      <c r="M143" s="56">
        <v>1.0</v>
      </c>
      <c r="N143" s="56">
        <v>1.0</v>
      </c>
      <c r="O143" s="56">
        <v>1.0</v>
      </c>
      <c r="P143" s="56">
        <v>1.0</v>
      </c>
      <c r="Q143" s="56" t="s">
        <v>131</v>
      </c>
      <c r="R143" s="58" t="str">
        <f t="shared" si="1"/>
        <v>2022-2023-2024 - 2025</v>
      </c>
      <c r="S143" s="59" t="str">
        <f>SUM(Hoja1!$I143:$P143)</f>
        <v>4</v>
      </c>
      <c r="T143" s="59" t="str">
        <f>IF(OR(Hoja1!$J143=1,Hoja1!$K143=1,Hoja1!$L143=1,Hoja1!$M143=1,Hoja1!$N143=1,Hoja1!$O143=1,Hoja1!$P143=1),"SI","NO")</f>
        <v>SI</v>
      </c>
      <c r="U143" s="59" t="str">
        <f>IF(OR(Hoja1!$K143=1,Hoja1!$L143=1,Hoja1!$M143=1,Hoja1!$N143=1,Hoja1!$O143=1,Hoja1!$P143=1),"SI","NO")</f>
        <v>SI</v>
      </c>
      <c r="V143" s="60">
        <v>0.0</v>
      </c>
      <c r="W143" s="61">
        <v>0.0</v>
      </c>
      <c r="X143" s="61">
        <v>0.0</v>
      </c>
      <c r="Y143" s="60">
        <v>0.0</v>
      </c>
      <c r="Z143" s="61">
        <v>0.0</v>
      </c>
      <c r="AA143" s="61">
        <v>0.0</v>
      </c>
      <c r="AB143" s="60">
        <v>0.0</v>
      </c>
      <c r="AC143" s="61">
        <v>0.0</v>
      </c>
      <c r="AD143" s="61">
        <v>0.0</v>
      </c>
      <c r="AE143" s="60">
        <v>0.0</v>
      </c>
      <c r="AF143" s="61">
        <v>149.0</v>
      </c>
      <c r="AG143" s="61">
        <v>50.0</v>
      </c>
      <c r="AH143" s="60">
        <v>199.0</v>
      </c>
      <c r="AI143" s="61">
        <v>149.0</v>
      </c>
      <c r="AJ143" s="61">
        <v>50.0</v>
      </c>
      <c r="AK143" s="60">
        <v>199.0</v>
      </c>
      <c r="AL143" s="61">
        <v>100.0</v>
      </c>
      <c r="AM143" s="61">
        <v>50.0</v>
      </c>
      <c r="AN143" s="60">
        <v>150.0</v>
      </c>
      <c r="AO143" s="62">
        <v>149.0</v>
      </c>
      <c r="AP143" s="62">
        <v>50.0</v>
      </c>
      <c r="AQ143" s="60">
        <v>199.0</v>
      </c>
      <c r="AR143" s="60" t="str">
        <f>IF(Hoja1!$AQ143&gt;0,Hoja1!$AQ143,IF(Hoja1!$AN143&gt;0,Hoja1!$AN143,IF(Hoja1!$AK143&gt;0,Hoja1!$AK143,IF(Hoja1!$AH143&gt;0,Hoja1!$AH143,IF(Hoja1!$AE143&gt;0,Hoja1!$AE143,IF(Hoja1!$AB143&gt;0,Hoja1!$AB143,IF(Hoja1!$Y143&gt;0,Hoja1!$Y143,IF(Hoja1!$V143&gt;0,Hoja1!$V143," ---"))))))))</f>
        <v>199</v>
      </c>
      <c r="AS143" s="63">
        <v>0.0</v>
      </c>
      <c r="AT143" s="63">
        <v>0.0</v>
      </c>
      <c r="AU143" s="63">
        <v>0.0</v>
      </c>
      <c r="AV143" s="63">
        <v>0.0</v>
      </c>
      <c r="AW143" s="63">
        <v>12.0</v>
      </c>
      <c r="AX143" s="63">
        <v>4.0</v>
      </c>
      <c r="AY143" s="63">
        <v>8.0</v>
      </c>
      <c r="AZ143" s="63">
        <v>4.0</v>
      </c>
      <c r="BA143" s="63">
        <v>26.0</v>
      </c>
      <c r="BB143" s="63">
        <v>1.0</v>
      </c>
      <c r="BC143" s="63">
        <v>30.0</v>
      </c>
      <c r="BD143" s="63">
        <v>6.0</v>
      </c>
      <c r="BE143" s="66">
        <v>0.0</v>
      </c>
      <c r="BF143" s="65">
        <v>0.0</v>
      </c>
      <c r="BG143" s="65">
        <v>0.0</v>
      </c>
      <c r="BH143" s="66">
        <v>0.0</v>
      </c>
      <c r="BI143" s="67" t="str">
        <f t="shared" si="23"/>
        <v>#REF!</v>
      </c>
      <c r="BJ143" s="68" t="str">
        <f t="shared" si="24"/>
        <v>#REF!</v>
      </c>
      <c r="BK143" s="65">
        <v>0.0</v>
      </c>
      <c r="BL143" s="65">
        <v>0.0</v>
      </c>
      <c r="BM143" s="66">
        <v>0.0</v>
      </c>
      <c r="BN143" s="67" t="str">
        <f t="shared" si="25"/>
        <v>#REF!</v>
      </c>
      <c r="BO143" s="68" t="str">
        <f t="shared" si="26"/>
        <v>#REF!</v>
      </c>
      <c r="BP143" s="69">
        <v>0.0</v>
      </c>
      <c r="BQ143" s="69">
        <v>0.0</v>
      </c>
      <c r="BR143" s="64">
        <v>0.0</v>
      </c>
      <c r="BS143" s="67" t="str">
        <f t="shared" si="27"/>
        <v>#REF!</v>
      </c>
      <c r="BT143" s="68" t="str">
        <f>'[1]DATA CONSOLIDADA 2018-2025 '!$BR143-Hoja1!$BO143</f>
        <v>#REF!</v>
      </c>
      <c r="BU143" s="65">
        <v>0.0</v>
      </c>
      <c r="BV143" s="65">
        <v>0.0</v>
      </c>
      <c r="BW143" s="66">
        <v>0.0</v>
      </c>
      <c r="BX143" s="67" t="str">
        <f t="shared" si="28"/>
        <v>#REF!</v>
      </c>
      <c r="BY143" s="68" t="str">
        <f t="shared" si="29"/>
        <v>#REF!</v>
      </c>
      <c r="BZ143" s="65">
        <v>0.0</v>
      </c>
      <c r="CA143" s="65">
        <v>0.0</v>
      </c>
      <c r="CB143" s="66">
        <v>0.0</v>
      </c>
      <c r="CC143" s="67" t="str">
        <f t="shared" si="30"/>
        <v>#REF!</v>
      </c>
      <c r="CD143" s="68" t="str">
        <f>'[1]DATA CONSOLIDADA 2018-2025 '!$CB143-Hoja1!$BW143</f>
        <v>#REF!</v>
      </c>
      <c r="CE143" s="70">
        <v>0.0</v>
      </c>
      <c r="CF143" s="70">
        <v>0.0</v>
      </c>
      <c r="CG143" s="71">
        <v>0.0</v>
      </c>
      <c r="CH143" s="67" t="str">
        <f t="shared" si="31"/>
        <v>#REF!</v>
      </c>
      <c r="CI143" s="68" t="str">
        <f>'[1]DATA CONSOLIDADA 2018-2025 '!$CG143-Hoja1!$CB143</f>
        <v>#REF!</v>
      </c>
      <c r="CJ143" s="64" t="str">
        <f t="shared" si="22"/>
        <v>#REF!</v>
      </c>
      <c r="CK143" s="64">
        <v>0.0</v>
      </c>
      <c r="CL143" s="64">
        <v>0.0</v>
      </c>
      <c r="CM143" s="64">
        <v>0.0</v>
      </c>
      <c r="CN143" s="64" t="str">
        <f t="shared" si="12"/>
        <v>#REF!</v>
      </c>
      <c r="CO143" s="68" t="str">
        <f>'[1]DATA CONSOLIDADA 2018-2025 '!$CM143-Hoja1!$CG143</f>
        <v>#REF!</v>
      </c>
      <c r="CP143" s="70">
        <v>0.0</v>
      </c>
      <c r="CQ143" s="70">
        <v>0.0</v>
      </c>
      <c r="CR143" s="70">
        <v>0.0</v>
      </c>
      <c r="CS143" s="70">
        <v>0.0</v>
      </c>
      <c r="CT143" s="70">
        <v>0.0</v>
      </c>
      <c r="CU143" s="70">
        <v>0.0</v>
      </c>
      <c r="CV143" s="64">
        <v>0.0</v>
      </c>
      <c r="CW143" s="64">
        <v>0.0</v>
      </c>
      <c r="CX143" s="64">
        <v>0.0</v>
      </c>
      <c r="CY143" s="64">
        <v>0.0</v>
      </c>
      <c r="CZ143" s="64">
        <v>0.0</v>
      </c>
      <c r="DA143" s="64">
        <v>0.0</v>
      </c>
      <c r="DB143" s="64">
        <v>0.0</v>
      </c>
      <c r="DC143" s="72">
        <v>0.0</v>
      </c>
      <c r="DD143" s="72">
        <v>0.0</v>
      </c>
      <c r="DE143" s="72">
        <v>0.0</v>
      </c>
      <c r="DF143" s="72">
        <v>0.0</v>
      </c>
      <c r="DG143" s="72">
        <v>0.0</v>
      </c>
      <c r="DH143" s="72">
        <v>0.0</v>
      </c>
      <c r="DI143" s="73">
        <v>2.0606161655E10</v>
      </c>
      <c r="DJ143" s="74" t="s">
        <v>591</v>
      </c>
      <c r="DK143" s="74" t="s">
        <v>132</v>
      </c>
      <c r="DL143" s="75"/>
      <c r="DM143" s="75"/>
      <c r="DN143" s="75"/>
      <c r="DO143" s="75"/>
      <c r="DP143" s="75"/>
      <c r="DQ143" s="75"/>
      <c r="DR143" s="75"/>
      <c r="DS143" s="75"/>
      <c r="DT143" s="75"/>
      <c r="DU143" s="75"/>
      <c r="DV143" s="75"/>
      <c r="DW143" s="75"/>
      <c r="DX143" s="75"/>
      <c r="DY143" s="75"/>
      <c r="DZ143" s="75"/>
      <c r="EA143" s="75"/>
      <c r="EB143" s="75"/>
      <c r="EC143" s="75"/>
      <c r="ED143" s="75"/>
      <c r="EE143" s="75"/>
    </row>
    <row r="144" ht="47.25" hidden="1" customHeight="1">
      <c r="A144" s="55" t="s">
        <v>592</v>
      </c>
      <c r="B144" s="55" t="s">
        <v>126</v>
      </c>
      <c r="C144" s="55" t="s">
        <v>126</v>
      </c>
      <c r="D144" s="55" t="s">
        <v>593</v>
      </c>
      <c r="E144" s="55" t="s">
        <v>594</v>
      </c>
      <c r="F144" s="55" t="s">
        <v>593</v>
      </c>
      <c r="G144" s="55" t="s">
        <v>595</v>
      </c>
      <c r="H144" s="55" t="s">
        <v>596</v>
      </c>
      <c r="I144" s="56">
        <v>1.0</v>
      </c>
      <c r="J144" s="56"/>
      <c r="K144" s="56"/>
      <c r="L144" s="56"/>
      <c r="M144" s="56"/>
      <c r="N144" s="56"/>
      <c r="O144" s="56"/>
      <c r="P144" s="56"/>
      <c r="Q144" s="56" t="s">
        <v>131</v>
      </c>
      <c r="R144" s="58" t="str">
        <f t="shared" si="1"/>
        <v>2018</v>
      </c>
      <c r="S144" s="59" t="str">
        <f>SUM(Hoja1!$I144:$P144)</f>
        <v>1</v>
      </c>
      <c r="T144" s="59" t="str">
        <f>IF(OR(Hoja1!$J144=1,Hoja1!$K144=1,Hoja1!$L144=1,Hoja1!$M144=1,Hoja1!$N144=1,Hoja1!$O144=1,Hoja1!$P144=1),"SI","NO")</f>
        <v>NO</v>
      </c>
      <c r="U144" s="59" t="str">
        <f>IF(OR(Hoja1!$K144=1,Hoja1!$L144=1,Hoja1!$M144=1,Hoja1!$N144=1,Hoja1!$O144=1,Hoja1!$P144=1),"SI","NO")</f>
        <v>NO</v>
      </c>
      <c r="V144" s="60">
        <v>241.0</v>
      </c>
      <c r="W144" s="61">
        <v>0.0</v>
      </c>
      <c r="X144" s="61">
        <v>0.0</v>
      </c>
      <c r="Y144" s="60">
        <v>0.0</v>
      </c>
      <c r="Z144" s="61">
        <v>0.0</v>
      </c>
      <c r="AA144" s="61">
        <v>0.0</v>
      </c>
      <c r="AB144" s="60">
        <v>0.0</v>
      </c>
      <c r="AC144" s="61">
        <v>0.0</v>
      </c>
      <c r="AD144" s="61">
        <v>0.0</v>
      </c>
      <c r="AE144" s="60">
        <v>0.0</v>
      </c>
      <c r="AF144" s="61">
        <v>0.0</v>
      </c>
      <c r="AG144" s="61">
        <v>0.0</v>
      </c>
      <c r="AH144" s="60">
        <v>0.0</v>
      </c>
      <c r="AI144" s="61">
        <v>0.0</v>
      </c>
      <c r="AJ144" s="61">
        <v>0.0</v>
      </c>
      <c r="AK144" s="60">
        <v>0.0</v>
      </c>
      <c r="AL144" s="61">
        <v>0.0</v>
      </c>
      <c r="AM144" s="61">
        <v>0.0</v>
      </c>
      <c r="AN144" s="60">
        <v>0.0</v>
      </c>
      <c r="AO144" s="62">
        <v>0.0</v>
      </c>
      <c r="AP144" s="62">
        <v>0.0</v>
      </c>
      <c r="AQ144" s="60">
        <v>0.0</v>
      </c>
      <c r="AR144" s="60" t="str">
        <f>IF(Hoja1!$AQ144&gt;0,Hoja1!$AQ144,IF(Hoja1!$AN144&gt;0,Hoja1!$AN144,IF(Hoja1!$AK144&gt;0,Hoja1!$AK144,IF(Hoja1!$AH144&gt;0,Hoja1!$AH144,IF(Hoja1!$AE144&gt;0,Hoja1!$AE144,IF(Hoja1!$AB144&gt;0,Hoja1!$AB144,IF(Hoja1!$Y144&gt;0,Hoja1!$Y144,IF(Hoja1!$V144&gt;0,Hoja1!$V144," ---"))))))))</f>
        <v>241</v>
      </c>
      <c r="AS144" s="63">
        <v>0.0</v>
      </c>
      <c r="AT144" s="63">
        <v>0.0</v>
      </c>
      <c r="AU144" s="63">
        <v>0.0</v>
      </c>
      <c r="AV144" s="63">
        <v>0.0</v>
      </c>
      <c r="AW144" s="63">
        <v>0.0</v>
      </c>
      <c r="AX144" s="63">
        <v>0.0</v>
      </c>
      <c r="AY144" s="63">
        <v>0.0</v>
      </c>
      <c r="AZ144" s="63">
        <v>0.0</v>
      </c>
      <c r="BA144" s="63">
        <v>0.0</v>
      </c>
      <c r="BB144" s="63">
        <v>0.0</v>
      </c>
      <c r="BC144" s="63">
        <v>0.0</v>
      </c>
      <c r="BD144" s="63">
        <v>0.0</v>
      </c>
      <c r="BE144" s="66">
        <v>771919.68</v>
      </c>
      <c r="BF144" s="69">
        <v>0.0</v>
      </c>
      <c r="BG144" s="65">
        <v>0.0</v>
      </c>
      <c r="BH144" s="66">
        <v>0.0</v>
      </c>
      <c r="BI144" s="67" t="str">
        <f t="shared" si="23"/>
        <v>#REF!</v>
      </c>
      <c r="BJ144" s="68" t="str">
        <f t="shared" si="24"/>
        <v>#REF!</v>
      </c>
      <c r="BK144" s="65">
        <v>0.0</v>
      </c>
      <c r="BL144" s="65">
        <v>0.0</v>
      </c>
      <c r="BM144" s="66">
        <v>0.0</v>
      </c>
      <c r="BN144" s="67" t="str">
        <f t="shared" si="25"/>
        <v>#REF!</v>
      </c>
      <c r="BO144" s="68" t="str">
        <f t="shared" si="26"/>
        <v>#REF!</v>
      </c>
      <c r="BP144" s="65">
        <v>0.0</v>
      </c>
      <c r="BQ144" s="65">
        <v>0.0</v>
      </c>
      <c r="BR144" s="66">
        <v>0.0</v>
      </c>
      <c r="BS144" s="67" t="str">
        <f t="shared" si="27"/>
        <v>#REF!</v>
      </c>
      <c r="BT144" s="68" t="str">
        <f>'[1]DATA CONSOLIDADA 2018-2025 '!$BR144-Hoja1!$BO144</f>
        <v>#REF!</v>
      </c>
      <c r="BU144" s="65">
        <v>0.0</v>
      </c>
      <c r="BV144" s="65">
        <v>0.0</v>
      </c>
      <c r="BW144" s="66">
        <v>0.0</v>
      </c>
      <c r="BX144" s="67" t="str">
        <f t="shared" si="28"/>
        <v>#REF!</v>
      </c>
      <c r="BY144" s="68" t="str">
        <f t="shared" si="29"/>
        <v>#REF!</v>
      </c>
      <c r="BZ144" s="65">
        <v>0.0</v>
      </c>
      <c r="CA144" s="65">
        <v>0.0</v>
      </c>
      <c r="CB144" s="66">
        <v>0.0</v>
      </c>
      <c r="CC144" s="67" t="str">
        <f t="shared" si="30"/>
        <v>#REF!</v>
      </c>
      <c r="CD144" s="68" t="str">
        <f>'[1]DATA CONSOLIDADA 2018-2025 '!$CB144-Hoja1!$BW144</f>
        <v>#REF!</v>
      </c>
      <c r="CE144" s="70">
        <v>0.0</v>
      </c>
      <c r="CF144" s="70">
        <v>0.0</v>
      </c>
      <c r="CG144" s="71">
        <v>0.0</v>
      </c>
      <c r="CH144" s="67" t="str">
        <f t="shared" si="31"/>
        <v>#REF!</v>
      </c>
      <c r="CI144" s="68" t="str">
        <f>'[1]DATA CONSOLIDADA 2018-2025 '!$CG144-Hoja1!$CB144</f>
        <v>#REF!</v>
      </c>
      <c r="CJ144" s="64" t="str">
        <f t="shared" si="22"/>
        <v>#REF!</v>
      </c>
      <c r="CK144" s="64">
        <v>0.0</v>
      </c>
      <c r="CL144" s="64">
        <v>0.0</v>
      </c>
      <c r="CM144" s="64">
        <v>0.0</v>
      </c>
      <c r="CN144" s="64" t="str">
        <f t="shared" si="12"/>
        <v>#REF!</v>
      </c>
      <c r="CO144" s="68" t="str">
        <f>'[1]DATA CONSOLIDADA 2018-2025 '!$CM144-Hoja1!$CG144</f>
        <v>#REF!</v>
      </c>
      <c r="CP144" s="70">
        <v>0.0</v>
      </c>
      <c r="CQ144" s="70">
        <v>0.0</v>
      </c>
      <c r="CR144" s="70">
        <v>0.0</v>
      </c>
      <c r="CS144" s="70">
        <v>0.0</v>
      </c>
      <c r="CT144" s="70">
        <v>0.0</v>
      </c>
      <c r="CU144" s="70">
        <v>0.0</v>
      </c>
      <c r="CV144" s="64">
        <v>0.0</v>
      </c>
      <c r="CW144" s="64">
        <v>0.0</v>
      </c>
      <c r="CX144" s="64">
        <v>0.0</v>
      </c>
      <c r="CY144" s="64">
        <v>0.0</v>
      </c>
      <c r="CZ144" s="64">
        <v>0.0</v>
      </c>
      <c r="DA144" s="64">
        <v>0.0</v>
      </c>
      <c r="DB144" s="64">
        <v>0.0</v>
      </c>
      <c r="DC144" s="72">
        <v>0.0</v>
      </c>
      <c r="DD144" s="72">
        <v>0.0</v>
      </c>
      <c r="DE144" s="72">
        <v>0.0</v>
      </c>
      <c r="DF144" s="72">
        <v>0.0</v>
      </c>
      <c r="DG144" s="72">
        <v>0.0</v>
      </c>
      <c r="DH144" s="72">
        <v>0.0</v>
      </c>
      <c r="DI144" s="73">
        <v>2.0352423921E10</v>
      </c>
      <c r="DJ144" s="74" t="s">
        <v>592</v>
      </c>
      <c r="DK144" s="74" t="s">
        <v>132</v>
      </c>
      <c r="DL144" s="75"/>
      <c r="DM144" s="75"/>
      <c r="DN144" s="75"/>
      <c r="DO144" s="75"/>
      <c r="DP144" s="75"/>
      <c r="DQ144" s="75"/>
      <c r="DR144" s="75"/>
      <c r="DS144" s="75"/>
      <c r="DT144" s="75"/>
      <c r="DU144" s="75"/>
      <c r="DV144" s="75"/>
      <c r="DW144" s="75"/>
      <c r="DX144" s="75"/>
      <c r="DY144" s="75"/>
      <c r="DZ144" s="75"/>
      <c r="EA144" s="75"/>
      <c r="EB144" s="75"/>
      <c r="EC144" s="75"/>
      <c r="ED144" s="75"/>
      <c r="EE144" s="75"/>
    </row>
    <row r="145" ht="47.25" hidden="1" customHeight="1">
      <c r="A145" s="55" t="s">
        <v>597</v>
      </c>
      <c r="B145" s="55" t="s">
        <v>598</v>
      </c>
      <c r="C145" s="55" t="s">
        <v>598</v>
      </c>
      <c r="D145" s="55" t="s">
        <v>593</v>
      </c>
      <c r="E145" s="55" t="s">
        <v>599</v>
      </c>
      <c r="F145" s="55" t="s">
        <v>593</v>
      </c>
      <c r="G145" s="55" t="s">
        <v>600</v>
      </c>
      <c r="H145" s="55" t="s">
        <v>601</v>
      </c>
      <c r="I145" s="56">
        <v>1.0</v>
      </c>
      <c r="J145" s="56">
        <v>1.0</v>
      </c>
      <c r="K145" s="56">
        <v>1.0</v>
      </c>
      <c r="L145" s="56">
        <v>1.0</v>
      </c>
      <c r="M145" s="56">
        <v>1.0</v>
      </c>
      <c r="N145" s="56">
        <v>0.0</v>
      </c>
      <c r="O145" s="56"/>
      <c r="P145" s="56"/>
      <c r="Q145" s="56" t="s">
        <v>131</v>
      </c>
      <c r="R145" s="58" t="str">
        <f t="shared" si="1"/>
        <v>2018-2019-2020-2021-2022</v>
      </c>
      <c r="S145" s="59" t="str">
        <f>SUM(Hoja1!$I145:$P145)</f>
        <v>5</v>
      </c>
      <c r="T145" s="59" t="str">
        <f>IF(OR(Hoja1!$J145=1,Hoja1!$K145=1,Hoja1!$L145=1,Hoja1!$M145=1,Hoja1!$N145=1,Hoja1!$O145=1,Hoja1!$P145=1),"SI","NO")</f>
        <v>SI</v>
      </c>
      <c r="U145" s="59" t="str">
        <f>IF(OR(Hoja1!$K145=1,Hoja1!$L145=1,Hoja1!$M145=1,Hoja1!$N145=1,Hoja1!$O145=1,Hoja1!$P145=1),"SI","NO")</f>
        <v>SI</v>
      </c>
      <c r="V145" s="60">
        <v>33.0</v>
      </c>
      <c r="W145" s="61">
        <v>24.0</v>
      </c>
      <c r="X145" s="61">
        <v>10.0</v>
      </c>
      <c r="Y145" s="60">
        <v>34.0</v>
      </c>
      <c r="Z145" s="61">
        <v>23.0</v>
      </c>
      <c r="AA145" s="61">
        <v>10.0</v>
      </c>
      <c r="AB145" s="60">
        <v>33.0</v>
      </c>
      <c r="AC145" s="61">
        <v>7.0</v>
      </c>
      <c r="AD145" s="61">
        <v>13.0</v>
      </c>
      <c r="AE145" s="60">
        <v>20.0</v>
      </c>
      <c r="AF145" s="61">
        <v>7.0</v>
      </c>
      <c r="AG145" s="61">
        <v>13.0</v>
      </c>
      <c r="AH145" s="60">
        <v>20.0</v>
      </c>
      <c r="AI145" s="61">
        <v>0.0</v>
      </c>
      <c r="AJ145" s="61">
        <v>0.0</v>
      </c>
      <c r="AK145" s="60">
        <v>0.0</v>
      </c>
      <c r="AL145" s="61">
        <v>0.0</v>
      </c>
      <c r="AM145" s="61">
        <v>0.0</v>
      </c>
      <c r="AN145" s="60">
        <v>0.0</v>
      </c>
      <c r="AO145" s="62">
        <v>0.0</v>
      </c>
      <c r="AP145" s="62">
        <v>0.0</v>
      </c>
      <c r="AQ145" s="60">
        <v>0.0</v>
      </c>
      <c r="AR145" s="60" t="str">
        <f>IF(Hoja1!$AQ145&gt;0,Hoja1!$AQ145,IF(Hoja1!$AN145&gt;0,Hoja1!$AN145,IF(Hoja1!$AK145&gt;0,Hoja1!$AK145,IF(Hoja1!$AH145&gt;0,Hoja1!$AH145,IF(Hoja1!$AE145&gt;0,Hoja1!$AE145,IF(Hoja1!$AB145&gt;0,Hoja1!$AB145,IF(Hoja1!$Y145&gt;0,Hoja1!$Y145,IF(Hoja1!$V145&gt;0,Hoja1!$V145," ---"))))))))</f>
        <v>20</v>
      </c>
      <c r="AS145" s="63">
        <v>0.0</v>
      </c>
      <c r="AT145" s="63">
        <v>0.0</v>
      </c>
      <c r="AU145" s="63">
        <v>31.0</v>
      </c>
      <c r="AV145" s="63">
        <v>3.0</v>
      </c>
      <c r="AW145" s="63">
        <v>46.0</v>
      </c>
      <c r="AX145" s="63">
        <v>2.0</v>
      </c>
      <c r="AY145" s="63">
        <v>0.0</v>
      </c>
      <c r="AZ145" s="63">
        <v>0.0</v>
      </c>
      <c r="BA145" s="63">
        <v>0.0</v>
      </c>
      <c r="BB145" s="63">
        <v>0.0</v>
      </c>
      <c r="BC145" s="63">
        <v>0.0</v>
      </c>
      <c r="BD145" s="63">
        <v>0.0</v>
      </c>
      <c r="BE145" s="66">
        <v>15600.0</v>
      </c>
      <c r="BF145" s="65">
        <v>19150.0</v>
      </c>
      <c r="BG145" s="65">
        <v>0.0</v>
      </c>
      <c r="BH145" s="66">
        <v>19150.0</v>
      </c>
      <c r="BI145" s="67" t="str">
        <f t="shared" si="23"/>
        <v>#REF!</v>
      </c>
      <c r="BJ145" s="68" t="str">
        <f t="shared" si="24"/>
        <v>#REF!</v>
      </c>
      <c r="BK145" s="65">
        <v>34605.0</v>
      </c>
      <c r="BL145" s="65">
        <v>0.0</v>
      </c>
      <c r="BM145" s="66">
        <v>34605.0</v>
      </c>
      <c r="BN145" s="67" t="str">
        <f t="shared" si="25"/>
        <v>#REF!</v>
      </c>
      <c r="BO145" s="68" t="str">
        <f t="shared" si="26"/>
        <v>#REF!</v>
      </c>
      <c r="BP145" s="65">
        <v>60000.0</v>
      </c>
      <c r="BQ145" s="65">
        <v>0.0</v>
      </c>
      <c r="BR145" s="66">
        <v>60000.0</v>
      </c>
      <c r="BS145" s="67" t="str">
        <f t="shared" si="27"/>
        <v>#REF!</v>
      </c>
      <c r="BT145" s="68" t="str">
        <f>'[1]DATA CONSOLIDADA 2018-2025 '!$BR145-Hoja1!$BO145</f>
        <v>#REF!</v>
      </c>
      <c r="BU145" s="65">
        <v>20000.0</v>
      </c>
      <c r="BV145" s="65">
        <v>0.0</v>
      </c>
      <c r="BW145" s="66">
        <v>20000.0</v>
      </c>
      <c r="BX145" s="67" t="str">
        <f t="shared" si="28"/>
        <v>#REF!</v>
      </c>
      <c r="BY145" s="68" t="str">
        <f t="shared" si="29"/>
        <v>#REF!</v>
      </c>
      <c r="BZ145" s="65">
        <v>5062.2</v>
      </c>
      <c r="CA145" s="65">
        <v>0.0</v>
      </c>
      <c r="CB145" s="66">
        <v>5062.2</v>
      </c>
      <c r="CC145" s="67" t="str">
        <f t="shared" si="30"/>
        <v>#REF!</v>
      </c>
      <c r="CD145" s="68" t="str">
        <f>'[1]DATA CONSOLIDADA 2018-2025 '!$CB145-Hoja1!$BW145</f>
        <v>#REF!</v>
      </c>
      <c r="CE145" s="70">
        <v>0.0</v>
      </c>
      <c r="CF145" s="70">
        <v>0.0</v>
      </c>
      <c r="CG145" s="71">
        <v>0.0</v>
      </c>
      <c r="CH145" s="67" t="str">
        <f t="shared" si="31"/>
        <v>#REF!</v>
      </c>
      <c r="CI145" s="68" t="str">
        <f>'[1]DATA CONSOLIDADA 2018-2025 '!$CG145-Hoja1!$CB145</f>
        <v>#REF!</v>
      </c>
      <c r="CJ145" s="64" t="str">
        <f t="shared" si="22"/>
        <v>#REF!</v>
      </c>
      <c r="CK145" s="64">
        <v>0.0</v>
      </c>
      <c r="CL145" s="64">
        <v>0.0</v>
      </c>
      <c r="CM145" s="64">
        <v>0.0</v>
      </c>
      <c r="CN145" s="64" t="str">
        <f t="shared" si="12"/>
        <v>#REF!</v>
      </c>
      <c r="CO145" s="68" t="str">
        <f>'[1]DATA CONSOLIDADA 2018-2025 '!$CM145-Hoja1!$CG145</f>
        <v>#REF!</v>
      </c>
      <c r="CP145" s="70">
        <v>0.0</v>
      </c>
      <c r="CQ145" s="70">
        <v>0.0</v>
      </c>
      <c r="CR145" s="70">
        <v>0.0</v>
      </c>
      <c r="CS145" s="70">
        <v>5062.2</v>
      </c>
      <c r="CT145" s="70">
        <v>0.0</v>
      </c>
      <c r="CU145" s="70">
        <v>0.0</v>
      </c>
      <c r="CV145" s="64">
        <v>5062.2</v>
      </c>
      <c r="CW145" s="64">
        <v>0.0</v>
      </c>
      <c r="CX145" s="64">
        <v>0.0</v>
      </c>
      <c r="CY145" s="64">
        <v>0.0</v>
      </c>
      <c r="CZ145" s="64">
        <v>0.0</v>
      </c>
      <c r="DA145" s="64">
        <v>0.0</v>
      </c>
      <c r="DB145" s="64">
        <v>0.0</v>
      </c>
      <c r="DC145" s="72">
        <v>0.0</v>
      </c>
      <c r="DD145" s="72">
        <v>0.0</v>
      </c>
      <c r="DE145" s="72">
        <v>0.0</v>
      </c>
      <c r="DF145" s="72">
        <v>0.0</v>
      </c>
      <c r="DG145" s="72">
        <v>0.0</v>
      </c>
      <c r="DH145" s="72">
        <v>0.0</v>
      </c>
      <c r="DI145" s="73">
        <v>2.0529088176E10</v>
      </c>
      <c r="DJ145" s="74" t="s">
        <v>597</v>
      </c>
      <c r="DK145" s="74" t="s">
        <v>138</v>
      </c>
      <c r="DL145" s="75"/>
      <c r="DM145" s="75"/>
      <c r="DN145" s="75"/>
      <c r="DO145" s="75"/>
      <c r="DP145" s="75"/>
      <c r="DQ145" s="75"/>
      <c r="DR145" s="75"/>
      <c r="DS145" s="75"/>
      <c r="DT145" s="75"/>
      <c r="DU145" s="75"/>
      <c r="DV145" s="75"/>
      <c r="DW145" s="75"/>
      <c r="DX145" s="75"/>
      <c r="DY145" s="75"/>
      <c r="DZ145" s="75"/>
      <c r="EA145" s="75"/>
      <c r="EB145" s="75"/>
      <c r="EC145" s="75"/>
      <c r="ED145" s="75"/>
      <c r="EE145" s="75"/>
    </row>
    <row r="146" ht="47.25" customHeight="1">
      <c r="A146" s="55" t="s">
        <v>602</v>
      </c>
      <c r="B146" s="55" t="s">
        <v>146</v>
      </c>
      <c r="C146" s="55" t="s">
        <v>146</v>
      </c>
      <c r="D146" s="55" t="s">
        <v>593</v>
      </c>
      <c r="E146" s="55" t="s">
        <v>603</v>
      </c>
      <c r="F146" s="55" t="s">
        <v>593</v>
      </c>
      <c r="G146" s="55" t="s">
        <v>604</v>
      </c>
      <c r="H146" s="55" t="s">
        <v>605</v>
      </c>
      <c r="I146" s="56"/>
      <c r="J146" s="56">
        <v>1.0</v>
      </c>
      <c r="K146" s="56"/>
      <c r="L146" s="56"/>
      <c r="M146" s="56"/>
      <c r="N146" s="56">
        <v>1.0</v>
      </c>
      <c r="O146" s="56">
        <v>1.0</v>
      </c>
      <c r="P146" s="56">
        <v>1.0</v>
      </c>
      <c r="Q146" s="56" t="s">
        <v>131</v>
      </c>
      <c r="R146" s="58" t="str">
        <f t="shared" si="1"/>
        <v>2019-2023-2024 - 2025</v>
      </c>
      <c r="S146" s="59" t="str">
        <f>SUM(Hoja1!$I146:$P146)</f>
        <v>4</v>
      </c>
      <c r="T146" s="59" t="str">
        <f>IF(OR(Hoja1!$J146=1,Hoja1!$K146=1,Hoja1!$L146=1,Hoja1!$M146=1,Hoja1!$N146=1,Hoja1!$O146=1,Hoja1!$P146=1),"SI","NO")</f>
        <v>SI</v>
      </c>
      <c r="U146" s="59" t="str">
        <f>IF(OR(Hoja1!$K146=1,Hoja1!$L146=1,Hoja1!$M146=1,Hoja1!$N146=1,Hoja1!$O146=1,Hoja1!$P146=1),"SI","NO")</f>
        <v>SI</v>
      </c>
      <c r="V146" s="60">
        <v>141.0</v>
      </c>
      <c r="W146" s="61">
        <v>22.0</v>
      </c>
      <c r="X146" s="61">
        <v>0.0</v>
      </c>
      <c r="Y146" s="60">
        <v>22.0</v>
      </c>
      <c r="Z146" s="61">
        <v>0.0</v>
      </c>
      <c r="AA146" s="61">
        <v>0.0</v>
      </c>
      <c r="AB146" s="60">
        <v>0.0</v>
      </c>
      <c r="AC146" s="61">
        <v>0.0</v>
      </c>
      <c r="AD146" s="61">
        <v>0.0</v>
      </c>
      <c r="AE146" s="60">
        <v>0.0</v>
      </c>
      <c r="AF146" s="61">
        <v>0.0</v>
      </c>
      <c r="AG146" s="61">
        <v>0.0</v>
      </c>
      <c r="AH146" s="60">
        <v>0.0</v>
      </c>
      <c r="AI146" s="61">
        <v>38.0</v>
      </c>
      <c r="AJ146" s="61">
        <v>7.0</v>
      </c>
      <c r="AK146" s="60">
        <v>45.0</v>
      </c>
      <c r="AL146" s="61">
        <v>28.0</v>
      </c>
      <c r="AM146" s="61">
        <v>8.0</v>
      </c>
      <c r="AN146" s="60">
        <v>36.0</v>
      </c>
      <c r="AO146" s="62">
        <v>22.0</v>
      </c>
      <c r="AP146" s="62">
        <v>10.0</v>
      </c>
      <c r="AQ146" s="60">
        <v>32.0</v>
      </c>
      <c r="AR146" s="60" t="str">
        <f>IF(Hoja1!$AQ146&gt;0,Hoja1!$AQ146,IF(Hoja1!$AN146&gt;0,Hoja1!$AN146,IF(Hoja1!$AK146&gt;0,Hoja1!$AK146,IF(Hoja1!$AH146&gt;0,Hoja1!$AH146,IF(Hoja1!$AE146&gt;0,Hoja1!$AE146,IF(Hoja1!$AB146&gt;0,Hoja1!$AB146,IF(Hoja1!$Y146&gt;0,Hoja1!$Y146,IF(Hoja1!$V146&gt;0,Hoja1!$V146," ---"))))))))</f>
        <v>32</v>
      </c>
      <c r="AS146" s="63">
        <v>0.0</v>
      </c>
      <c r="AT146" s="63">
        <v>0.0</v>
      </c>
      <c r="AU146" s="63">
        <v>0.0</v>
      </c>
      <c r="AV146" s="63">
        <v>0.0</v>
      </c>
      <c r="AW146" s="63">
        <v>0.0</v>
      </c>
      <c r="AX146" s="63">
        <v>0.0</v>
      </c>
      <c r="AY146" s="63">
        <v>52.0</v>
      </c>
      <c r="AZ146" s="63">
        <v>2.0</v>
      </c>
      <c r="BA146" s="63">
        <v>56.0</v>
      </c>
      <c r="BB146" s="63">
        <v>0.0</v>
      </c>
      <c r="BC146" s="63">
        <v>32.0</v>
      </c>
      <c r="BD146" s="63">
        <v>0.0</v>
      </c>
      <c r="BE146" s="64">
        <v>0.0</v>
      </c>
      <c r="BF146" s="65">
        <v>176729.13</v>
      </c>
      <c r="BG146" s="65">
        <v>0.0</v>
      </c>
      <c r="BH146" s="66">
        <v>176729.13</v>
      </c>
      <c r="BI146" s="67" t="str">
        <f t="shared" si="23"/>
        <v>#REF!</v>
      </c>
      <c r="BJ146" s="68" t="str">
        <f t="shared" si="24"/>
        <v>#REF!</v>
      </c>
      <c r="BK146" s="65">
        <v>0.0</v>
      </c>
      <c r="BL146" s="65">
        <v>0.0</v>
      </c>
      <c r="BM146" s="66">
        <v>0.0</v>
      </c>
      <c r="BN146" s="67" t="str">
        <f t="shared" si="25"/>
        <v>#REF!</v>
      </c>
      <c r="BO146" s="68" t="str">
        <f t="shared" si="26"/>
        <v>#REF!</v>
      </c>
      <c r="BP146" s="65">
        <v>0.0</v>
      </c>
      <c r="BQ146" s="65">
        <v>0.0</v>
      </c>
      <c r="BR146" s="66">
        <v>0.0</v>
      </c>
      <c r="BS146" s="67" t="str">
        <f t="shared" si="27"/>
        <v>#REF!</v>
      </c>
      <c r="BT146" s="68" t="str">
        <f>'[1]DATA CONSOLIDADA 2018-2025 '!$BR146-Hoja1!$BO146</f>
        <v>#REF!</v>
      </c>
      <c r="BU146" s="65">
        <v>0.0</v>
      </c>
      <c r="BV146" s="65">
        <v>0.0</v>
      </c>
      <c r="BW146" s="66">
        <v>0.0</v>
      </c>
      <c r="BX146" s="67" t="str">
        <f t="shared" si="28"/>
        <v>#REF!</v>
      </c>
      <c r="BY146" s="68" t="str">
        <f t="shared" si="29"/>
        <v>#REF!</v>
      </c>
      <c r="BZ146" s="65">
        <v>58864.35</v>
      </c>
      <c r="CA146" s="65">
        <v>0.0</v>
      </c>
      <c r="CB146" s="66">
        <v>58864.35</v>
      </c>
      <c r="CC146" s="67" t="str">
        <f t="shared" si="30"/>
        <v>#REF!</v>
      </c>
      <c r="CD146" s="68" t="str">
        <f>'[1]DATA CONSOLIDADA 2018-2025 '!$CB146-Hoja1!$BW146</f>
        <v>#REF!</v>
      </c>
      <c r="CE146" s="70">
        <v>226629.0</v>
      </c>
      <c r="CF146" s="70">
        <v>0.0</v>
      </c>
      <c r="CG146" s="71">
        <v>226629.0</v>
      </c>
      <c r="CH146" s="67" t="str">
        <f t="shared" si="31"/>
        <v>#REF!</v>
      </c>
      <c r="CI146" s="68" t="str">
        <f>'[1]DATA CONSOLIDADA 2018-2025 '!$CG146-Hoja1!$CB146</f>
        <v>#REF!</v>
      </c>
      <c r="CJ146" s="64" t="str">
        <f t="shared" si="22"/>
        <v>#REF!</v>
      </c>
      <c r="CK146" s="64">
        <v>61650.0</v>
      </c>
      <c r="CL146" s="64">
        <v>0.0</v>
      </c>
      <c r="CM146" s="64">
        <v>61650.0</v>
      </c>
      <c r="CN146" s="64" t="str">
        <f t="shared" si="12"/>
        <v>#REF!</v>
      </c>
      <c r="CO146" s="68" t="str">
        <f>'[1]DATA CONSOLIDADA 2018-2025 '!$CM146-Hoja1!$CG146</f>
        <v>#REF!</v>
      </c>
      <c r="CP146" s="70">
        <v>626.4</v>
      </c>
      <c r="CQ146" s="70">
        <v>0.0</v>
      </c>
      <c r="CR146" s="70">
        <v>0.0</v>
      </c>
      <c r="CS146" s="70">
        <v>58237.95</v>
      </c>
      <c r="CT146" s="70">
        <v>0.0</v>
      </c>
      <c r="CU146" s="70">
        <v>0.0</v>
      </c>
      <c r="CV146" s="64">
        <v>58864.35</v>
      </c>
      <c r="CW146" s="64">
        <v>0.0</v>
      </c>
      <c r="CX146" s="64">
        <v>226629.0</v>
      </c>
      <c r="CY146" s="64">
        <v>0.0</v>
      </c>
      <c r="CZ146" s="64">
        <v>0.0</v>
      </c>
      <c r="DA146" s="64">
        <v>0.0</v>
      </c>
      <c r="DB146" s="64">
        <v>226629.0</v>
      </c>
      <c r="DC146" s="72">
        <v>0.0</v>
      </c>
      <c r="DD146" s="72">
        <v>61650.0</v>
      </c>
      <c r="DE146" s="72">
        <v>0.0</v>
      </c>
      <c r="DF146" s="72">
        <v>0.0</v>
      </c>
      <c r="DG146" s="72">
        <v>0.0</v>
      </c>
      <c r="DH146" s="72">
        <v>61650.0</v>
      </c>
      <c r="DI146" s="73">
        <v>2.0600720733E10</v>
      </c>
      <c r="DJ146" s="74" t="s">
        <v>602</v>
      </c>
      <c r="DK146" s="74" t="s">
        <v>132</v>
      </c>
      <c r="DL146" s="75"/>
      <c r="DM146" s="75"/>
      <c r="DN146" s="75"/>
      <c r="DO146" s="75"/>
      <c r="DP146" s="75"/>
      <c r="DQ146" s="75"/>
      <c r="DR146" s="75"/>
      <c r="DS146" s="75"/>
      <c r="DT146" s="75"/>
      <c r="DU146" s="75"/>
      <c r="DV146" s="75"/>
      <c r="DW146" s="75"/>
      <c r="DX146" s="75"/>
      <c r="DY146" s="75"/>
      <c r="DZ146" s="75"/>
      <c r="EA146" s="75"/>
      <c r="EB146" s="75"/>
      <c r="EC146" s="75"/>
      <c r="ED146" s="75"/>
      <c r="EE146" s="75"/>
    </row>
    <row r="147" ht="47.25" customHeight="1">
      <c r="A147" s="55" t="s">
        <v>606</v>
      </c>
      <c r="B147" s="55" t="s">
        <v>146</v>
      </c>
      <c r="C147" s="55" t="s">
        <v>432</v>
      </c>
      <c r="D147" s="55" t="s">
        <v>607</v>
      </c>
      <c r="E147" s="55" t="s">
        <v>608</v>
      </c>
      <c r="F147" s="55" t="s">
        <v>607</v>
      </c>
      <c r="G147" s="55" t="s">
        <v>609</v>
      </c>
      <c r="H147" s="55" t="s">
        <v>610</v>
      </c>
      <c r="I147" s="56"/>
      <c r="J147" s="56"/>
      <c r="K147" s="56"/>
      <c r="L147" s="56"/>
      <c r="M147" s="56"/>
      <c r="N147" s="56"/>
      <c r="O147" s="56"/>
      <c r="P147" s="56">
        <v>1.0</v>
      </c>
      <c r="Q147" s="56" t="s">
        <v>131</v>
      </c>
      <c r="R147" s="58" t="str">
        <f t="shared" si="1"/>
        <v>2025</v>
      </c>
      <c r="S147" s="59" t="str">
        <f>SUM(Hoja1!$I147:$P147)</f>
        <v>1</v>
      </c>
      <c r="T147" s="59" t="str">
        <f>IF(OR(Hoja1!$J147=1,Hoja1!$K147=1,Hoja1!$L147=1,Hoja1!$M147=1,Hoja1!$N147=1,Hoja1!$O147=1,Hoja1!$P147=1),"SI","NO")</f>
        <v>SI</v>
      </c>
      <c r="U147" s="59" t="str">
        <f>IF(OR(Hoja1!$K147=1,Hoja1!$L147=1,Hoja1!$M147=1,Hoja1!$N147=1,Hoja1!$O147=1,Hoja1!$P147=1),"SI","NO")</f>
        <v>SI</v>
      </c>
      <c r="V147" s="60">
        <v>0.0</v>
      </c>
      <c r="W147" s="61">
        <v>0.0</v>
      </c>
      <c r="X147" s="61">
        <v>0.0</v>
      </c>
      <c r="Y147" s="60">
        <v>0.0</v>
      </c>
      <c r="Z147" s="61">
        <v>0.0</v>
      </c>
      <c r="AA147" s="61">
        <v>0.0</v>
      </c>
      <c r="AB147" s="60">
        <v>0.0</v>
      </c>
      <c r="AC147" s="61">
        <v>0.0</v>
      </c>
      <c r="AD147" s="61">
        <v>0.0</v>
      </c>
      <c r="AE147" s="60">
        <v>0.0</v>
      </c>
      <c r="AF147" s="61">
        <v>0.0</v>
      </c>
      <c r="AG147" s="61">
        <v>0.0</v>
      </c>
      <c r="AH147" s="60">
        <v>0.0</v>
      </c>
      <c r="AI147" s="61">
        <v>0.0</v>
      </c>
      <c r="AJ147" s="61">
        <v>0.0</v>
      </c>
      <c r="AK147" s="60">
        <v>0.0</v>
      </c>
      <c r="AL147" s="61">
        <v>0.0</v>
      </c>
      <c r="AM147" s="61">
        <v>0.0</v>
      </c>
      <c r="AN147" s="60">
        <v>0.0</v>
      </c>
      <c r="AO147" s="62">
        <v>14.0</v>
      </c>
      <c r="AP147" s="62">
        <v>10.0</v>
      </c>
      <c r="AQ147" s="60">
        <v>24.0</v>
      </c>
      <c r="AR147" s="60" t="str">
        <f>IF(Hoja1!$AQ147&gt;0,Hoja1!$AQ147,IF(Hoja1!$AN147&gt;0,Hoja1!$AN147,IF(Hoja1!$AK147&gt;0,Hoja1!$AK147,IF(Hoja1!$AH147&gt;0,Hoja1!$AH147,IF(Hoja1!$AE147&gt;0,Hoja1!$AE147,IF(Hoja1!$AB147&gt;0,Hoja1!$AB147,IF(Hoja1!$Y147&gt;0,Hoja1!$Y147,IF(Hoja1!$V147&gt;0,Hoja1!$V147," ---"))))))))</f>
        <v>24</v>
      </c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>
        <v>3.0</v>
      </c>
      <c r="BD147" s="63">
        <v>0.0</v>
      </c>
      <c r="BE147" s="64"/>
      <c r="BF147" s="69"/>
      <c r="BG147" s="69"/>
      <c r="BH147" s="64"/>
      <c r="BI147" s="67" t="str">
        <f>IF('[1]DATA CONSOLIDADA 2018-2025 '!$BH580&gt;'[1]DATA CONSOLIDADA 2018-2025 '!$AN580,"Incremento",IF('[1]DATA CONSOLIDADA 2018-2025 '!$AN580='[1]DATA CONSOLIDADA 2018-2025 '!$BH580,"Sin incremento",IF('[1]DATA CONSOLIDADA 2018-2025 '!$BH580&lt;'[1]DATA CONSOLIDADA 2018-2025 '!$AN580,"Disminución"," ---")))</f>
        <v>#REF!</v>
      </c>
      <c r="BJ147" s="68" t="str">
        <f>'[1]DATA CONSOLIDADA 2018-2025 '!$BH580-'[1]DATA CONSOLIDADA 2018-2025 '!$BE580</f>
        <v>#REF!</v>
      </c>
      <c r="BK147" s="69"/>
      <c r="BL147" s="69"/>
      <c r="BM147" s="64"/>
      <c r="BN147" s="67" t="str">
        <f>IF('[1]DATA CONSOLIDADA 2018-2025 '!$BM580&gt;'[1]DATA CONSOLIDADA 2018-2025 '!$BH580,"Incremento",IF('[1]DATA CONSOLIDADA 2018-2025 '!$BH580='[1]DATA CONSOLIDADA 2018-2025 '!$BM580,"Sin incremento",IF('[1]DATA CONSOLIDADA 2018-2025 '!$BM580&lt;'[1]DATA CONSOLIDADA 2018-2025 '!$BH580,"Disminución"," ---")))</f>
        <v>#REF!</v>
      </c>
      <c r="BO147" s="68" t="str">
        <f>'[1]DATA CONSOLIDADA 2018-2025 '!$BM580-'[1]DATA CONSOLIDADA 2018-2025 '!$BH580</f>
        <v>#REF!</v>
      </c>
      <c r="BP147" s="65"/>
      <c r="BQ147" s="65"/>
      <c r="BR147" s="66"/>
      <c r="BS147" s="67" t="str">
        <f>IF('[1]DATA CONSOLIDADA 2018-2025 '!$BR580&gt;'[1]DATA CONSOLIDADA 2018-2025 '!$BM580,"Incremento",IF('[1]DATA CONSOLIDADA 2018-2025 '!$BM580='[1]DATA CONSOLIDADA 2018-2025 '!$BR580,"Sin incremento",IF('[1]DATA CONSOLIDADA 2018-2025 '!$BR580&lt;'[1]DATA CONSOLIDADA 2018-2025 '!$BM580,"Disminución"," ---")))</f>
        <v>#REF!</v>
      </c>
      <c r="BT147" s="68" t="str">
        <f>'[1]DATA CONSOLIDADA 2018-2025 '!$BR147-Hoja1!$BO147</f>
        <v>#REF!</v>
      </c>
      <c r="BU147" s="69"/>
      <c r="BV147" s="65"/>
      <c r="BW147" s="66"/>
      <c r="BX147" s="67" t="str">
        <f>IF('[1]DATA CONSOLIDADA 2018-2025 '!$BW580&gt;'[1]DATA CONSOLIDADA 2018-2025 '!$BR580,"Incremento",IF('[1]DATA CONSOLIDADA 2018-2025 '!$BR580='[1]DATA CONSOLIDADA 2018-2025 '!$BW580,"Sin incremento",IF('[1]DATA CONSOLIDADA 2018-2025 '!$BW580&lt;'[1]DATA CONSOLIDADA 2018-2025 '!$BR580,"Disminución"," ---")))</f>
        <v>#REF!</v>
      </c>
      <c r="BY147" s="68" t="str">
        <f>'[1]DATA CONSOLIDADA 2018-2025 '!$BW580-'[1]DATA CONSOLIDADA 2018-2025 '!$BR580</f>
        <v>#REF!</v>
      </c>
      <c r="BZ147" s="65"/>
      <c r="CA147" s="65"/>
      <c r="CB147" s="66"/>
      <c r="CC147" s="67" t="str">
        <f>IF('[1]DATA CONSOLIDADA 2018-2025 '!$CB580&gt;'[1]DATA CONSOLIDADA 2018-2025 '!$BW580,"Incremento",IF('[1]DATA CONSOLIDADA 2018-2025 '!$BW580='[1]DATA CONSOLIDADA 2018-2025 '!$CB580,"Sin incremento",IF('[1]DATA CONSOLIDADA 2018-2025 '!$CB580&lt;'[1]DATA CONSOLIDADA 2018-2025 '!$BW580,"Disminución"," ---")))</f>
        <v>#REF!</v>
      </c>
      <c r="CD147" s="68" t="str">
        <f>'[1]DATA CONSOLIDADA 2018-2025 '!$CB147-Hoja1!$BW147</f>
        <v>#REF!</v>
      </c>
      <c r="CE147" s="70"/>
      <c r="CF147" s="70"/>
      <c r="CG147" s="71"/>
      <c r="CH147" s="67" t="str">
        <f>IF('[1]DATA CONSOLIDADA 2018-2025 '!$CG580&gt;'[1]DATA CONSOLIDADA 2018-2025 '!$CB580,"Incremento",IF('[1]DATA CONSOLIDADA 2018-2025 '!$CB580='[1]DATA CONSOLIDADA 2018-2025 '!$CG580,"Sin incremento",IF('[1]DATA CONSOLIDADA 2018-2025 '!$CG580&lt;'[1]DATA CONSOLIDADA 2018-2025 '!$CB580,"Disminución"," ---")))</f>
        <v>#REF!</v>
      </c>
      <c r="CI147" s="68" t="str">
        <f>'[1]DATA CONSOLIDADA 2018-2025 '!$CG147-Hoja1!$CB147</f>
        <v>#REF!</v>
      </c>
      <c r="CJ147" s="64" t="str">
        <f t="shared" si="22"/>
        <v>#REF!</v>
      </c>
      <c r="CK147" s="64">
        <v>236040.0</v>
      </c>
      <c r="CL147" s="64">
        <v>0.0</v>
      </c>
      <c r="CM147" s="64">
        <v>236040.0</v>
      </c>
      <c r="CN147" s="64" t="str">
        <f t="shared" si="12"/>
        <v>#REF!</v>
      </c>
      <c r="CO147" s="68" t="str">
        <f>'[1]DATA CONSOLIDADA 2018-2025 '!$CM147-Hoja1!$CG147</f>
        <v>#REF!</v>
      </c>
      <c r="CP147" s="70"/>
      <c r="CQ147" s="70"/>
      <c r="CR147" s="70"/>
      <c r="CS147" s="70"/>
      <c r="CT147" s="70"/>
      <c r="CU147" s="70"/>
      <c r="CV147" s="64"/>
      <c r="CW147" s="64"/>
      <c r="CX147" s="64"/>
      <c r="CY147" s="64"/>
      <c r="CZ147" s="64"/>
      <c r="DA147" s="64"/>
      <c r="DB147" s="64"/>
      <c r="DC147" s="72">
        <v>0.0</v>
      </c>
      <c r="DD147" s="72">
        <v>236040.0</v>
      </c>
      <c r="DE147" s="72">
        <v>0.0</v>
      </c>
      <c r="DF147" s="72">
        <v>0.0</v>
      </c>
      <c r="DG147" s="72">
        <v>0.0</v>
      </c>
      <c r="DH147" s="72">
        <v>236040.0</v>
      </c>
      <c r="DI147" s="73">
        <v>2.054229933E10</v>
      </c>
      <c r="DJ147" s="74" t="s">
        <v>611</v>
      </c>
      <c r="DK147" s="74" t="s">
        <v>138</v>
      </c>
      <c r="DL147" s="75"/>
      <c r="DM147" s="75"/>
      <c r="DN147" s="75"/>
      <c r="DO147" s="75"/>
      <c r="DP147" s="75"/>
      <c r="DQ147" s="75"/>
      <c r="DR147" s="75"/>
      <c r="DS147" s="75"/>
      <c r="DT147" s="75"/>
      <c r="DU147" s="75"/>
      <c r="DV147" s="75"/>
      <c r="DW147" s="75"/>
      <c r="DX147" s="75"/>
      <c r="DY147" s="75"/>
      <c r="DZ147" s="75"/>
      <c r="EA147" s="75"/>
      <c r="EB147" s="75"/>
      <c r="EC147" s="75"/>
      <c r="ED147" s="75"/>
      <c r="EE147" s="75"/>
    </row>
    <row r="148" ht="47.25" hidden="1" customHeight="1">
      <c r="A148" s="55" t="s">
        <v>612</v>
      </c>
      <c r="B148" s="55" t="s">
        <v>126</v>
      </c>
      <c r="C148" s="55" t="s">
        <v>126</v>
      </c>
      <c r="D148" s="55" t="s">
        <v>593</v>
      </c>
      <c r="E148" s="55" t="s">
        <v>613</v>
      </c>
      <c r="F148" s="55" t="s">
        <v>593</v>
      </c>
      <c r="G148" s="55" t="s">
        <v>614</v>
      </c>
      <c r="H148" s="55" t="s">
        <v>615</v>
      </c>
      <c r="I148" s="56">
        <v>1.0</v>
      </c>
      <c r="J148" s="56">
        <v>1.0</v>
      </c>
      <c r="K148" s="56"/>
      <c r="L148" s="56"/>
      <c r="M148" s="56"/>
      <c r="N148" s="56"/>
      <c r="O148" s="56"/>
      <c r="P148" s="56"/>
      <c r="Q148" s="56" t="s">
        <v>131</v>
      </c>
      <c r="R148" s="58" t="str">
        <f t="shared" si="1"/>
        <v>2018-2019</v>
      </c>
      <c r="S148" s="59" t="str">
        <f>SUM(Hoja1!$I148:$P148)</f>
        <v>2</v>
      </c>
      <c r="T148" s="59" t="str">
        <f>IF(OR(Hoja1!$J148=1,Hoja1!$K148=1,Hoja1!$L148=1,Hoja1!$M148=1,Hoja1!$N148=1,Hoja1!$O148=1,Hoja1!$P148=1),"SI","NO")</f>
        <v>SI</v>
      </c>
      <c r="U148" s="59" t="str">
        <f>IF(OR(Hoja1!$K148=1,Hoja1!$L148=1,Hoja1!$M148=1,Hoja1!$N148=1,Hoja1!$O148=1,Hoja1!$P148=1),"SI","NO")</f>
        <v>NO</v>
      </c>
      <c r="V148" s="60">
        <v>26.0</v>
      </c>
      <c r="W148" s="61">
        <v>22.0</v>
      </c>
      <c r="X148" s="61">
        <v>4.0</v>
      </c>
      <c r="Y148" s="60">
        <v>26.0</v>
      </c>
      <c r="Z148" s="61">
        <v>0.0</v>
      </c>
      <c r="AA148" s="61">
        <v>0.0</v>
      </c>
      <c r="AB148" s="60">
        <v>0.0</v>
      </c>
      <c r="AC148" s="61">
        <v>0.0</v>
      </c>
      <c r="AD148" s="61">
        <v>0.0</v>
      </c>
      <c r="AE148" s="60">
        <v>0.0</v>
      </c>
      <c r="AF148" s="61">
        <v>0.0</v>
      </c>
      <c r="AG148" s="61">
        <v>0.0</v>
      </c>
      <c r="AH148" s="60">
        <v>0.0</v>
      </c>
      <c r="AI148" s="61">
        <v>0.0</v>
      </c>
      <c r="AJ148" s="61">
        <v>0.0</v>
      </c>
      <c r="AK148" s="60">
        <v>0.0</v>
      </c>
      <c r="AL148" s="61">
        <v>0.0</v>
      </c>
      <c r="AM148" s="61">
        <v>0.0</v>
      </c>
      <c r="AN148" s="60">
        <v>0.0</v>
      </c>
      <c r="AO148" s="62">
        <v>0.0</v>
      </c>
      <c r="AP148" s="62">
        <v>0.0</v>
      </c>
      <c r="AQ148" s="60">
        <v>0.0</v>
      </c>
      <c r="AR148" s="60" t="str">
        <f>IF(Hoja1!$AQ148&gt;0,Hoja1!$AQ148,IF(Hoja1!$AN148&gt;0,Hoja1!$AN148,IF(Hoja1!$AK148&gt;0,Hoja1!$AK148,IF(Hoja1!$AH148&gt;0,Hoja1!$AH148,IF(Hoja1!$AE148&gt;0,Hoja1!$AE148,IF(Hoja1!$AB148&gt;0,Hoja1!$AB148,IF(Hoja1!$Y148&gt;0,Hoja1!$Y148,IF(Hoja1!$V148&gt;0,Hoja1!$V148," ---"))))))))</f>
        <v>26</v>
      </c>
      <c r="AS148" s="63">
        <v>0.0</v>
      </c>
      <c r="AT148" s="63">
        <v>0.0</v>
      </c>
      <c r="AU148" s="63">
        <v>0.0</v>
      </c>
      <c r="AV148" s="63">
        <v>0.0</v>
      </c>
      <c r="AW148" s="63">
        <v>0.0</v>
      </c>
      <c r="AX148" s="63">
        <v>0.0</v>
      </c>
      <c r="AY148" s="63">
        <v>0.0</v>
      </c>
      <c r="AZ148" s="63">
        <v>0.0</v>
      </c>
      <c r="BA148" s="63">
        <v>0.0</v>
      </c>
      <c r="BB148" s="63">
        <v>0.0</v>
      </c>
      <c r="BC148" s="63">
        <v>0.0</v>
      </c>
      <c r="BD148" s="63">
        <v>0.0</v>
      </c>
      <c r="BE148" s="64">
        <v>0.0</v>
      </c>
      <c r="BF148" s="65">
        <v>1331.44</v>
      </c>
      <c r="BG148" s="65">
        <v>0.0</v>
      </c>
      <c r="BH148" s="66">
        <v>1331.44</v>
      </c>
      <c r="BI148" s="67" t="str">
        <f>IF('[1]DATA CONSOLIDADA 2018-2025 '!$BH148&gt;'[1]DATA CONSOLIDADA 2018-2025 '!$AN148,"Incremento",IF('[1]DATA CONSOLIDADA 2018-2025 '!$AN148='[1]DATA CONSOLIDADA 2018-2025 '!$BH148,"Sin incremento",IF('[1]DATA CONSOLIDADA 2018-2025 '!$BH148&lt;'[1]DATA CONSOLIDADA 2018-2025 '!$AN148,"Disminución"," ---")))</f>
        <v>#REF!</v>
      </c>
      <c r="BJ148" s="68" t="str">
        <f>'[1]DATA CONSOLIDADA 2018-2025 '!$BH148-'[1]DATA CONSOLIDADA 2018-2025 '!$BE148</f>
        <v>#REF!</v>
      </c>
      <c r="BK148" s="65">
        <v>0.0</v>
      </c>
      <c r="BL148" s="65">
        <v>0.0</v>
      </c>
      <c r="BM148" s="66">
        <v>0.0</v>
      </c>
      <c r="BN148" s="67" t="str">
        <f>IF('[1]DATA CONSOLIDADA 2018-2025 '!$BM148&gt;'[1]DATA CONSOLIDADA 2018-2025 '!$BH148,"Incremento",IF('[1]DATA CONSOLIDADA 2018-2025 '!$BH148='[1]DATA CONSOLIDADA 2018-2025 '!$BM148,"Sin incremento",IF('[1]DATA CONSOLIDADA 2018-2025 '!$BM148&lt;'[1]DATA CONSOLIDADA 2018-2025 '!$BH148,"Disminución"," ---")))</f>
        <v>#REF!</v>
      </c>
      <c r="BO148" s="68" t="str">
        <f>'[1]DATA CONSOLIDADA 2018-2025 '!$BM148-'[1]DATA CONSOLIDADA 2018-2025 '!$BH148</f>
        <v>#REF!</v>
      </c>
      <c r="BP148" s="65">
        <v>0.0</v>
      </c>
      <c r="BQ148" s="65">
        <v>0.0</v>
      </c>
      <c r="BR148" s="66">
        <v>0.0</v>
      </c>
      <c r="BS148" s="67" t="str">
        <f>IF('[1]DATA CONSOLIDADA 2018-2025 '!$BR148&gt;'[1]DATA CONSOLIDADA 2018-2025 '!$BM148,"Incremento",IF('[1]DATA CONSOLIDADA 2018-2025 '!$BM148='[1]DATA CONSOLIDADA 2018-2025 '!$BR148,"Sin incremento",IF('[1]DATA CONSOLIDADA 2018-2025 '!$BR148&lt;'[1]DATA CONSOLIDADA 2018-2025 '!$BM148,"Disminución"," ---")))</f>
        <v>#REF!</v>
      </c>
      <c r="BT148" s="68" t="str">
        <f>'[1]DATA CONSOLIDADA 2018-2025 '!$BR148-Hoja1!$BO148</f>
        <v>#REF!</v>
      </c>
      <c r="BU148" s="65">
        <v>0.0</v>
      </c>
      <c r="BV148" s="65">
        <v>0.0</v>
      </c>
      <c r="BW148" s="66">
        <v>0.0</v>
      </c>
      <c r="BX148" s="67" t="str">
        <f>IF('[1]DATA CONSOLIDADA 2018-2025 '!$BW148&gt;'[1]DATA CONSOLIDADA 2018-2025 '!$BR148,"Incremento",IF('[1]DATA CONSOLIDADA 2018-2025 '!$BR148='[1]DATA CONSOLIDADA 2018-2025 '!$BW148,"Sin incremento",IF('[1]DATA CONSOLIDADA 2018-2025 '!$BW148&lt;'[1]DATA CONSOLIDADA 2018-2025 '!$BR148,"Disminución"," ---")))</f>
        <v>#REF!</v>
      </c>
      <c r="BY148" s="68" t="str">
        <f>'[1]DATA CONSOLIDADA 2018-2025 '!$BW148-'[1]DATA CONSOLIDADA 2018-2025 '!$BR148</f>
        <v>#REF!</v>
      </c>
      <c r="BZ148" s="65">
        <v>0.0</v>
      </c>
      <c r="CA148" s="65">
        <v>0.0</v>
      </c>
      <c r="CB148" s="66">
        <v>0.0</v>
      </c>
      <c r="CC148" s="67" t="str">
        <f>IF('[1]DATA CONSOLIDADA 2018-2025 '!$CB148&gt;'[1]DATA CONSOLIDADA 2018-2025 '!$BW148,"Incremento",IF('[1]DATA CONSOLIDADA 2018-2025 '!$BW148='[1]DATA CONSOLIDADA 2018-2025 '!$CB148,"Sin incremento",IF('[1]DATA CONSOLIDADA 2018-2025 '!$CB148&lt;'[1]DATA CONSOLIDADA 2018-2025 '!$BW148,"Disminución"," ---")))</f>
        <v>#REF!</v>
      </c>
      <c r="CD148" s="68" t="str">
        <f>'[1]DATA CONSOLIDADA 2018-2025 '!$CB148-Hoja1!$BW148</f>
        <v>#REF!</v>
      </c>
      <c r="CE148" s="70">
        <v>0.0</v>
      </c>
      <c r="CF148" s="70">
        <v>0.0</v>
      </c>
      <c r="CG148" s="71">
        <v>0.0</v>
      </c>
      <c r="CH148" s="67" t="str">
        <f>IF('[1]DATA CONSOLIDADA 2018-2025 '!$CG148&gt;'[1]DATA CONSOLIDADA 2018-2025 '!$CB148,"Incremento",IF('[1]DATA CONSOLIDADA 2018-2025 '!$CB148='[1]DATA CONSOLIDADA 2018-2025 '!$CG148,"Sin incremento",IF('[1]DATA CONSOLIDADA 2018-2025 '!$CG148&lt;'[1]DATA CONSOLIDADA 2018-2025 '!$CB148,"Disminución"," ---")))</f>
        <v>#REF!</v>
      </c>
      <c r="CI148" s="68" t="str">
        <f>'[1]DATA CONSOLIDADA 2018-2025 '!$CG148-Hoja1!$CB148</f>
        <v>#REF!</v>
      </c>
      <c r="CJ148" s="64" t="str">
        <f t="shared" si="22"/>
        <v>#REF!</v>
      </c>
      <c r="CK148" s="64">
        <v>0.0</v>
      </c>
      <c r="CL148" s="64">
        <v>0.0</v>
      </c>
      <c r="CM148" s="64">
        <v>0.0</v>
      </c>
      <c r="CN148" s="64" t="str">
        <f t="shared" si="12"/>
        <v>#REF!</v>
      </c>
      <c r="CO148" s="68" t="str">
        <f>'[1]DATA CONSOLIDADA 2018-2025 '!$CM148-Hoja1!$CG148</f>
        <v>#REF!</v>
      </c>
      <c r="CP148" s="70">
        <v>0.0</v>
      </c>
      <c r="CQ148" s="70">
        <v>0.0</v>
      </c>
      <c r="CR148" s="70">
        <v>0.0</v>
      </c>
      <c r="CS148" s="70">
        <v>0.0</v>
      </c>
      <c r="CT148" s="70">
        <v>0.0</v>
      </c>
      <c r="CU148" s="70">
        <v>0.0</v>
      </c>
      <c r="CV148" s="64">
        <v>0.0</v>
      </c>
      <c r="CW148" s="64">
        <v>0.0</v>
      </c>
      <c r="CX148" s="64">
        <v>0.0</v>
      </c>
      <c r="CY148" s="64">
        <v>0.0</v>
      </c>
      <c r="CZ148" s="64">
        <v>0.0</v>
      </c>
      <c r="DA148" s="64">
        <v>0.0</v>
      </c>
      <c r="DB148" s="64">
        <v>0.0</v>
      </c>
      <c r="DC148" s="72">
        <v>0.0</v>
      </c>
      <c r="DD148" s="72">
        <v>0.0</v>
      </c>
      <c r="DE148" s="72">
        <v>0.0</v>
      </c>
      <c r="DF148" s="72">
        <v>0.0</v>
      </c>
      <c r="DG148" s="72">
        <v>0.0</v>
      </c>
      <c r="DH148" s="72">
        <v>0.0</v>
      </c>
      <c r="DI148" s="73">
        <v>2.0528996214E10</v>
      </c>
      <c r="DJ148" s="74" t="s">
        <v>612</v>
      </c>
      <c r="DK148" s="74" t="s">
        <v>132</v>
      </c>
      <c r="DL148" s="75"/>
      <c r="DM148" s="75"/>
      <c r="DN148" s="75"/>
      <c r="DO148" s="75"/>
      <c r="DP148" s="75"/>
      <c r="DQ148" s="75"/>
      <c r="DR148" s="75"/>
      <c r="DS148" s="75"/>
      <c r="DT148" s="75"/>
      <c r="DU148" s="75"/>
      <c r="DV148" s="75"/>
      <c r="DW148" s="75"/>
      <c r="DX148" s="75"/>
      <c r="DY148" s="75"/>
      <c r="DZ148" s="75"/>
      <c r="EA148" s="75"/>
      <c r="EB148" s="75"/>
      <c r="EC148" s="75"/>
      <c r="ED148" s="75"/>
      <c r="EE148" s="75"/>
    </row>
    <row r="149" ht="47.25" customHeight="1">
      <c r="A149" s="55" t="s">
        <v>616</v>
      </c>
      <c r="B149" s="55" t="s">
        <v>146</v>
      </c>
      <c r="C149" s="55" t="s">
        <v>146</v>
      </c>
      <c r="D149" s="55" t="s">
        <v>434</v>
      </c>
      <c r="E149" s="55" t="s">
        <v>617</v>
      </c>
      <c r="F149" s="55" t="s">
        <v>434</v>
      </c>
      <c r="G149" s="55" t="s">
        <v>435</v>
      </c>
      <c r="H149" s="55" t="s">
        <v>618</v>
      </c>
      <c r="I149" s="56">
        <v>1.0</v>
      </c>
      <c r="J149" s="56">
        <v>1.0</v>
      </c>
      <c r="K149" s="56">
        <v>1.0</v>
      </c>
      <c r="L149" s="56"/>
      <c r="M149" s="56">
        <v>1.0</v>
      </c>
      <c r="N149" s="56"/>
      <c r="O149" s="56"/>
      <c r="P149" s="56"/>
      <c r="Q149" s="56" t="s">
        <v>131</v>
      </c>
      <c r="R149" s="58" t="str">
        <f t="shared" si="1"/>
        <v>2018-2019-2020-2022</v>
      </c>
      <c r="S149" s="59" t="str">
        <f>SUM(Hoja1!$I149:$P149)</f>
        <v>4</v>
      </c>
      <c r="T149" s="59" t="str">
        <f>IF(OR(Hoja1!$J149=1,Hoja1!$K149=1,Hoja1!$L149=1,Hoja1!$M149=1,Hoja1!$N149=1,Hoja1!$O149=1,Hoja1!$P149=1),"SI","NO")</f>
        <v>SI</v>
      </c>
      <c r="U149" s="59" t="str">
        <f>IF(OR(Hoja1!$K149=1,Hoja1!$L149=1,Hoja1!$M149=1,Hoja1!$N149=1,Hoja1!$O149=1,Hoja1!$P149=1),"SI","NO")</f>
        <v>SI</v>
      </c>
      <c r="V149" s="60">
        <v>56.0</v>
      </c>
      <c r="W149" s="61">
        <v>30.0</v>
      </c>
      <c r="X149" s="61">
        <v>12.0</v>
      </c>
      <c r="Y149" s="60">
        <v>42.0</v>
      </c>
      <c r="Z149" s="61">
        <v>17.0</v>
      </c>
      <c r="AA149" s="61">
        <v>6.0</v>
      </c>
      <c r="AB149" s="60">
        <v>23.0</v>
      </c>
      <c r="AC149" s="61">
        <v>0.0</v>
      </c>
      <c r="AD149" s="61">
        <v>0.0</v>
      </c>
      <c r="AE149" s="60">
        <v>0.0</v>
      </c>
      <c r="AF149" s="61">
        <v>17.0</v>
      </c>
      <c r="AG149" s="61">
        <v>6.0</v>
      </c>
      <c r="AH149" s="60">
        <v>23.0</v>
      </c>
      <c r="AI149" s="61">
        <v>0.0</v>
      </c>
      <c r="AJ149" s="61">
        <v>0.0</v>
      </c>
      <c r="AK149" s="60">
        <v>0.0</v>
      </c>
      <c r="AL149" s="61">
        <v>0.0</v>
      </c>
      <c r="AM149" s="61">
        <v>0.0</v>
      </c>
      <c r="AN149" s="60">
        <v>0.0</v>
      </c>
      <c r="AO149" s="62">
        <v>0.0</v>
      </c>
      <c r="AP149" s="62">
        <v>0.0</v>
      </c>
      <c r="AQ149" s="60">
        <v>0.0</v>
      </c>
      <c r="AR149" s="60" t="str">
        <f>IF(Hoja1!$AQ149&gt;0,Hoja1!$AQ149,IF(Hoja1!$AN149&gt;0,Hoja1!$AN149,IF(Hoja1!$AK149&gt;0,Hoja1!$AK149,IF(Hoja1!$AH149&gt;0,Hoja1!$AH149,IF(Hoja1!$AE149&gt;0,Hoja1!$AE149,IF(Hoja1!$AB149&gt;0,Hoja1!$AB149,IF(Hoja1!$Y149&gt;0,Hoja1!$Y149,IF(Hoja1!$V149&gt;0,Hoja1!$V149," ---"))))))))</f>
        <v>23</v>
      </c>
      <c r="AS149" s="63">
        <v>0.0</v>
      </c>
      <c r="AT149" s="63">
        <v>0.0</v>
      </c>
      <c r="AU149" s="63">
        <v>0.0</v>
      </c>
      <c r="AV149" s="63">
        <v>0.0</v>
      </c>
      <c r="AW149" s="63">
        <v>34.0</v>
      </c>
      <c r="AX149" s="63">
        <v>10.0</v>
      </c>
      <c r="AY149" s="63">
        <v>0.0</v>
      </c>
      <c r="AZ149" s="63">
        <v>0.0</v>
      </c>
      <c r="BA149" s="63">
        <v>0.0</v>
      </c>
      <c r="BB149" s="63">
        <v>0.0</v>
      </c>
      <c r="BC149" s="63">
        <v>0.0</v>
      </c>
      <c r="BD149" s="63">
        <v>0.0</v>
      </c>
      <c r="BE149" s="64">
        <v>0.0</v>
      </c>
      <c r="BF149" s="65">
        <v>61493.4</v>
      </c>
      <c r="BG149" s="65">
        <v>0.0</v>
      </c>
      <c r="BH149" s="66">
        <v>61493.4</v>
      </c>
      <c r="BI149" s="67" t="str">
        <f>IF('[1]DATA CONSOLIDADA 2018-2025 '!$BH107&gt;'[1]DATA CONSOLIDADA 2018-2025 '!$AN107,"Incremento",IF('[1]DATA CONSOLIDADA 2018-2025 '!$AN107='[1]DATA CONSOLIDADA 2018-2025 '!$BH107,"Sin incremento",IF('[1]DATA CONSOLIDADA 2018-2025 '!$BH107&lt;'[1]DATA CONSOLIDADA 2018-2025 '!$AN107,"Disminución"," ---")))</f>
        <v>#REF!</v>
      </c>
      <c r="BJ149" s="68" t="str">
        <f>'[1]DATA CONSOLIDADA 2018-2025 '!$BH107-'[1]DATA CONSOLIDADA 2018-2025 '!$BE107</f>
        <v>#REF!</v>
      </c>
      <c r="BK149" s="65">
        <v>0.0</v>
      </c>
      <c r="BL149" s="65">
        <v>0.0</v>
      </c>
      <c r="BM149" s="66">
        <v>0.0</v>
      </c>
      <c r="BN149" s="67" t="str">
        <f>IF('[1]DATA CONSOLIDADA 2018-2025 '!$BM107&gt;'[1]DATA CONSOLIDADA 2018-2025 '!$BH107,"Incremento",IF('[1]DATA CONSOLIDADA 2018-2025 '!$BH107='[1]DATA CONSOLIDADA 2018-2025 '!$BM107,"Sin incremento",IF('[1]DATA CONSOLIDADA 2018-2025 '!$BM107&lt;'[1]DATA CONSOLIDADA 2018-2025 '!$BH107,"Disminución"," ---")))</f>
        <v>#REF!</v>
      </c>
      <c r="BO149" s="68" t="str">
        <f>'[1]DATA CONSOLIDADA 2018-2025 '!$BM107-'[1]DATA CONSOLIDADA 2018-2025 '!$BH107</f>
        <v>#REF!</v>
      </c>
      <c r="BP149" s="65">
        <v>0.0</v>
      </c>
      <c r="BQ149" s="65">
        <v>0.0</v>
      </c>
      <c r="BR149" s="66">
        <v>0.0</v>
      </c>
      <c r="BS149" s="67" t="str">
        <f>IF('[1]DATA CONSOLIDADA 2018-2025 '!$BR107&gt;'[1]DATA CONSOLIDADA 2018-2025 '!$BM107,"Incremento",IF('[1]DATA CONSOLIDADA 2018-2025 '!$BM107='[1]DATA CONSOLIDADA 2018-2025 '!$BR107,"Sin incremento",IF('[1]DATA CONSOLIDADA 2018-2025 '!$BR107&lt;'[1]DATA CONSOLIDADA 2018-2025 '!$BM107,"Disminución"," ---")))</f>
        <v>#REF!</v>
      </c>
      <c r="BT149" s="68" t="str">
        <f>'[1]DATA CONSOLIDADA 2018-2025 '!$BR149-Hoja1!$BO149</f>
        <v>#REF!</v>
      </c>
      <c r="BU149" s="65">
        <v>49421.0</v>
      </c>
      <c r="BV149" s="65">
        <v>0.0</v>
      </c>
      <c r="BW149" s="66">
        <v>49421.0</v>
      </c>
      <c r="BX149" s="67" t="str">
        <f>IF('[1]DATA CONSOLIDADA 2018-2025 '!$BW107&gt;'[1]DATA CONSOLIDADA 2018-2025 '!$BR107,"Incremento",IF('[1]DATA CONSOLIDADA 2018-2025 '!$BR107='[1]DATA CONSOLIDADA 2018-2025 '!$BW107,"Sin incremento",IF('[1]DATA CONSOLIDADA 2018-2025 '!$BW107&lt;'[1]DATA CONSOLIDADA 2018-2025 '!$BR107,"Disminución"," ---")))</f>
        <v>#REF!</v>
      </c>
      <c r="BY149" s="68" t="str">
        <f>'[1]DATA CONSOLIDADA 2018-2025 '!$BW107-'[1]DATA CONSOLIDADA 2018-2025 '!$BR107</f>
        <v>#REF!</v>
      </c>
      <c r="BZ149" s="65">
        <v>0.0</v>
      </c>
      <c r="CA149" s="65">
        <v>0.0</v>
      </c>
      <c r="CB149" s="66">
        <v>0.0</v>
      </c>
      <c r="CC149" s="67" t="str">
        <f>IF('[1]DATA CONSOLIDADA 2018-2025 '!$CB107&gt;'[1]DATA CONSOLIDADA 2018-2025 '!$BW107,"Incremento",IF('[1]DATA CONSOLIDADA 2018-2025 '!$BW107='[1]DATA CONSOLIDADA 2018-2025 '!$CB107,"Sin incremento",IF('[1]DATA CONSOLIDADA 2018-2025 '!$CB107&lt;'[1]DATA CONSOLIDADA 2018-2025 '!$BW107,"Disminución"," ---")))</f>
        <v>#REF!</v>
      </c>
      <c r="CD149" s="68" t="str">
        <f>'[1]DATA CONSOLIDADA 2018-2025 '!$CB149-Hoja1!$BW149</f>
        <v>#REF!</v>
      </c>
      <c r="CE149" s="70">
        <v>0.0</v>
      </c>
      <c r="CF149" s="70">
        <v>0.0</v>
      </c>
      <c r="CG149" s="71">
        <v>0.0</v>
      </c>
      <c r="CH149" s="67" t="str">
        <f>IF('[1]DATA CONSOLIDADA 2018-2025 '!$CG107&gt;'[1]DATA CONSOLIDADA 2018-2025 '!$CB107,"Incremento",IF('[1]DATA CONSOLIDADA 2018-2025 '!$CB107='[1]DATA CONSOLIDADA 2018-2025 '!$CG107,"Sin incremento",IF('[1]DATA CONSOLIDADA 2018-2025 '!$CG107&lt;'[1]DATA CONSOLIDADA 2018-2025 '!$CB107,"Disminución"," ---")))</f>
        <v>#REF!</v>
      </c>
      <c r="CI149" s="68" t="str">
        <f>'[1]DATA CONSOLIDADA 2018-2025 '!$CG149-Hoja1!$CB149</f>
        <v>#REF!</v>
      </c>
      <c r="CJ149" s="64" t="str">
        <f t="shared" si="22"/>
        <v>#REF!</v>
      </c>
      <c r="CK149" s="64">
        <v>0.0</v>
      </c>
      <c r="CL149" s="64">
        <v>0.0</v>
      </c>
      <c r="CM149" s="64">
        <v>0.0</v>
      </c>
      <c r="CN149" s="64" t="str">
        <f t="shared" si="12"/>
        <v>#REF!</v>
      </c>
      <c r="CO149" s="68" t="str">
        <f>'[1]DATA CONSOLIDADA 2018-2025 '!$CM149-Hoja1!$CG149</f>
        <v>#REF!</v>
      </c>
      <c r="CP149" s="70">
        <v>0.0</v>
      </c>
      <c r="CQ149" s="70">
        <v>0.0</v>
      </c>
      <c r="CR149" s="70">
        <v>0.0</v>
      </c>
      <c r="CS149" s="70">
        <v>0.0</v>
      </c>
      <c r="CT149" s="70">
        <v>0.0</v>
      </c>
      <c r="CU149" s="70">
        <v>0.0</v>
      </c>
      <c r="CV149" s="64">
        <v>0.0</v>
      </c>
      <c r="CW149" s="64">
        <v>0.0</v>
      </c>
      <c r="CX149" s="64">
        <v>0.0</v>
      </c>
      <c r="CY149" s="64">
        <v>0.0</v>
      </c>
      <c r="CZ149" s="64">
        <v>0.0</v>
      </c>
      <c r="DA149" s="64">
        <v>0.0</v>
      </c>
      <c r="DB149" s="64">
        <v>0.0</v>
      </c>
      <c r="DC149" s="72">
        <v>0.0</v>
      </c>
      <c r="DD149" s="72">
        <v>0.0</v>
      </c>
      <c r="DE149" s="72">
        <v>0.0</v>
      </c>
      <c r="DF149" s="72">
        <v>0.0</v>
      </c>
      <c r="DG149" s="72">
        <v>0.0</v>
      </c>
      <c r="DH149" s="72">
        <v>0.0</v>
      </c>
      <c r="DI149" s="73">
        <v>2.049469969E10</v>
      </c>
      <c r="DJ149" s="74" t="s">
        <v>619</v>
      </c>
      <c r="DK149" s="74" t="s">
        <v>138</v>
      </c>
      <c r="DL149" s="75"/>
      <c r="DM149" s="75"/>
      <c r="DN149" s="75"/>
      <c r="DO149" s="75"/>
      <c r="DP149" s="75"/>
      <c r="DQ149" s="75"/>
      <c r="DR149" s="75"/>
      <c r="DS149" s="75"/>
      <c r="DT149" s="75"/>
      <c r="DU149" s="75"/>
      <c r="DV149" s="75"/>
      <c r="DW149" s="75"/>
      <c r="DX149" s="75"/>
      <c r="DY149" s="75"/>
      <c r="DZ149" s="75"/>
      <c r="EA149" s="75"/>
      <c r="EB149" s="75"/>
      <c r="EC149" s="75"/>
      <c r="ED149" s="75"/>
      <c r="EE149" s="75"/>
    </row>
    <row r="150" ht="47.25" hidden="1" customHeight="1">
      <c r="A150" s="55" t="s">
        <v>620</v>
      </c>
      <c r="B150" s="55" t="s">
        <v>621</v>
      </c>
      <c r="C150" s="55" t="s">
        <v>621</v>
      </c>
      <c r="D150" s="55" t="s">
        <v>593</v>
      </c>
      <c r="E150" s="55" t="s">
        <v>622</v>
      </c>
      <c r="F150" s="55" t="s">
        <v>593</v>
      </c>
      <c r="G150" s="55" t="s">
        <v>595</v>
      </c>
      <c r="H150" s="55" t="s">
        <v>623</v>
      </c>
      <c r="I150" s="56"/>
      <c r="J150" s="56">
        <v>1.0</v>
      </c>
      <c r="K150" s="56"/>
      <c r="L150" s="56"/>
      <c r="M150" s="56"/>
      <c r="N150" s="56"/>
      <c r="O150" s="56"/>
      <c r="P150" s="56"/>
      <c r="Q150" s="56" t="s">
        <v>131</v>
      </c>
      <c r="R150" s="58" t="str">
        <f t="shared" si="1"/>
        <v>2019</v>
      </c>
      <c r="S150" s="59" t="str">
        <f>SUM(Hoja1!$I150:$P150)</f>
        <v>1</v>
      </c>
      <c r="T150" s="59" t="str">
        <f>IF(OR(Hoja1!$J150=1,Hoja1!$K150=1,Hoja1!$L150=1,Hoja1!$M150=1,Hoja1!$N150=1,Hoja1!$O150=1,Hoja1!$P150=1),"SI","NO")</f>
        <v>SI</v>
      </c>
      <c r="U150" s="59" t="str">
        <f>IF(OR(Hoja1!$K150=1,Hoja1!$L150=1,Hoja1!$M150=1,Hoja1!$N150=1,Hoja1!$O150=1,Hoja1!$P150=1),"SI","NO")</f>
        <v>NO</v>
      </c>
      <c r="V150" s="60">
        <v>0.0</v>
      </c>
      <c r="W150" s="61">
        <v>34.0</v>
      </c>
      <c r="X150" s="61">
        <v>13.0</v>
      </c>
      <c r="Y150" s="60">
        <v>47.0</v>
      </c>
      <c r="Z150" s="61">
        <v>0.0</v>
      </c>
      <c r="AA150" s="61">
        <v>0.0</v>
      </c>
      <c r="AB150" s="60">
        <v>0.0</v>
      </c>
      <c r="AC150" s="61">
        <v>0.0</v>
      </c>
      <c r="AD150" s="61">
        <v>0.0</v>
      </c>
      <c r="AE150" s="60">
        <v>0.0</v>
      </c>
      <c r="AF150" s="61">
        <v>0.0</v>
      </c>
      <c r="AG150" s="61">
        <v>0.0</v>
      </c>
      <c r="AH150" s="60">
        <v>0.0</v>
      </c>
      <c r="AI150" s="61">
        <v>0.0</v>
      </c>
      <c r="AJ150" s="61">
        <v>0.0</v>
      </c>
      <c r="AK150" s="60">
        <v>0.0</v>
      </c>
      <c r="AL150" s="61">
        <v>0.0</v>
      </c>
      <c r="AM150" s="61">
        <v>0.0</v>
      </c>
      <c r="AN150" s="60">
        <v>0.0</v>
      </c>
      <c r="AO150" s="62">
        <v>0.0</v>
      </c>
      <c r="AP150" s="62">
        <v>0.0</v>
      </c>
      <c r="AQ150" s="60">
        <v>0.0</v>
      </c>
      <c r="AR150" s="60" t="str">
        <f>IF(Hoja1!$AQ150&gt;0,Hoja1!$AQ150,IF(Hoja1!$AN150&gt;0,Hoja1!$AN150,IF(Hoja1!$AK150&gt;0,Hoja1!$AK150,IF(Hoja1!$AH150&gt;0,Hoja1!$AH150,IF(Hoja1!$AE150&gt;0,Hoja1!$AE150,IF(Hoja1!$AB150&gt;0,Hoja1!$AB150,IF(Hoja1!$Y150&gt;0,Hoja1!$Y150,IF(Hoja1!$V150&gt;0,Hoja1!$V150," ---"))))))))</f>
        <v>47</v>
      </c>
      <c r="AS150" s="63">
        <v>0.0</v>
      </c>
      <c r="AT150" s="63">
        <v>0.0</v>
      </c>
      <c r="AU150" s="63">
        <v>0.0</v>
      </c>
      <c r="AV150" s="63">
        <v>0.0</v>
      </c>
      <c r="AW150" s="63">
        <v>0.0</v>
      </c>
      <c r="AX150" s="63">
        <v>0.0</v>
      </c>
      <c r="AY150" s="63">
        <v>0.0</v>
      </c>
      <c r="AZ150" s="63">
        <v>0.0</v>
      </c>
      <c r="BA150" s="63">
        <v>0.0</v>
      </c>
      <c r="BB150" s="63">
        <v>0.0</v>
      </c>
      <c r="BC150" s="63">
        <v>0.0</v>
      </c>
      <c r="BD150" s="63">
        <v>0.0</v>
      </c>
      <c r="BE150" s="66">
        <v>0.0</v>
      </c>
      <c r="BF150" s="65">
        <v>2136.0</v>
      </c>
      <c r="BG150" s="65">
        <v>0.0</v>
      </c>
      <c r="BH150" s="66">
        <v>2136.0</v>
      </c>
      <c r="BI150" s="67" t="str">
        <f t="shared" ref="BI150:BI165" si="32">IF('[1]DATA CONSOLIDADA 2018-2025 '!$BH150&gt;'[1]DATA CONSOLIDADA 2018-2025 '!$AN150,"Incremento",IF('[1]DATA CONSOLIDADA 2018-2025 '!$AN150='[1]DATA CONSOLIDADA 2018-2025 '!$BH150,"Sin incremento",IF('[1]DATA CONSOLIDADA 2018-2025 '!$BH150&lt;'[1]DATA CONSOLIDADA 2018-2025 '!$AN150,"Disminución"," ---")))</f>
        <v>#REF!</v>
      </c>
      <c r="BJ150" s="68" t="str">
        <f t="shared" ref="BJ150:BJ165" si="33">'[1]DATA CONSOLIDADA 2018-2025 '!$BH150-'[1]DATA CONSOLIDADA 2018-2025 '!$BE150</f>
        <v>#REF!</v>
      </c>
      <c r="BK150" s="65">
        <v>0.0</v>
      </c>
      <c r="BL150" s="65">
        <v>0.0</v>
      </c>
      <c r="BM150" s="66">
        <v>0.0</v>
      </c>
      <c r="BN150" s="67" t="str">
        <f t="shared" ref="BN150:BN165" si="34">IF('[1]DATA CONSOLIDADA 2018-2025 '!$BM150&gt;'[1]DATA CONSOLIDADA 2018-2025 '!$BH150,"Incremento",IF('[1]DATA CONSOLIDADA 2018-2025 '!$BH150='[1]DATA CONSOLIDADA 2018-2025 '!$BM150,"Sin incremento",IF('[1]DATA CONSOLIDADA 2018-2025 '!$BM150&lt;'[1]DATA CONSOLIDADA 2018-2025 '!$BH150,"Disminución"," ---")))</f>
        <v>#REF!</v>
      </c>
      <c r="BO150" s="68" t="str">
        <f t="shared" ref="BO150:BO165" si="35">'[1]DATA CONSOLIDADA 2018-2025 '!$BM150-'[1]DATA CONSOLIDADA 2018-2025 '!$BH150</f>
        <v>#REF!</v>
      </c>
      <c r="BP150" s="65">
        <v>0.0</v>
      </c>
      <c r="BQ150" s="65">
        <v>0.0</v>
      </c>
      <c r="BR150" s="66">
        <v>0.0</v>
      </c>
      <c r="BS150" s="67" t="str">
        <f t="shared" ref="BS150:BS165" si="36">IF('[1]DATA CONSOLIDADA 2018-2025 '!$BR150&gt;'[1]DATA CONSOLIDADA 2018-2025 '!$BM150,"Incremento",IF('[1]DATA CONSOLIDADA 2018-2025 '!$BM150='[1]DATA CONSOLIDADA 2018-2025 '!$BR150,"Sin incremento",IF('[1]DATA CONSOLIDADA 2018-2025 '!$BR150&lt;'[1]DATA CONSOLIDADA 2018-2025 '!$BM150,"Disminución"," ---")))</f>
        <v>#REF!</v>
      </c>
      <c r="BT150" s="68" t="str">
        <f>'[1]DATA CONSOLIDADA 2018-2025 '!$BR150-Hoja1!$BO150</f>
        <v>#REF!</v>
      </c>
      <c r="BU150" s="65">
        <v>0.0</v>
      </c>
      <c r="BV150" s="65">
        <v>0.0</v>
      </c>
      <c r="BW150" s="66">
        <v>0.0</v>
      </c>
      <c r="BX150" s="67" t="str">
        <f t="shared" ref="BX150:BX165" si="37">IF('[1]DATA CONSOLIDADA 2018-2025 '!$BW150&gt;'[1]DATA CONSOLIDADA 2018-2025 '!$BR150,"Incremento",IF('[1]DATA CONSOLIDADA 2018-2025 '!$BR150='[1]DATA CONSOLIDADA 2018-2025 '!$BW150,"Sin incremento",IF('[1]DATA CONSOLIDADA 2018-2025 '!$BW150&lt;'[1]DATA CONSOLIDADA 2018-2025 '!$BR150,"Disminución"," ---")))</f>
        <v>#REF!</v>
      </c>
      <c r="BY150" s="68" t="str">
        <f t="shared" ref="BY150:BY165" si="38">'[1]DATA CONSOLIDADA 2018-2025 '!$BW150-'[1]DATA CONSOLIDADA 2018-2025 '!$BR150</f>
        <v>#REF!</v>
      </c>
      <c r="BZ150" s="65">
        <v>0.0</v>
      </c>
      <c r="CA150" s="65">
        <v>0.0</v>
      </c>
      <c r="CB150" s="66">
        <v>0.0</v>
      </c>
      <c r="CC150" s="67" t="str">
        <f t="shared" ref="CC150:CC165" si="39">IF('[1]DATA CONSOLIDADA 2018-2025 '!$CB150&gt;'[1]DATA CONSOLIDADA 2018-2025 '!$BW150,"Incremento",IF('[1]DATA CONSOLIDADA 2018-2025 '!$BW150='[1]DATA CONSOLIDADA 2018-2025 '!$CB150,"Sin incremento",IF('[1]DATA CONSOLIDADA 2018-2025 '!$CB150&lt;'[1]DATA CONSOLIDADA 2018-2025 '!$BW150,"Disminución"," ---")))</f>
        <v>#REF!</v>
      </c>
      <c r="CD150" s="68" t="str">
        <f>'[1]DATA CONSOLIDADA 2018-2025 '!$CB150-Hoja1!$BW150</f>
        <v>#REF!</v>
      </c>
      <c r="CE150" s="70">
        <v>0.0</v>
      </c>
      <c r="CF150" s="70">
        <v>0.0</v>
      </c>
      <c r="CG150" s="71">
        <v>0.0</v>
      </c>
      <c r="CH150" s="67" t="str">
        <f t="shared" ref="CH150:CH165" si="40">IF('[1]DATA CONSOLIDADA 2018-2025 '!$CG150&gt;'[1]DATA CONSOLIDADA 2018-2025 '!$CB150,"Incremento",IF('[1]DATA CONSOLIDADA 2018-2025 '!$CB150='[1]DATA CONSOLIDADA 2018-2025 '!$CG150,"Sin incremento",IF('[1]DATA CONSOLIDADA 2018-2025 '!$CG150&lt;'[1]DATA CONSOLIDADA 2018-2025 '!$CB150,"Disminución"," ---")))</f>
        <v>#REF!</v>
      </c>
      <c r="CI150" s="68" t="str">
        <f>'[1]DATA CONSOLIDADA 2018-2025 '!$CG150-Hoja1!$CB150</f>
        <v>#REF!</v>
      </c>
      <c r="CJ150" s="64" t="str">
        <f t="shared" si="22"/>
        <v>#REF!</v>
      </c>
      <c r="CK150" s="64">
        <v>0.0</v>
      </c>
      <c r="CL150" s="64">
        <v>0.0</v>
      </c>
      <c r="CM150" s="64">
        <v>0.0</v>
      </c>
      <c r="CN150" s="64" t="str">
        <f t="shared" si="12"/>
        <v>#REF!</v>
      </c>
      <c r="CO150" s="68" t="str">
        <f>'[1]DATA CONSOLIDADA 2018-2025 '!$CM150-Hoja1!$CG150</f>
        <v>#REF!</v>
      </c>
      <c r="CP150" s="70">
        <v>0.0</v>
      </c>
      <c r="CQ150" s="70">
        <v>0.0</v>
      </c>
      <c r="CR150" s="70">
        <v>0.0</v>
      </c>
      <c r="CS150" s="70">
        <v>0.0</v>
      </c>
      <c r="CT150" s="70">
        <v>0.0</v>
      </c>
      <c r="CU150" s="70">
        <v>0.0</v>
      </c>
      <c r="CV150" s="64">
        <v>0.0</v>
      </c>
      <c r="CW150" s="64">
        <v>0.0</v>
      </c>
      <c r="CX150" s="64">
        <v>0.0</v>
      </c>
      <c r="CY150" s="64">
        <v>0.0</v>
      </c>
      <c r="CZ150" s="64">
        <v>0.0</v>
      </c>
      <c r="DA150" s="64">
        <v>0.0</v>
      </c>
      <c r="DB150" s="64">
        <v>0.0</v>
      </c>
      <c r="DC150" s="72">
        <v>0.0</v>
      </c>
      <c r="DD150" s="72">
        <v>0.0</v>
      </c>
      <c r="DE150" s="72">
        <v>0.0</v>
      </c>
      <c r="DF150" s="72">
        <v>0.0</v>
      </c>
      <c r="DG150" s="72">
        <v>0.0</v>
      </c>
      <c r="DH150" s="72">
        <v>0.0</v>
      </c>
      <c r="DI150" s="73">
        <v>2.0573325223E10</v>
      </c>
      <c r="DJ150" s="74" t="s">
        <v>624</v>
      </c>
      <c r="DK150" s="74" t="s">
        <v>132</v>
      </c>
      <c r="DL150" s="75"/>
      <c r="DM150" s="75"/>
      <c r="DN150" s="75"/>
      <c r="DO150" s="75"/>
      <c r="DP150" s="75"/>
      <c r="DQ150" s="75"/>
      <c r="DR150" s="75"/>
      <c r="DS150" s="75"/>
      <c r="DT150" s="75"/>
      <c r="DU150" s="75"/>
      <c r="DV150" s="75"/>
      <c r="DW150" s="75"/>
      <c r="DX150" s="75"/>
      <c r="DY150" s="75"/>
      <c r="DZ150" s="75"/>
      <c r="EA150" s="75"/>
      <c r="EB150" s="75"/>
      <c r="EC150" s="75"/>
      <c r="ED150" s="75"/>
      <c r="EE150" s="75"/>
    </row>
    <row r="151" ht="47.25" customHeight="1">
      <c r="A151" s="55" t="s">
        <v>625</v>
      </c>
      <c r="B151" s="55" t="s">
        <v>146</v>
      </c>
      <c r="C151" s="55" t="s">
        <v>146</v>
      </c>
      <c r="D151" s="55" t="s">
        <v>593</v>
      </c>
      <c r="E151" s="55" t="s">
        <v>626</v>
      </c>
      <c r="F151" s="55" t="s">
        <v>593</v>
      </c>
      <c r="G151" s="55" t="s">
        <v>595</v>
      </c>
      <c r="H151" s="55" t="s">
        <v>627</v>
      </c>
      <c r="I151" s="56"/>
      <c r="J151" s="56">
        <v>1.0</v>
      </c>
      <c r="K151" s="56">
        <v>1.0</v>
      </c>
      <c r="L151" s="56">
        <v>1.0</v>
      </c>
      <c r="M151" s="56">
        <v>1.0</v>
      </c>
      <c r="N151" s="56"/>
      <c r="O151" s="56"/>
      <c r="P151" s="56"/>
      <c r="Q151" s="56" t="s">
        <v>131</v>
      </c>
      <c r="R151" s="58" t="str">
        <f t="shared" si="1"/>
        <v>2019-2020-2021-2022</v>
      </c>
      <c r="S151" s="59" t="str">
        <f>SUM(Hoja1!$I151:$P151)</f>
        <v>4</v>
      </c>
      <c r="T151" s="59" t="str">
        <f>IF(OR(Hoja1!$J151=1,Hoja1!$K151=1,Hoja1!$L151=1,Hoja1!$M151=1,Hoja1!$N151=1,Hoja1!$O151=1,Hoja1!$P151=1),"SI","NO")</f>
        <v>SI</v>
      </c>
      <c r="U151" s="59" t="str">
        <f>IF(OR(Hoja1!$K151=1,Hoja1!$L151=1,Hoja1!$M151=1,Hoja1!$N151=1,Hoja1!$O151=1,Hoja1!$P151=1),"SI","NO")</f>
        <v>SI</v>
      </c>
      <c r="V151" s="60">
        <v>0.0</v>
      </c>
      <c r="W151" s="61">
        <v>40.0</v>
      </c>
      <c r="X151" s="61">
        <v>20.0</v>
      </c>
      <c r="Y151" s="60">
        <v>60.0</v>
      </c>
      <c r="Z151" s="61">
        <v>65.0</v>
      </c>
      <c r="AA151" s="61">
        <v>32.0</v>
      </c>
      <c r="AB151" s="60">
        <v>97.0</v>
      </c>
      <c r="AC151" s="61">
        <v>63.0</v>
      </c>
      <c r="AD151" s="61">
        <v>32.0</v>
      </c>
      <c r="AE151" s="60">
        <v>95.0</v>
      </c>
      <c r="AF151" s="61">
        <v>63.0</v>
      </c>
      <c r="AG151" s="61">
        <v>32.0</v>
      </c>
      <c r="AH151" s="60">
        <v>95.0</v>
      </c>
      <c r="AI151" s="61">
        <v>0.0</v>
      </c>
      <c r="AJ151" s="61">
        <v>0.0</v>
      </c>
      <c r="AK151" s="60">
        <v>0.0</v>
      </c>
      <c r="AL151" s="61">
        <v>0.0</v>
      </c>
      <c r="AM151" s="61">
        <v>0.0</v>
      </c>
      <c r="AN151" s="60">
        <v>0.0</v>
      </c>
      <c r="AO151" s="62">
        <v>0.0</v>
      </c>
      <c r="AP151" s="62">
        <v>0.0</v>
      </c>
      <c r="AQ151" s="60">
        <v>0.0</v>
      </c>
      <c r="AR151" s="60" t="str">
        <f>IF(Hoja1!$AQ151&gt;0,Hoja1!$AQ151,IF(Hoja1!$AN151&gt;0,Hoja1!$AN151,IF(Hoja1!$AK151&gt;0,Hoja1!$AK151,IF(Hoja1!$AH151&gt;0,Hoja1!$AH151,IF(Hoja1!$AE151&gt;0,Hoja1!$AE151,IF(Hoja1!$AB151&gt;0,Hoja1!$AB151,IF(Hoja1!$Y151&gt;0,Hoja1!$Y151,IF(Hoja1!$V151&gt;0,Hoja1!$V151," ---"))))))))</f>
        <v>95</v>
      </c>
      <c r="AS151" s="63">
        <v>0.0</v>
      </c>
      <c r="AT151" s="63">
        <v>0.0</v>
      </c>
      <c r="AU151" s="63">
        <v>72.0</v>
      </c>
      <c r="AV151" s="63">
        <v>3.0</v>
      </c>
      <c r="AW151" s="63">
        <v>64.0</v>
      </c>
      <c r="AX151" s="63">
        <v>0.0</v>
      </c>
      <c r="AY151" s="63">
        <v>0.0</v>
      </c>
      <c r="AZ151" s="63">
        <v>0.0</v>
      </c>
      <c r="BA151" s="63">
        <v>0.0</v>
      </c>
      <c r="BB151" s="63">
        <v>0.0</v>
      </c>
      <c r="BC151" s="63">
        <v>0.0</v>
      </c>
      <c r="BD151" s="63">
        <v>0.0</v>
      </c>
      <c r="BE151" s="66">
        <v>0.0</v>
      </c>
      <c r="BF151" s="65">
        <v>350100.0</v>
      </c>
      <c r="BG151" s="65">
        <v>0.0</v>
      </c>
      <c r="BH151" s="66">
        <v>350100.0</v>
      </c>
      <c r="BI151" s="67" t="str">
        <f t="shared" si="32"/>
        <v>#REF!</v>
      </c>
      <c r="BJ151" s="68" t="str">
        <f t="shared" si="33"/>
        <v>#REF!</v>
      </c>
      <c r="BK151" s="65">
        <v>645114.0</v>
      </c>
      <c r="BL151" s="65">
        <v>0.0</v>
      </c>
      <c r="BM151" s="66">
        <v>645114.0</v>
      </c>
      <c r="BN151" s="67" t="str">
        <f t="shared" si="34"/>
        <v>#REF!</v>
      </c>
      <c r="BO151" s="68" t="str">
        <f t="shared" si="35"/>
        <v>#REF!</v>
      </c>
      <c r="BP151" s="65">
        <v>125409.0</v>
      </c>
      <c r="BQ151" s="65">
        <v>0.0</v>
      </c>
      <c r="BR151" s="66">
        <v>125409.0</v>
      </c>
      <c r="BS151" s="67" t="str">
        <f t="shared" si="36"/>
        <v>#REF!</v>
      </c>
      <c r="BT151" s="68" t="str">
        <f>'[1]DATA CONSOLIDADA 2018-2025 '!$BR151-Hoja1!$BO151</f>
        <v>#REF!</v>
      </c>
      <c r="BU151" s="65">
        <v>34050.0</v>
      </c>
      <c r="BV151" s="65">
        <v>0.0</v>
      </c>
      <c r="BW151" s="66">
        <v>34050.0</v>
      </c>
      <c r="BX151" s="67" t="str">
        <f t="shared" si="37"/>
        <v>#REF!</v>
      </c>
      <c r="BY151" s="68" t="str">
        <f t="shared" si="38"/>
        <v>#REF!</v>
      </c>
      <c r="BZ151" s="65">
        <v>0.0</v>
      </c>
      <c r="CA151" s="65">
        <v>0.0</v>
      </c>
      <c r="CB151" s="66">
        <v>0.0</v>
      </c>
      <c r="CC151" s="67" t="str">
        <f t="shared" si="39"/>
        <v>#REF!</v>
      </c>
      <c r="CD151" s="68" t="str">
        <f>'[1]DATA CONSOLIDADA 2018-2025 '!$CB151-Hoja1!$BW151</f>
        <v>#REF!</v>
      </c>
      <c r="CE151" s="70">
        <v>0.0</v>
      </c>
      <c r="CF151" s="70">
        <v>0.0</v>
      </c>
      <c r="CG151" s="71">
        <v>0.0</v>
      </c>
      <c r="CH151" s="67" t="str">
        <f t="shared" si="40"/>
        <v>#REF!</v>
      </c>
      <c r="CI151" s="68" t="str">
        <f>'[1]DATA CONSOLIDADA 2018-2025 '!$CG151-Hoja1!$CB151</f>
        <v>#REF!</v>
      </c>
      <c r="CJ151" s="64" t="str">
        <f t="shared" si="22"/>
        <v>#REF!</v>
      </c>
      <c r="CK151" s="64">
        <v>0.0</v>
      </c>
      <c r="CL151" s="64">
        <v>0.0</v>
      </c>
      <c r="CM151" s="64">
        <v>0.0</v>
      </c>
      <c r="CN151" s="64" t="str">
        <f t="shared" si="12"/>
        <v>#REF!</v>
      </c>
      <c r="CO151" s="68" t="str">
        <f>'[1]DATA CONSOLIDADA 2018-2025 '!$CM151-Hoja1!$CG151</f>
        <v>#REF!</v>
      </c>
      <c r="CP151" s="70">
        <v>0.0</v>
      </c>
      <c r="CQ151" s="70">
        <v>0.0</v>
      </c>
      <c r="CR151" s="70">
        <v>0.0</v>
      </c>
      <c r="CS151" s="70">
        <v>0.0</v>
      </c>
      <c r="CT151" s="70">
        <v>0.0</v>
      </c>
      <c r="CU151" s="70">
        <v>0.0</v>
      </c>
      <c r="CV151" s="64">
        <v>0.0</v>
      </c>
      <c r="CW151" s="64">
        <v>0.0</v>
      </c>
      <c r="CX151" s="64">
        <v>0.0</v>
      </c>
      <c r="CY151" s="64">
        <v>0.0</v>
      </c>
      <c r="CZ151" s="64">
        <v>0.0</v>
      </c>
      <c r="DA151" s="64">
        <v>0.0</v>
      </c>
      <c r="DB151" s="64">
        <v>0.0</v>
      </c>
      <c r="DC151" s="72">
        <v>0.0</v>
      </c>
      <c r="DD151" s="72">
        <v>0.0</v>
      </c>
      <c r="DE151" s="72">
        <v>0.0</v>
      </c>
      <c r="DF151" s="72">
        <v>0.0</v>
      </c>
      <c r="DG151" s="72">
        <v>0.0</v>
      </c>
      <c r="DH151" s="72">
        <v>0.0</v>
      </c>
      <c r="DI151" s="73">
        <v>2.0542482886E10</v>
      </c>
      <c r="DJ151" s="74" t="s">
        <v>625</v>
      </c>
      <c r="DK151" s="74" t="s">
        <v>132</v>
      </c>
      <c r="DL151" s="75"/>
      <c r="DM151" s="75"/>
      <c r="DN151" s="75"/>
      <c r="DO151" s="75"/>
      <c r="DP151" s="75"/>
      <c r="DQ151" s="75"/>
      <c r="DR151" s="75"/>
      <c r="DS151" s="75"/>
      <c r="DT151" s="75"/>
      <c r="DU151" s="75"/>
      <c r="DV151" s="75"/>
      <c r="DW151" s="75"/>
      <c r="DX151" s="75"/>
      <c r="DY151" s="75"/>
      <c r="DZ151" s="75"/>
      <c r="EA151" s="75"/>
      <c r="EB151" s="75"/>
      <c r="EC151" s="75"/>
      <c r="ED151" s="75"/>
      <c r="EE151" s="75"/>
    </row>
    <row r="152" ht="47.25" customHeight="1">
      <c r="A152" s="55" t="s">
        <v>628</v>
      </c>
      <c r="B152" s="55" t="s">
        <v>146</v>
      </c>
      <c r="C152" s="55" t="s">
        <v>146</v>
      </c>
      <c r="D152" s="55" t="s">
        <v>593</v>
      </c>
      <c r="E152" s="55" t="s">
        <v>629</v>
      </c>
      <c r="F152" s="55" t="s">
        <v>593</v>
      </c>
      <c r="G152" s="55" t="s">
        <v>595</v>
      </c>
      <c r="H152" s="55" t="s">
        <v>630</v>
      </c>
      <c r="I152" s="56"/>
      <c r="J152" s="56">
        <v>1.0</v>
      </c>
      <c r="K152" s="56">
        <v>1.0</v>
      </c>
      <c r="L152" s="56">
        <v>1.0</v>
      </c>
      <c r="M152" s="56">
        <v>1.0</v>
      </c>
      <c r="N152" s="56">
        <v>1.0</v>
      </c>
      <c r="O152" s="56"/>
      <c r="P152" s="56"/>
      <c r="Q152" s="56" t="s">
        <v>131</v>
      </c>
      <c r="R152" s="58" t="str">
        <f t="shared" si="1"/>
        <v>2019-2020-2021-2022-2023</v>
      </c>
      <c r="S152" s="59" t="str">
        <f>SUM(Hoja1!$I152:$P152)</f>
        <v>5</v>
      </c>
      <c r="T152" s="59" t="str">
        <f>IF(OR(Hoja1!$J152=1,Hoja1!$K152=1,Hoja1!$L152=1,Hoja1!$M152=1,Hoja1!$N152=1,Hoja1!$O152=1,Hoja1!$P152=1),"SI","NO")</f>
        <v>SI</v>
      </c>
      <c r="U152" s="59" t="str">
        <f>IF(OR(Hoja1!$K152=1,Hoja1!$L152=1,Hoja1!$M152=1,Hoja1!$N152=1,Hoja1!$O152=1,Hoja1!$P152=1),"SI","NO")</f>
        <v>SI</v>
      </c>
      <c r="V152" s="60">
        <v>0.0</v>
      </c>
      <c r="W152" s="61">
        <v>21.0</v>
      </c>
      <c r="X152" s="61">
        <v>51.0</v>
      </c>
      <c r="Y152" s="60">
        <v>72.0</v>
      </c>
      <c r="Z152" s="61">
        <v>30.0</v>
      </c>
      <c r="AA152" s="61">
        <v>41.0</v>
      </c>
      <c r="AB152" s="60">
        <v>71.0</v>
      </c>
      <c r="AC152" s="61">
        <v>29.0</v>
      </c>
      <c r="AD152" s="61">
        <v>42.0</v>
      </c>
      <c r="AE152" s="60">
        <v>71.0</v>
      </c>
      <c r="AF152" s="61">
        <v>29.0</v>
      </c>
      <c r="AG152" s="61">
        <v>42.0</v>
      </c>
      <c r="AH152" s="60">
        <v>71.0</v>
      </c>
      <c r="AI152" s="61">
        <v>29.0</v>
      </c>
      <c r="AJ152" s="61">
        <v>42.0</v>
      </c>
      <c r="AK152" s="60">
        <v>71.0</v>
      </c>
      <c r="AL152" s="61">
        <v>0.0</v>
      </c>
      <c r="AM152" s="61">
        <v>0.0</v>
      </c>
      <c r="AN152" s="60">
        <v>0.0</v>
      </c>
      <c r="AO152" s="62">
        <v>0.0</v>
      </c>
      <c r="AP152" s="62">
        <v>0.0</v>
      </c>
      <c r="AQ152" s="60">
        <v>0.0</v>
      </c>
      <c r="AR152" s="60" t="str">
        <f>IF(Hoja1!$AQ152&gt;0,Hoja1!$AQ152,IF(Hoja1!$AN152&gt;0,Hoja1!$AN152,IF(Hoja1!$AK152&gt;0,Hoja1!$AK152,IF(Hoja1!$AH152&gt;0,Hoja1!$AH152,IF(Hoja1!$AE152&gt;0,Hoja1!$AE152,IF(Hoja1!$AB152&gt;0,Hoja1!$AB152,IF(Hoja1!$Y152&gt;0,Hoja1!$Y152,IF(Hoja1!$V152&gt;0,Hoja1!$V152," ---"))))))))</f>
        <v>71</v>
      </c>
      <c r="AS152" s="63">
        <v>0.0</v>
      </c>
      <c r="AT152" s="63">
        <v>1.0</v>
      </c>
      <c r="AU152" s="63">
        <v>48.0</v>
      </c>
      <c r="AV152" s="63">
        <v>2.0</v>
      </c>
      <c r="AW152" s="63">
        <v>56.0</v>
      </c>
      <c r="AX152" s="63">
        <v>0.0</v>
      </c>
      <c r="AY152" s="63">
        <v>50.0</v>
      </c>
      <c r="AZ152" s="63">
        <v>1.0</v>
      </c>
      <c r="BA152" s="63">
        <v>0.0</v>
      </c>
      <c r="BB152" s="63">
        <v>0.0</v>
      </c>
      <c r="BC152" s="63">
        <v>0.0</v>
      </c>
      <c r="BD152" s="63">
        <v>0.0</v>
      </c>
      <c r="BE152" s="66">
        <v>0.0</v>
      </c>
      <c r="BF152" s="65">
        <v>0.0</v>
      </c>
      <c r="BG152" s="65">
        <v>0.0</v>
      </c>
      <c r="BH152" s="66">
        <v>0.0</v>
      </c>
      <c r="BI152" s="67" t="str">
        <f t="shared" si="32"/>
        <v>#REF!</v>
      </c>
      <c r="BJ152" s="68" t="str">
        <f t="shared" si="33"/>
        <v>#REF!</v>
      </c>
      <c r="BK152" s="65">
        <v>61283.38</v>
      </c>
      <c r="BL152" s="65">
        <v>0.0</v>
      </c>
      <c r="BM152" s="66">
        <v>61283.38</v>
      </c>
      <c r="BN152" s="67" t="str">
        <f t="shared" si="34"/>
        <v>#REF!</v>
      </c>
      <c r="BO152" s="68" t="str">
        <f t="shared" si="35"/>
        <v>#REF!</v>
      </c>
      <c r="BP152" s="65">
        <v>83713.92</v>
      </c>
      <c r="BQ152" s="65">
        <v>0.0</v>
      </c>
      <c r="BR152" s="66">
        <v>83713.92</v>
      </c>
      <c r="BS152" s="67" t="str">
        <f t="shared" si="36"/>
        <v>#REF!</v>
      </c>
      <c r="BT152" s="68" t="str">
        <f>'[1]DATA CONSOLIDADA 2018-2025 '!$BR152-Hoja1!$BO152</f>
        <v>#REF!</v>
      </c>
      <c r="BU152" s="65">
        <v>154702.22</v>
      </c>
      <c r="BV152" s="65">
        <v>0.0</v>
      </c>
      <c r="BW152" s="66">
        <v>154702.22</v>
      </c>
      <c r="BX152" s="67" t="str">
        <f t="shared" si="37"/>
        <v>#REF!</v>
      </c>
      <c r="BY152" s="68" t="str">
        <f t="shared" si="38"/>
        <v>#REF!</v>
      </c>
      <c r="BZ152" s="65">
        <v>128099.45</v>
      </c>
      <c r="CA152" s="65">
        <v>0.0</v>
      </c>
      <c r="CB152" s="66">
        <v>128099.45</v>
      </c>
      <c r="CC152" s="67" t="str">
        <f t="shared" si="39"/>
        <v>#REF!</v>
      </c>
      <c r="CD152" s="68" t="str">
        <f>'[1]DATA CONSOLIDADA 2018-2025 '!$CB152-Hoja1!$BW152</f>
        <v>#REF!</v>
      </c>
      <c r="CE152" s="70">
        <v>0.0</v>
      </c>
      <c r="CF152" s="70">
        <v>0.0</v>
      </c>
      <c r="CG152" s="71">
        <v>0.0</v>
      </c>
      <c r="CH152" s="67" t="str">
        <f t="shared" si="40"/>
        <v>#REF!</v>
      </c>
      <c r="CI152" s="68" t="str">
        <f>'[1]DATA CONSOLIDADA 2018-2025 '!$CG152-Hoja1!$CB152</f>
        <v>#REF!</v>
      </c>
      <c r="CJ152" s="64" t="str">
        <f t="shared" si="22"/>
        <v>#REF!</v>
      </c>
      <c r="CK152" s="64">
        <v>0.0</v>
      </c>
      <c r="CL152" s="64">
        <v>0.0</v>
      </c>
      <c r="CM152" s="64">
        <v>0.0</v>
      </c>
      <c r="CN152" s="64" t="str">
        <f t="shared" si="12"/>
        <v>#REF!</v>
      </c>
      <c r="CO152" s="68" t="str">
        <f>'[1]DATA CONSOLIDADA 2018-2025 '!$CM152-Hoja1!$CG152</f>
        <v>#REF!</v>
      </c>
      <c r="CP152" s="70">
        <v>90768.10199999998</v>
      </c>
      <c r="CQ152" s="70">
        <v>0.0</v>
      </c>
      <c r="CR152" s="70">
        <v>0.0</v>
      </c>
      <c r="CS152" s="70">
        <v>37311.350000000006</v>
      </c>
      <c r="CT152" s="70">
        <v>0.0</v>
      </c>
      <c r="CU152" s="70">
        <v>0.0</v>
      </c>
      <c r="CV152" s="64">
        <v>128079.45199999999</v>
      </c>
      <c r="CW152" s="64">
        <v>0.0</v>
      </c>
      <c r="CX152" s="64">
        <v>0.0</v>
      </c>
      <c r="CY152" s="64">
        <v>0.0</v>
      </c>
      <c r="CZ152" s="64">
        <v>0.0</v>
      </c>
      <c r="DA152" s="64">
        <v>0.0</v>
      </c>
      <c r="DB152" s="64">
        <v>0.0</v>
      </c>
      <c r="DC152" s="72">
        <v>0.0</v>
      </c>
      <c r="DD152" s="72">
        <v>0.0</v>
      </c>
      <c r="DE152" s="72">
        <v>0.0</v>
      </c>
      <c r="DF152" s="72">
        <v>0.0</v>
      </c>
      <c r="DG152" s="72">
        <v>0.0</v>
      </c>
      <c r="DH152" s="72">
        <v>0.0</v>
      </c>
      <c r="DI152" s="73">
        <v>2.060066843E10</v>
      </c>
      <c r="DJ152" s="74" t="s">
        <v>631</v>
      </c>
      <c r="DK152" s="74" t="s">
        <v>132</v>
      </c>
      <c r="DL152" s="75"/>
      <c r="DM152" s="75"/>
      <c r="DN152" s="75"/>
      <c r="DO152" s="75"/>
      <c r="DP152" s="75"/>
      <c r="DQ152" s="75"/>
      <c r="DR152" s="75"/>
      <c r="DS152" s="75"/>
      <c r="DT152" s="75"/>
      <c r="DU152" s="75"/>
      <c r="DV152" s="75"/>
      <c r="DW152" s="75"/>
      <c r="DX152" s="75"/>
      <c r="DY152" s="75"/>
      <c r="DZ152" s="75"/>
      <c r="EA152" s="75"/>
      <c r="EB152" s="75"/>
      <c r="EC152" s="75"/>
      <c r="ED152" s="75"/>
      <c r="EE152" s="75"/>
    </row>
    <row r="153" ht="47.25" hidden="1" customHeight="1">
      <c r="A153" s="55" t="s">
        <v>632</v>
      </c>
      <c r="B153" s="55" t="s">
        <v>621</v>
      </c>
      <c r="C153" s="55" t="s">
        <v>621</v>
      </c>
      <c r="D153" s="55" t="s">
        <v>593</v>
      </c>
      <c r="E153" s="55" t="s">
        <v>633</v>
      </c>
      <c r="F153" s="55" t="s">
        <v>593</v>
      </c>
      <c r="G153" s="55" t="s">
        <v>595</v>
      </c>
      <c r="H153" s="55" t="s">
        <v>634</v>
      </c>
      <c r="I153" s="56"/>
      <c r="J153" s="56">
        <v>1.0</v>
      </c>
      <c r="K153" s="56">
        <v>1.0</v>
      </c>
      <c r="L153" s="56">
        <v>1.0</v>
      </c>
      <c r="M153" s="56"/>
      <c r="N153" s="56"/>
      <c r="O153" s="56"/>
      <c r="P153" s="56"/>
      <c r="Q153" s="56" t="s">
        <v>131</v>
      </c>
      <c r="R153" s="58" t="str">
        <f t="shared" si="1"/>
        <v>2019-2020-2021</v>
      </c>
      <c r="S153" s="59" t="str">
        <f>SUM(Hoja1!$I153:$P153)</f>
        <v>3</v>
      </c>
      <c r="T153" s="59" t="str">
        <f>IF(OR(Hoja1!$J153=1,Hoja1!$K153=1,Hoja1!$L153=1,Hoja1!$M153=1,Hoja1!$N153=1,Hoja1!$O153=1,Hoja1!$P153=1),"SI","NO")</f>
        <v>SI</v>
      </c>
      <c r="U153" s="59" t="str">
        <f>IF(OR(Hoja1!$K153=1,Hoja1!$L153=1,Hoja1!$M153=1,Hoja1!$N153=1,Hoja1!$O153=1,Hoja1!$P153=1),"SI","NO")</f>
        <v>SI</v>
      </c>
      <c r="V153" s="60">
        <v>0.0</v>
      </c>
      <c r="W153" s="61">
        <v>19.0</v>
      </c>
      <c r="X153" s="61">
        <v>18.0</v>
      </c>
      <c r="Y153" s="60">
        <v>37.0</v>
      </c>
      <c r="Z153" s="61">
        <v>19.0</v>
      </c>
      <c r="AA153" s="61">
        <v>18.0</v>
      </c>
      <c r="AB153" s="60">
        <v>37.0</v>
      </c>
      <c r="AC153" s="61">
        <v>21.0</v>
      </c>
      <c r="AD153" s="61">
        <v>18.0</v>
      </c>
      <c r="AE153" s="60">
        <v>39.0</v>
      </c>
      <c r="AF153" s="61">
        <v>21.0</v>
      </c>
      <c r="AG153" s="61">
        <v>18.0</v>
      </c>
      <c r="AH153" s="60">
        <v>39.0</v>
      </c>
      <c r="AI153" s="61">
        <v>0.0</v>
      </c>
      <c r="AJ153" s="61">
        <v>0.0</v>
      </c>
      <c r="AK153" s="60">
        <v>0.0</v>
      </c>
      <c r="AL153" s="61">
        <v>0.0</v>
      </c>
      <c r="AM153" s="61">
        <v>0.0</v>
      </c>
      <c r="AN153" s="60">
        <v>0.0</v>
      </c>
      <c r="AO153" s="62">
        <v>0.0</v>
      </c>
      <c r="AP153" s="62">
        <v>0.0</v>
      </c>
      <c r="AQ153" s="60">
        <v>0.0</v>
      </c>
      <c r="AR153" s="60" t="str">
        <f>IF(Hoja1!$AQ153&gt;0,Hoja1!$AQ153,IF(Hoja1!$AN153&gt;0,Hoja1!$AN153,IF(Hoja1!$AK153&gt;0,Hoja1!$AK153,IF(Hoja1!$AH153&gt;0,Hoja1!$AH153,IF(Hoja1!$AE153&gt;0,Hoja1!$AE153,IF(Hoja1!$AB153&gt;0,Hoja1!$AB153,IF(Hoja1!$Y153&gt;0,Hoja1!$Y153,IF(Hoja1!$V153&gt;0,Hoja1!$V153," ---"))))))))</f>
        <v>39</v>
      </c>
      <c r="AS153" s="63">
        <v>0.0</v>
      </c>
      <c r="AT153" s="63">
        <v>3.0</v>
      </c>
      <c r="AU153" s="63">
        <v>111.0</v>
      </c>
      <c r="AV153" s="63">
        <v>6.0</v>
      </c>
      <c r="AW153" s="63">
        <v>0.0</v>
      </c>
      <c r="AX153" s="63">
        <v>0.0</v>
      </c>
      <c r="AY153" s="63">
        <v>0.0</v>
      </c>
      <c r="AZ153" s="63">
        <v>0.0</v>
      </c>
      <c r="BA153" s="63">
        <v>0.0</v>
      </c>
      <c r="BB153" s="63">
        <v>0.0</v>
      </c>
      <c r="BC153" s="63">
        <v>0.0</v>
      </c>
      <c r="BD153" s="63">
        <v>0.0</v>
      </c>
      <c r="BE153" s="66">
        <v>0.0</v>
      </c>
      <c r="BF153" s="65">
        <v>76074.48</v>
      </c>
      <c r="BG153" s="65">
        <v>0.0</v>
      </c>
      <c r="BH153" s="66">
        <v>76074.48</v>
      </c>
      <c r="BI153" s="67" t="str">
        <f t="shared" si="32"/>
        <v>#REF!</v>
      </c>
      <c r="BJ153" s="68" t="str">
        <f t="shared" si="33"/>
        <v>#REF!</v>
      </c>
      <c r="BK153" s="65">
        <v>119192.0</v>
      </c>
      <c r="BL153" s="65">
        <v>0.0</v>
      </c>
      <c r="BM153" s="66">
        <v>119192.0</v>
      </c>
      <c r="BN153" s="67" t="str">
        <f t="shared" si="34"/>
        <v>#REF!</v>
      </c>
      <c r="BO153" s="68" t="str">
        <f t="shared" si="35"/>
        <v>#REF!</v>
      </c>
      <c r="BP153" s="65">
        <v>239885.0</v>
      </c>
      <c r="BQ153" s="65">
        <v>0.0</v>
      </c>
      <c r="BR153" s="66">
        <v>239885.0</v>
      </c>
      <c r="BS153" s="67" t="str">
        <f t="shared" si="36"/>
        <v>#REF!</v>
      </c>
      <c r="BT153" s="68" t="str">
        <f>'[1]DATA CONSOLIDADA 2018-2025 '!$BR153-Hoja1!$BO153</f>
        <v>#REF!</v>
      </c>
      <c r="BU153" s="65">
        <v>0.0</v>
      </c>
      <c r="BV153" s="65">
        <v>0.0</v>
      </c>
      <c r="BW153" s="66">
        <v>0.0</v>
      </c>
      <c r="BX153" s="67" t="str">
        <f t="shared" si="37"/>
        <v>#REF!</v>
      </c>
      <c r="BY153" s="68" t="str">
        <f t="shared" si="38"/>
        <v>#REF!</v>
      </c>
      <c r="BZ153" s="65">
        <v>0.0</v>
      </c>
      <c r="CA153" s="65">
        <v>0.0</v>
      </c>
      <c r="CB153" s="66">
        <v>0.0</v>
      </c>
      <c r="CC153" s="67" t="str">
        <f t="shared" si="39"/>
        <v>#REF!</v>
      </c>
      <c r="CD153" s="68" t="str">
        <f>'[1]DATA CONSOLIDADA 2018-2025 '!$CB153-Hoja1!$BW153</f>
        <v>#REF!</v>
      </c>
      <c r="CE153" s="70">
        <v>0.0</v>
      </c>
      <c r="CF153" s="70">
        <v>0.0</v>
      </c>
      <c r="CG153" s="71">
        <v>0.0</v>
      </c>
      <c r="CH153" s="67" t="str">
        <f t="shared" si="40"/>
        <v>#REF!</v>
      </c>
      <c r="CI153" s="68" t="str">
        <f>'[1]DATA CONSOLIDADA 2018-2025 '!$CG153-Hoja1!$CB153</f>
        <v>#REF!</v>
      </c>
      <c r="CJ153" s="64" t="str">
        <f t="shared" si="22"/>
        <v>#REF!</v>
      </c>
      <c r="CK153" s="64">
        <v>0.0</v>
      </c>
      <c r="CL153" s="64">
        <v>0.0</v>
      </c>
      <c r="CM153" s="64">
        <v>0.0</v>
      </c>
      <c r="CN153" s="64" t="str">
        <f t="shared" si="12"/>
        <v>#REF!</v>
      </c>
      <c r="CO153" s="68" t="str">
        <f>'[1]DATA CONSOLIDADA 2018-2025 '!$CM153-Hoja1!$CG153</f>
        <v>#REF!</v>
      </c>
      <c r="CP153" s="70">
        <v>0.0</v>
      </c>
      <c r="CQ153" s="70">
        <v>0.0</v>
      </c>
      <c r="CR153" s="70">
        <v>0.0</v>
      </c>
      <c r="CS153" s="70">
        <v>0.0</v>
      </c>
      <c r="CT153" s="70">
        <v>0.0</v>
      </c>
      <c r="CU153" s="70">
        <v>0.0</v>
      </c>
      <c r="CV153" s="64">
        <v>0.0</v>
      </c>
      <c r="CW153" s="64">
        <v>0.0</v>
      </c>
      <c r="CX153" s="64">
        <v>0.0</v>
      </c>
      <c r="CY153" s="64">
        <v>0.0</v>
      </c>
      <c r="CZ153" s="64">
        <v>0.0</v>
      </c>
      <c r="DA153" s="64">
        <v>0.0</v>
      </c>
      <c r="DB153" s="64">
        <v>0.0</v>
      </c>
      <c r="DC153" s="72">
        <v>0.0</v>
      </c>
      <c r="DD153" s="72">
        <v>0.0</v>
      </c>
      <c r="DE153" s="72">
        <v>0.0</v>
      </c>
      <c r="DF153" s="72">
        <v>0.0</v>
      </c>
      <c r="DG153" s="72">
        <v>0.0</v>
      </c>
      <c r="DH153" s="72">
        <v>0.0</v>
      </c>
      <c r="DI153" s="73">
        <v>2.0573344791E10</v>
      </c>
      <c r="DJ153" s="74" t="s">
        <v>632</v>
      </c>
      <c r="DK153" s="74" t="s">
        <v>138</v>
      </c>
      <c r="DL153" s="75"/>
      <c r="DM153" s="75"/>
      <c r="DN153" s="75"/>
      <c r="DO153" s="75"/>
      <c r="DP153" s="75"/>
      <c r="DQ153" s="75"/>
      <c r="DR153" s="75"/>
      <c r="DS153" s="75"/>
      <c r="DT153" s="75"/>
      <c r="DU153" s="75"/>
      <c r="DV153" s="75"/>
      <c r="DW153" s="75"/>
      <c r="DX153" s="75"/>
      <c r="DY153" s="75"/>
      <c r="DZ153" s="75"/>
      <c r="EA153" s="75"/>
      <c r="EB153" s="75"/>
      <c r="EC153" s="75"/>
      <c r="ED153" s="75"/>
      <c r="EE153" s="75"/>
    </row>
    <row r="154" ht="47.25" customHeight="1">
      <c r="A154" s="55" t="s">
        <v>635</v>
      </c>
      <c r="B154" s="55" t="s">
        <v>146</v>
      </c>
      <c r="C154" s="55" t="s">
        <v>146</v>
      </c>
      <c r="D154" s="55" t="s">
        <v>593</v>
      </c>
      <c r="E154" s="55" t="s">
        <v>636</v>
      </c>
      <c r="F154" s="55" t="s">
        <v>593</v>
      </c>
      <c r="G154" s="55" t="s">
        <v>595</v>
      </c>
      <c r="H154" s="55" t="s">
        <v>637</v>
      </c>
      <c r="I154" s="56"/>
      <c r="J154" s="56">
        <v>1.0</v>
      </c>
      <c r="K154" s="56"/>
      <c r="L154" s="56"/>
      <c r="M154" s="56"/>
      <c r="N154" s="56"/>
      <c r="O154" s="56"/>
      <c r="P154" s="56"/>
      <c r="Q154" s="56" t="s">
        <v>131</v>
      </c>
      <c r="R154" s="58" t="str">
        <f t="shared" si="1"/>
        <v>2019</v>
      </c>
      <c r="S154" s="59" t="str">
        <f>SUM(Hoja1!$I154:$P154)</f>
        <v>1</v>
      </c>
      <c r="T154" s="59" t="str">
        <f>IF(OR(Hoja1!$J154=1,Hoja1!$K154=1,Hoja1!$L154=1,Hoja1!$M154=1,Hoja1!$N154=1,Hoja1!$O154=1,Hoja1!$P154=1),"SI","NO")</f>
        <v>SI</v>
      </c>
      <c r="U154" s="59" t="str">
        <f>IF(OR(Hoja1!$K154=1,Hoja1!$L154=1,Hoja1!$M154=1,Hoja1!$N154=1,Hoja1!$O154=1,Hoja1!$P154=1),"SI","NO")</f>
        <v>NO</v>
      </c>
      <c r="V154" s="60">
        <v>0.0</v>
      </c>
      <c r="W154" s="61">
        <v>23.0</v>
      </c>
      <c r="X154" s="61">
        <v>8.0</v>
      </c>
      <c r="Y154" s="60">
        <v>31.0</v>
      </c>
      <c r="Z154" s="61">
        <v>0.0</v>
      </c>
      <c r="AA154" s="61">
        <v>0.0</v>
      </c>
      <c r="AB154" s="60">
        <v>0.0</v>
      </c>
      <c r="AC154" s="61">
        <v>0.0</v>
      </c>
      <c r="AD154" s="61">
        <v>0.0</v>
      </c>
      <c r="AE154" s="60">
        <v>0.0</v>
      </c>
      <c r="AF154" s="61">
        <v>0.0</v>
      </c>
      <c r="AG154" s="61">
        <v>0.0</v>
      </c>
      <c r="AH154" s="60">
        <v>0.0</v>
      </c>
      <c r="AI154" s="61">
        <v>0.0</v>
      </c>
      <c r="AJ154" s="61">
        <v>0.0</v>
      </c>
      <c r="AK154" s="60">
        <v>0.0</v>
      </c>
      <c r="AL154" s="61">
        <v>0.0</v>
      </c>
      <c r="AM154" s="61">
        <v>0.0</v>
      </c>
      <c r="AN154" s="60">
        <v>0.0</v>
      </c>
      <c r="AO154" s="62">
        <v>0.0</v>
      </c>
      <c r="AP154" s="62">
        <v>0.0</v>
      </c>
      <c r="AQ154" s="60">
        <v>0.0</v>
      </c>
      <c r="AR154" s="60" t="str">
        <f>IF(Hoja1!$AQ154&gt;0,Hoja1!$AQ154,IF(Hoja1!$AN154&gt;0,Hoja1!$AN154,IF(Hoja1!$AK154&gt;0,Hoja1!$AK154,IF(Hoja1!$AH154&gt;0,Hoja1!$AH154,IF(Hoja1!$AE154&gt;0,Hoja1!$AE154,IF(Hoja1!$AB154&gt;0,Hoja1!$AB154,IF(Hoja1!$Y154&gt;0,Hoja1!$Y154,IF(Hoja1!$V154&gt;0,Hoja1!$V154," ---"))))))))</f>
        <v>31</v>
      </c>
      <c r="AS154" s="63">
        <v>0.0</v>
      </c>
      <c r="AT154" s="63">
        <v>0.0</v>
      </c>
      <c r="AU154" s="63">
        <v>0.0</v>
      </c>
      <c r="AV154" s="63">
        <v>0.0</v>
      </c>
      <c r="AW154" s="63">
        <v>0.0</v>
      </c>
      <c r="AX154" s="63">
        <v>0.0</v>
      </c>
      <c r="AY154" s="63">
        <v>0.0</v>
      </c>
      <c r="AZ154" s="63">
        <v>0.0</v>
      </c>
      <c r="BA154" s="63">
        <v>0.0</v>
      </c>
      <c r="BB154" s="63">
        <v>0.0</v>
      </c>
      <c r="BC154" s="63">
        <v>0.0</v>
      </c>
      <c r="BD154" s="63">
        <v>0.0</v>
      </c>
      <c r="BE154" s="66">
        <v>0.0</v>
      </c>
      <c r="BF154" s="65">
        <v>0.0</v>
      </c>
      <c r="BG154" s="65">
        <v>0.0</v>
      </c>
      <c r="BH154" s="66">
        <v>0.0</v>
      </c>
      <c r="BI154" s="67" t="str">
        <f t="shared" si="32"/>
        <v>#REF!</v>
      </c>
      <c r="BJ154" s="68" t="str">
        <f t="shared" si="33"/>
        <v>#REF!</v>
      </c>
      <c r="BK154" s="65">
        <v>0.0</v>
      </c>
      <c r="BL154" s="65">
        <v>0.0</v>
      </c>
      <c r="BM154" s="66">
        <v>0.0</v>
      </c>
      <c r="BN154" s="67" t="str">
        <f t="shared" si="34"/>
        <v>#REF!</v>
      </c>
      <c r="BO154" s="68" t="str">
        <f t="shared" si="35"/>
        <v>#REF!</v>
      </c>
      <c r="BP154" s="65">
        <v>0.0</v>
      </c>
      <c r="BQ154" s="65">
        <v>0.0</v>
      </c>
      <c r="BR154" s="66">
        <v>0.0</v>
      </c>
      <c r="BS154" s="67" t="str">
        <f t="shared" si="36"/>
        <v>#REF!</v>
      </c>
      <c r="BT154" s="68" t="str">
        <f>'[1]DATA CONSOLIDADA 2018-2025 '!$BR154-Hoja1!$BO154</f>
        <v>#REF!</v>
      </c>
      <c r="BU154" s="65">
        <v>0.0</v>
      </c>
      <c r="BV154" s="65">
        <v>0.0</v>
      </c>
      <c r="BW154" s="66">
        <v>0.0</v>
      </c>
      <c r="BX154" s="67" t="str">
        <f t="shared" si="37"/>
        <v>#REF!</v>
      </c>
      <c r="BY154" s="68" t="str">
        <f t="shared" si="38"/>
        <v>#REF!</v>
      </c>
      <c r="BZ154" s="65">
        <v>0.0</v>
      </c>
      <c r="CA154" s="65">
        <v>0.0</v>
      </c>
      <c r="CB154" s="66">
        <v>0.0</v>
      </c>
      <c r="CC154" s="67" t="str">
        <f t="shared" si="39"/>
        <v>#REF!</v>
      </c>
      <c r="CD154" s="68" t="str">
        <f>'[1]DATA CONSOLIDADA 2018-2025 '!$CB154-Hoja1!$BW154</f>
        <v>#REF!</v>
      </c>
      <c r="CE154" s="70">
        <v>0.0</v>
      </c>
      <c r="CF154" s="70">
        <v>0.0</v>
      </c>
      <c r="CG154" s="71">
        <v>0.0</v>
      </c>
      <c r="CH154" s="67" t="str">
        <f t="shared" si="40"/>
        <v>#REF!</v>
      </c>
      <c r="CI154" s="68" t="str">
        <f>'[1]DATA CONSOLIDADA 2018-2025 '!$CG154-Hoja1!$CB154</f>
        <v>#REF!</v>
      </c>
      <c r="CJ154" s="64" t="str">
        <f t="shared" si="22"/>
        <v>#REF!</v>
      </c>
      <c r="CK154" s="64">
        <v>0.0</v>
      </c>
      <c r="CL154" s="64">
        <v>0.0</v>
      </c>
      <c r="CM154" s="64">
        <v>0.0</v>
      </c>
      <c r="CN154" s="64" t="str">
        <f t="shared" si="12"/>
        <v>#REF!</v>
      </c>
      <c r="CO154" s="68" t="str">
        <f>'[1]DATA CONSOLIDADA 2018-2025 '!$CM154-Hoja1!$CG154</f>
        <v>#REF!</v>
      </c>
      <c r="CP154" s="70">
        <v>0.0</v>
      </c>
      <c r="CQ154" s="70">
        <v>0.0</v>
      </c>
      <c r="CR154" s="70">
        <v>0.0</v>
      </c>
      <c r="CS154" s="70">
        <v>0.0</v>
      </c>
      <c r="CT154" s="70">
        <v>0.0</v>
      </c>
      <c r="CU154" s="70">
        <v>0.0</v>
      </c>
      <c r="CV154" s="64">
        <v>0.0</v>
      </c>
      <c r="CW154" s="64">
        <v>0.0</v>
      </c>
      <c r="CX154" s="64">
        <v>0.0</v>
      </c>
      <c r="CY154" s="64">
        <v>0.0</v>
      </c>
      <c r="CZ154" s="64">
        <v>0.0</v>
      </c>
      <c r="DA154" s="64">
        <v>0.0</v>
      </c>
      <c r="DB154" s="64">
        <v>0.0</v>
      </c>
      <c r="DC154" s="72">
        <v>0.0</v>
      </c>
      <c r="DD154" s="72">
        <v>0.0</v>
      </c>
      <c r="DE154" s="72">
        <v>0.0</v>
      </c>
      <c r="DF154" s="72">
        <v>0.0</v>
      </c>
      <c r="DG154" s="72">
        <v>0.0</v>
      </c>
      <c r="DH154" s="72">
        <v>0.0</v>
      </c>
      <c r="DI154" s="73">
        <v>2.0573138202E10</v>
      </c>
      <c r="DJ154" s="74" t="s">
        <v>638</v>
      </c>
      <c r="DK154" s="74" t="s">
        <v>138</v>
      </c>
      <c r="DL154" s="75"/>
      <c r="DM154" s="75"/>
      <c r="DN154" s="75"/>
      <c r="DO154" s="75"/>
      <c r="DP154" s="75"/>
      <c r="DQ154" s="75"/>
      <c r="DR154" s="75"/>
      <c r="DS154" s="75"/>
      <c r="DT154" s="75"/>
      <c r="DU154" s="75"/>
      <c r="DV154" s="75"/>
      <c r="DW154" s="75"/>
      <c r="DX154" s="75"/>
      <c r="DY154" s="75"/>
      <c r="DZ154" s="75"/>
      <c r="EA154" s="75"/>
      <c r="EB154" s="75"/>
      <c r="EC154" s="75"/>
      <c r="ED154" s="75"/>
      <c r="EE154" s="75"/>
    </row>
    <row r="155" ht="47.25" customHeight="1">
      <c r="A155" s="55" t="s">
        <v>639</v>
      </c>
      <c r="B155" s="55" t="s">
        <v>146</v>
      </c>
      <c r="C155" s="55" t="s">
        <v>146</v>
      </c>
      <c r="D155" s="55" t="s">
        <v>593</v>
      </c>
      <c r="E155" s="55" t="s">
        <v>640</v>
      </c>
      <c r="F155" s="55" t="s">
        <v>593</v>
      </c>
      <c r="G155" s="55" t="s">
        <v>641</v>
      </c>
      <c r="H155" s="55" t="s">
        <v>642</v>
      </c>
      <c r="I155" s="56"/>
      <c r="J155" s="56">
        <v>1.0</v>
      </c>
      <c r="K155" s="56">
        <v>1.0</v>
      </c>
      <c r="L155" s="56"/>
      <c r="M155" s="56"/>
      <c r="N155" s="56"/>
      <c r="O155" s="56"/>
      <c r="P155" s="56"/>
      <c r="Q155" s="56" t="s">
        <v>131</v>
      </c>
      <c r="R155" s="58" t="str">
        <f t="shared" si="1"/>
        <v>2019-2020</v>
      </c>
      <c r="S155" s="59" t="str">
        <f>SUM(Hoja1!$I155:$P155)</f>
        <v>2</v>
      </c>
      <c r="T155" s="59" t="str">
        <f>IF(OR(Hoja1!$J155=1,Hoja1!$K155=1,Hoja1!$L155=1,Hoja1!$M155=1,Hoja1!$N155=1,Hoja1!$O155=1,Hoja1!$P155=1),"SI","NO")</f>
        <v>SI</v>
      </c>
      <c r="U155" s="59" t="str">
        <f>IF(OR(Hoja1!$K155=1,Hoja1!$L155=1,Hoja1!$M155=1,Hoja1!$N155=1,Hoja1!$O155=1,Hoja1!$P155=1),"SI","NO")</f>
        <v>SI</v>
      </c>
      <c r="V155" s="60">
        <v>0.0</v>
      </c>
      <c r="W155" s="61">
        <v>84.0</v>
      </c>
      <c r="X155" s="61">
        <v>37.0</v>
      </c>
      <c r="Y155" s="60">
        <v>121.0</v>
      </c>
      <c r="Z155" s="61">
        <v>84.0</v>
      </c>
      <c r="AA155" s="61">
        <v>37.0</v>
      </c>
      <c r="AB155" s="60">
        <v>121.0</v>
      </c>
      <c r="AC155" s="61">
        <v>0.0</v>
      </c>
      <c r="AD155" s="61">
        <v>0.0</v>
      </c>
      <c r="AE155" s="60">
        <v>0.0</v>
      </c>
      <c r="AF155" s="61">
        <v>0.0</v>
      </c>
      <c r="AG155" s="61">
        <v>0.0</v>
      </c>
      <c r="AH155" s="60">
        <v>0.0</v>
      </c>
      <c r="AI155" s="61">
        <v>0.0</v>
      </c>
      <c r="AJ155" s="61">
        <v>0.0</v>
      </c>
      <c r="AK155" s="60">
        <v>0.0</v>
      </c>
      <c r="AL155" s="61">
        <v>0.0</v>
      </c>
      <c r="AM155" s="61">
        <v>0.0</v>
      </c>
      <c r="AN155" s="60">
        <v>0.0</v>
      </c>
      <c r="AO155" s="62">
        <v>0.0</v>
      </c>
      <c r="AP155" s="62">
        <v>0.0</v>
      </c>
      <c r="AQ155" s="60">
        <v>0.0</v>
      </c>
      <c r="AR155" s="60" t="str">
        <f>IF(Hoja1!$AQ155&gt;0,Hoja1!$AQ155,IF(Hoja1!$AN155&gt;0,Hoja1!$AN155,IF(Hoja1!$AK155&gt;0,Hoja1!$AK155,IF(Hoja1!$AH155&gt;0,Hoja1!$AH155,IF(Hoja1!$AE155&gt;0,Hoja1!$AE155,IF(Hoja1!$AB155&gt;0,Hoja1!$AB155,IF(Hoja1!$Y155&gt;0,Hoja1!$Y155,IF(Hoja1!$V155&gt;0,Hoja1!$V155," ---"))))))))</f>
        <v>121</v>
      </c>
      <c r="AS155" s="63">
        <v>0.0</v>
      </c>
      <c r="AT155" s="63">
        <v>0.0</v>
      </c>
      <c r="AU155" s="63">
        <v>0.0</v>
      </c>
      <c r="AV155" s="63">
        <v>0.0</v>
      </c>
      <c r="AW155" s="63">
        <v>0.0</v>
      </c>
      <c r="AX155" s="63">
        <v>0.0</v>
      </c>
      <c r="AY155" s="63">
        <v>0.0</v>
      </c>
      <c r="AZ155" s="63">
        <v>0.0</v>
      </c>
      <c r="BA155" s="63">
        <v>0.0</v>
      </c>
      <c r="BB155" s="63">
        <v>0.0</v>
      </c>
      <c r="BC155" s="63">
        <v>0.0</v>
      </c>
      <c r="BD155" s="63">
        <v>0.0</v>
      </c>
      <c r="BE155" s="66">
        <v>0.0</v>
      </c>
      <c r="BF155" s="65">
        <v>63200.0</v>
      </c>
      <c r="BG155" s="65">
        <v>0.0</v>
      </c>
      <c r="BH155" s="66">
        <v>63200.0</v>
      </c>
      <c r="BI155" s="67" t="str">
        <f t="shared" si="32"/>
        <v>#REF!</v>
      </c>
      <c r="BJ155" s="68" t="str">
        <f t="shared" si="33"/>
        <v>#REF!</v>
      </c>
      <c r="BK155" s="65">
        <v>493337.02</v>
      </c>
      <c r="BL155" s="65">
        <v>0.0</v>
      </c>
      <c r="BM155" s="66">
        <v>493337.02</v>
      </c>
      <c r="BN155" s="67" t="str">
        <f t="shared" si="34"/>
        <v>#REF!</v>
      </c>
      <c r="BO155" s="68" t="str">
        <f t="shared" si="35"/>
        <v>#REF!</v>
      </c>
      <c r="BP155" s="65">
        <v>0.0</v>
      </c>
      <c r="BQ155" s="65">
        <v>0.0</v>
      </c>
      <c r="BR155" s="66">
        <v>0.0</v>
      </c>
      <c r="BS155" s="67" t="str">
        <f t="shared" si="36"/>
        <v>#REF!</v>
      </c>
      <c r="BT155" s="68" t="str">
        <f>'[1]DATA CONSOLIDADA 2018-2025 '!$BR155-Hoja1!$BO155</f>
        <v>#REF!</v>
      </c>
      <c r="BU155" s="65">
        <v>0.0</v>
      </c>
      <c r="BV155" s="65">
        <v>0.0</v>
      </c>
      <c r="BW155" s="66">
        <v>0.0</v>
      </c>
      <c r="BX155" s="67" t="str">
        <f t="shared" si="37"/>
        <v>#REF!</v>
      </c>
      <c r="BY155" s="68" t="str">
        <f t="shared" si="38"/>
        <v>#REF!</v>
      </c>
      <c r="BZ155" s="65">
        <v>0.0</v>
      </c>
      <c r="CA155" s="65">
        <v>0.0</v>
      </c>
      <c r="CB155" s="66">
        <v>0.0</v>
      </c>
      <c r="CC155" s="67" t="str">
        <f t="shared" si="39"/>
        <v>#REF!</v>
      </c>
      <c r="CD155" s="68" t="str">
        <f>'[1]DATA CONSOLIDADA 2018-2025 '!$CB155-Hoja1!$BW155</f>
        <v>#REF!</v>
      </c>
      <c r="CE155" s="70">
        <v>0.0</v>
      </c>
      <c r="CF155" s="70">
        <v>0.0</v>
      </c>
      <c r="CG155" s="71">
        <v>0.0</v>
      </c>
      <c r="CH155" s="67" t="str">
        <f t="shared" si="40"/>
        <v>#REF!</v>
      </c>
      <c r="CI155" s="68" t="str">
        <f>'[1]DATA CONSOLIDADA 2018-2025 '!$CG155-Hoja1!$CB155</f>
        <v>#REF!</v>
      </c>
      <c r="CJ155" s="64" t="str">
        <f t="shared" si="22"/>
        <v>#REF!</v>
      </c>
      <c r="CK155" s="64">
        <v>0.0</v>
      </c>
      <c r="CL155" s="64">
        <v>0.0</v>
      </c>
      <c r="CM155" s="64">
        <v>0.0</v>
      </c>
      <c r="CN155" s="64" t="str">
        <f t="shared" si="12"/>
        <v>#REF!</v>
      </c>
      <c r="CO155" s="68" t="str">
        <f>'[1]DATA CONSOLIDADA 2018-2025 '!$CM155-Hoja1!$CG155</f>
        <v>#REF!</v>
      </c>
      <c r="CP155" s="70">
        <v>0.0</v>
      </c>
      <c r="CQ155" s="70">
        <v>0.0</v>
      </c>
      <c r="CR155" s="70">
        <v>0.0</v>
      </c>
      <c r="CS155" s="70">
        <v>0.0</v>
      </c>
      <c r="CT155" s="70">
        <v>0.0</v>
      </c>
      <c r="CU155" s="70">
        <v>0.0</v>
      </c>
      <c r="CV155" s="64">
        <v>0.0</v>
      </c>
      <c r="CW155" s="64">
        <v>0.0</v>
      </c>
      <c r="CX155" s="64">
        <v>0.0</v>
      </c>
      <c r="CY155" s="64">
        <v>0.0</v>
      </c>
      <c r="CZ155" s="64">
        <v>0.0</v>
      </c>
      <c r="DA155" s="64">
        <v>0.0</v>
      </c>
      <c r="DB155" s="64">
        <v>0.0</v>
      </c>
      <c r="DC155" s="72">
        <v>0.0</v>
      </c>
      <c r="DD155" s="72">
        <v>0.0</v>
      </c>
      <c r="DE155" s="72">
        <v>0.0</v>
      </c>
      <c r="DF155" s="72">
        <v>0.0</v>
      </c>
      <c r="DG155" s="72">
        <v>0.0</v>
      </c>
      <c r="DH155" s="72">
        <v>0.0</v>
      </c>
      <c r="DI155" s="73">
        <v>2.0573057385E10</v>
      </c>
      <c r="DJ155" s="74" t="s">
        <v>643</v>
      </c>
      <c r="DK155" s="74" t="s">
        <v>132</v>
      </c>
      <c r="DL155" s="75"/>
      <c r="DM155" s="75"/>
      <c r="DN155" s="75"/>
      <c r="DO155" s="75"/>
      <c r="DP155" s="75"/>
      <c r="DQ155" s="75"/>
      <c r="DR155" s="75"/>
      <c r="DS155" s="75"/>
      <c r="DT155" s="75"/>
      <c r="DU155" s="75"/>
      <c r="DV155" s="75"/>
      <c r="DW155" s="75"/>
      <c r="DX155" s="75"/>
      <c r="DY155" s="75"/>
      <c r="DZ155" s="75"/>
      <c r="EA155" s="75"/>
      <c r="EB155" s="75"/>
      <c r="EC155" s="75"/>
      <c r="ED155" s="75"/>
      <c r="EE155" s="75"/>
    </row>
    <row r="156" ht="47.25" customHeight="1">
      <c r="A156" s="55" t="s">
        <v>632</v>
      </c>
      <c r="B156" s="55" t="s">
        <v>146</v>
      </c>
      <c r="C156" s="55" t="s">
        <v>146</v>
      </c>
      <c r="D156" s="55" t="s">
        <v>593</v>
      </c>
      <c r="E156" s="55" t="s">
        <v>636</v>
      </c>
      <c r="F156" s="55" t="s">
        <v>593</v>
      </c>
      <c r="G156" s="55" t="s">
        <v>595</v>
      </c>
      <c r="H156" s="55" t="s">
        <v>637</v>
      </c>
      <c r="I156" s="56"/>
      <c r="J156" s="56">
        <v>1.0</v>
      </c>
      <c r="K156" s="56"/>
      <c r="L156" s="56"/>
      <c r="M156" s="56"/>
      <c r="N156" s="56"/>
      <c r="O156" s="56"/>
      <c r="P156" s="56"/>
      <c r="Q156" s="56" t="s">
        <v>131</v>
      </c>
      <c r="R156" s="58" t="str">
        <f t="shared" si="1"/>
        <v>2019</v>
      </c>
      <c r="S156" s="59" t="str">
        <f>SUM(Hoja1!$I156:$P156)</f>
        <v>1</v>
      </c>
      <c r="T156" s="59" t="str">
        <f>IF(OR(Hoja1!$J156=1,Hoja1!$K156=1,Hoja1!$L156=1,Hoja1!$M156=1,Hoja1!$N156=1,Hoja1!$O156=1,Hoja1!$P156=1),"SI","NO")</f>
        <v>SI</v>
      </c>
      <c r="U156" s="59" t="str">
        <f>IF(OR(Hoja1!$K156=1,Hoja1!$L156=1,Hoja1!$M156=1,Hoja1!$N156=1,Hoja1!$O156=1,Hoja1!$P156=1),"SI","NO")</f>
        <v>NO</v>
      </c>
      <c r="V156" s="60">
        <v>0.0</v>
      </c>
      <c r="W156" s="61">
        <v>19.0</v>
      </c>
      <c r="X156" s="61">
        <v>18.0</v>
      </c>
      <c r="Y156" s="60">
        <v>37.0</v>
      </c>
      <c r="Z156" s="61">
        <v>0.0</v>
      </c>
      <c r="AA156" s="61">
        <v>0.0</v>
      </c>
      <c r="AB156" s="60">
        <v>0.0</v>
      </c>
      <c r="AC156" s="61">
        <v>0.0</v>
      </c>
      <c r="AD156" s="61">
        <v>0.0</v>
      </c>
      <c r="AE156" s="60">
        <v>0.0</v>
      </c>
      <c r="AF156" s="61">
        <v>0.0</v>
      </c>
      <c r="AG156" s="61">
        <v>0.0</v>
      </c>
      <c r="AH156" s="60">
        <v>0.0</v>
      </c>
      <c r="AI156" s="61">
        <v>0.0</v>
      </c>
      <c r="AJ156" s="61">
        <v>0.0</v>
      </c>
      <c r="AK156" s="60">
        <v>0.0</v>
      </c>
      <c r="AL156" s="61">
        <v>0.0</v>
      </c>
      <c r="AM156" s="61">
        <v>0.0</v>
      </c>
      <c r="AN156" s="60">
        <v>0.0</v>
      </c>
      <c r="AO156" s="62">
        <v>0.0</v>
      </c>
      <c r="AP156" s="62">
        <v>0.0</v>
      </c>
      <c r="AQ156" s="60">
        <v>0.0</v>
      </c>
      <c r="AR156" s="60" t="str">
        <f>IF(Hoja1!$AQ156&gt;0,Hoja1!$AQ156,IF(Hoja1!$AN156&gt;0,Hoja1!$AN156,IF(Hoja1!$AK156&gt;0,Hoja1!$AK156,IF(Hoja1!$AH156&gt;0,Hoja1!$AH156,IF(Hoja1!$AE156&gt;0,Hoja1!$AE156,IF(Hoja1!$AB156&gt;0,Hoja1!$AB156,IF(Hoja1!$Y156&gt;0,Hoja1!$Y156,IF(Hoja1!$V156&gt;0,Hoja1!$V156," ---"))))))))</f>
        <v>37</v>
      </c>
      <c r="AS156" s="63">
        <v>0.0</v>
      </c>
      <c r="AT156" s="63">
        <v>0.0</v>
      </c>
      <c r="AU156" s="63">
        <v>0.0</v>
      </c>
      <c r="AV156" s="63">
        <v>0.0</v>
      </c>
      <c r="AW156" s="63">
        <v>0.0</v>
      </c>
      <c r="AX156" s="63">
        <v>0.0</v>
      </c>
      <c r="AY156" s="63">
        <v>0.0</v>
      </c>
      <c r="AZ156" s="63">
        <v>0.0</v>
      </c>
      <c r="BA156" s="63">
        <v>0.0</v>
      </c>
      <c r="BB156" s="63">
        <v>0.0</v>
      </c>
      <c r="BC156" s="63">
        <v>0.0</v>
      </c>
      <c r="BD156" s="63">
        <v>0.0</v>
      </c>
      <c r="BE156" s="66">
        <v>0.0</v>
      </c>
      <c r="BF156" s="65">
        <v>0.0</v>
      </c>
      <c r="BG156" s="65">
        <v>0.0</v>
      </c>
      <c r="BH156" s="66">
        <v>0.0</v>
      </c>
      <c r="BI156" s="67" t="str">
        <f t="shared" si="32"/>
        <v>#REF!</v>
      </c>
      <c r="BJ156" s="68" t="str">
        <f t="shared" si="33"/>
        <v>#REF!</v>
      </c>
      <c r="BK156" s="65">
        <v>0.0</v>
      </c>
      <c r="BL156" s="65">
        <v>0.0</v>
      </c>
      <c r="BM156" s="66">
        <v>0.0</v>
      </c>
      <c r="BN156" s="67" t="str">
        <f t="shared" si="34"/>
        <v>#REF!</v>
      </c>
      <c r="BO156" s="68" t="str">
        <f t="shared" si="35"/>
        <v>#REF!</v>
      </c>
      <c r="BP156" s="65">
        <v>0.0</v>
      </c>
      <c r="BQ156" s="65">
        <v>0.0</v>
      </c>
      <c r="BR156" s="66">
        <v>0.0</v>
      </c>
      <c r="BS156" s="67" t="str">
        <f t="shared" si="36"/>
        <v>#REF!</v>
      </c>
      <c r="BT156" s="68" t="str">
        <f>'[1]DATA CONSOLIDADA 2018-2025 '!$BR156-Hoja1!$BO156</f>
        <v>#REF!</v>
      </c>
      <c r="BU156" s="65">
        <v>0.0</v>
      </c>
      <c r="BV156" s="65">
        <v>0.0</v>
      </c>
      <c r="BW156" s="66">
        <v>0.0</v>
      </c>
      <c r="BX156" s="67" t="str">
        <f t="shared" si="37"/>
        <v>#REF!</v>
      </c>
      <c r="BY156" s="68" t="str">
        <f t="shared" si="38"/>
        <v>#REF!</v>
      </c>
      <c r="BZ156" s="65">
        <v>0.0</v>
      </c>
      <c r="CA156" s="65">
        <v>0.0</v>
      </c>
      <c r="CB156" s="66">
        <v>0.0</v>
      </c>
      <c r="CC156" s="67" t="str">
        <f t="shared" si="39"/>
        <v>#REF!</v>
      </c>
      <c r="CD156" s="68" t="str">
        <f>'[1]DATA CONSOLIDADA 2018-2025 '!$CB156-Hoja1!$BW156</f>
        <v>#REF!</v>
      </c>
      <c r="CE156" s="70">
        <v>0.0</v>
      </c>
      <c r="CF156" s="70">
        <v>0.0</v>
      </c>
      <c r="CG156" s="71">
        <v>0.0</v>
      </c>
      <c r="CH156" s="67" t="str">
        <f t="shared" si="40"/>
        <v>#REF!</v>
      </c>
      <c r="CI156" s="68" t="str">
        <f>'[1]DATA CONSOLIDADA 2018-2025 '!$CG156-Hoja1!$CB156</f>
        <v>#REF!</v>
      </c>
      <c r="CJ156" s="64" t="str">
        <f t="shared" si="22"/>
        <v>#REF!</v>
      </c>
      <c r="CK156" s="64">
        <v>0.0</v>
      </c>
      <c r="CL156" s="64">
        <v>0.0</v>
      </c>
      <c r="CM156" s="64">
        <v>0.0</v>
      </c>
      <c r="CN156" s="64" t="str">
        <f t="shared" si="12"/>
        <v>#REF!</v>
      </c>
      <c r="CO156" s="68" t="str">
        <f>'[1]DATA CONSOLIDADA 2018-2025 '!$CM156-Hoja1!$CG156</f>
        <v>#REF!</v>
      </c>
      <c r="CP156" s="70">
        <v>0.0</v>
      </c>
      <c r="CQ156" s="70">
        <v>0.0</v>
      </c>
      <c r="CR156" s="70">
        <v>0.0</v>
      </c>
      <c r="CS156" s="70">
        <v>0.0</v>
      </c>
      <c r="CT156" s="70">
        <v>0.0</v>
      </c>
      <c r="CU156" s="70">
        <v>0.0</v>
      </c>
      <c r="CV156" s="64">
        <v>0.0</v>
      </c>
      <c r="CW156" s="64">
        <v>0.0</v>
      </c>
      <c r="CX156" s="64">
        <v>0.0</v>
      </c>
      <c r="CY156" s="64">
        <v>0.0</v>
      </c>
      <c r="CZ156" s="64">
        <v>0.0</v>
      </c>
      <c r="DA156" s="64">
        <v>0.0</v>
      </c>
      <c r="DB156" s="64">
        <v>0.0</v>
      </c>
      <c r="DC156" s="72">
        <v>0.0</v>
      </c>
      <c r="DD156" s="72">
        <v>0.0</v>
      </c>
      <c r="DE156" s="72">
        <v>0.0</v>
      </c>
      <c r="DF156" s="72">
        <v>0.0</v>
      </c>
      <c r="DG156" s="72">
        <v>0.0</v>
      </c>
      <c r="DH156" s="72">
        <v>0.0</v>
      </c>
      <c r="DI156" s="73">
        <v>2.0573344791E10</v>
      </c>
      <c r="DJ156" s="74" t="s">
        <v>632</v>
      </c>
      <c r="DK156" s="74" t="s">
        <v>138</v>
      </c>
      <c r="DL156" s="75"/>
      <c r="DM156" s="7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75"/>
      <c r="EC156" s="75"/>
      <c r="ED156" s="75"/>
      <c r="EE156" s="75"/>
    </row>
    <row r="157" ht="47.25" hidden="1" customHeight="1">
      <c r="A157" s="55" t="s">
        <v>644</v>
      </c>
      <c r="B157" s="55" t="s">
        <v>189</v>
      </c>
      <c r="C157" s="55" t="s">
        <v>189</v>
      </c>
      <c r="D157" s="55" t="s">
        <v>593</v>
      </c>
      <c r="E157" s="55" t="s">
        <v>645</v>
      </c>
      <c r="F157" s="55" t="s">
        <v>593</v>
      </c>
      <c r="G157" s="55" t="s">
        <v>593</v>
      </c>
      <c r="H157" s="55" t="s">
        <v>646</v>
      </c>
      <c r="I157" s="56"/>
      <c r="J157" s="56"/>
      <c r="K157" s="56"/>
      <c r="L157" s="56">
        <v>1.0</v>
      </c>
      <c r="M157" s="56"/>
      <c r="N157" s="56"/>
      <c r="O157" s="56"/>
      <c r="P157" s="56"/>
      <c r="Q157" s="56" t="s">
        <v>131</v>
      </c>
      <c r="R157" s="58" t="str">
        <f t="shared" si="1"/>
        <v>2021</v>
      </c>
      <c r="S157" s="59" t="str">
        <f>SUM(Hoja1!$I157:$P157)</f>
        <v>1</v>
      </c>
      <c r="T157" s="59" t="str">
        <f>IF(OR(Hoja1!$J157=1,Hoja1!$K157=1,Hoja1!$L157=1,Hoja1!$M157=1,Hoja1!$N157=1,Hoja1!$O157=1,Hoja1!$P157=1),"SI","NO")</f>
        <v>SI</v>
      </c>
      <c r="U157" s="59" t="str">
        <f>IF(OR(Hoja1!$K157=1,Hoja1!$L157=1,Hoja1!$M157=1,Hoja1!$N157=1,Hoja1!$O157=1,Hoja1!$P157=1),"SI","NO")</f>
        <v>SI</v>
      </c>
      <c r="V157" s="60">
        <v>0.0</v>
      </c>
      <c r="W157" s="61">
        <v>0.0</v>
      </c>
      <c r="X157" s="61">
        <v>0.0</v>
      </c>
      <c r="Y157" s="60">
        <v>0.0</v>
      </c>
      <c r="Z157" s="61">
        <v>0.0</v>
      </c>
      <c r="AA157" s="61">
        <v>0.0</v>
      </c>
      <c r="AB157" s="60">
        <v>0.0</v>
      </c>
      <c r="AC157" s="61">
        <v>83.0</v>
      </c>
      <c r="AD157" s="61">
        <v>1.0</v>
      </c>
      <c r="AE157" s="60">
        <v>84.0</v>
      </c>
      <c r="AF157" s="61">
        <v>0.0</v>
      </c>
      <c r="AG157" s="61">
        <v>0.0</v>
      </c>
      <c r="AH157" s="60">
        <v>0.0</v>
      </c>
      <c r="AI157" s="61">
        <v>0.0</v>
      </c>
      <c r="AJ157" s="61">
        <v>0.0</v>
      </c>
      <c r="AK157" s="60">
        <v>0.0</v>
      </c>
      <c r="AL157" s="61">
        <v>0.0</v>
      </c>
      <c r="AM157" s="61">
        <v>0.0</v>
      </c>
      <c r="AN157" s="60">
        <v>0.0</v>
      </c>
      <c r="AO157" s="62">
        <v>0.0</v>
      </c>
      <c r="AP157" s="62">
        <v>0.0</v>
      </c>
      <c r="AQ157" s="60">
        <v>0.0</v>
      </c>
      <c r="AR157" s="60" t="str">
        <f>IF(Hoja1!$AQ157&gt;0,Hoja1!$AQ157,IF(Hoja1!$AN157&gt;0,Hoja1!$AN157,IF(Hoja1!$AK157&gt;0,Hoja1!$AK157,IF(Hoja1!$AH157&gt;0,Hoja1!$AH157,IF(Hoja1!$AE157&gt;0,Hoja1!$AE157,IF(Hoja1!$AB157&gt;0,Hoja1!$AB157,IF(Hoja1!$Y157&gt;0,Hoja1!$Y157,IF(Hoja1!$V157&gt;0,Hoja1!$V157," ---"))))))))</f>
        <v>84</v>
      </c>
      <c r="AS157" s="63">
        <v>0.0</v>
      </c>
      <c r="AT157" s="63">
        <v>0.0</v>
      </c>
      <c r="AU157" s="63">
        <v>26.0</v>
      </c>
      <c r="AV157" s="63">
        <v>2.0</v>
      </c>
      <c r="AW157" s="63">
        <v>0.0</v>
      </c>
      <c r="AX157" s="63">
        <v>0.0</v>
      </c>
      <c r="AY157" s="63">
        <v>0.0</v>
      </c>
      <c r="AZ157" s="63">
        <v>0.0</v>
      </c>
      <c r="BA157" s="63">
        <v>0.0</v>
      </c>
      <c r="BB157" s="63">
        <v>0.0</v>
      </c>
      <c r="BC157" s="63">
        <v>0.0</v>
      </c>
      <c r="BD157" s="63">
        <v>0.0</v>
      </c>
      <c r="BE157" s="64">
        <v>0.0</v>
      </c>
      <c r="BF157" s="69">
        <v>0.0</v>
      </c>
      <c r="BG157" s="69">
        <v>0.0</v>
      </c>
      <c r="BH157" s="64">
        <v>0.0</v>
      </c>
      <c r="BI157" s="67" t="str">
        <f t="shared" si="32"/>
        <v>#REF!</v>
      </c>
      <c r="BJ157" s="68" t="str">
        <f t="shared" si="33"/>
        <v>#REF!</v>
      </c>
      <c r="BK157" s="69">
        <v>0.0</v>
      </c>
      <c r="BL157" s="69">
        <v>0.0</v>
      </c>
      <c r="BM157" s="64">
        <v>0.0</v>
      </c>
      <c r="BN157" s="67" t="str">
        <f t="shared" si="34"/>
        <v>#REF!</v>
      </c>
      <c r="BO157" s="68" t="str">
        <f t="shared" si="35"/>
        <v>#REF!</v>
      </c>
      <c r="BP157" s="65">
        <v>0.0</v>
      </c>
      <c r="BQ157" s="65">
        <v>0.0</v>
      </c>
      <c r="BR157" s="66">
        <v>0.0</v>
      </c>
      <c r="BS157" s="67" t="str">
        <f t="shared" si="36"/>
        <v>#REF!</v>
      </c>
      <c r="BT157" s="68" t="str">
        <f>'[1]DATA CONSOLIDADA 2018-2025 '!$BR157-Hoja1!$BO157</f>
        <v>#REF!</v>
      </c>
      <c r="BU157" s="65">
        <v>0.0</v>
      </c>
      <c r="BV157" s="65">
        <v>0.0</v>
      </c>
      <c r="BW157" s="66">
        <v>0.0</v>
      </c>
      <c r="BX157" s="67" t="str">
        <f t="shared" si="37"/>
        <v>#REF!</v>
      </c>
      <c r="BY157" s="68" t="str">
        <f t="shared" si="38"/>
        <v>#REF!</v>
      </c>
      <c r="BZ157" s="65">
        <v>0.0</v>
      </c>
      <c r="CA157" s="65">
        <v>0.0</v>
      </c>
      <c r="CB157" s="66">
        <v>0.0</v>
      </c>
      <c r="CC157" s="67" t="str">
        <f t="shared" si="39"/>
        <v>#REF!</v>
      </c>
      <c r="CD157" s="68" t="str">
        <f>'[1]DATA CONSOLIDADA 2018-2025 '!$CB157-Hoja1!$BW157</f>
        <v>#REF!</v>
      </c>
      <c r="CE157" s="70">
        <v>0.0</v>
      </c>
      <c r="CF157" s="70">
        <v>0.0</v>
      </c>
      <c r="CG157" s="71">
        <v>0.0</v>
      </c>
      <c r="CH157" s="67" t="str">
        <f t="shared" si="40"/>
        <v>#REF!</v>
      </c>
      <c r="CI157" s="68" t="str">
        <f>'[1]DATA CONSOLIDADA 2018-2025 '!$CG157-Hoja1!$CB157</f>
        <v>#REF!</v>
      </c>
      <c r="CJ157" s="64" t="str">
        <f t="shared" si="22"/>
        <v>#REF!</v>
      </c>
      <c r="CK157" s="64">
        <v>0.0</v>
      </c>
      <c r="CL157" s="64">
        <v>0.0</v>
      </c>
      <c r="CM157" s="64">
        <v>0.0</v>
      </c>
      <c r="CN157" s="64" t="str">
        <f t="shared" si="12"/>
        <v>#REF!</v>
      </c>
      <c r="CO157" s="68" t="str">
        <f>'[1]DATA CONSOLIDADA 2018-2025 '!$CM157-Hoja1!$CG157</f>
        <v>#REF!</v>
      </c>
      <c r="CP157" s="70">
        <v>0.0</v>
      </c>
      <c r="CQ157" s="70">
        <v>0.0</v>
      </c>
      <c r="CR157" s="70">
        <v>0.0</v>
      </c>
      <c r="CS157" s="70">
        <v>0.0</v>
      </c>
      <c r="CT157" s="70">
        <v>0.0</v>
      </c>
      <c r="CU157" s="70">
        <v>0.0</v>
      </c>
      <c r="CV157" s="64">
        <v>0.0</v>
      </c>
      <c r="CW157" s="64">
        <v>0.0</v>
      </c>
      <c r="CX157" s="64">
        <v>0.0</v>
      </c>
      <c r="CY157" s="64">
        <v>0.0</v>
      </c>
      <c r="CZ157" s="64">
        <v>0.0</v>
      </c>
      <c r="DA157" s="64">
        <v>0.0</v>
      </c>
      <c r="DB157" s="64">
        <v>0.0</v>
      </c>
      <c r="DC157" s="72">
        <v>0.0</v>
      </c>
      <c r="DD157" s="72">
        <v>0.0</v>
      </c>
      <c r="DE157" s="72">
        <v>0.0</v>
      </c>
      <c r="DF157" s="72">
        <v>0.0</v>
      </c>
      <c r="DG157" s="72">
        <v>0.0</v>
      </c>
      <c r="DH157" s="72">
        <v>0.0</v>
      </c>
      <c r="DI157" s="73" t="s">
        <v>647</v>
      </c>
      <c r="DJ157" s="74" t="s">
        <v>648</v>
      </c>
      <c r="DK157" s="74" t="s">
        <v>138</v>
      </c>
      <c r="DL157" s="75"/>
      <c r="DM157" s="75"/>
      <c r="DN157" s="75"/>
      <c r="DO157" s="75"/>
      <c r="DP157" s="75"/>
      <c r="DQ157" s="75"/>
      <c r="DR157" s="75"/>
      <c r="DS157" s="75"/>
      <c r="DT157" s="75"/>
      <c r="DU157" s="75"/>
      <c r="DV157" s="75"/>
      <c r="DW157" s="75"/>
      <c r="DX157" s="75"/>
      <c r="DY157" s="75"/>
      <c r="DZ157" s="75"/>
      <c r="EA157" s="75"/>
      <c r="EB157" s="75"/>
      <c r="EC157" s="75"/>
      <c r="ED157" s="75"/>
      <c r="EE157" s="75"/>
    </row>
    <row r="158" ht="47.25" hidden="1" customHeight="1">
      <c r="A158" s="55" t="s">
        <v>649</v>
      </c>
      <c r="B158" s="55" t="s">
        <v>598</v>
      </c>
      <c r="C158" s="55" t="s">
        <v>598</v>
      </c>
      <c r="D158" s="55" t="s">
        <v>593</v>
      </c>
      <c r="E158" s="55" t="s">
        <v>650</v>
      </c>
      <c r="F158" s="55" t="s">
        <v>593</v>
      </c>
      <c r="G158" s="55" t="s">
        <v>651</v>
      </c>
      <c r="H158" s="55" t="s">
        <v>652</v>
      </c>
      <c r="I158" s="56"/>
      <c r="J158" s="56"/>
      <c r="K158" s="56">
        <v>1.0</v>
      </c>
      <c r="L158" s="56">
        <v>1.0</v>
      </c>
      <c r="M158" s="56">
        <v>1.0</v>
      </c>
      <c r="N158" s="56">
        <v>1.0</v>
      </c>
      <c r="O158" s="56"/>
      <c r="P158" s="56"/>
      <c r="Q158" s="56" t="s">
        <v>131</v>
      </c>
      <c r="R158" s="58" t="str">
        <f t="shared" si="1"/>
        <v>2020-2021-2022-2023</v>
      </c>
      <c r="S158" s="59" t="str">
        <f>SUM(Hoja1!$I158:$P158)</f>
        <v>4</v>
      </c>
      <c r="T158" s="59" t="str">
        <f>IF(OR(Hoja1!$J158=1,Hoja1!$K158=1,Hoja1!$L158=1,Hoja1!$M158=1,Hoja1!$N158=1,Hoja1!$O158=1,Hoja1!$P158=1),"SI","NO")</f>
        <v>SI</v>
      </c>
      <c r="U158" s="59" t="str">
        <f>IF(OR(Hoja1!$K158=1,Hoja1!$L158=1,Hoja1!$M158=1,Hoja1!$N158=1,Hoja1!$O158=1,Hoja1!$P158=1),"SI","NO")</f>
        <v>SI</v>
      </c>
      <c r="V158" s="60">
        <v>0.0</v>
      </c>
      <c r="W158" s="61">
        <v>0.0</v>
      </c>
      <c r="X158" s="61">
        <v>0.0</v>
      </c>
      <c r="Y158" s="60">
        <v>0.0</v>
      </c>
      <c r="Z158" s="61">
        <v>35.0</v>
      </c>
      <c r="AA158" s="61">
        <v>12.0</v>
      </c>
      <c r="AB158" s="60">
        <v>47.0</v>
      </c>
      <c r="AC158" s="61">
        <v>8.0</v>
      </c>
      <c r="AD158" s="61">
        <v>4.0</v>
      </c>
      <c r="AE158" s="60">
        <v>12.0</v>
      </c>
      <c r="AF158" s="61">
        <v>8.0</v>
      </c>
      <c r="AG158" s="61">
        <v>4.0</v>
      </c>
      <c r="AH158" s="60">
        <v>12.0</v>
      </c>
      <c r="AI158" s="61">
        <v>8.0</v>
      </c>
      <c r="AJ158" s="61">
        <v>4.0</v>
      </c>
      <c r="AK158" s="60">
        <v>12.0</v>
      </c>
      <c r="AL158" s="61">
        <v>0.0</v>
      </c>
      <c r="AM158" s="61">
        <v>0.0</v>
      </c>
      <c r="AN158" s="60">
        <v>0.0</v>
      </c>
      <c r="AO158" s="62">
        <v>0.0</v>
      </c>
      <c r="AP158" s="62">
        <v>0.0</v>
      </c>
      <c r="AQ158" s="60">
        <v>0.0</v>
      </c>
      <c r="AR158" s="60" t="str">
        <f>IF(Hoja1!$AQ158&gt;0,Hoja1!$AQ158,IF(Hoja1!$AN158&gt;0,Hoja1!$AN158,IF(Hoja1!$AK158&gt;0,Hoja1!$AK158,IF(Hoja1!$AH158&gt;0,Hoja1!$AH158,IF(Hoja1!$AE158&gt;0,Hoja1!$AE158,IF(Hoja1!$AB158&gt;0,Hoja1!$AB158,IF(Hoja1!$Y158&gt;0,Hoja1!$Y158,IF(Hoja1!$V158&gt;0,Hoja1!$V158," ---"))))))))</f>
        <v>12</v>
      </c>
      <c r="AS158" s="63">
        <v>0.0</v>
      </c>
      <c r="AT158" s="63">
        <v>0.0</v>
      </c>
      <c r="AU158" s="63">
        <v>39.0</v>
      </c>
      <c r="AV158" s="63">
        <v>3.0</v>
      </c>
      <c r="AW158" s="63">
        <v>46.0</v>
      </c>
      <c r="AX158" s="63">
        <v>2.0</v>
      </c>
      <c r="AY158" s="63">
        <v>55.0</v>
      </c>
      <c r="AZ158" s="63">
        <v>1.0</v>
      </c>
      <c r="BA158" s="63">
        <v>0.0</v>
      </c>
      <c r="BB158" s="63">
        <v>0.0</v>
      </c>
      <c r="BC158" s="63">
        <v>0.0</v>
      </c>
      <c r="BD158" s="63">
        <v>0.0</v>
      </c>
      <c r="BE158" s="64">
        <v>0.0</v>
      </c>
      <c r="BF158" s="69">
        <v>0.0</v>
      </c>
      <c r="BG158" s="69">
        <v>0.0</v>
      </c>
      <c r="BH158" s="64">
        <v>0.0</v>
      </c>
      <c r="BI158" s="67" t="str">
        <f t="shared" si="32"/>
        <v>#REF!</v>
      </c>
      <c r="BJ158" s="68" t="str">
        <f t="shared" si="33"/>
        <v>#REF!</v>
      </c>
      <c r="BK158" s="65">
        <v>8100.0</v>
      </c>
      <c r="BL158" s="65">
        <v>0.0</v>
      </c>
      <c r="BM158" s="66">
        <v>8100.0</v>
      </c>
      <c r="BN158" s="67" t="str">
        <f t="shared" si="34"/>
        <v>#REF!</v>
      </c>
      <c r="BO158" s="68" t="str">
        <f t="shared" si="35"/>
        <v>#REF!</v>
      </c>
      <c r="BP158" s="65">
        <v>20002.5</v>
      </c>
      <c r="BQ158" s="65">
        <v>0.0</v>
      </c>
      <c r="BR158" s="66">
        <v>20002.5</v>
      </c>
      <c r="BS158" s="67" t="str">
        <f t="shared" si="36"/>
        <v>#REF!</v>
      </c>
      <c r="BT158" s="68" t="str">
        <f>'[1]DATA CONSOLIDADA 2018-2025 '!$BR158-Hoja1!$BO158</f>
        <v>#REF!</v>
      </c>
      <c r="BU158" s="65">
        <v>16680.0</v>
      </c>
      <c r="BV158" s="65">
        <v>0.0</v>
      </c>
      <c r="BW158" s="66">
        <v>16680.0</v>
      </c>
      <c r="BX158" s="67" t="str">
        <f t="shared" si="37"/>
        <v>#REF!</v>
      </c>
      <c r="BY158" s="68" t="str">
        <f t="shared" si="38"/>
        <v>#REF!</v>
      </c>
      <c r="BZ158" s="65">
        <v>28550.0</v>
      </c>
      <c r="CA158" s="65">
        <v>0.0</v>
      </c>
      <c r="CB158" s="66">
        <v>28550.0</v>
      </c>
      <c r="CC158" s="67" t="str">
        <f t="shared" si="39"/>
        <v>#REF!</v>
      </c>
      <c r="CD158" s="68" t="str">
        <f>'[1]DATA CONSOLIDADA 2018-2025 '!$CB158-Hoja1!$BW158</f>
        <v>#REF!</v>
      </c>
      <c r="CE158" s="70">
        <v>0.0</v>
      </c>
      <c r="CF158" s="70">
        <v>0.0</v>
      </c>
      <c r="CG158" s="71">
        <v>0.0</v>
      </c>
      <c r="CH158" s="67" t="str">
        <f t="shared" si="40"/>
        <v>#REF!</v>
      </c>
      <c r="CI158" s="68" t="str">
        <f>'[1]DATA CONSOLIDADA 2018-2025 '!$CG158-Hoja1!$CB158</f>
        <v>#REF!</v>
      </c>
      <c r="CJ158" s="64" t="str">
        <f t="shared" si="22"/>
        <v>#REF!</v>
      </c>
      <c r="CK158" s="64">
        <v>0.0</v>
      </c>
      <c r="CL158" s="64">
        <v>0.0</v>
      </c>
      <c r="CM158" s="64">
        <v>0.0</v>
      </c>
      <c r="CN158" s="64" t="str">
        <f t="shared" si="12"/>
        <v>#REF!</v>
      </c>
      <c r="CO158" s="68" t="str">
        <f>'[1]DATA CONSOLIDADA 2018-2025 '!$CM158-Hoja1!$CG158</f>
        <v>#REF!</v>
      </c>
      <c r="CP158" s="70">
        <v>0.0</v>
      </c>
      <c r="CQ158" s="70">
        <v>28550.0</v>
      </c>
      <c r="CR158" s="70">
        <v>0.0</v>
      </c>
      <c r="CS158" s="70">
        <v>0.0</v>
      </c>
      <c r="CT158" s="70">
        <v>0.0</v>
      </c>
      <c r="CU158" s="70">
        <v>0.0</v>
      </c>
      <c r="CV158" s="64">
        <v>28550.0</v>
      </c>
      <c r="CW158" s="64">
        <v>0.0</v>
      </c>
      <c r="CX158" s="64">
        <v>0.0</v>
      </c>
      <c r="CY158" s="64">
        <v>0.0</v>
      </c>
      <c r="CZ158" s="64">
        <v>0.0</v>
      </c>
      <c r="DA158" s="64">
        <v>0.0</v>
      </c>
      <c r="DB158" s="64">
        <v>0.0</v>
      </c>
      <c r="DC158" s="72">
        <v>0.0</v>
      </c>
      <c r="DD158" s="72">
        <v>0.0</v>
      </c>
      <c r="DE158" s="72">
        <v>0.0</v>
      </c>
      <c r="DF158" s="72">
        <v>0.0</v>
      </c>
      <c r="DG158" s="72">
        <v>0.0</v>
      </c>
      <c r="DH158" s="72">
        <v>0.0</v>
      </c>
      <c r="DI158" s="73">
        <v>2.0603116373E10</v>
      </c>
      <c r="DJ158" s="74" t="s">
        <v>653</v>
      </c>
      <c r="DK158" s="74" t="s">
        <v>138</v>
      </c>
      <c r="DL158" s="75"/>
      <c r="DM158" s="75"/>
      <c r="DN158" s="75"/>
      <c r="DO158" s="75"/>
      <c r="DP158" s="75"/>
      <c r="DQ158" s="75"/>
      <c r="DR158" s="75"/>
      <c r="DS158" s="75"/>
      <c r="DT158" s="75"/>
      <c r="DU158" s="75"/>
      <c r="DV158" s="75"/>
      <c r="DW158" s="75"/>
      <c r="DX158" s="75"/>
      <c r="DY158" s="75"/>
      <c r="DZ158" s="75"/>
      <c r="EA158" s="75"/>
      <c r="EB158" s="75"/>
      <c r="EC158" s="75"/>
      <c r="ED158" s="75"/>
      <c r="EE158" s="75"/>
    </row>
    <row r="159" ht="47.25" hidden="1" customHeight="1">
      <c r="A159" s="55" t="s">
        <v>654</v>
      </c>
      <c r="B159" s="55" t="s">
        <v>256</v>
      </c>
      <c r="C159" s="55" t="s">
        <v>272</v>
      </c>
      <c r="D159" s="55" t="s">
        <v>593</v>
      </c>
      <c r="E159" s="55" t="s">
        <v>655</v>
      </c>
      <c r="F159" s="55" t="s">
        <v>593</v>
      </c>
      <c r="G159" s="55" t="s">
        <v>593</v>
      </c>
      <c r="H159" s="55" t="s">
        <v>656</v>
      </c>
      <c r="I159" s="56"/>
      <c r="J159" s="56"/>
      <c r="K159" s="56"/>
      <c r="L159" s="56">
        <v>1.0</v>
      </c>
      <c r="M159" s="56">
        <v>1.0</v>
      </c>
      <c r="N159" s="56">
        <v>1.0</v>
      </c>
      <c r="O159" s="56"/>
      <c r="P159" s="56"/>
      <c r="Q159" s="56" t="s">
        <v>131</v>
      </c>
      <c r="R159" s="58" t="str">
        <f t="shared" si="1"/>
        <v>2021-2022-2023</v>
      </c>
      <c r="S159" s="59" t="str">
        <f>SUM(Hoja1!$I159:$P159)</f>
        <v>3</v>
      </c>
      <c r="T159" s="59" t="str">
        <f>IF(OR(Hoja1!$J159=1,Hoja1!$K159=1,Hoja1!$L159=1,Hoja1!$M159=1,Hoja1!$N159=1,Hoja1!$O159=1,Hoja1!$P159=1),"SI","NO")</f>
        <v>SI</v>
      </c>
      <c r="U159" s="59" t="str">
        <f>IF(OR(Hoja1!$K159=1,Hoja1!$L159=1,Hoja1!$M159=1,Hoja1!$N159=1,Hoja1!$O159=1,Hoja1!$P159=1),"SI","NO")</f>
        <v>SI</v>
      </c>
      <c r="V159" s="60">
        <v>0.0</v>
      </c>
      <c r="W159" s="61">
        <v>0.0</v>
      </c>
      <c r="X159" s="61">
        <v>0.0</v>
      </c>
      <c r="Y159" s="60">
        <v>0.0</v>
      </c>
      <c r="Z159" s="61">
        <v>0.0</v>
      </c>
      <c r="AA159" s="61">
        <v>0.0</v>
      </c>
      <c r="AB159" s="60">
        <v>0.0</v>
      </c>
      <c r="AC159" s="61">
        <v>15.0</v>
      </c>
      <c r="AD159" s="61">
        <v>9.0</v>
      </c>
      <c r="AE159" s="60">
        <v>24.0</v>
      </c>
      <c r="AF159" s="61">
        <v>15.0</v>
      </c>
      <c r="AG159" s="61">
        <v>9.0</v>
      </c>
      <c r="AH159" s="60">
        <v>24.0</v>
      </c>
      <c r="AI159" s="61">
        <v>15.0</v>
      </c>
      <c r="AJ159" s="61">
        <v>9.0</v>
      </c>
      <c r="AK159" s="60">
        <v>24.0</v>
      </c>
      <c r="AL159" s="61">
        <v>0.0</v>
      </c>
      <c r="AM159" s="61">
        <v>0.0</v>
      </c>
      <c r="AN159" s="60">
        <v>0.0</v>
      </c>
      <c r="AO159" s="62">
        <v>0.0</v>
      </c>
      <c r="AP159" s="62">
        <v>0.0</v>
      </c>
      <c r="AQ159" s="60">
        <v>0.0</v>
      </c>
      <c r="AR159" s="60" t="str">
        <f>IF(Hoja1!$AQ159&gt;0,Hoja1!$AQ159,IF(Hoja1!$AN159&gt;0,Hoja1!$AN159,IF(Hoja1!$AK159&gt;0,Hoja1!$AK159,IF(Hoja1!$AH159&gt;0,Hoja1!$AH159,IF(Hoja1!$AE159&gt;0,Hoja1!$AE159,IF(Hoja1!$AB159&gt;0,Hoja1!$AB159,IF(Hoja1!$Y159&gt;0,Hoja1!$Y159,IF(Hoja1!$V159&gt;0,Hoja1!$V159," ---"))))))))</f>
        <v>24</v>
      </c>
      <c r="AS159" s="63">
        <v>0.0</v>
      </c>
      <c r="AT159" s="63">
        <v>0.0</v>
      </c>
      <c r="AU159" s="63">
        <v>49.0</v>
      </c>
      <c r="AV159" s="63">
        <v>2.0</v>
      </c>
      <c r="AW159" s="63">
        <v>33.0</v>
      </c>
      <c r="AX159" s="63">
        <v>2.0</v>
      </c>
      <c r="AY159" s="63">
        <v>33.0</v>
      </c>
      <c r="AZ159" s="63">
        <v>1.0</v>
      </c>
      <c r="BA159" s="63">
        <v>0.0</v>
      </c>
      <c r="BB159" s="63">
        <v>0.0</v>
      </c>
      <c r="BC159" s="63">
        <v>0.0</v>
      </c>
      <c r="BD159" s="63">
        <v>0.0</v>
      </c>
      <c r="BE159" s="64">
        <v>0.0</v>
      </c>
      <c r="BF159" s="69">
        <v>0.0</v>
      </c>
      <c r="BG159" s="69">
        <v>0.0</v>
      </c>
      <c r="BH159" s="64">
        <v>0.0</v>
      </c>
      <c r="BI159" s="67" t="str">
        <f t="shared" si="32"/>
        <v>#REF!</v>
      </c>
      <c r="BJ159" s="68" t="str">
        <f t="shared" si="33"/>
        <v>#REF!</v>
      </c>
      <c r="BK159" s="69">
        <v>0.0</v>
      </c>
      <c r="BL159" s="69">
        <v>0.0</v>
      </c>
      <c r="BM159" s="66">
        <v>0.0</v>
      </c>
      <c r="BN159" s="67" t="str">
        <f t="shared" si="34"/>
        <v>#REF!</v>
      </c>
      <c r="BO159" s="68" t="str">
        <f t="shared" si="35"/>
        <v>#REF!</v>
      </c>
      <c r="BP159" s="65">
        <v>79252.0</v>
      </c>
      <c r="BQ159" s="65">
        <v>0.0</v>
      </c>
      <c r="BR159" s="66">
        <v>79252.0</v>
      </c>
      <c r="BS159" s="67" t="str">
        <f t="shared" si="36"/>
        <v>#REF!</v>
      </c>
      <c r="BT159" s="68" t="str">
        <f>'[1]DATA CONSOLIDADA 2018-2025 '!$BR159-Hoja1!$BO159</f>
        <v>#REF!</v>
      </c>
      <c r="BU159" s="65">
        <v>49060.0</v>
      </c>
      <c r="BV159" s="65">
        <v>0.0</v>
      </c>
      <c r="BW159" s="66">
        <v>49060.0</v>
      </c>
      <c r="BX159" s="67" t="str">
        <f t="shared" si="37"/>
        <v>#REF!</v>
      </c>
      <c r="BY159" s="68" t="str">
        <f t="shared" si="38"/>
        <v>#REF!</v>
      </c>
      <c r="BZ159" s="65">
        <v>104000.0</v>
      </c>
      <c r="CA159" s="65">
        <v>0.0</v>
      </c>
      <c r="CB159" s="66">
        <v>104000.0</v>
      </c>
      <c r="CC159" s="67" t="str">
        <f t="shared" si="39"/>
        <v>#REF!</v>
      </c>
      <c r="CD159" s="68" t="str">
        <f>'[1]DATA CONSOLIDADA 2018-2025 '!$CB159-Hoja1!$BW159</f>
        <v>#REF!</v>
      </c>
      <c r="CE159" s="70">
        <v>0.0</v>
      </c>
      <c r="CF159" s="70">
        <v>0.0</v>
      </c>
      <c r="CG159" s="71">
        <v>0.0</v>
      </c>
      <c r="CH159" s="67" t="str">
        <f t="shared" si="40"/>
        <v>#REF!</v>
      </c>
      <c r="CI159" s="68" t="str">
        <f>'[1]DATA CONSOLIDADA 2018-2025 '!$CG159-Hoja1!$CB159</f>
        <v>#REF!</v>
      </c>
      <c r="CJ159" s="64" t="str">
        <f t="shared" si="22"/>
        <v>#REF!</v>
      </c>
      <c r="CK159" s="64">
        <v>0.0</v>
      </c>
      <c r="CL159" s="64">
        <v>0.0</v>
      </c>
      <c r="CM159" s="64">
        <v>0.0</v>
      </c>
      <c r="CN159" s="64" t="str">
        <f t="shared" si="12"/>
        <v>#REF!</v>
      </c>
      <c r="CO159" s="68" t="str">
        <f>'[1]DATA CONSOLIDADA 2018-2025 '!$CM159-Hoja1!$CG159</f>
        <v>#REF!</v>
      </c>
      <c r="CP159" s="70">
        <v>0.0</v>
      </c>
      <c r="CQ159" s="70">
        <v>104000.0</v>
      </c>
      <c r="CR159" s="70">
        <v>0.0</v>
      </c>
      <c r="CS159" s="70">
        <v>0.0</v>
      </c>
      <c r="CT159" s="70">
        <v>0.0</v>
      </c>
      <c r="CU159" s="70">
        <v>0.0</v>
      </c>
      <c r="CV159" s="64">
        <v>104000.0</v>
      </c>
      <c r="CW159" s="64">
        <v>0.0</v>
      </c>
      <c r="CX159" s="64">
        <v>0.0</v>
      </c>
      <c r="CY159" s="64">
        <v>0.0</v>
      </c>
      <c r="CZ159" s="64">
        <v>0.0</v>
      </c>
      <c r="DA159" s="64">
        <v>0.0</v>
      </c>
      <c r="DB159" s="64">
        <v>0.0</v>
      </c>
      <c r="DC159" s="72">
        <v>0.0</v>
      </c>
      <c r="DD159" s="72">
        <v>0.0</v>
      </c>
      <c r="DE159" s="72">
        <v>0.0</v>
      </c>
      <c r="DF159" s="72">
        <v>0.0</v>
      </c>
      <c r="DG159" s="72">
        <v>0.0</v>
      </c>
      <c r="DH159" s="72">
        <v>0.0</v>
      </c>
      <c r="DI159" s="73" t="s">
        <v>657</v>
      </c>
      <c r="DJ159" s="74" t="s">
        <v>658</v>
      </c>
      <c r="DK159" s="74" t="s">
        <v>138</v>
      </c>
      <c r="DL159" s="75"/>
      <c r="DM159" s="75"/>
      <c r="DN159" s="75"/>
      <c r="DO159" s="75"/>
      <c r="DP159" s="75"/>
      <c r="DQ159" s="75"/>
      <c r="DR159" s="75"/>
      <c r="DS159" s="75"/>
      <c r="DT159" s="75"/>
      <c r="DU159" s="75"/>
      <c r="DV159" s="75"/>
      <c r="DW159" s="75"/>
      <c r="DX159" s="75"/>
      <c r="DY159" s="75"/>
      <c r="DZ159" s="75"/>
      <c r="EA159" s="75"/>
      <c r="EB159" s="75"/>
      <c r="EC159" s="75"/>
      <c r="ED159" s="75"/>
      <c r="EE159" s="75"/>
    </row>
    <row r="160" ht="47.25" customHeight="1">
      <c r="A160" s="55" t="s">
        <v>659</v>
      </c>
      <c r="B160" s="55" t="s">
        <v>146</v>
      </c>
      <c r="C160" s="55" t="s">
        <v>146</v>
      </c>
      <c r="D160" s="55" t="s">
        <v>593</v>
      </c>
      <c r="E160" s="55" t="s">
        <v>660</v>
      </c>
      <c r="F160" s="55" t="s">
        <v>593</v>
      </c>
      <c r="G160" s="55" t="s">
        <v>595</v>
      </c>
      <c r="H160" s="55" t="s">
        <v>661</v>
      </c>
      <c r="I160" s="56"/>
      <c r="J160" s="56"/>
      <c r="K160" s="56"/>
      <c r="L160" s="56">
        <v>1.0</v>
      </c>
      <c r="M160" s="56">
        <v>1.0</v>
      </c>
      <c r="N160" s="56">
        <v>1.0</v>
      </c>
      <c r="O160" s="56">
        <v>1.0</v>
      </c>
      <c r="P160" s="56"/>
      <c r="Q160" s="56" t="s">
        <v>131</v>
      </c>
      <c r="R160" s="58" t="str">
        <f t="shared" si="1"/>
        <v>2021-2022-2023-2024</v>
      </c>
      <c r="S160" s="59" t="str">
        <f>SUM(Hoja1!$I160:$P160)</f>
        <v>4</v>
      </c>
      <c r="T160" s="59" t="str">
        <f>IF(OR(Hoja1!$J160=1,Hoja1!$K160=1,Hoja1!$L160=1,Hoja1!$M160=1,Hoja1!$N160=1,Hoja1!$O160=1,Hoja1!$P160=1),"SI","NO")</f>
        <v>SI</v>
      </c>
      <c r="U160" s="59" t="str">
        <f>IF(OR(Hoja1!$K160=1,Hoja1!$L160=1,Hoja1!$M160=1,Hoja1!$N160=1,Hoja1!$O160=1,Hoja1!$P160=1),"SI","NO")</f>
        <v>SI</v>
      </c>
      <c r="V160" s="60">
        <v>0.0</v>
      </c>
      <c r="W160" s="61">
        <v>0.0</v>
      </c>
      <c r="X160" s="61">
        <v>0.0</v>
      </c>
      <c r="Y160" s="60">
        <v>0.0</v>
      </c>
      <c r="Z160" s="61">
        <v>0.0</v>
      </c>
      <c r="AA160" s="61">
        <v>0.0</v>
      </c>
      <c r="AB160" s="60">
        <v>0.0</v>
      </c>
      <c r="AC160" s="61">
        <v>116.0</v>
      </c>
      <c r="AD160" s="61">
        <v>45.0</v>
      </c>
      <c r="AE160" s="60">
        <v>161.0</v>
      </c>
      <c r="AF160" s="61">
        <v>116.0</v>
      </c>
      <c r="AG160" s="61">
        <v>45.0</v>
      </c>
      <c r="AH160" s="60">
        <v>161.0</v>
      </c>
      <c r="AI160" s="61">
        <v>116.0</v>
      </c>
      <c r="AJ160" s="61">
        <v>45.0</v>
      </c>
      <c r="AK160" s="60">
        <v>161.0</v>
      </c>
      <c r="AL160" s="61">
        <v>41.0</v>
      </c>
      <c r="AM160" s="61">
        <v>23.0</v>
      </c>
      <c r="AN160" s="60">
        <v>64.0</v>
      </c>
      <c r="AO160" s="62">
        <v>0.0</v>
      </c>
      <c r="AP160" s="62">
        <v>0.0</v>
      </c>
      <c r="AQ160" s="60">
        <v>0.0</v>
      </c>
      <c r="AR160" s="60" t="str">
        <f>IF(Hoja1!$AQ160&gt;0,Hoja1!$AQ160,IF(Hoja1!$AN160&gt;0,Hoja1!$AN160,IF(Hoja1!$AK160&gt;0,Hoja1!$AK160,IF(Hoja1!$AH160&gt;0,Hoja1!$AH160,IF(Hoja1!$AE160&gt;0,Hoja1!$AE160,IF(Hoja1!$AB160&gt;0,Hoja1!$AB160,IF(Hoja1!$Y160&gt;0,Hoja1!$Y160,IF(Hoja1!$V160&gt;0,Hoja1!$V160," ---"))))))))</f>
        <v>64</v>
      </c>
      <c r="AS160" s="63">
        <v>0.0</v>
      </c>
      <c r="AT160" s="63">
        <v>0.0</v>
      </c>
      <c r="AU160" s="63">
        <v>46.0</v>
      </c>
      <c r="AV160" s="63">
        <v>4.0</v>
      </c>
      <c r="AW160" s="63">
        <v>64.0</v>
      </c>
      <c r="AX160" s="63">
        <v>0.0</v>
      </c>
      <c r="AY160" s="63">
        <v>51.0</v>
      </c>
      <c r="AZ160" s="63">
        <v>1.0</v>
      </c>
      <c r="BA160" s="63">
        <v>56.0</v>
      </c>
      <c r="BB160" s="63">
        <v>0.0</v>
      </c>
      <c r="BC160" s="63">
        <v>0.0</v>
      </c>
      <c r="BD160" s="63">
        <v>0.0</v>
      </c>
      <c r="BE160" s="64">
        <v>0.0</v>
      </c>
      <c r="BF160" s="69">
        <v>0.0</v>
      </c>
      <c r="BG160" s="69">
        <v>0.0</v>
      </c>
      <c r="BH160" s="64">
        <v>0.0</v>
      </c>
      <c r="BI160" s="67" t="str">
        <f t="shared" si="32"/>
        <v>#REF!</v>
      </c>
      <c r="BJ160" s="68" t="str">
        <f t="shared" si="33"/>
        <v>#REF!</v>
      </c>
      <c r="BK160" s="69">
        <v>0.0</v>
      </c>
      <c r="BL160" s="69">
        <v>0.0</v>
      </c>
      <c r="BM160" s="66">
        <v>0.0</v>
      </c>
      <c r="BN160" s="67" t="str">
        <f t="shared" si="34"/>
        <v>#REF!</v>
      </c>
      <c r="BO160" s="68" t="str">
        <f t="shared" si="35"/>
        <v>#REF!</v>
      </c>
      <c r="BP160" s="65">
        <v>1656081.51</v>
      </c>
      <c r="BQ160" s="65">
        <v>0.0</v>
      </c>
      <c r="BR160" s="66">
        <v>1656081.51</v>
      </c>
      <c r="BS160" s="67" t="str">
        <f t="shared" si="36"/>
        <v>#REF!</v>
      </c>
      <c r="BT160" s="68" t="str">
        <f>'[1]DATA CONSOLIDADA 2018-2025 '!$BR160-Hoja1!$BO160</f>
        <v>#REF!</v>
      </c>
      <c r="BU160" s="65">
        <v>877631.42</v>
      </c>
      <c r="BV160" s="65">
        <v>0.0</v>
      </c>
      <c r="BW160" s="66">
        <v>877631.42</v>
      </c>
      <c r="BX160" s="67" t="str">
        <f t="shared" si="37"/>
        <v>#REF!</v>
      </c>
      <c r="BY160" s="68" t="str">
        <f t="shared" si="38"/>
        <v>#REF!</v>
      </c>
      <c r="BZ160" s="65">
        <v>373566.45</v>
      </c>
      <c r="CA160" s="65">
        <v>0.0</v>
      </c>
      <c r="CB160" s="66">
        <v>373566.45</v>
      </c>
      <c r="CC160" s="67" t="str">
        <f t="shared" si="39"/>
        <v>#REF!</v>
      </c>
      <c r="CD160" s="68" t="str">
        <f>'[1]DATA CONSOLIDADA 2018-2025 '!$CB160-Hoja1!$BW160</f>
        <v>#REF!</v>
      </c>
      <c r="CE160" s="70">
        <v>244100.0</v>
      </c>
      <c r="CF160" s="70">
        <v>0.0</v>
      </c>
      <c r="CG160" s="71">
        <v>244100.0</v>
      </c>
      <c r="CH160" s="67" t="str">
        <f t="shared" si="40"/>
        <v>#REF!</v>
      </c>
      <c r="CI160" s="68" t="str">
        <f>'[1]DATA CONSOLIDADA 2018-2025 '!$CG160-Hoja1!$CB160</f>
        <v>#REF!</v>
      </c>
      <c r="CJ160" s="64" t="str">
        <f t="shared" si="22"/>
        <v>#REF!</v>
      </c>
      <c r="CK160" s="64">
        <v>0.0</v>
      </c>
      <c r="CL160" s="64">
        <v>0.0</v>
      </c>
      <c r="CM160" s="64">
        <v>0.0</v>
      </c>
      <c r="CN160" s="64" t="str">
        <f t="shared" si="12"/>
        <v>#REF!</v>
      </c>
      <c r="CO160" s="68" t="str">
        <f>'[1]DATA CONSOLIDADA 2018-2025 '!$CM160-Hoja1!$CG160</f>
        <v>#REF!</v>
      </c>
      <c r="CP160" s="70">
        <v>0.0</v>
      </c>
      <c r="CQ160" s="70">
        <v>373566.44080793</v>
      </c>
      <c r="CR160" s="70">
        <v>0.0</v>
      </c>
      <c r="CS160" s="70">
        <v>0.0</v>
      </c>
      <c r="CT160" s="70">
        <v>0.0</v>
      </c>
      <c r="CU160" s="70">
        <v>0.0</v>
      </c>
      <c r="CV160" s="64">
        <v>373566.44080793</v>
      </c>
      <c r="CW160" s="64">
        <v>0.0</v>
      </c>
      <c r="CX160" s="64">
        <v>244100.0</v>
      </c>
      <c r="CY160" s="64">
        <v>0.0</v>
      </c>
      <c r="CZ160" s="64">
        <v>0.0</v>
      </c>
      <c r="DA160" s="64">
        <v>0.0</v>
      </c>
      <c r="DB160" s="64">
        <v>244100.0</v>
      </c>
      <c r="DC160" s="72">
        <v>0.0</v>
      </c>
      <c r="DD160" s="72">
        <v>0.0</v>
      </c>
      <c r="DE160" s="72">
        <v>0.0</v>
      </c>
      <c r="DF160" s="72">
        <v>0.0</v>
      </c>
      <c r="DG160" s="72">
        <v>0.0</v>
      </c>
      <c r="DH160" s="72">
        <v>0.0</v>
      </c>
      <c r="DI160" s="73">
        <v>2.0573260008E10</v>
      </c>
      <c r="DJ160" s="74" t="s">
        <v>659</v>
      </c>
      <c r="DK160" s="74" t="s">
        <v>132</v>
      </c>
      <c r="DL160" s="75"/>
      <c r="DM160" s="75"/>
      <c r="DN160" s="75"/>
      <c r="DO160" s="75"/>
      <c r="DP160" s="75"/>
      <c r="DQ160" s="75"/>
      <c r="DR160" s="75"/>
      <c r="DS160" s="75"/>
      <c r="DT160" s="75"/>
      <c r="DU160" s="75"/>
      <c r="DV160" s="75"/>
      <c r="DW160" s="75"/>
      <c r="DX160" s="75"/>
      <c r="DY160" s="75"/>
      <c r="DZ160" s="75"/>
      <c r="EA160" s="75"/>
      <c r="EB160" s="75"/>
      <c r="EC160" s="75"/>
      <c r="ED160" s="75"/>
      <c r="EE160" s="75"/>
    </row>
    <row r="161" ht="47.25" hidden="1" customHeight="1">
      <c r="A161" s="55" t="s">
        <v>662</v>
      </c>
      <c r="B161" s="55" t="s">
        <v>256</v>
      </c>
      <c r="C161" s="55" t="s">
        <v>272</v>
      </c>
      <c r="D161" s="55" t="s">
        <v>593</v>
      </c>
      <c r="E161" s="55" t="s">
        <v>663</v>
      </c>
      <c r="F161" s="55" t="s">
        <v>593</v>
      </c>
      <c r="G161" s="55" t="s">
        <v>651</v>
      </c>
      <c r="H161" s="55" t="s">
        <v>664</v>
      </c>
      <c r="I161" s="56"/>
      <c r="J161" s="56"/>
      <c r="K161" s="56"/>
      <c r="L161" s="56">
        <v>1.0</v>
      </c>
      <c r="M161" s="56">
        <v>1.0</v>
      </c>
      <c r="N161" s="56">
        <v>1.0</v>
      </c>
      <c r="O161" s="56">
        <v>1.0</v>
      </c>
      <c r="P161" s="56"/>
      <c r="Q161" s="56" t="s">
        <v>131</v>
      </c>
      <c r="R161" s="58" t="str">
        <f t="shared" si="1"/>
        <v>2021-2022-2023-2024</v>
      </c>
      <c r="S161" s="59" t="str">
        <f>SUM(Hoja1!$I161:$P161)</f>
        <v>4</v>
      </c>
      <c r="T161" s="59" t="str">
        <f>IF(OR(Hoja1!$J161=1,Hoja1!$K161=1,Hoja1!$L161=1,Hoja1!$M161=1,Hoja1!$N161=1,Hoja1!$O161=1,Hoja1!$P161=1),"SI","NO")</f>
        <v>SI</v>
      </c>
      <c r="U161" s="59" t="str">
        <f>IF(OR(Hoja1!$K161=1,Hoja1!$L161=1,Hoja1!$M161=1,Hoja1!$N161=1,Hoja1!$O161=1,Hoja1!$P161=1),"SI","NO")</f>
        <v>SI</v>
      </c>
      <c r="V161" s="60">
        <v>0.0</v>
      </c>
      <c r="W161" s="61">
        <v>0.0</v>
      </c>
      <c r="X161" s="61">
        <v>0.0</v>
      </c>
      <c r="Y161" s="60">
        <v>0.0</v>
      </c>
      <c r="Z161" s="61">
        <v>0.0</v>
      </c>
      <c r="AA161" s="61">
        <v>0.0</v>
      </c>
      <c r="AB161" s="60">
        <v>0.0</v>
      </c>
      <c r="AC161" s="61">
        <v>24.0</v>
      </c>
      <c r="AD161" s="61">
        <v>9.0</v>
      </c>
      <c r="AE161" s="60">
        <v>33.0</v>
      </c>
      <c r="AF161" s="61">
        <v>24.0</v>
      </c>
      <c r="AG161" s="61">
        <v>9.0</v>
      </c>
      <c r="AH161" s="60">
        <v>33.0</v>
      </c>
      <c r="AI161" s="61">
        <v>24.0</v>
      </c>
      <c r="AJ161" s="61">
        <v>9.0</v>
      </c>
      <c r="AK161" s="60">
        <v>33.0</v>
      </c>
      <c r="AL161" s="61">
        <v>15.0</v>
      </c>
      <c r="AM161" s="61">
        <v>9.0</v>
      </c>
      <c r="AN161" s="60">
        <v>24.0</v>
      </c>
      <c r="AO161" s="62">
        <v>0.0</v>
      </c>
      <c r="AP161" s="62">
        <v>0.0</v>
      </c>
      <c r="AQ161" s="60">
        <v>0.0</v>
      </c>
      <c r="AR161" s="60" t="str">
        <f>IF(Hoja1!$AQ161&gt;0,Hoja1!$AQ161,IF(Hoja1!$AN161&gt;0,Hoja1!$AN161,IF(Hoja1!$AK161&gt;0,Hoja1!$AK161,IF(Hoja1!$AH161&gt;0,Hoja1!$AH161,IF(Hoja1!$AE161&gt;0,Hoja1!$AE161,IF(Hoja1!$AB161&gt;0,Hoja1!$AB161,IF(Hoja1!$Y161&gt;0,Hoja1!$Y161,IF(Hoja1!$V161&gt;0,Hoja1!$V161," ---"))))))))</f>
        <v>24</v>
      </c>
      <c r="AS161" s="63">
        <v>0.0</v>
      </c>
      <c r="AT161" s="63">
        <v>0.0</v>
      </c>
      <c r="AU161" s="63">
        <v>51.0</v>
      </c>
      <c r="AV161" s="63">
        <v>3.0</v>
      </c>
      <c r="AW161" s="63">
        <v>34.0</v>
      </c>
      <c r="AX161" s="63">
        <v>2.0</v>
      </c>
      <c r="AY161" s="63">
        <v>33.0</v>
      </c>
      <c r="AZ161" s="63">
        <v>1.0</v>
      </c>
      <c r="BA161" s="63">
        <v>24.0</v>
      </c>
      <c r="BB161" s="63">
        <v>0.0</v>
      </c>
      <c r="BC161" s="63">
        <v>0.0</v>
      </c>
      <c r="BD161" s="63">
        <v>0.0</v>
      </c>
      <c r="BE161" s="64">
        <v>0.0</v>
      </c>
      <c r="BF161" s="69">
        <v>0.0</v>
      </c>
      <c r="BG161" s="69">
        <v>0.0</v>
      </c>
      <c r="BH161" s="64">
        <v>0.0</v>
      </c>
      <c r="BI161" s="67" t="str">
        <f t="shared" si="32"/>
        <v>#REF!</v>
      </c>
      <c r="BJ161" s="68" t="str">
        <f t="shared" si="33"/>
        <v>#REF!</v>
      </c>
      <c r="BK161" s="69">
        <v>0.0</v>
      </c>
      <c r="BL161" s="69">
        <v>0.0</v>
      </c>
      <c r="BM161" s="66">
        <v>0.0</v>
      </c>
      <c r="BN161" s="67" t="str">
        <f t="shared" si="34"/>
        <v>#REF!</v>
      </c>
      <c r="BO161" s="68" t="str">
        <f t="shared" si="35"/>
        <v>#REF!</v>
      </c>
      <c r="BP161" s="65">
        <v>192706.0</v>
      </c>
      <c r="BQ161" s="65">
        <v>0.0</v>
      </c>
      <c r="BR161" s="66">
        <v>192706.0</v>
      </c>
      <c r="BS161" s="67" t="str">
        <f t="shared" si="36"/>
        <v>#REF!</v>
      </c>
      <c r="BT161" s="68" t="str">
        <f>'[1]DATA CONSOLIDADA 2018-2025 '!$BR161-Hoja1!$BO161</f>
        <v>#REF!</v>
      </c>
      <c r="BU161" s="65">
        <v>61421.0</v>
      </c>
      <c r="BV161" s="65">
        <v>0.0</v>
      </c>
      <c r="BW161" s="66">
        <v>61421.0</v>
      </c>
      <c r="BX161" s="67" t="str">
        <f t="shared" si="37"/>
        <v>#REF!</v>
      </c>
      <c r="BY161" s="68" t="str">
        <f t="shared" si="38"/>
        <v>#REF!</v>
      </c>
      <c r="BZ161" s="65">
        <v>449796.0</v>
      </c>
      <c r="CA161" s="65">
        <v>0.0</v>
      </c>
      <c r="CB161" s="66">
        <v>449796.0</v>
      </c>
      <c r="CC161" s="67" t="str">
        <f t="shared" si="39"/>
        <v>#REF!</v>
      </c>
      <c r="CD161" s="68" t="str">
        <f>'[1]DATA CONSOLIDADA 2018-2025 '!$CB161-Hoja1!$BW161</f>
        <v>#REF!</v>
      </c>
      <c r="CE161" s="70">
        <v>378282.44</v>
      </c>
      <c r="CF161" s="70">
        <v>0.0</v>
      </c>
      <c r="CG161" s="71">
        <v>378282.44</v>
      </c>
      <c r="CH161" s="67" t="str">
        <f t="shared" si="40"/>
        <v>#REF!</v>
      </c>
      <c r="CI161" s="68" t="str">
        <f>'[1]DATA CONSOLIDADA 2018-2025 '!$CG161-Hoja1!$CB161</f>
        <v>#REF!</v>
      </c>
      <c r="CJ161" s="64" t="str">
        <f t="shared" si="22"/>
        <v>#REF!</v>
      </c>
      <c r="CK161" s="64">
        <v>0.0</v>
      </c>
      <c r="CL161" s="64">
        <v>0.0</v>
      </c>
      <c r="CM161" s="64">
        <v>0.0</v>
      </c>
      <c r="CN161" s="64" t="str">
        <f t="shared" si="12"/>
        <v>#REF!</v>
      </c>
      <c r="CO161" s="68" t="str">
        <f>'[1]DATA CONSOLIDADA 2018-2025 '!$CM161-Hoja1!$CG161</f>
        <v>#REF!</v>
      </c>
      <c r="CP161" s="70">
        <v>0.0</v>
      </c>
      <c r="CQ161" s="70">
        <v>449795.99607480003</v>
      </c>
      <c r="CR161" s="70">
        <v>0.0</v>
      </c>
      <c r="CS161" s="70">
        <v>0.0</v>
      </c>
      <c r="CT161" s="70">
        <v>0.0</v>
      </c>
      <c r="CU161" s="70">
        <v>0.0</v>
      </c>
      <c r="CV161" s="64">
        <v>449795.99607480003</v>
      </c>
      <c r="CW161" s="64">
        <v>0.0</v>
      </c>
      <c r="CX161" s="64">
        <v>61448.0</v>
      </c>
      <c r="CY161" s="64">
        <v>316834.44</v>
      </c>
      <c r="CZ161" s="64">
        <v>0.0</v>
      </c>
      <c r="DA161" s="64">
        <v>0.0</v>
      </c>
      <c r="DB161" s="64">
        <v>378282.44</v>
      </c>
      <c r="DC161" s="72">
        <v>0.0</v>
      </c>
      <c r="DD161" s="72">
        <v>0.0</v>
      </c>
      <c r="DE161" s="72">
        <v>0.0</v>
      </c>
      <c r="DF161" s="72">
        <v>0.0</v>
      </c>
      <c r="DG161" s="72">
        <v>0.0</v>
      </c>
      <c r="DH161" s="72">
        <v>0.0</v>
      </c>
      <c r="DI161" s="73">
        <v>2.0604757267E10</v>
      </c>
      <c r="DJ161" s="74" t="s">
        <v>662</v>
      </c>
      <c r="DK161" s="74" t="s">
        <v>138</v>
      </c>
      <c r="DL161" s="75"/>
      <c r="DM161" s="75"/>
      <c r="DN161" s="75"/>
      <c r="DO161" s="75"/>
      <c r="DP161" s="75"/>
      <c r="DQ161" s="75"/>
      <c r="DR161" s="75"/>
      <c r="DS161" s="75"/>
      <c r="DT161" s="75"/>
      <c r="DU161" s="75"/>
      <c r="DV161" s="75"/>
      <c r="DW161" s="75"/>
      <c r="DX161" s="75"/>
      <c r="DY161" s="75"/>
      <c r="DZ161" s="75"/>
      <c r="EA161" s="75"/>
      <c r="EB161" s="75"/>
      <c r="EC161" s="75"/>
      <c r="ED161" s="75"/>
      <c r="EE161" s="75"/>
    </row>
    <row r="162" ht="47.25" hidden="1" customHeight="1">
      <c r="A162" s="55" t="s">
        <v>665</v>
      </c>
      <c r="B162" s="55" t="s">
        <v>621</v>
      </c>
      <c r="C162" s="55" t="s">
        <v>621</v>
      </c>
      <c r="D162" s="55" t="s">
        <v>593</v>
      </c>
      <c r="E162" s="55" t="s">
        <v>633</v>
      </c>
      <c r="F162" s="55" t="s">
        <v>593</v>
      </c>
      <c r="G162" s="55" t="s">
        <v>595</v>
      </c>
      <c r="H162" s="55" t="s">
        <v>634</v>
      </c>
      <c r="I162" s="74"/>
      <c r="J162" s="74"/>
      <c r="K162" s="74"/>
      <c r="L162" s="74"/>
      <c r="M162" s="56">
        <v>1.0</v>
      </c>
      <c r="N162" s="56">
        <v>1.0</v>
      </c>
      <c r="O162" s="56">
        <v>1.0</v>
      </c>
      <c r="P162" s="56">
        <v>1.0</v>
      </c>
      <c r="Q162" s="56" t="s">
        <v>131</v>
      </c>
      <c r="R162" s="58" t="str">
        <f t="shared" si="1"/>
        <v>2022-2023-2024 - 2025</v>
      </c>
      <c r="S162" s="59" t="str">
        <f>SUM(Hoja1!$I162:$P162)</f>
        <v>4</v>
      </c>
      <c r="T162" s="59" t="str">
        <f>IF(OR(Hoja1!$J162=1,Hoja1!$K162=1,Hoja1!$L162=1,Hoja1!$M162=1,Hoja1!$N162=1,Hoja1!$O162=1,Hoja1!$P162=1),"SI","NO")</f>
        <v>SI</v>
      </c>
      <c r="U162" s="59" t="str">
        <f>IF(OR(Hoja1!$K162=1,Hoja1!$L162=1,Hoja1!$M162=1,Hoja1!$N162=1,Hoja1!$O162=1,Hoja1!$P162=1),"SI","NO")</f>
        <v>SI</v>
      </c>
      <c r="V162" s="60">
        <v>0.0</v>
      </c>
      <c r="W162" s="61">
        <v>0.0</v>
      </c>
      <c r="X162" s="61">
        <v>0.0</v>
      </c>
      <c r="Y162" s="60">
        <v>0.0</v>
      </c>
      <c r="Z162" s="61">
        <v>0.0</v>
      </c>
      <c r="AA162" s="61">
        <v>0.0</v>
      </c>
      <c r="AB162" s="60">
        <v>0.0</v>
      </c>
      <c r="AC162" s="61">
        <v>0.0</v>
      </c>
      <c r="AD162" s="61">
        <v>0.0</v>
      </c>
      <c r="AE162" s="60">
        <v>0.0</v>
      </c>
      <c r="AF162" s="61">
        <v>15.0</v>
      </c>
      <c r="AG162" s="61">
        <v>10.0</v>
      </c>
      <c r="AH162" s="60">
        <v>25.0</v>
      </c>
      <c r="AI162" s="61">
        <v>15.0</v>
      </c>
      <c r="AJ162" s="61">
        <v>10.0</v>
      </c>
      <c r="AK162" s="60">
        <v>25.0</v>
      </c>
      <c r="AL162" s="61">
        <v>15.0</v>
      </c>
      <c r="AM162" s="61">
        <v>10.0</v>
      </c>
      <c r="AN162" s="60">
        <v>25.0</v>
      </c>
      <c r="AO162" s="62">
        <v>16.0</v>
      </c>
      <c r="AP162" s="62">
        <v>11.0</v>
      </c>
      <c r="AQ162" s="60">
        <v>27.0</v>
      </c>
      <c r="AR162" s="60" t="str">
        <f>IF(Hoja1!$AQ162&gt;0,Hoja1!$AQ162,IF(Hoja1!$AN162&gt;0,Hoja1!$AN162,IF(Hoja1!$AK162&gt;0,Hoja1!$AK162,IF(Hoja1!$AH162&gt;0,Hoja1!$AH162,IF(Hoja1!$AE162&gt;0,Hoja1!$AE162,IF(Hoja1!$AB162&gt;0,Hoja1!$AB162,IF(Hoja1!$Y162&gt;0,Hoja1!$Y162,IF(Hoja1!$V162&gt;0,Hoja1!$V162," ---"))))))))</f>
        <v>27</v>
      </c>
      <c r="AS162" s="63">
        <v>0.0</v>
      </c>
      <c r="AT162" s="63">
        <v>0.0</v>
      </c>
      <c r="AU162" s="63">
        <v>0.0</v>
      </c>
      <c r="AV162" s="63">
        <v>0.0</v>
      </c>
      <c r="AW162" s="63">
        <v>121.0</v>
      </c>
      <c r="AX162" s="63">
        <v>6.0</v>
      </c>
      <c r="AY162" s="63">
        <v>77.0</v>
      </c>
      <c r="AZ162" s="63">
        <v>2.0</v>
      </c>
      <c r="BA162" s="63">
        <v>56.0</v>
      </c>
      <c r="BB162" s="63">
        <v>0.0</v>
      </c>
      <c r="BC162" s="63">
        <v>48.0</v>
      </c>
      <c r="BD162" s="63">
        <v>0.0</v>
      </c>
      <c r="BE162" s="66">
        <v>0.0</v>
      </c>
      <c r="BF162" s="65">
        <v>0.0</v>
      </c>
      <c r="BG162" s="65">
        <v>0.0</v>
      </c>
      <c r="BH162" s="66">
        <v>0.0</v>
      </c>
      <c r="BI162" s="67" t="str">
        <f t="shared" si="32"/>
        <v>#REF!</v>
      </c>
      <c r="BJ162" s="68" t="str">
        <f t="shared" si="33"/>
        <v>#REF!</v>
      </c>
      <c r="BK162" s="65">
        <v>0.0</v>
      </c>
      <c r="BL162" s="65">
        <v>0.0</v>
      </c>
      <c r="BM162" s="66">
        <v>0.0</v>
      </c>
      <c r="BN162" s="67" t="str">
        <f t="shared" si="34"/>
        <v>#REF!</v>
      </c>
      <c r="BO162" s="68" t="str">
        <f t="shared" si="35"/>
        <v>#REF!</v>
      </c>
      <c r="BP162" s="65">
        <v>0.0</v>
      </c>
      <c r="BQ162" s="65">
        <v>0.0</v>
      </c>
      <c r="BR162" s="66">
        <v>0.0</v>
      </c>
      <c r="BS162" s="67" t="str">
        <f t="shared" si="36"/>
        <v>#REF!</v>
      </c>
      <c r="BT162" s="68" t="str">
        <f>'[1]DATA CONSOLIDADA 2018-2025 '!$BR162-Hoja1!$BO162</f>
        <v>#REF!</v>
      </c>
      <c r="BU162" s="65">
        <v>172990.0</v>
      </c>
      <c r="BV162" s="65">
        <v>0.0</v>
      </c>
      <c r="BW162" s="66">
        <v>172990.0</v>
      </c>
      <c r="BX162" s="67" t="str">
        <f t="shared" si="37"/>
        <v>#REF!</v>
      </c>
      <c r="BY162" s="68" t="str">
        <f t="shared" si="38"/>
        <v>#REF!</v>
      </c>
      <c r="BZ162" s="65">
        <v>337878.0</v>
      </c>
      <c r="CA162" s="65">
        <v>0.0</v>
      </c>
      <c r="CB162" s="66">
        <v>337878.0</v>
      </c>
      <c r="CC162" s="67" t="str">
        <f t="shared" si="39"/>
        <v>#REF!</v>
      </c>
      <c r="CD162" s="68" t="str">
        <f>'[1]DATA CONSOLIDADA 2018-2025 '!$CB162-Hoja1!$BW162</f>
        <v>#REF!</v>
      </c>
      <c r="CE162" s="70">
        <v>180747.0</v>
      </c>
      <c r="CF162" s="70">
        <v>0.0</v>
      </c>
      <c r="CG162" s="71">
        <v>180747.0</v>
      </c>
      <c r="CH162" s="67" t="str">
        <f t="shared" si="40"/>
        <v>#REF!</v>
      </c>
      <c r="CI162" s="68" t="str">
        <f>'[1]DATA CONSOLIDADA 2018-2025 '!$CG162-Hoja1!$CB162</f>
        <v>#REF!</v>
      </c>
      <c r="CJ162" s="64" t="str">
        <f t="shared" si="22"/>
        <v>#REF!</v>
      </c>
      <c r="CK162" s="64">
        <v>212128.0</v>
      </c>
      <c r="CL162" s="64">
        <v>0.0</v>
      </c>
      <c r="CM162" s="64">
        <v>212128.0</v>
      </c>
      <c r="CN162" s="64" t="str">
        <f t="shared" si="12"/>
        <v>#REF!</v>
      </c>
      <c r="CO162" s="68" t="str">
        <f>'[1]DATA CONSOLIDADA 2018-2025 '!$CM162-Hoja1!$CG162</f>
        <v>#REF!</v>
      </c>
      <c r="CP162" s="70">
        <v>0.0</v>
      </c>
      <c r="CQ162" s="70">
        <v>0.0</v>
      </c>
      <c r="CR162" s="70">
        <v>0.0</v>
      </c>
      <c r="CS162" s="70">
        <v>337878.0</v>
      </c>
      <c r="CT162" s="70">
        <v>0.0</v>
      </c>
      <c r="CU162" s="70">
        <v>0.0</v>
      </c>
      <c r="CV162" s="64">
        <v>337878.0</v>
      </c>
      <c r="CW162" s="64">
        <v>0.0</v>
      </c>
      <c r="CX162" s="64">
        <v>86680.0</v>
      </c>
      <c r="CY162" s="64">
        <v>94067.0</v>
      </c>
      <c r="CZ162" s="64">
        <v>0.0</v>
      </c>
      <c r="DA162" s="64">
        <v>0.0</v>
      </c>
      <c r="DB162" s="64">
        <v>180747.0</v>
      </c>
      <c r="DC162" s="72">
        <v>0.0</v>
      </c>
      <c r="DD162" s="72">
        <v>0.0</v>
      </c>
      <c r="DE162" s="72">
        <v>212128.0</v>
      </c>
      <c r="DF162" s="72">
        <v>0.0</v>
      </c>
      <c r="DG162" s="72">
        <v>0.0</v>
      </c>
      <c r="DH162" s="72">
        <v>212128.0</v>
      </c>
      <c r="DI162" s="73">
        <v>2.0609201259E10</v>
      </c>
      <c r="DJ162" s="74" t="s">
        <v>665</v>
      </c>
      <c r="DK162" s="74" t="s">
        <v>138</v>
      </c>
      <c r="DL162" s="75"/>
      <c r="DM162" s="75"/>
      <c r="DN162" s="75"/>
      <c r="DO162" s="75"/>
      <c r="DP162" s="75"/>
      <c r="DQ162" s="75"/>
      <c r="DR162" s="75"/>
      <c r="DS162" s="75"/>
      <c r="DT162" s="75"/>
      <c r="DU162" s="75"/>
      <c r="DV162" s="75"/>
      <c r="DW162" s="75"/>
      <c r="DX162" s="75"/>
      <c r="DY162" s="75"/>
      <c r="DZ162" s="75"/>
      <c r="EA162" s="75"/>
      <c r="EB162" s="75"/>
      <c r="EC162" s="75"/>
      <c r="ED162" s="75"/>
      <c r="EE162" s="75"/>
    </row>
    <row r="163" ht="47.25" hidden="1" customHeight="1">
      <c r="A163" s="55" t="s">
        <v>666</v>
      </c>
      <c r="B163" s="55" t="s">
        <v>126</v>
      </c>
      <c r="C163" s="55" t="s">
        <v>667</v>
      </c>
      <c r="D163" s="55" t="s">
        <v>481</v>
      </c>
      <c r="E163" s="55" t="s">
        <v>668</v>
      </c>
      <c r="F163" s="55" t="s">
        <v>481</v>
      </c>
      <c r="G163" s="55" t="s">
        <v>483</v>
      </c>
      <c r="H163" s="55" t="s">
        <v>669</v>
      </c>
      <c r="I163" s="56">
        <v>1.0</v>
      </c>
      <c r="J163" s="56"/>
      <c r="K163" s="56"/>
      <c r="L163" s="56"/>
      <c r="M163" s="56"/>
      <c r="N163" s="56"/>
      <c r="O163" s="56"/>
      <c r="P163" s="56"/>
      <c r="Q163" s="56" t="s">
        <v>131</v>
      </c>
      <c r="R163" s="58" t="str">
        <f t="shared" si="1"/>
        <v>2018</v>
      </c>
      <c r="S163" s="59" t="str">
        <f>SUM(Hoja1!$I163:$P163)</f>
        <v>1</v>
      </c>
      <c r="T163" s="59" t="str">
        <f>IF(OR(Hoja1!$J163=1,Hoja1!$K163=1,Hoja1!$L163=1,Hoja1!$M163=1,Hoja1!$N163=1,Hoja1!$O163=1,Hoja1!$P163=1),"SI","NO")</f>
        <v>NO</v>
      </c>
      <c r="U163" s="59" t="str">
        <f>IF(OR(Hoja1!$K163=1,Hoja1!$L163=1,Hoja1!$M163=1,Hoja1!$N163=1,Hoja1!$O163=1,Hoja1!$P163=1),"SI","NO")</f>
        <v>NO</v>
      </c>
      <c r="V163" s="60">
        <v>23.0</v>
      </c>
      <c r="W163" s="61">
        <v>0.0</v>
      </c>
      <c r="X163" s="61">
        <v>0.0</v>
      </c>
      <c r="Y163" s="60">
        <v>0.0</v>
      </c>
      <c r="Z163" s="61">
        <v>0.0</v>
      </c>
      <c r="AA163" s="61">
        <v>0.0</v>
      </c>
      <c r="AB163" s="60">
        <v>0.0</v>
      </c>
      <c r="AC163" s="61">
        <v>0.0</v>
      </c>
      <c r="AD163" s="61">
        <v>0.0</v>
      </c>
      <c r="AE163" s="60">
        <v>0.0</v>
      </c>
      <c r="AF163" s="61">
        <v>0.0</v>
      </c>
      <c r="AG163" s="61">
        <v>0.0</v>
      </c>
      <c r="AH163" s="60">
        <v>0.0</v>
      </c>
      <c r="AI163" s="61">
        <v>0.0</v>
      </c>
      <c r="AJ163" s="61">
        <v>0.0</v>
      </c>
      <c r="AK163" s="60">
        <v>0.0</v>
      </c>
      <c r="AL163" s="61">
        <v>0.0</v>
      </c>
      <c r="AM163" s="61">
        <v>0.0</v>
      </c>
      <c r="AN163" s="60">
        <v>0.0</v>
      </c>
      <c r="AO163" s="62">
        <v>0.0</v>
      </c>
      <c r="AP163" s="62">
        <v>0.0</v>
      </c>
      <c r="AQ163" s="60">
        <v>0.0</v>
      </c>
      <c r="AR163" s="60" t="str">
        <f>IF(Hoja1!$AQ163&gt;0,Hoja1!$AQ163,IF(Hoja1!$AN163&gt;0,Hoja1!$AN163,IF(Hoja1!$AK163&gt;0,Hoja1!$AK163,IF(Hoja1!$AH163&gt;0,Hoja1!$AH163,IF(Hoja1!$AE163&gt;0,Hoja1!$AE163,IF(Hoja1!$AB163&gt;0,Hoja1!$AB163,IF(Hoja1!$Y163&gt;0,Hoja1!$Y163,IF(Hoja1!$V163&gt;0,Hoja1!$V163," ---"))))))))</f>
        <v>23</v>
      </c>
      <c r="AS163" s="63">
        <v>0.0</v>
      </c>
      <c r="AT163" s="63">
        <v>0.0</v>
      </c>
      <c r="AU163" s="63">
        <v>0.0</v>
      </c>
      <c r="AV163" s="63">
        <v>0.0</v>
      </c>
      <c r="AW163" s="63">
        <v>0.0</v>
      </c>
      <c r="AX163" s="63">
        <v>0.0</v>
      </c>
      <c r="AY163" s="63">
        <v>0.0</v>
      </c>
      <c r="AZ163" s="63">
        <v>0.0</v>
      </c>
      <c r="BA163" s="63">
        <v>0.0</v>
      </c>
      <c r="BB163" s="63">
        <v>0.0</v>
      </c>
      <c r="BC163" s="63">
        <v>0.0</v>
      </c>
      <c r="BD163" s="63">
        <v>0.0</v>
      </c>
      <c r="BE163" s="64">
        <v>0.0</v>
      </c>
      <c r="BF163" s="65">
        <v>0.0</v>
      </c>
      <c r="BG163" s="65">
        <v>0.0</v>
      </c>
      <c r="BH163" s="66">
        <v>0.0</v>
      </c>
      <c r="BI163" s="67" t="str">
        <f t="shared" si="32"/>
        <v>#REF!</v>
      </c>
      <c r="BJ163" s="68" t="str">
        <f t="shared" si="33"/>
        <v>#REF!</v>
      </c>
      <c r="BK163" s="65">
        <v>0.0</v>
      </c>
      <c r="BL163" s="65">
        <v>0.0</v>
      </c>
      <c r="BM163" s="66">
        <v>0.0</v>
      </c>
      <c r="BN163" s="67" t="str">
        <f t="shared" si="34"/>
        <v>#REF!</v>
      </c>
      <c r="BO163" s="68" t="str">
        <f t="shared" si="35"/>
        <v>#REF!</v>
      </c>
      <c r="BP163" s="65">
        <v>0.0</v>
      </c>
      <c r="BQ163" s="65">
        <v>0.0</v>
      </c>
      <c r="BR163" s="66">
        <v>0.0</v>
      </c>
      <c r="BS163" s="67" t="str">
        <f t="shared" si="36"/>
        <v>#REF!</v>
      </c>
      <c r="BT163" s="68" t="str">
        <f>'[1]DATA CONSOLIDADA 2018-2025 '!$BR163-Hoja1!$BO163</f>
        <v>#REF!</v>
      </c>
      <c r="BU163" s="65">
        <v>0.0</v>
      </c>
      <c r="BV163" s="65">
        <v>0.0</v>
      </c>
      <c r="BW163" s="66">
        <v>0.0</v>
      </c>
      <c r="BX163" s="67" t="str">
        <f t="shared" si="37"/>
        <v>#REF!</v>
      </c>
      <c r="BY163" s="68" t="str">
        <f t="shared" si="38"/>
        <v>#REF!</v>
      </c>
      <c r="BZ163" s="65">
        <v>0.0</v>
      </c>
      <c r="CA163" s="65">
        <v>0.0</v>
      </c>
      <c r="CB163" s="66">
        <v>0.0</v>
      </c>
      <c r="CC163" s="67" t="str">
        <f t="shared" si="39"/>
        <v>#REF!</v>
      </c>
      <c r="CD163" s="68" t="str">
        <f>'[1]DATA CONSOLIDADA 2018-2025 '!$CB163-Hoja1!$BW163</f>
        <v>#REF!</v>
      </c>
      <c r="CE163" s="70">
        <v>0.0</v>
      </c>
      <c r="CF163" s="70">
        <v>0.0</v>
      </c>
      <c r="CG163" s="71">
        <v>0.0</v>
      </c>
      <c r="CH163" s="67" t="str">
        <f t="shared" si="40"/>
        <v>#REF!</v>
      </c>
      <c r="CI163" s="68" t="str">
        <f>'[1]DATA CONSOLIDADA 2018-2025 '!$CG163-Hoja1!$CB163</f>
        <v>#REF!</v>
      </c>
      <c r="CJ163" s="64" t="str">
        <f t="shared" si="22"/>
        <v>#REF!</v>
      </c>
      <c r="CK163" s="64">
        <v>0.0</v>
      </c>
      <c r="CL163" s="64">
        <v>0.0</v>
      </c>
      <c r="CM163" s="64">
        <v>0.0</v>
      </c>
      <c r="CN163" s="64" t="str">
        <f t="shared" si="12"/>
        <v>#REF!</v>
      </c>
      <c r="CO163" s="68" t="str">
        <f>'[1]DATA CONSOLIDADA 2018-2025 '!$CM163-Hoja1!$CG163</f>
        <v>#REF!</v>
      </c>
      <c r="CP163" s="70">
        <v>0.0</v>
      </c>
      <c r="CQ163" s="70">
        <v>0.0</v>
      </c>
      <c r="CR163" s="70">
        <v>0.0</v>
      </c>
      <c r="CS163" s="70">
        <v>0.0</v>
      </c>
      <c r="CT163" s="70">
        <v>0.0</v>
      </c>
      <c r="CU163" s="70">
        <v>0.0</v>
      </c>
      <c r="CV163" s="64">
        <v>0.0</v>
      </c>
      <c r="CW163" s="64">
        <v>0.0</v>
      </c>
      <c r="CX163" s="64">
        <v>0.0</v>
      </c>
      <c r="CY163" s="64">
        <v>0.0</v>
      </c>
      <c r="CZ163" s="64">
        <v>0.0</v>
      </c>
      <c r="DA163" s="64">
        <v>0.0</v>
      </c>
      <c r="DB163" s="64">
        <v>0.0</v>
      </c>
      <c r="DC163" s="72">
        <v>0.0</v>
      </c>
      <c r="DD163" s="72">
        <v>0.0</v>
      </c>
      <c r="DE163" s="72">
        <v>0.0</v>
      </c>
      <c r="DF163" s="72">
        <v>0.0</v>
      </c>
      <c r="DG163" s="72">
        <v>0.0</v>
      </c>
      <c r="DH163" s="72">
        <v>0.0</v>
      </c>
      <c r="DI163" s="73">
        <v>2.0486094657E10</v>
      </c>
      <c r="DJ163" s="74" t="s">
        <v>670</v>
      </c>
      <c r="DK163" s="74" t="s">
        <v>138</v>
      </c>
      <c r="DL163" s="75"/>
      <c r="DM163" s="75"/>
      <c r="DN163" s="75"/>
      <c r="DO163" s="75"/>
      <c r="DP163" s="75"/>
      <c r="DQ163" s="75"/>
      <c r="DR163" s="75"/>
      <c r="DS163" s="75"/>
      <c r="DT163" s="75"/>
      <c r="DU163" s="75"/>
      <c r="DV163" s="75"/>
      <c r="DW163" s="75"/>
      <c r="DX163" s="75"/>
      <c r="DY163" s="75"/>
      <c r="DZ163" s="75"/>
      <c r="EA163" s="75"/>
      <c r="EB163" s="75"/>
      <c r="EC163" s="75"/>
      <c r="ED163" s="75"/>
      <c r="EE163" s="75"/>
    </row>
    <row r="164" ht="47.25" hidden="1" customHeight="1">
      <c r="A164" s="55" t="s">
        <v>671</v>
      </c>
      <c r="B164" s="55" t="s">
        <v>126</v>
      </c>
      <c r="C164" s="55" t="s">
        <v>667</v>
      </c>
      <c r="D164" s="55" t="s">
        <v>481</v>
      </c>
      <c r="E164" s="55" t="s">
        <v>672</v>
      </c>
      <c r="F164" s="55" t="s">
        <v>481</v>
      </c>
      <c r="G164" s="55" t="s">
        <v>673</v>
      </c>
      <c r="H164" s="55" t="s">
        <v>674</v>
      </c>
      <c r="I164" s="56">
        <v>1.0</v>
      </c>
      <c r="J164" s="56"/>
      <c r="K164" s="56"/>
      <c r="L164" s="56"/>
      <c r="M164" s="56"/>
      <c r="N164" s="56"/>
      <c r="O164" s="56"/>
      <c r="P164" s="56"/>
      <c r="Q164" s="56" t="s">
        <v>131</v>
      </c>
      <c r="R164" s="58" t="str">
        <f t="shared" si="1"/>
        <v>2018</v>
      </c>
      <c r="S164" s="59" t="str">
        <f>SUM(Hoja1!$I164:$P164)</f>
        <v>1</v>
      </c>
      <c r="T164" s="59" t="str">
        <f>IF(OR(Hoja1!$J164=1,Hoja1!$K164=1,Hoja1!$L164=1,Hoja1!$M164=1,Hoja1!$N164=1,Hoja1!$O164=1,Hoja1!$P164=1),"SI","NO")</f>
        <v>NO</v>
      </c>
      <c r="U164" s="59" t="str">
        <f>IF(OR(Hoja1!$K164=1,Hoja1!$L164=1,Hoja1!$M164=1,Hoja1!$N164=1,Hoja1!$O164=1,Hoja1!$P164=1),"SI","NO")</f>
        <v>NO</v>
      </c>
      <c r="V164" s="60">
        <v>34.0</v>
      </c>
      <c r="W164" s="61">
        <v>0.0</v>
      </c>
      <c r="X164" s="61">
        <v>0.0</v>
      </c>
      <c r="Y164" s="60">
        <v>0.0</v>
      </c>
      <c r="Z164" s="61">
        <v>0.0</v>
      </c>
      <c r="AA164" s="61">
        <v>0.0</v>
      </c>
      <c r="AB164" s="60">
        <v>0.0</v>
      </c>
      <c r="AC164" s="61">
        <v>0.0</v>
      </c>
      <c r="AD164" s="61">
        <v>0.0</v>
      </c>
      <c r="AE164" s="60">
        <v>0.0</v>
      </c>
      <c r="AF164" s="61">
        <v>0.0</v>
      </c>
      <c r="AG164" s="61">
        <v>0.0</v>
      </c>
      <c r="AH164" s="60">
        <v>0.0</v>
      </c>
      <c r="AI164" s="61">
        <v>0.0</v>
      </c>
      <c r="AJ164" s="61">
        <v>0.0</v>
      </c>
      <c r="AK164" s="60">
        <v>0.0</v>
      </c>
      <c r="AL164" s="61">
        <v>0.0</v>
      </c>
      <c r="AM164" s="61">
        <v>0.0</v>
      </c>
      <c r="AN164" s="60">
        <v>0.0</v>
      </c>
      <c r="AO164" s="62">
        <v>0.0</v>
      </c>
      <c r="AP164" s="62">
        <v>0.0</v>
      </c>
      <c r="AQ164" s="60">
        <v>0.0</v>
      </c>
      <c r="AR164" s="60" t="str">
        <f>IF(Hoja1!$AQ164&gt;0,Hoja1!$AQ164,IF(Hoja1!$AN164&gt;0,Hoja1!$AN164,IF(Hoja1!$AK164&gt;0,Hoja1!$AK164,IF(Hoja1!$AH164&gt;0,Hoja1!$AH164,IF(Hoja1!$AE164&gt;0,Hoja1!$AE164,IF(Hoja1!$AB164&gt;0,Hoja1!$AB164,IF(Hoja1!$Y164&gt;0,Hoja1!$Y164,IF(Hoja1!$V164&gt;0,Hoja1!$V164," ---"))))))))</f>
        <v>34</v>
      </c>
      <c r="AS164" s="63">
        <v>0.0</v>
      </c>
      <c r="AT164" s="63">
        <v>0.0</v>
      </c>
      <c r="AU164" s="63">
        <v>0.0</v>
      </c>
      <c r="AV164" s="63">
        <v>0.0</v>
      </c>
      <c r="AW164" s="63">
        <v>0.0</v>
      </c>
      <c r="AX164" s="63">
        <v>0.0</v>
      </c>
      <c r="AY164" s="63">
        <v>0.0</v>
      </c>
      <c r="AZ164" s="63">
        <v>0.0</v>
      </c>
      <c r="BA164" s="63">
        <v>0.0</v>
      </c>
      <c r="BB164" s="63">
        <v>0.0</v>
      </c>
      <c r="BC164" s="63">
        <v>0.0</v>
      </c>
      <c r="BD164" s="63">
        <v>0.0</v>
      </c>
      <c r="BE164" s="64">
        <v>0.0</v>
      </c>
      <c r="BF164" s="65">
        <v>0.0</v>
      </c>
      <c r="BG164" s="65">
        <v>0.0</v>
      </c>
      <c r="BH164" s="66">
        <v>0.0</v>
      </c>
      <c r="BI164" s="67" t="str">
        <f t="shared" si="32"/>
        <v>#REF!</v>
      </c>
      <c r="BJ164" s="68" t="str">
        <f t="shared" si="33"/>
        <v>#REF!</v>
      </c>
      <c r="BK164" s="65">
        <v>0.0</v>
      </c>
      <c r="BL164" s="65">
        <v>0.0</v>
      </c>
      <c r="BM164" s="66">
        <v>0.0</v>
      </c>
      <c r="BN164" s="67" t="str">
        <f t="shared" si="34"/>
        <v>#REF!</v>
      </c>
      <c r="BO164" s="68" t="str">
        <f t="shared" si="35"/>
        <v>#REF!</v>
      </c>
      <c r="BP164" s="65">
        <v>0.0</v>
      </c>
      <c r="BQ164" s="65">
        <v>0.0</v>
      </c>
      <c r="BR164" s="66">
        <v>0.0</v>
      </c>
      <c r="BS164" s="67" t="str">
        <f t="shared" si="36"/>
        <v>#REF!</v>
      </c>
      <c r="BT164" s="68" t="str">
        <f>'[1]DATA CONSOLIDADA 2018-2025 '!$BR164-Hoja1!$BO164</f>
        <v>#REF!</v>
      </c>
      <c r="BU164" s="65">
        <v>0.0</v>
      </c>
      <c r="BV164" s="65">
        <v>0.0</v>
      </c>
      <c r="BW164" s="66">
        <v>0.0</v>
      </c>
      <c r="BX164" s="67" t="str">
        <f t="shared" si="37"/>
        <v>#REF!</v>
      </c>
      <c r="BY164" s="68" t="str">
        <f t="shared" si="38"/>
        <v>#REF!</v>
      </c>
      <c r="BZ164" s="65">
        <v>0.0</v>
      </c>
      <c r="CA164" s="65">
        <v>0.0</v>
      </c>
      <c r="CB164" s="66">
        <v>0.0</v>
      </c>
      <c r="CC164" s="67" t="str">
        <f t="shared" si="39"/>
        <v>#REF!</v>
      </c>
      <c r="CD164" s="68" t="str">
        <f>'[1]DATA CONSOLIDADA 2018-2025 '!$CB164-Hoja1!$BW164</f>
        <v>#REF!</v>
      </c>
      <c r="CE164" s="70">
        <v>0.0</v>
      </c>
      <c r="CF164" s="70">
        <v>0.0</v>
      </c>
      <c r="CG164" s="71">
        <v>0.0</v>
      </c>
      <c r="CH164" s="67" t="str">
        <f t="shared" si="40"/>
        <v>#REF!</v>
      </c>
      <c r="CI164" s="68" t="str">
        <f>'[1]DATA CONSOLIDADA 2018-2025 '!$CG164-Hoja1!$CB164</f>
        <v>#REF!</v>
      </c>
      <c r="CJ164" s="64" t="str">
        <f t="shared" si="22"/>
        <v>#REF!</v>
      </c>
      <c r="CK164" s="64">
        <v>0.0</v>
      </c>
      <c r="CL164" s="64">
        <v>0.0</v>
      </c>
      <c r="CM164" s="64">
        <v>0.0</v>
      </c>
      <c r="CN164" s="64" t="str">
        <f t="shared" si="12"/>
        <v>#REF!</v>
      </c>
      <c r="CO164" s="68" t="str">
        <f>'[1]DATA CONSOLIDADA 2018-2025 '!$CM164-Hoja1!$CG164</f>
        <v>#REF!</v>
      </c>
      <c r="CP164" s="70">
        <v>0.0</v>
      </c>
      <c r="CQ164" s="70">
        <v>0.0</v>
      </c>
      <c r="CR164" s="70">
        <v>0.0</v>
      </c>
      <c r="CS164" s="70">
        <v>0.0</v>
      </c>
      <c r="CT164" s="70">
        <v>0.0</v>
      </c>
      <c r="CU164" s="70">
        <v>0.0</v>
      </c>
      <c r="CV164" s="64">
        <v>0.0</v>
      </c>
      <c r="CW164" s="64">
        <v>0.0</v>
      </c>
      <c r="CX164" s="64">
        <v>0.0</v>
      </c>
      <c r="CY164" s="64">
        <v>0.0</v>
      </c>
      <c r="CZ164" s="64">
        <v>0.0</v>
      </c>
      <c r="DA164" s="64">
        <v>0.0</v>
      </c>
      <c r="DB164" s="64">
        <v>0.0</v>
      </c>
      <c r="DC164" s="72">
        <v>0.0</v>
      </c>
      <c r="DD164" s="72">
        <v>0.0</v>
      </c>
      <c r="DE164" s="72">
        <v>0.0</v>
      </c>
      <c r="DF164" s="72">
        <v>0.0</v>
      </c>
      <c r="DG164" s="72">
        <v>0.0</v>
      </c>
      <c r="DH164" s="72">
        <v>0.0</v>
      </c>
      <c r="DI164" s="73">
        <v>2.0568962282E10</v>
      </c>
      <c r="DJ164" s="74" t="s">
        <v>671</v>
      </c>
      <c r="DK164" s="74" t="s">
        <v>138</v>
      </c>
      <c r="DL164" s="75"/>
      <c r="DM164" s="75"/>
      <c r="DN164" s="75"/>
      <c r="DO164" s="75"/>
      <c r="DP164" s="75"/>
      <c r="DQ164" s="75"/>
      <c r="DR164" s="75"/>
      <c r="DS164" s="75"/>
      <c r="DT164" s="75"/>
      <c r="DU164" s="75"/>
      <c r="DV164" s="75"/>
      <c r="DW164" s="75"/>
      <c r="DX164" s="75"/>
      <c r="DY164" s="75"/>
      <c r="DZ164" s="75"/>
      <c r="EA164" s="75"/>
      <c r="EB164" s="75"/>
      <c r="EC164" s="75"/>
      <c r="ED164" s="75"/>
      <c r="EE164" s="75"/>
    </row>
    <row r="165" ht="47.25" hidden="1" customHeight="1">
      <c r="A165" s="55" t="s">
        <v>675</v>
      </c>
      <c r="B165" s="55" t="s">
        <v>256</v>
      </c>
      <c r="C165" s="55" t="s">
        <v>256</v>
      </c>
      <c r="D165" s="55" t="s">
        <v>481</v>
      </c>
      <c r="E165" s="55" t="s">
        <v>676</v>
      </c>
      <c r="F165" s="55" t="s">
        <v>481</v>
      </c>
      <c r="G165" s="55" t="s">
        <v>677</v>
      </c>
      <c r="H165" s="55" t="s">
        <v>678</v>
      </c>
      <c r="I165" s="56">
        <v>1.0</v>
      </c>
      <c r="J165" s="56"/>
      <c r="K165" s="56"/>
      <c r="L165" s="56"/>
      <c r="M165" s="56"/>
      <c r="N165" s="56"/>
      <c r="O165" s="56"/>
      <c r="P165" s="56"/>
      <c r="Q165" s="56" t="s">
        <v>131</v>
      </c>
      <c r="R165" s="58" t="str">
        <f t="shared" si="1"/>
        <v>2018</v>
      </c>
      <c r="S165" s="59" t="str">
        <f>SUM(Hoja1!$I165:$P165)</f>
        <v>1</v>
      </c>
      <c r="T165" s="59" t="str">
        <f>IF(OR(Hoja1!$J165=1,Hoja1!$K165=1,Hoja1!$L165=1,Hoja1!$M165=1,Hoja1!$N165=1,Hoja1!$O165=1,Hoja1!$P165=1),"SI","NO")</f>
        <v>NO</v>
      </c>
      <c r="U165" s="59" t="str">
        <f>IF(OR(Hoja1!$K165=1,Hoja1!$L165=1,Hoja1!$M165=1,Hoja1!$N165=1,Hoja1!$O165=1,Hoja1!$P165=1),"SI","NO")</f>
        <v>NO</v>
      </c>
      <c r="V165" s="60">
        <v>43.0</v>
      </c>
      <c r="W165" s="61">
        <v>0.0</v>
      </c>
      <c r="X165" s="61">
        <v>0.0</v>
      </c>
      <c r="Y165" s="60">
        <v>0.0</v>
      </c>
      <c r="Z165" s="61">
        <v>0.0</v>
      </c>
      <c r="AA165" s="61">
        <v>0.0</v>
      </c>
      <c r="AB165" s="60">
        <v>0.0</v>
      </c>
      <c r="AC165" s="61">
        <v>0.0</v>
      </c>
      <c r="AD165" s="61">
        <v>0.0</v>
      </c>
      <c r="AE165" s="60">
        <v>0.0</v>
      </c>
      <c r="AF165" s="61">
        <v>0.0</v>
      </c>
      <c r="AG165" s="61">
        <v>0.0</v>
      </c>
      <c r="AH165" s="60">
        <v>0.0</v>
      </c>
      <c r="AI165" s="61">
        <v>0.0</v>
      </c>
      <c r="AJ165" s="61">
        <v>0.0</v>
      </c>
      <c r="AK165" s="60">
        <v>0.0</v>
      </c>
      <c r="AL165" s="61">
        <v>0.0</v>
      </c>
      <c r="AM165" s="61">
        <v>0.0</v>
      </c>
      <c r="AN165" s="60">
        <v>0.0</v>
      </c>
      <c r="AO165" s="62">
        <v>0.0</v>
      </c>
      <c r="AP165" s="62">
        <v>0.0</v>
      </c>
      <c r="AQ165" s="60">
        <v>0.0</v>
      </c>
      <c r="AR165" s="60" t="str">
        <f>IF(Hoja1!$AQ165&gt;0,Hoja1!$AQ165,IF(Hoja1!$AN165&gt;0,Hoja1!$AN165,IF(Hoja1!$AK165&gt;0,Hoja1!$AK165,IF(Hoja1!$AH165&gt;0,Hoja1!$AH165,IF(Hoja1!$AE165&gt;0,Hoja1!$AE165,IF(Hoja1!$AB165&gt;0,Hoja1!$AB165,IF(Hoja1!$Y165&gt;0,Hoja1!$Y165,IF(Hoja1!$V165&gt;0,Hoja1!$V165," ---"))))))))</f>
        <v>43</v>
      </c>
      <c r="AS165" s="63">
        <v>0.0</v>
      </c>
      <c r="AT165" s="63">
        <v>0.0</v>
      </c>
      <c r="AU165" s="63">
        <v>0.0</v>
      </c>
      <c r="AV165" s="63">
        <v>0.0</v>
      </c>
      <c r="AW165" s="63">
        <v>0.0</v>
      </c>
      <c r="AX165" s="63">
        <v>0.0</v>
      </c>
      <c r="AY165" s="63">
        <v>0.0</v>
      </c>
      <c r="AZ165" s="63">
        <v>0.0</v>
      </c>
      <c r="BA165" s="63">
        <v>0.0</v>
      </c>
      <c r="BB165" s="63">
        <v>0.0</v>
      </c>
      <c r="BC165" s="63">
        <v>0.0</v>
      </c>
      <c r="BD165" s="63">
        <v>0.0</v>
      </c>
      <c r="BE165" s="64">
        <v>0.0</v>
      </c>
      <c r="BF165" s="69">
        <v>0.0</v>
      </c>
      <c r="BG165" s="69">
        <v>0.0</v>
      </c>
      <c r="BH165" s="64">
        <v>0.0</v>
      </c>
      <c r="BI165" s="67" t="str">
        <f t="shared" si="32"/>
        <v>#REF!</v>
      </c>
      <c r="BJ165" s="68" t="str">
        <f t="shared" si="33"/>
        <v>#REF!</v>
      </c>
      <c r="BK165" s="69">
        <v>0.0</v>
      </c>
      <c r="BL165" s="69">
        <v>0.0</v>
      </c>
      <c r="BM165" s="64">
        <v>0.0</v>
      </c>
      <c r="BN165" s="67" t="str">
        <f t="shared" si="34"/>
        <v>#REF!</v>
      </c>
      <c r="BO165" s="68" t="str">
        <f t="shared" si="35"/>
        <v>#REF!</v>
      </c>
      <c r="BP165" s="65">
        <v>0.0</v>
      </c>
      <c r="BQ165" s="65">
        <v>0.0</v>
      </c>
      <c r="BR165" s="66">
        <v>0.0</v>
      </c>
      <c r="BS165" s="67" t="str">
        <f t="shared" si="36"/>
        <v>#REF!</v>
      </c>
      <c r="BT165" s="68" t="str">
        <f>'[1]DATA CONSOLIDADA 2018-2025 '!$BR165-Hoja1!$BO165</f>
        <v>#REF!</v>
      </c>
      <c r="BU165" s="65">
        <v>0.0</v>
      </c>
      <c r="BV165" s="65">
        <v>0.0</v>
      </c>
      <c r="BW165" s="66">
        <v>0.0</v>
      </c>
      <c r="BX165" s="67" t="str">
        <f t="shared" si="37"/>
        <v>#REF!</v>
      </c>
      <c r="BY165" s="68" t="str">
        <f t="shared" si="38"/>
        <v>#REF!</v>
      </c>
      <c r="BZ165" s="65">
        <v>0.0</v>
      </c>
      <c r="CA165" s="65">
        <v>0.0</v>
      </c>
      <c r="CB165" s="66">
        <v>0.0</v>
      </c>
      <c r="CC165" s="67" t="str">
        <f t="shared" si="39"/>
        <v>#REF!</v>
      </c>
      <c r="CD165" s="68" t="str">
        <f>'[1]DATA CONSOLIDADA 2018-2025 '!$CB165-Hoja1!$BW165</f>
        <v>#REF!</v>
      </c>
      <c r="CE165" s="70">
        <v>0.0</v>
      </c>
      <c r="CF165" s="70">
        <v>0.0</v>
      </c>
      <c r="CG165" s="71">
        <v>0.0</v>
      </c>
      <c r="CH165" s="67" t="str">
        <f t="shared" si="40"/>
        <v>#REF!</v>
      </c>
      <c r="CI165" s="68" t="str">
        <f>'[1]DATA CONSOLIDADA 2018-2025 '!$CG165-Hoja1!$CB165</f>
        <v>#REF!</v>
      </c>
      <c r="CJ165" s="64" t="str">
        <f t="shared" si="22"/>
        <v>#REF!</v>
      </c>
      <c r="CK165" s="64">
        <v>0.0</v>
      </c>
      <c r="CL165" s="64">
        <v>0.0</v>
      </c>
      <c r="CM165" s="64">
        <v>0.0</v>
      </c>
      <c r="CN165" s="64" t="str">
        <f t="shared" si="12"/>
        <v>#REF!</v>
      </c>
      <c r="CO165" s="68" t="str">
        <f>'[1]DATA CONSOLIDADA 2018-2025 '!$CM165-Hoja1!$CG165</f>
        <v>#REF!</v>
      </c>
      <c r="CP165" s="70">
        <v>0.0</v>
      </c>
      <c r="CQ165" s="70">
        <v>0.0</v>
      </c>
      <c r="CR165" s="70">
        <v>0.0</v>
      </c>
      <c r="CS165" s="70">
        <v>0.0</v>
      </c>
      <c r="CT165" s="70">
        <v>0.0</v>
      </c>
      <c r="CU165" s="70">
        <v>0.0</v>
      </c>
      <c r="CV165" s="64">
        <v>0.0</v>
      </c>
      <c r="CW165" s="64">
        <v>0.0</v>
      </c>
      <c r="CX165" s="64">
        <v>0.0</v>
      </c>
      <c r="CY165" s="64">
        <v>0.0</v>
      </c>
      <c r="CZ165" s="64">
        <v>0.0</v>
      </c>
      <c r="DA165" s="64">
        <v>0.0</v>
      </c>
      <c r="DB165" s="64">
        <v>0.0</v>
      </c>
      <c r="DC165" s="72">
        <v>0.0</v>
      </c>
      <c r="DD165" s="72">
        <v>0.0</v>
      </c>
      <c r="DE165" s="72">
        <v>0.0</v>
      </c>
      <c r="DF165" s="72">
        <v>0.0</v>
      </c>
      <c r="DG165" s="72">
        <v>0.0</v>
      </c>
      <c r="DH165" s="72">
        <v>0.0</v>
      </c>
      <c r="DI165" s="73">
        <v>2.060245996E10</v>
      </c>
      <c r="DJ165" s="74" t="s">
        <v>679</v>
      </c>
      <c r="DK165" s="74" t="s">
        <v>306</v>
      </c>
      <c r="DL165" s="77"/>
      <c r="DM165" s="77"/>
      <c r="DN165" s="77"/>
      <c r="DO165" s="77"/>
      <c r="DP165" s="77"/>
      <c r="DQ165" s="77"/>
      <c r="DR165" s="77"/>
      <c r="DS165" s="77"/>
      <c r="DT165" s="77"/>
      <c r="DU165" s="77"/>
      <c r="DV165" s="77"/>
      <c r="DW165" s="77"/>
      <c r="DX165" s="77"/>
      <c r="DY165" s="77"/>
      <c r="DZ165" s="77"/>
      <c r="EA165" s="77"/>
      <c r="EB165" s="77"/>
      <c r="EC165" s="77"/>
      <c r="ED165" s="77"/>
      <c r="EE165" s="77"/>
    </row>
    <row r="166" ht="47.25" customHeight="1">
      <c r="A166" s="55" t="s">
        <v>680</v>
      </c>
      <c r="B166" s="55" t="s">
        <v>146</v>
      </c>
      <c r="C166" s="55" t="s">
        <v>146</v>
      </c>
      <c r="D166" s="55" t="s">
        <v>340</v>
      </c>
      <c r="E166" s="55" t="s">
        <v>617</v>
      </c>
      <c r="F166" s="55" t="s">
        <v>434</v>
      </c>
      <c r="G166" s="55" t="s">
        <v>435</v>
      </c>
      <c r="H166" s="55" t="s">
        <v>618</v>
      </c>
      <c r="I166" s="56">
        <v>1.0</v>
      </c>
      <c r="J166" s="56">
        <v>1.0</v>
      </c>
      <c r="K166" s="56">
        <v>1.0</v>
      </c>
      <c r="L166" s="56">
        <v>1.0</v>
      </c>
      <c r="M166" s="56">
        <v>1.0</v>
      </c>
      <c r="N166" s="56">
        <v>1.0</v>
      </c>
      <c r="O166" s="56"/>
      <c r="P166" s="56"/>
      <c r="Q166" s="56" t="s">
        <v>131</v>
      </c>
      <c r="R166" s="58" t="str">
        <f t="shared" si="1"/>
        <v>2018-2019-2020-2021-2022-2023</v>
      </c>
      <c r="S166" s="59" t="str">
        <f>SUM(Hoja1!$I166:$P166)</f>
        <v>6</v>
      </c>
      <c r="T166" s="59" t="str">
        <f>IF(OR(Hoja1!$J166=1,Hoja1!$K166=1,Hoja1!$L166=1,Hoja1!$M166=1,Hoja1!$N166=1,Hoja1!$O166=1,Hoja1!$P166=1),"SI","NO")</f>
        <v>SI</v>
      </c>
      <c r="U166" s="59" t="str">
        <f>IF(OR(Hoja1!$K166=1,Hoja1!$L166=1,Hoja1!$M166=1,Hoja1!$N166=1,Hoja1!$O166=1,Hoja1!$P166=1),"SI","NO")</f>
        <v>SI</v>
      </c>
      <c r="V166" s="60">
        <v>310.0</v>
      </c>
      <c r="W166" s="61">
        <v>242.0</v>
      </c>
      <c r="X166" s="61">
        <v>68.0</v>
      </c>
      <c r="Y166" s="60">
        <v>310.0</v>
      </c>
      <c r="Z166" s="61">
        <v>193.0</v>
      </c>
      <c r="AA166" s="61">
        <v>51.0</v>
      </c>
      <c r="AB166" s="60">
        <v>244.0</v>
      </c>
      <c r="AC166" s="61">
        <v>225.0</v>
      </c>
      <c r="AD166" s="61">
        <v>66.0</v>
      </c>
      <c r="AE166" s="60">
        <v>291.0</v>
      </c>
      <c r="AF166" s="61">
        <v>223.0</v>
      </c>
      <c r="AG166" s="61">
        <v>68.0</v>
      </c>
      <c r="AH166" s="60">
        <v>291.0</v>
      </c>
      <c r="AI166" s="61">
        <v>223.0</v>
      </c>
      <c r="AJ166" s="61">
        <v>68.0</v>
      </c>
      <c r="AK166" s="60">
        <v>291.0</v>
      </c>
      <c r="AL166" s="61">
        <v>0.0</v>
      </c>
      <c r="AM166" s="61">
        <v>0.0</v>
      </c>
      <c r="AN166" s="60">
        <v>0.0</v>
      </c>
      <c r="AO166" s="62">
        <v>0.0</v>
      </c>
      <c r="AP166" s="62">
        <v>0.0</v>
      </c>
      <c r="AQ166" s="60">
        <v>0.0</v>
      </c>
      <c r="AR166" s="60" t="str">
        <f>IF(Hoja1!$AQ166&gt;0,Hoja1!$AQ166,IF(Hoja1!$AN166&gt;0,Hoja1!$AN166,IF(Hoja1!$AK166&gt;0,Hoja1!$AK166,IF(Hoja1!$AH166&gt;0,Hoja1!$AH166,IF(Hoja1!$AE166&gt;0,Hoja1!$AE166,IF(Hoja1!$AB166&gt;0,Hoja1!$AB166,IF(Hoja1!$Y166&gt;0,Hoja1!$Y166,IF(Hoja1!$V166&gt;0,Hoja1!$V166," ---"))))))))</f>
        <v>291</v>
      </c>
      <c r="AS166" s="63">
        <v>0.0</v>
      </c>
      <c r="AT166" s="63">
        <v>0.0</v>
      </c>
      <c r="AU166" s="63">
        <v>112.0</v>
      </c>
      <c r="AV166" s="63">
        <v>17.0</v>
      </c>
      <c r="AW166" s="63">
        <v>32.0</v>
      </c>
      <c r="AX166" s="63">
        <v>10.0</v>
      </c>
      <c r="AY166" s="63">
        <v>14.0</v>
      </c>
      <c r="AZ166" s="63">
        <v>0.0</v>
      </c>
      <c r="BA166" s="63">
        <v>0.0</v>
      </c>
      <c r="BB166" s="63">
        <v>0.0</v>
      </c>
      <c r="BC166" s="63">
        <v>0.0</v>
      </c>
      <c r="BD166" s="63">
        <v>0.0</v>
      </c>
      <c r="BE166" s="64">
        <v>0.0</v>
      </c>
      <c r="BF166" s="65">
        <v>224014.59</v>
      </c>
      <c r="BG166" s="65">
        <v>372596.77</v>
      </c>
      <c r="BH166" s="66">
        <v>596611.36</v>
      </c>
      <c r="BI166" s="67" t="str">
        <f>IF('[1]DATA CONSOLIDADA 2018-2025 '!$BH106&gt;'[1]DATA CONSOLIDADA 2018-2025 '!$AN106,"Incremento",IF('[1]DATA CONSOLIDADA 2018-2025 '!$AN106='[1]DATA CONSOLIDADA 2018-2025 '!$BH106,"Sin incremento",IF('[1]DATA CONSOLIDADA 2018-2025 '!$BH106&lt;'[1]DATA CONSOLIDADA 2018-2025 '!$AN106,"Disminución"," ---")))</f>
        <v>#REF!</v>
      </c>
      <c r="BJ166" s="68" t="str">
        <f>'[1]DATA CONSOLIDADA 2018-2025 '!$BH106-'[1]DATA CONSOLIDADA 2018-2025 '!$BE106</f>
        <v>#REF!</v>
      </c>
      <c r="BK166" s="65">
        <v>0.0</v>
      </c>
      <c r="BL166" s="65">
        <v>1386700.35</v>
      </c>
      <c r="BM166" s="66">
        <v>1386700.35</v>
      </c>
      <c r="BN166" s="67" t="str">
        <f>IF('[1]DATA CONSOLIDADA 2018-2025 '!$BM106&gt;'[1]DATA CONSOLIDADA 2018-2025 '!$BH106,"Incremento",IF('[1]DATA CONSOLIDADA 2018-2025 '!$BH106='[1]DATA CONSOLIDADA 2018-2025 '!$BM106,"Sin incremento",IF('[1]DATA CONSOLIDADA 2018-2025 '!$BM106&lt;'[1]DATA CONSOLIDADA 2018-2025 '!$BH106,"Disminución"," ---")))</f>
        <v>#REF!</v>
      </c>
      <c r="BO166" s="68" t="str">
        <f>'[1]DATA CONSOLIDADA 2018-2025 '!$BM106-'[1]DATA CONSOLIDADA 2018-2025 '!$BH106</f>
        <v>#REF!</v>
      </c>
      <c r="BP166" s="65">
        <v>0.0</v>
      </c>
      <c r="BQ166" s="65">
        <v>1557006.04</v>
      </c>
      <c r="BR166" s="66">
        <v>1557006.04</v>
      </c>
      <c r="BS166" s="67" t="str">
        <f>IF('[1]DATA CONSOLIDADA 2018-2025 '!$BR106&gt;'[1]DATA CONSOLIDADA 2018-2025 '!$BM106,"Incremento",IF('[1]DATA CONSOLIDADA 2018-2025 '!$BM106='[1]DATA CONSOLIDADA 2018-2025 '!$BR106,"Sin incremento",IF('[1]DATA CONSOLIDADA 2018-2025 '!$BR106&lt;'[1]DATA CONSOLIDADA 2018-2025 '!$BM106,"Disminución"," ---")))</f>
        <v>#REF!</v>
      </c>
      <c r="BT166" s="68" t="str">
        <f>'[1]DATA CONSOLIDADA 2018-2025 '!$BR166-Hoja1!$BO166</f>
        <v>#REF!</v>
      </c>
      <c r="BU166" s="65">
        <v>0.0</v>
      </c>
      <c r="BV166" s="65">
        <v>1768095.37</v>
      </c>
      <c r="BW166" s="66">
        <v>1768095.37</v>
      </c>
      <c r="BX166" s="67" t="str">
        <f>IF('[1]DATA CONSOLIDADA 2018-2025 '!$BW106&gt;'[1]DATA CONSOLIDADA 2018-2025 '!$BR106,"Incremento",IF('[1]DATA CONSOLIDADA 2018-2025 '!$BR106='[1]DATA CONSOLIDADA 2018-2025 '!$BW106,"Sin incremento",IF('[1]DATA CONSOLIDADA 2018-2025 '!$BW106&lt;'[1]DATA CONSOLIDADA 2018-2025 '!$BR106,"Disminución"," ---")))</f>
        <v>#REF!</v>
      </c>
      <c r="BY166" s="68" t="str">
        <f>'[1]DATA CONSOLIDADA 2018-2025 '!$BW106-'[1]DATA CONSOLIDADA 2018-2025 '!$BR106</f>
        <v>#REF!</v>
      </c>
      <c r="BZ166" s="65">
        <v>0.0</v>
      </c>
      <c r="CA166" s="65">
        <v>1558192.34</v>
      </c>
      <c r="CB166" s="66">
        <v>1558192.34</v>
      </c>
      <c r="CC166" s="67" t="str">
        <f>IF('[1]DATA CONSOLIDADA 2018-2025 '!$CB106&gt;'[1]DATA CONSOLIDADA 2018-2025 '!$BW106,"Incremento",IF('[1]DATA CONSOLIDADA 2018-2025 '!$BW106='[1]DATA CONSOLIDADA 2018-2025 '!$CB106,"Sin incremento",IF('[1]DATA CONSOLIDADA 2018-2025 '!$CB106&lt;'[1]DATA CONSOLIDADA 2018-2025 '!$BW106,"Disminución"," ---")))</f>
        <v>#REF!</v>
      </c>
      <c r="CD166" s="68" t="str">
        <f>'[1]DATA CONSOLIDADA 2018-2025 '!$CB166-Hoja1!$BW166</f>
        <v>#REF!</v>
      </c>
      <c r="CE166" s="70">
        <v>0.0</v>
      </c>
      <c r="CF166" s="70">
        <v>0.0</v>
      </c>
      <c r="CG166" s="71">
        <v>0.0</v>
      </c>
      <c r="CH166" s="67" t="str">
        <f>IF('[1]DATA CONSOLIDADA 2018-2025 '!$CG106&gt;'[1]DATA CONSOLIDADA 2018-2025 '!$CB106,"Incremento",IF('[1]DATA CONSOLIDADA 2018-2025 '!$CB106='[1]DATA CONSOLIDADA 2018-2025 '!$CG106,"Sin incremento",IF('[1]DATA CONSOLIDADA 2018-2025 '!$CG106&lt;'[1]DATA CONSOLIDADA 2018-2025 '!$CB106,"Disminución"," ---")))</f>
        <v>#REF!</v>
      </c>
      <c r="CI166" s="68" t="str">
        <f>'[1]DATA CONSOLIDADA 2018-2025 '!$CG166-Hoja1!$CB166</f>
        <v>#REF!</v>
      </c>
      <c r="CJ166" s="64" t="str">
        <f t="shared" si="22"/>
        <v>#REF!</v>
      </c>
      <c r="CK166" s="64">
        <v>0.0</v>
      </c>
      <c r="CL166" s="64">
        <v>0.0</v>
      </c>
      <c r="CM166" s="64">
        <v>0.0</v>
      </c>
      <c r="CN166" s="64" t="str">
        <f t="shared" si="12"/>
        <v>#REF!</v>
      </c>
      <c r="CO166" s="68" t="str">
        <f>'[1]DATA CONSOLIDADA 2018-2025 '!$CM166-Hoja1!$CG166</f>
        <v>#REF!</v>
      </c>
      <c r="CP166" s="70">
        <v>0.0</v>
      </c>
      <c r="CQ166" s="70">
        <v>0.0</v>
      </c>
      <c r="CR166" s="70">
        <v>0.0</v>
      </c>
      <c r="CS166" s="70">
        <v>1558192.3499999999</v>
      </c>
      <c r="CT166" s="70">
        <v>0.0</v>
      </c>
      <c r="CU166" s="70">
        <v>0.0</v>
      </c>
      <c r="CV166" s="64">
        <v>1558192.3499999999</v>
      </c>
      <c r="CW166" s="64">
        <v>0.0</v>
      </c>
      <c r="CX166" s="64">
        <v>0.0</v>
      </c>
      <c r="CY166" s="64">
        <v>0.0</v>
      </c>
      <c r="CZ166" s="64">
        <v>0.0</v>
      </c>
      <c r="DA166" s="64">
        <v>0.0</v>
      </c>
      <c r="DB166" s="64">
        <v>0.0</v>
      </c>
      <c r="DC166" s="72">
        <v>0.0</v>
      </c>
      <c r="DD166" s="72">
        <v>0.0</v>
      </c>
      <c r="DE166" s="72">
        <v>0.0</v>
      </c>
      <c r="DF166" s="72">
        <v>0.0</v>
      </c>
      <c r="DG166" s="72">
        <v>0.0</v>
      </c>
      <c r="DH166" s="72">
        <v>0.0</v>
      </c>
      <c r="DI166" s="73">
        <v>2.0452774705E10</v>
      </c>
      <c r="DJ166" s="74" t="s">
        <v>681</v>
      </c>
      <c r="DK166" s="74" t="s">
        <v>138</v>
      </c>
      <c r="DL166" s="77"/>
      <c r="DM166" s="77"/>
      <c r="DN166" s="77"/>
      <c r="DO166" s="77"/>
      <c r="DP166" s="77"/>
      <c r="DQ166" s="77"/>
      <c r="DR166" s="77"/>
      <c r="DS166" s="77"/>
      <c r="DT166" s="77"/>
      <c r="DU166" s="77"/>
      <c r="DV166" s="77"/>
      <c r="DW166" s="77"/>
      <c r="DX166" s="77"/>
      <c r="DY166" s="77"/>
      <c r="DZ166" s="77"/>
      <c r="EA166" s="77"/>
      <c r="EB166" s="77"/>
      <c r="EC166" s="77"/>
      <c r="ED166" s="77"/>
      <c r="EE166" s="77"/>
    </row>
    <row r="167" ht="47.25" hidden="1" customHeight="1">
      <c r="A167" s="55" t="s">
        <v>682</v>
      </c>
      <c r="B167" s="55" t="s">
        <v>250</v>
      </c>
      <c r="C167" s="55" t="s">
        <v>250</v>
      </c>
      <c r="D167" s="55" t="s">
        <v>481</v>
      </c>
      <c r="E167" s="55" t="s">
        <v>683</v>
      </c>
      <c r="F167" s="55" t="s">
        <v>481</v>
      </c>
      <c r="G167" s="55" t="s">
        <v>684</v>
      </c>
      <c r="H167" s="55" t="s">
        <v>685</v>
      </c>
      <c r="I167" s="56"/>
      <c r="J167" s="56">
        <v>1.0</v>
      </c>
      <c r="K167" s="56">
        <v>1.0</v>
      </c>
      <c r="L167" s="56"/>
      <c r="M167" s="56"/>
      <c r="N167" s="56"/>
      <c r="O167" s="56"/>
      <c r="P167" s="56"/>
      <c r="Q167" s="56" t="s">
        <v>131</v>
      </c>
      <c r="R167" s="55" t="str">
        <f t="shared" si="1"/>
        <v>2019-2020</v>
      </c>
      <c r="S167" s="56" t="str">
        <f>SUM(Hoja1!$I167:$P167)</f>
        <v>2</v>
      </c>
      <c r="T167" s="56" t="str">
        <f>IF(OR(Hoja1!$J167=1,Hoja1!$K167=1,Hoja1!$L167=1,Hoja1!$M167=1,Hoja1!$N167=1,Hoja1!$O167=1,Hoja1!$P167=1),"SI","NO")</f>
        <v>SI</v>
      </c>
      <c r="U167" s="59" t="str">
        <f>IF(OR(Hoja1!$K167=1,Hoja1!$L167=1,Hoja1!$M167=1,Hoja1!$N167=1,Hoja1!$O167=1,Hoja1!$P167=1),"SI","NO")</f>
        <v>SI</v>
      </c>
      <c r="V167" s="61">
        <v>0.0</v>
      </c>
      <c r="W167" s="61">
        <v>54.0</v>
      </c>
      <c r="X167" s="61">
        <v>26.0</v>
      </c>
      <c r="Y167" s="61">
        <v>80.0</v>
      </c>
      <c r="Z167" s="61">
        <v>54.0</v>
      </c>
      <c r="AA167" s="61">
        <v>26.0</v>
      </c>
      <c r="AB167" s="61">
        <v>80.0</v>
      </c>
      <c r="AC167" s="61">
        <v>0.0</v>
      </c>
      <c r="AD167" s="61">
        <v>0.0</v>
      </c>
      <c r="AE167" s="61">
        <v>0.0</v>
      </c>
      <c r="AF167" s="61">
        <v>0.0</v>
      </c>
      <c r="AG167" s="61">
        <v>0.0</v>
      </c>
      <c r="AH167" s="61">
        <v>0.0</v>
      </c>
      <c r="AI167" s="61">
        <v>0.0</v>
      </c>
      <c r="AJ167" s="61">
        <v>0.0</v>
      </c>
      <c r="AK167" s="61">
        <v>0.0</v>
      </c>
      <c r="AL167" s="61">
        <v>0.0</v>
      </c>
      <c r="AM167" s="61">
        <v>0.0</v>
      </c>
      <c r="AN167" s="61">
        <v>0.0</v>
      </c>
      <c r="AO167" s="61">
        <v>0.0</v>
      </c>
      <c r="AP167" s="61">
        <v>0.0</v>
      </c>
      <c r="AQ167" s="61">
        <v>0.0</v>
      </c>
      <c r="AR167" s="61" t="str">
        <f>IF(Hoja1!$AQ167&gt;0,Hoja1!$AQ167,IF(Hoja1!$AN167&gt;0,Hoja1!$AN167,IF(Hoja1!$AK167&gt;0,Hoja1!$AK167,IF(Hoja1!$AH167&gt;0,Hoja1!$AH167,IF(Hoja1!$AE167&gt;0,Hoja1!$AE167,IF(Hoja1!$AB167&gt;0,Hoja1!$AB167,IF(Hoja1!$Y167&gt;0,Hoja1!$Y167,IF(Hoja1!$V167&gt;0,Hoja1!$V167," ---"))))))))</f>
        <v>80</v>
      </c>
      <c r="AS167" s="61">
        <v>0.0</v>
      </c>
      <c r="AT167" s="61">
        <v>0.0</v>
      </c>
      <c r="AU167" s="61">
        <v>0.0</v>
      </c>
      <c r="AV167" s="61">
        <v>0.0</v>
      </c>
      <c r="AW167" s="61">
        <v>0.0</v>
      </c>
      <c r="AX167" s="61">
        <v>0.0</v>
      </c>
      <c r="AY167" s="61">
        <v>0.0</v>
      </c>
      <c r="AZ167" s="61">
        <v>0.0</v>
      </c>
      <c r="BA167" s="61">
        <v>0.0</v>
      </c>
      <c r="BB167" s="61">
        <v>0.0</v>
      </c>
      <c r="BC167" s="61">
        <v>0.0</v>
      </c>
      <c r="BD167" s="61">
        <v>0.0</v>
      </c>
      <c r="BE167" s="69">
        <v>0.0</v>
      </c>
      <c r="BF167" s="65">
        <v>0.0</v>
      </c>
      <c r="BG167" s="65">
        <v>0.0</v>
      </c>
      <c r="BH167" s="65">
        <v>0.0</v>
      </c>
      <c r="BI167" s="78" t="str">
        <f t="shared" ref="BI167:BI180" si="41">IF('[1]DATA CONSOLIDADA 2018-2025 '!$BH167&gt;'[1]DATA CONSOLIDADA 2018-2025 '!$AN167,"Incremento",IF('[1]DATA CONSOLIDADA 2018-2025 '!$AN167='[1]DATA CONSOLIDADA 2018-2025 '!$BH167,"Sin incremento",IF('[1]DATA CONSOLIDADA 2018-2025 '!$BH167&lt;'[1]DATA CONSOLIDADA 2018-2025 '!$AN167,"Disminución"," ---")))</f>
        <v>#REF!</v>
      </c>
      <c r="BJ167" s="69" t="str">
        <f t="shared" ref="BJ167:BJ180" si="42">'[1]DATA CONSOLIDADA 2018-2025 '!$BH167-'[1]DATA CONSOLIDADA 2018-2025 '!$BE167</f>
        <v>#REF!</v>
      </c>
      <c r="BK167" s="65">
        <v>0.0</v>
      </c>
      <c r="BL167" s="65">
        <v>0.0</v>
      </c>
      <c r="BM167" s="65">
        <v>0.0</v>
      </c>
      <c r="BN167" s="78" t="str">
        <f t="shared" ref="BN167:BN180" si="43">IF('[1]DATA CONSOLIDADA 2018-2025 '!$BM167&gt;'[1]DATA CONSOLIDADA 2018-2025 '!$BH167,"Incremento",IF('[1]DATA CONSOLIDADA 2018-2025 '!$BH167='[1]DATA CONSOLIDADA 2018-2025 '!$BM167,"Sin incremento",IF('[1]DATA CONSOLIDADA 2018-2025 '!$BM167&lt;'[1]DATA CONSOLIDADA 2018-2025 '!$BH167,"Disminución"," ---")))</f>
        <v>#REF!</v>
      </c>
      <c r="BO167" s="69" t="str">
        <f t="shared" ref="BO167:BO180" si="44">'[1]DATA CONSOLIDADA 2018-2025 '!$BM167-'[1]DATA CONSOLIDADA 2018-2025 '!$BH167</f>
        <v>#REF!</v>
      </c>
      <c r="BP167" s="65">
        <v>0.0</v>
      </c>
      <c r="BQ167" s="65">
        <v>0.0</v>
      </c>
      <c r="BR167" s="65">
        <v>0.0</v>
      </c>
      <c r="BS167" s="78" t="str">
        <f t="shared" ref="BS167:BS180" si="45">IF('[1]DATA CONSOLIDADA 2018-2025 '!$BR167&gt;'[1]DATA CONSOLIDADA 2018-2025 '!$BM167,"Incremento",IF('[1]DATA CONSOLIDADA 2018-2025 '!$BM167='[1]DATA CONSOLIDADA 2018-2025 '!$BR167,"Sin incremento",IF('[1]DATA CONSOLIDADA 2018-2025 '!$BR167&lt;'[1]DATA CONSOLIDADA 2018-2025 '!$BM167,"Disminución"," ---")))</f>
        <v>#REF!</v>
      </c>
      <c r="BT167" s="69" t="str">
        <f>'[1]DATA CONSOLIDADA 2018-2025 '!$BR167-Hoja1!$BO167</f>
        <v>#REF!</v>
      </c>
      <c r="BU167" s="65">
        <v>0.0</v>
      </c>
      <c r="BV167" s="65">
        <v>0.0</v>
      </c>
      <c r="BW167" s="65">
        <v>0.0</v>
      </c>
      <c r="BX167" s="78" t="str">
        <f t="shared" ref="BX167:BX180" si="46">IF('[1]DATA CONSOLIDADA 2018-2025 '!$BW167&gt;'[1]DATA CONSOLIDADA 2018-2025 '!$BR167,"Incremento",IF('[1]DATA CONSOLIDADA 2018-2025 '!$BR167='[1]DATA CONSOLIDADA 2018-2025 '!$BW167,"Sin incremento",IF('[1]DATA CONSOLIDADA 2018-2025 '!$BW167&lt;'[1]DATA CONSOLIDADA 2018-2025 '!$BR167,"Disminución"," ---")))</f>
        <v>#REF!</v>
      </c>
      <c r="BY167" s="69" t="str">
        <f t="shared" ref="BY167:BY180" si="47">'[1]DATA CONSOLIDADA 2018-2025 '!$BW167-'[1]DATA CONSOLIDADA 2018-2025 '!$BR167</f>
        <v>#REF!</v>
      </c>
      <c r="BZ167" s="65">
        <v>0.0</v>
      </c>
      <c r="CA167" s="65">
        <v>0.0</v>
      </c>
      <c r="CB167" s="65">
        <v>0.0</v>
      </c>
      <c r="CC167" s="78" t="str">
        <f t="shared" ref="CC167:CC180" si="48">IF('[1]DATA CONSOLIDADA 2018-2025 '!$CB167&gt;'[1]DATA CONSOLIDADA 2018-2025 '!$BW167,"Incremento",IF('[1]DATA CONSOLIDADA 2018-2025 '!$BW167='[1]DATA CONSOLIDADA 2018-2025 '!$CB167,"Sin incremento",IF('[1]DATA CONSOLIDADA 2018-2025 '!$CB167&lt;'[1]DATA CONSOLIDADA 2018-2025 '!$BW167,"Disminución"," ---")))</f>
        <v>#REF!</v>
      </c>
      <c r="CD167" s="69" t="str">
        <f>'[1]DATA CONSOLIDADA 2018-2025 '!$CB167-Hoja1!$BW167</f>
        <v>#REF!</v>
      </c>
      <c r="CE167" s="70">
        <v>0.0</v>
      </c>
      <c r="CF167" s="70">
        <v>0.0</v>
      </c>
      <c r="CG167" s="70">
        <v>0.0</v>
      </c>
      <c r="CH167" s="78" t="str">
        <f t="shared" ref="CH167:CH180" si="49">IF('[1]DATA CONSOLIDADA 2018-2025 '!$CG167&gt;'[1]DATA CONSOLIDADA 2018-2025 '!$CB167,"Incremento",IF('[1]DATA CONSOLIDADA 2018-2025 '!$CB167='[1]DATA CONSOLIDADA 2018-2025 '!$CG167,"Sin incremento",IF('[1]DATA CONSOLIDADA 2018-2025 '!$CG167&lt;'[1]DATA CONSOLIDADA 2018-2025 '!$CB167,"Disminución"," ---")))</f>
        <v>#REF!</v>
      </c>
      <c r="CI167" s="69" t="str">
        <f>'[1]DATA CONSOLIDADA 2018-2025 '!$CG167-Hoja1!$CB167</f>
        <v>#REF!</v>
      </c>
      <c r="CJ167" s="69" t="str">
        <f t="shared" si="22"/>
        <v>#REF!</v>
      </c>
      <c r="CK167" s="64">
        <v>0.0</v>
      </c>
      <c r="CL167" s="64">
        <v>0.0</v>
      </c>
      <c r="CM167" s="64">
        <v>0.0</v>
      </c>
      <c r="CN167" s="64" t="str">
        <f t="shared" si="12"/>
        <v>#REF!</v>
      </c>
      <c r="CO167" s="68" t="str">
        <f>'[1]DATA CONSOLIDADA 2018-2025 '!$CM167-Hoja1!$CG167</f>
        <v>#REF!</v>
      </c>
      <c r="CP167" s="70">
        <v>0.0</v>
      </c>
      <c r="CQ167" s="70">
        <v>0.0</v>
      </c>
      <c r="CR167" s="70">
        <v>0.0</v>
      </c>
      <c r="CS167" s="70">
        <v>0.0</v>
      </c>
      <c r="CT167" s="70">
        <v>0.0</v>
      </c>
      <c r="CU167" s="70">
        <v>0.0</v>
      </c>
      <c r="CV167" s="69">
        <v>0.0</v>
      </c>
      <c r="CW167" s="69">
        <v>0.0</v>
      </c>
      <c r="CX167" s="69">
        <v>0.0</v>
      </c>
      <c r="CY167" s="69">
        <v>0.0</v>
      </c>
      <c r="CZ167" s="69">
        <v>0.0</v>
      </c>
      <c r="DA167" s="69">
        <v>0.0</v>
      </c>
      <c r="DB167" s="69">
        <v>0.0</v>
      </c>
      <c r="DC167" s="72">
        <v>0.0</v>
      </c>
      <c r="DD167" s="72">
        <v>0.0</v>
      </c>
      <c r="DE167" s="72">
        <v>0.0</v>
      </c>
      <c r="DF167" s="72">
        <v>0.0</v>
      </c>
      <c r="DG167" s="72">
        <v>0.0</v>
      </c>
      <c r="DH167" s="72">
        <v>0.0</v>
      </c>
      <c r="DI167" s="73">
        <v>2.0204028061E10</v>
      </c>
      <c r="DJ167" s="74" t="s">
        <v>682</v>
      </c>
      <c r="DK167" s="74" t="s">
        <v>132</v>
      </c>
      <c r="DL167" s="75"/>
      <c r="DM167" s="75"/>
      <c r="DN167" s="75"/>
      <c r="DO167" s="75"/>
      <c r="DP167" s="75"/>
      <c r="DQ167" s="75"/>
      <c r="DR167" s="75"/>
      <c r="DS167" s="75"/>
      <c r="DT167" s="75"/>
      <c r="DU167" s="75"/>
      <c r="DV167" s="75"/>
      <c r="DW167" s="75"/>
      <c r="DX167" s="75"/>
      <c r="DY167" s="75"/>
      <c r="DZ167" s="75"/>
      <c r="EA167" s="75"/>
      <c r="EB167" s="75"/>
      <c r="EC167" s="75"/>
      <c r="ED167" s="75"/>
      <c r="EE167" s="75"/>
    </row>
    <row r="168" ht="47.25" hidden="1" customHeight="1">
      <c r="A168" s="55" t="s">
        <v>686</v>
      </c>
      <c r="B168" s="55" t="s">
        <v>236</v>
      </c>
      <c r="C168" s="55" t="s">
        <v>237</v>
      </c>
      <c r="D168" s="55" t="s">
        <v>481</v>
      </c>
      <c r="E168" s="55" t="s">
        <v>687</v>
      </c>
      <c r="F168" s="55" t="s">
        <v>481</v>
      </c>
      <c r="G168" s="55" t="s">
        <v>677</v>
      </c>
      <c r="H168" s="55" t="s">
        <v>688</v>
      </c>
      <c r="I168" s="56"/>
      <c r="J168" s="56">
        <v>1.0</v>
      </c>
      <c r="K168" s="56">
        <v>1.0</v>
      </c>
      <c r="L168" s="56">
        <v>1.0</v>
      </c>
      <c r="M168" s="56">
        <v>1.0</v>
      </c>
      <c r="N168" s="56"/>
      <c r="O168" s="56"/>
      <c r="P168" s="56"/>
      <c r="Q168" s="56" t="s">
        <v>131</v>
      </c>
      <c r="R168" s="55" t="str">
        <f t="shared" si="1"/>
        <v>2019-2020-2021-2022</v>
      </c>
      <c r="S168" s="56" t="str">
        <f>SUM(Hoja1!$I168:$P168)</f>
        <v>4</v>
      </c>
      <c r="T168" s="56" t="str">
        <f>IF(OR(Hoja1!$J168=1,Hoja1!$K168=1,Hoja1!$L168=1,Hoja1!$M168=1,Hoja1!$N168=1,Hoja1!$O168=1,Hoja1!$P168=1),"SI","NO")</f>
        <v>SI</v>
      </c>
      <c r="U168" s="59" t="str">
        <f>IF(OR(Hoja1!$K168=1,Hoja1!$L168=1,Hoja1!$M168=1,Hoja1!$N168=1,Hoja1!$O168=1,Hoja1!$P168=1),"SI","NO")</f>
        <v>SI</v>
      </c>
      <c r="V168" s="61">
        <v>0.0</v>
      </c>
      <c r="W168" s="61">
        <v>11.0</v>
      </c>
      <c r="X168" s="61">
        <v>15.0</v>
      </c>
      <c r="Y168" s="61">
        <v>26.0</v>
      </c>
      <c r="Z168" s="61">
        <v>12.0</v>
      </c>
      <c r="AA168" s="61">
        <v>14.0</v>
      </c>
      <c r="AB168" s="61">
        <v>26.0</v>
      </c>
      <c r="AC168" s="61">
        <v>10.0</v>
      </c>
      <c r="AD168" s="61">
        <v>16.0</v>
      </c>
      <c r="AE168" s="61">
        <v>26.0</v>
      </c>
      <c r="AF168" s="61">
        <v>10.0</v>
      </c>
      <c r="AG168" s="61">
        <v>16.0</v>
      </c>
      <c r="AH168" s="61">
        <v>26.0</v>
      </c>
      <c r="AI168" s="61">
        <v>0.0</v>
      </c>
      <c r="AJ168" s="61">
        <v>0.0</v>
      </c>
      <c r="AK168" s="61">
        <v>0.0</v>
      </c>
      <c r="AL168" s="61">
        <v>0.0</v>
      </c>
      <c r="AM168" s="61">
        <v>0.0</v>
      </c>
      <c r="AN168" s="61">
        <v>0.0</v>
      </c>
      <c r="AO168" s="61">
        <v>0.0</v>
      </c>
      <c r="AP168" s="61">
        <v>0.0</v>
      </c>
      <c r="AQ168" s="61">
        <v>0.0</v>
      </c>
      <c r="AR168" s="61" t="str">
        <f>IF(Hoja1!$AQ168&gt;0,Hoja1!$AQ168,IF(Hoja1!$AN168&gt;0,Hoja1!$AN168,IF(Hoja1!$AK168&gt;0,Hoja1!$AK168,IF(Hoja1!$AH168&gt;0,Hoja1!$AH168,IF(Hoja1!$AE168&gt;0,Hoja1!$AE168,IF(Hoja1!$AB168&gt;0,Hoja1!$AB168,IF(Hoja1!$Y168&gt;0,Hoja1!$Y168,IF(Hoja1!$V168&gt;0,Hoja1!$V168," ---"))))))))</f>
        <v>26</v>
      </c>
      <c r="AS168" s="61">
        <v>0.0</v>
      </c>
      <c r="AT168" s="61">
        <v>0.0</v>
      </c>
      <c r="AU168" s="61">
        <v>35.0</v>
      </c>
      <c r="AV168" s="61">
        <v>2.0</v>
      </c>
      <c r="AW168" s="61">
        <v>22.0</v>
      </c>
      <c r="AX168" s="61">
        <v>2.0</v>
      </c>
      <c r="AY168" s="61">
        <v>0.0</v>
      </c>
      <c r="AZ168" s="61">
        <v>0.0</v>
      </c>
      <c r="BA168" s="61">
        <v>0.0</v>
      </c>
      <c r="BB168" s="61">
        <v>0.0</v>
      </c>
      <c r="BC168" s="61">
        <v>0.0</v>
      </c>
      <c r="BD168" s="61">
        <v>0.0</v>
      </c>
      <c r="BE168" s="69">
        <v>0.0</v>
      </c>
      <c r="BF168" s="65">
        <v>785902.7</v>
      </c>
      <c r="BG168" s="65">
        <v>0.0</v>
      </c>
      <c r="BH168" s="65">
        <v>785902.7</v>
      </c>
      <c r="BI168" s="78" t="str">
        <f t="shared" si="41"/>
        <v>#REF!</v>
      </c>
      <c r="BJ168" s="69" t="str">
        <f t="shared" si="42"/>
        <v>#REF!</v>
      </c>
      <c r="BK168" s="65">
        <v>273725.04</v>
      </c>
      <c r="BL168" s="65">
        <v>0.0</v>
      </c>
      <c r="BM168" s="65">
        <v>273725.04</v>
      </c>
      <c r="BN168" s="78" t="str">
        <f t="shared" si="43"/>
        <v>#REF!</v>
      </c>
      <c r="BO168" s="69" t="str">
        <f t="shared" si="44"/>
        <v>#REF!</v>
      </c>
      <c r="BP168" s="65">
        <v>347543.6</v>
      </c>
      <c r="BQ168" s="65">
        <v>0.0</v>
      </c>
      <c r="BR168" s="65">
        <v>347543.6</v>
      </c>
      <c r="BS168" s="78" t="str">
        <f t="shared" si="45"/>
        <v>#REF!</v>
      </c>
      <c r="BT168" s="69" t="str">
        <f>'[1]DATA CONSOLIDADA 2018-2025 '!$BR168-Hoja1!$BO168</f>
        <v>#REF!</v>
      </c>
      <c r="BU168" s="65">
        <v>101479.41</v>
      </c>
      <c r="BV168" s="65">
        <v>0.0</v>
      </c>
      <c r="BW168" s="65">
        <v>101479.41</v>
      </c>
      <c r="BX168" s="78" t="str">
        <f t="shared" si="46"/>
        <v>#REF!</v>
      </c>
      <c r="BY168" s="69" t="str">
        <f t="shared" si="47"/>
        <v>#REF!</v>
      </c>
      <c r="BZ168" s="65">
        <v>0.0</v>
      </c>
      <c r="CA168" s="65">
        <v>0.0</v>
      </c>
      <c r="CB168" s="65">
        <v>0.0</v>
      </c>
      <c r="CC168" s="78" t="str">
        <f t="shared" si="48"/>
        <v>#REF!</v>
      </c>
      <c r="CD168" s="69" t="str">
        <f>'[1]DATA CONSOLIDADA 2018-2025 '!$CB168-Hoja1!$BW168</f>
        <v>#REF!</v>
      </c>
      <c r="CE168" s="70">
        <v>0.0</v>
      </c>
      <c r="CF168" s="70">
        <v>0.0</v>
      </c>
      <c r="CG168" s="70">
        <v>0.0</v>
      </c>
      <c r="CH168" s="78" t="str">
        <f t="shared" si="49"/>
        <v>#REF!</v>
      </c>
      <c r="CI168" s="69" t="str">
        <f>'[1]DATA CONSOLIDADA 2018-2025 '!$CG168-Hoja1!$CB168</f>
        <v>#REF!</v>
      </c>
      <c r="CJ168" s="69" t="str">
        <f t="shared" si="22"/>
        <v>#REF!</v>
      </c>
      <c r="CK168" s="64">
        <v>0.0</v>
      </c>
      <c r="CL168" s="64">
        <v>0.0</v>
      </c>
      <c r="CM168" s="64">
        <v>0.0</v>
      </c>
      <c r="CN168" s="64" t="str">
        <f t="shared" si="12"/>
        <v>#REF!</v>
      </c>
      <c r="CO168" s="68" t="str">
        <f>'[1]DATA CONSOLIDADA 2018-2025 '!$CM168-Hoja1!$CG168</f>
        <v>#REF!</v>
      </c>
      <c r="CP168" s="70">
        <v>0.0</v>
      </c>
      <c r="CQ168" s="70">
        <v>0.0</v>
      </c>
      <c r="CR168" s="70">
        <v>0.0</v>
      </c>
      <c r="CS168" s="70">
        <v>0.0</v>
      </c>
      <c r="CT168" s="70">
        <v>0.0</v>
      </c>
      <c r="CU168" s="70">
        <v>0.0</v>
      </c>
      <c r="CV168" s="69">
        <v>0.0</v>
      </c>
      <c r="CW168" s="69">
        <v>0.0</v>
      </c>
      <c r="CX168" s="69">
        <v>0.0</v>
      </c>
      <c r="CY168" s="69">
        <v>0.0</v>
      </c>
      <c r="CZ168" s="69">
        <v>0.0</v>
      </c>
      <c r="DA168" s="69">
        <v>0.0</v>
      </c>
      <c r="DB168" s="69">
        <v>0.0</v>
      </c>
      <c r="DC168" s="72">
        <v>0.0</v>
      </c>
      <c r="DD168" s="72">
        <v>0.0</v>
      </c>
      <c r="DE168" s="72">
        <v>0.0</v>
      </c>
      <c r="DF168" s="72">
        <v>0.0</v>
      </c>
      <c r="DG168" s="72">
        <v>0.0</v>
      </c>
      <c r="DH168" s="72">
        <v>0.0</v>
      </c>
      <c r="DI168" s="73">
        <v>2.0568246188E10</v>
      </c>
      <c r="DJ168" s="74" t="s">
        <v>686</v>
      </c>
      <c r="DK168" s="74" t="s">
        <v>138</v>
      </c>
      <c r="DL168" s="75"/>
      <c r="DM168" s="75"/>
      <c r="DN168" s="75"/>
      <c r="DO168" s="75"/>
      <c r="DP168" s="75"/>
      <c r="DQ168" s="75"/>
      <c r="DR168" s="75"/>
      <c r="DS168" s="75"/>
      <c r="DT168" s="75"/>
      <c r="DU168" s="75"/>
      <c r="DV168" s="75"/>
      <c r="DW168" s="75"/>
      <c r="DX168" s="75"/>
      <c r="DY168" s="75"/>
      <c r="DZ168" s="75"/>
      <c r="EA168" s="75"/>
      <c r="EB168" s="75"/>
      <c r="EC168" s="75"/>
      <c r="ED168" s="75"/>
      <c r="EE168" s="75"/>
    </row>
    <row r="169" ht="47.25" hidden="1" customHeight="1">
      <c r="A169" s="55" t="s">
        <v>689</v>
      </c>
      <c r="B169" s="55" t="s">
        <v>690</v>
      </c>
      <c r="C169" s="55" t="s">
        <v>690</v>
      </c>
      <c r="D169" s="55" t="s">
        <v>481</v>
      </c>
      <c r="E169" s="55" t="s">
        <v>691</v>
      </c>
      <c r="F169" s="55" t="s">
        <v>481</v>
      </c>
      <c r="G169" s="55" t="s">
        <v>692</v>
      </c>
      <c r="H169" s="55" t="s">
        <v>693</v>
      </c>
      <c r="I169" s="56"/>
      <c r="J169" s="56">
        <v>1.0</v>
      </c>
      <c r="K169" s="56"/>
      <c r="L169" s="56"/>
      <c r="M169" s="56"/>
      <c r="N169" s="56"/>
      <c r="O169" s="56"/>
      <c r="P169" s="56"/>
      <c r="Q169" s="56" t="s">
        <v>131</v>
      </c>
      <c r="R169" s="58" t="str">
        <f t="shared" si="1"/>
        <v>2019</v>
      </c>
      <c r="S169" s="59" t="str">
        <f>SUM(Hoja1!$I169:$P169)</f>
        <v>1</v>
      </c>
      <c r="T169" s="59" t="str">
        <f>IF(OR(Hoja1!$J169=1,Hoja1!$K169=1,Hoja1!$L169=1,Hoja1!$M169=1,Hoja1!$N169=1,Hoja1!$O169=1,Hoja1!$P169=1),"SI","NO")</f>
        <v>SI</v>
      </c>
      <c r="U169" s="59" t="str">
        <f>IF(OR(Hoja1!$K169=1,Hoja1!$L169=1,Hoja1!$M169=1,Hoja1!$N169=1,Hoja1!$O169=1,Hoja1!$P169=1),"SI","NO")</f>
        <v>NO</v>
      </c>
      <c r="V169" s="60">
        <v>0.0</v>
      </c>
      <c r="W169" s="61">
        <v>12.0</v>
      </c>
      <c r="X169" s="61">
        <v>14.0</v>
      </c>
      <c r="Y169" s="60">
        <v>26.0</v>
      </c>
      <c r="Z169" s="61">
        <v>0.0</v>
      </c>
      <c r="AA169" s="61">
        <v>0.0</v>
      </c>
      <c r="AB169" s="60">
        <v>0.0</v>
      </c>
      <c r="AC169" s="61">
        <v>0.0</v>
      </c>
      <c r="AD169" s="61">
        <v>0.0</v>
      </c>
      <c r="AE169" s="60">
        <v>0.0</v>
      </c>
      <c r="AF169" s="61">
        <v>0.0</v>
      </c>
      <c r="AG169" s="61">
        <v>0.0</v>
      </c>
      <c r="AH169" s="60">
        <v>0.0</v>
      </c>
      <c r="AI169" s="61">
        <v>0.0</v>
      </c>
      <c r="AJ169" s="61">
        <v>0.0</v>
      </c>
      <c r="AK169" s="60">
        <v>0.0</v>
      </c>
      <c r="AL169" s="61">
        <v>0.0</v>
      </c>
      <c r="AM169" s="61">
        <v>0.0</v>
      </c>
      <c r="AN169" s="60">
        <v>0.0</v>
      </c>
      <c r="AO169" s="62">
        <v>0.0</v>
      </c>
      <c r="AP169" s="62">
        <v>0.0</v>
      </c>
      <c r="AQ169" s="60">
        <v>0.0</v>
      </c>
      <c r="AR169" s="60" t="str">
        <f>IF(Hoja1!$AQ169&gt;0,Hoja1!$AQ169,IF(Hoja1!$AN169&gt;0,Hoja1!$AN169,IF(Hoja1!$AK169&gt;0,Hoja1!$AK169,IF(Hoja1!$AH169&gt;0,Hoja1!$AH169,IF(Hoja1!$AE169&gt;0,Hoja1!$AE169,IF(Hoja1!$AB169&gt;0,Hoja1!$AB169,IF(Hoja1!$Y169&gt;0,Hoja1!$Y169,IF(Hoja1!$V169&gt;0,Hoja1!$V169," ---"))))))))</f>
        <v>26</v>
      </c>
      <c r="AS169" s="63">
        <v>0.0</v>
      </c>
      <c r="AT169" s="63">
        <v>0.0</v>
      </c>
      <c r="AU169" s="63">
        <v>0.0</v>
      </c>
      <c r="AV169" s="63">
        <v>0.0</v>
      </c>
      <c r="AW169" s="63">
        <v>0.0</v>
      </c>
      <c r="AX169" s="63">
        <v>0.0</v>
      </c>
      <c r="AY169" s="63">
        <v>0.0</v>
      </c>
      <c r="AZ169" s="63">
        <v>0.0</v>
      </c>
      <c r="BA169" s="63">
        <v>0.0</v>
      </c>
      <c r="BB169" s="63">
        <v>0.0</v>
      </c>
      <c r="BC169" s="63">
        <v>0.0</v>
      </c>
      <c r="BD169" s="63">
        <v>0.0</v>
      </c>
      <c r="BE169" s="64">
        <v>0.0</v>
      </c>
      <c r="BF169" s="65">
        <v>36850.0</v>
      </c>
      <c r="BG169" s="65">
        <v>0.0</v>
      </c>
      <c r="BH169" s="66">
        <v>36850.0</v>
      </c>
      <c r="BI169" s="67" t="str">
        <f t="shared" si="41"/>
        <v>#REF!</v>
      </c>
      <c r="BJ169" s="68" t="str">
        <f t="shared" si="42"/>
        <v>#REF!</v>
      </c>
      <c r="BK169" s="69">
        <v>0.0</v>
      </c>
      <c r="BL169" s="69">
        <v>0.0</v>
      </c>
      <c r="BM169" s="64">
        <v>0.0</v>
      </c>
      <c r="BN169" s="67" t="str">
        <f t="shared" si="43"/>
        <v>#REF!</v>
      </c>
      <c r="BO169" s="68" t="str">
        <f t="shared" si="44"/>
        <v>#REF!</v>
      </c>
      <c r="BP169" s="65">
        <v>0.0</v>
      </c>
      <c r="BQ169" s="65">
        <v>0.0</v>
      </c>
      <c r="BR169" s="66">
        <v>0.0</v>
      </c>
      <c r="BS169" s="67" t="str">
        <f t="shared" si="45"/>
        <v>#REF!</v>
      </c>
      <c r="BT169" s="68" t="str">
        <f>'[1]DATA CONSOLIDADA 2018-2025 '!$BR169-Hoja1!$BO169</f>
        <v>#REF!</v>
      </c>
      <c r="BU169" s="65">
        <v>0.0</v>
      </c>
      <c r="BV169" s="65">
        <v>0.0</v>
      </c>
      <c r="BW169" s="66">
        <v>0.0</v>
      </c>
      <c r="BX169" s="67" t="str">
        <f t="shared" si="46"/>
        <v>#REF!</v>
      </c>
      <c r="BY169" s="68" t="str">
        <f t="shared" si="47"/>
        <v>#REF!</v>
      </c>
      <c r="BZ169" s="65">
        <v>0.0</v>
      </c>
      <c r="CA169" s="65">
        <v>0.0</v>
      </c>
      <c r="CB169" s="66">
        <v>0.0</v>
      </c>
      <c r="CC169" s="67" t="str">
        <f t="shared" si="48"/>
        <v>#REF!</v>
      </c>
      <c r="CD169" s="68" t="str">
        <f>'[1]DATA CONSOLIDADA 2018-2025 '!$CB169-Hoja1!$BW169</f>
        <v>#REF!</v>
      </c>
      <c r="CE169" s="70">
        <v>0.0</v>
      </c>
      <c r="CF169" s="70">
        <v>0.0</v>
      </c>
      <c r="CG169" s="71">
        <v>0.0</v>
      </c>
      <c r="CH169" s="67" t="str">
        <f t="shared" si="49"/>
        <v>#REF!</v>
      </c>
      <c r="CI169" s="68" t="str">
        <f>'[1]DATA CONSOLIDADA 2018-2025 '!$CG169-Hoja1!$CB169</f>
        <v>#REF!</v>
      </c>
      <c r="CJ169" s="64" t="str">
        <f t="shared" si="22"/>
        <v>#REF!</v>
      </c>
      <c r="CK169" s="64">
        <v>0.0</v>
      </c>
      <c r="CL169" s="64">
        <v>0.0</v>
      </c>
      <c r="CM169" s="64">
        <v>0.0</v>
      </c>
      <c r="CN169" s="64" t="str">
        <f t="shared" si="12"/>
        <v>#REF!</v>
      </c>
      <c r="CO169" s="68" t="str">
        <f>'[1]DATA CONSOLIDADA 2018-2025 '!$CM169-Hoja1!$CG169</f>
        <v>#REF!</v>
      </c>
      <c r="CP169" s="70">
        <v>0.0</v>
      </c>
      <c r="CQ169" s="70">
        <v>0.0</v>
      </c>
      <c r="CR169" s="70">
        <v>0.0</v>
      </c>
      <c r="CS169" s="70">
        <v>0.0</v>
      </c>
      <c r="CT169" s="70">
        <v>0.0</v>
      </c>
      <c r="CU169" s="70">
        <v>0.0</v>
      </c>
      <c r="CV169" s="64">
        <v>0.0</v>
      </c>
      <c r="CW169" s="64">
        <v>0.0</v>
      </c>
      <c r="CX169" s="64">
        <v>0.0</v>
      </c>
      <c r="CY169" s="64">
        <v>0.0</v>
      </c>
      <c r="CZ169" s="64">
        <v>0.0</v>
      </c>
      <c r="DA169" s="64">
        <v>0.0</v>
      </c>
      <c r="DB169" s="64">
        <v>0.0</v>
      </c>
      <c r="DC169" s="72">
        <v>0.0</v>
      </c>
      <c r="DD169" s="72">
        <v>0.0</v>
      </c>
      <c r="DE169" s="72">
        <v>0.0</v>
      </c>
      <c r="DF169" s="72">
        <v>0.0</v>
      </c>
      <c r="DG169" s="72">
        <v>0.0</v>
      </c>
      <c r="DH169" s="72">
        <v>0.0</v>
      </c>
      <c r="DI169" s="73">
        <v>2.0486049198E10</v>
      </c>
      <c r="DJ169" s="74" t="s">
        <v>694</v>
      </c>
      <c r="DK169" s="74" t="s">
        <v>132</v>
      </c>
      <c r="DL169" s="75"/>
      <c r="DM169" s="75"/>
      <c r="DN169" s="75"/>
      <c r="DO169" s="75"/>
      <c r="DP169" s="75"/>
      <c r="DQ169" s="75"/>
      <c r="DR169" s="75"/>
      <c r="DS169" s="75"/>
      <c r="DT169" s="75"/>
      <c r="DU169" s="75"/>
      <c r="DV169" s="75"/>
      <c r="DW169" s="75"/>
      <c r="DX169" s="75"/>
      <c r="DY169" s="75"/>
      <c r="DZ169" s="75"/>
      <c r="EA169" s="75"/>
      <c r="EB169" s="75"/>
      <c r="EC169" s="75"/>
      <c r="ED169" s="75"/>
      <c r="EE169" s="75"/>
    </row>
    <row r="170" ht="47.25" hidden="1" customHeight="1">
      <c r="A170" s="55" t="s">
        <v>695</v>
      </c>
      <c r="B170" s="55" t="s">
        <v>287</v>
      </c>
      <c r="C170" s="55" t="s">
        <v>287</v>
      </c>
      <c r="D170" s="55" t="s">
        <v>481</v>
      </c>
      <c r="E170" s="55" t="s">
        <v>696</v>
      </c>
      <c r="F170" s="55" t="s">
        <v>481</v>
      </c>
      <c r="G170" s="55" t="s">
        <v>697</v>
      </c>
      <c r="H170" s="55" t="s">
        <v>698</v>
      </c>
      <c r="I170" s="56"/>
      <c r="J170" s="56">
        <v>1.0</v>
      </c>
      <c r="K170" s="56">
        <v>1.0</v>
      </c>
      <c r="L170" s="56"/>
      <c r="M170" s="56"/>
      <c r="N170" s="56"/>
      <c r="O170" s="56"/>
      <c r="P170" s="56"/>
      <c r="Q170" s="56" t="s">
        <v>131</v>
      </c>
      <c r="R170" s="58" t="str">
        <f t="shared" si="1"/>
        <v>2019-2020</v>
      </c>
      <c r="S170" s="59" t="str">
        <f>SUM(Hoja1!$I170:$P170)</f>
        <v>2</v>
      </c>
      <c r="T170" s="59" t="str">
        <f>IF(OR(Hoja1!$J170=1,Hoja1!$K170=1,Hoja1!$L170=1,Hoja1!$M170=1,Hoja1!$N170=1,Hoja1!$O170=1,Hoja1!$P170=1),"SI","NO")</f>
        <v>SI</v>
      </c>
      <c r="U170" s="59" t="str">
        <f>IF(OR(Hoja1!$K170=1,Hoja1!$L170=1,Hoja1!$M170=1,Hoja1!$N170=1,Hoja1!$O170=1,Hoja1!$P170=1),"SI","NO")</f>
        <v>SI</v>
      </c>
      <c r="V170" s="60">
        <v>0.0</v>
      </c>
      <c r="W170" s="61">
        <v>6.0</v>
      </c>
      <c r="X170" s="61">
        <v>12.0</v>
      </c>
      <c r="Y170" s="60">
        <v>18.0</v>
      </c>
      <c r="Z170" s="61">
        <v>5.0</v>
      </c>
      <c r="AA170" s="61">
        <v>13.0</v>
      </c>
      <c r="AB170" s="60">
        <v>18.0</v>
      </c>
      <c r="AC170" s="61">
        <v>0.0</v>
      </c>
      <c r="AD170" s="61">
        <v>0.0</v>
      </c>
      <c r="AE170" s="60">
        <v>0.0</v>
      </c>
      <c r="AF170" s="61">
        <v>0.0</v>
      </c>
      <c r="AG170" s="61">
        <v>0.0</v>
      </c>
      <c r="AH170" s="60">
        <v>0.0</v>
      </c>
      <c r="AI170" s="61">
        <v>0.0</v>
      </c>
      <c r="AJ170" s="61">
        <v>0.0</v>
      </c>
      <c r="AK170" s="60">
        <v>0.0</v>
      </c>
      <c r="AL170" s="61">
        <v>0.0</v>
      </c>
      <c r="AM170" s="61">
        <v>0.0</v>
      </c>
      <c r="AN170" s="60">
        <v>0.0</v>
      </c>
      <c r="AO170" s="62">
        <v>0.0</v>
      </c>
      <c r="AP170" s="62">
        <v>0.0</v>
      </c>
      <c r="AQ170" s="60">
        <v>0.0</v>
      </c>
      <c r="AR170" s="60" t="str">
        <f>IF(Hoja1!$AQ170&gt;0,Hoja1!$AQ170,IF(Hoja1!$AN170&gt;0,Hoja1!$AN170,IF(Hoja1!$AK170&gt;0,Hoja1!$AK170,IF(Hoja1!$AH170&gt;0,Hoja1!$AH170,IF(Hoja1!$AE170&gt;0,Hoja1!$AE170,IF(Hoja1!$AB170&gt;0,Hoja1!$AB170,IF(Hoja1!$Y170&gt;0,Hoja1!$Y170,IF(Hoja1!$V170&gt;0,Hoja1!$V170," ---"))))))))</f>
        <v>18</v>
      </c>
      <c r="AS170" s="63">
        <v>0.0</v>
      </c>
      <c r="AT170" s="63">
        <v>2.0</v>
      </c>
      <c r="AU170" s="63">
        <v>0.0</v>
      </c>
      <c r="AV170" s="63">
        <v>0.0</v>
      </c>
      <c r="AW170" s="63">
        <v>0.0</v>
      </c>
      <c r="AX170" s="63">
        <v>0.0</v>
      </c>
      <c r="AY170" s="63">
        <v>0.0</v>
      </c>
      <c r="AZ170" s="63">
        <v>0.0</v>
      </c>
      <c r="BA170" s="63">
        <v>0.0</v>
      </c>
      <c r="BB170" s="63">
        <v>0.0</v>
      </c>
      <c r="BC170" s="63">
        <v>0.0</v>
      </c>
      <c r="BD170" s="63">
        <v>0.0</v>
      </c>
      <c r="BE170" s="64">
        <v>0.0</v>
      </c>
      <c r="BF170" s="65">
        <v>1256.0</v>
      </c>
      <c r="BG170" s="65">
        <v>0.0</v>
      </c>
      <c r="BH170" s="66">
        <v>1256.0</v>
      </c>
      <c r="BI170" s="67" t="str">
        <f t="shared" si="41"/>
        <v>#REF!</v>
      </c>
      <c r="BJ170" s="68" t="str">
        <f t="shared" si="42"/>
        <v>#REF!</v>
      </c>
      <c r="BK170" s="65">
        <v>26930.0</v>
      </c>
      <c r="BL170" s="65">
        <v>0.0</v>
      </c>
      <c r="BM170" s="66">
        <v>26930.0</v>
      </c>
      <c r="BN170" s="67" t="str">
        <f t="shared" si="43"/>
        <v>#REF!</v>
      </c>
      <c r="BO170" s="68" t="str">
        <f t="shared" si="44"/>
        <v>#REF!</v>
      </c>
      <c r="BP170" s="65">
        <v>0.0</v>
      </c>
      <c r="BQ170" s="65">
        <v>0.0</v>
      </c>
      <c r="BR170" s="66">
        <v>0.0</v>
      </c>
      <c r="BS170" s="67" t="str">
        <f t="shared" si="45"/>
        <v>#REF!</v>
      </c>
      <c r="BT170" s="68" t="str">
        <f>'[1]DATA CONSOLIDADA 2018-2025 '!$BR170-Hoja1!$BO170</f>
        <v>#REF!</v>
      </c>
      <c r="BU170" s="65">
        <v>0.0</v>
      </c>
      <c r="BV170" s="65">
        <v>0.0</v>
      </c>
      <c r="BW170" s="66">
        <v>0.0</v>
      </c>
      <c r="BX170" s="67" t="str">
        <f t="shared" si="46"/>
        <v>#REF!</v>
      </c>
      <c r="BY170" s="68" t="str">
        <f t="shared" si="47"/>
        <v>#REF!</v>
      </c>
      <c r="BZ170" s="65">
        <v>0.0</v>
      </c>
      <c r="CA170" s="65">
        <v>0.0</v>
      </c>
      <c r="CB170" s="66">
        <v>0.0</v>
      </c>
      <c r="CC170" s="67" t="str">
        <f t="shared" si="48"/>
        <v>#REF!</v>
      </c>
      <c r="CD170" s="68" t="str">
        <f>'[1]DATA CONSOLIDADA 2018-2025 '!$CB170-Hoja1!$BW170</f>
        <v>#REF!</v>
      </c>
      <c r="CE170" s="70">
        <v>0.0</v>
      </c>
      <c r="CF170" s="70">
        <v>0.0</v>
      </c>
      <c r="CG170" s="71">
        <v>0.0</v>
      </c>
      <c r="CH170" s="67" t="str">
        <f t="shared" si="49"/>
        <v>#REF!</v>
      </c>
      <c r="CI170" s="68" t="str">
        <f>'[1]DATA CONSOLIDADA 2018-2025 '!$CG170-Hoja1!$CB170</f>
        <v>#REF!</v>
      </c>
      <c r="CJ170" s="64" t="str">
        <f t="shared" si="22"/>
        <v>#REF!</v>
      </c>
      <c r="CK170" s="64">
        <v>0.0</v>
      </c>
      <c r="CL170" s="64">
        <v>0.0</v>
      </c>
      <c r="CM170" s="64">
        <v>0.0</v>
      </c>
      <c r="CN170" s="64" t="str">
        <f t="shared" si="12"/>
        <v>#REF!</v>
      </c>
      <c r="CO170" s="68" t="str">
        <f>'[1]DATA CONSOLIDADA 2018-2025 '!$CM170-Hoja1!$CG170</f>
        <v>#REF!</v>
      </c>
      <c r="CP170" s="70">
        <v>0.0</v>
      </c>
      <c r="CQ170" s="70">
        <v>0.0</v>
      </c>
      <c r="CR170" s="70">
        <v>0.0</v>
      </c>
      <c r="CS170" s="70">
        <v>0.0</v>
      </c>
      <c r="CT170" s="70">
        <v>0.0</v>
      </c>
      <c r="CU170" s="70">
        <v>0.0</v>
      </c>
      <c r="CV170" s="64">
        <v>0.0</v>
      </c>
      <c r="CW170" s="64">
        <v>0.0</v>
      </c>
      <c r="CX170" s="64">
        <v>0.0</v>
      </c>
      <c r="CY170" s="64">
        <v>0.0</v>
      </c>
      <c r="CZ170" s="64">
        <v>0.0</v>
      </c>
      <c r="DA170" s="64">
        <v>0.0</v>
      </c>
      <c r="DB170" s="64">
        <v>0.0</v>
      </c>
      <c r="DC170" s="72">
        <v>0.0</v>
      </c>
      <c r="DD170" s="72">
        <v>0.0</v>
      </c>
      <c r="DE170" s="72">
        <v>0.0</v>
      </c>
      <c r="DF170" s="72">
        <v>0.0</v>
      </c>
      <c r="DG170" s="72">
        <v>0.0</v>
      </c>
      <c r="DH170" s="72">
        <v>0.0</v>
      </c>
      <c r="DI170" s="73">
        <v>2.0568228368E10</v>
      </c>
      <c r="DJ170" s="74" t="s">
        <v>695</v>
      </c>
      <c r="DK170" s="74" t="s">
        <v>138</v>
      </c>
      <c r="DL170" s="75"/>
      <c r="DM170" s="75"/>
      <c r="DN170" s="75"/>
      <c r="DO170" s="75"/>
      <c r="DP170" s="75"/>
      <c r="DQ170" s="75"/>
      <c r="DR170" s="75"/>
      <c r="DS170" s="75"/>
      <c r="DT170" s="75"/>
      <c r="DU170" s="75"/>
      <c r="DV170" s="75"/>
      <c r="DW170" s="75"/>
      <c r="DX170" s="75"/>
      <c r="DY170" s="75"/>
      <c r="DZ170" s="75"/>
      <c r="EA170" s="75"/>
      <c r="EB170" s="75"/>
      <c r="EC170" s="75"/>
      <c r="ED170" s="75"/>
      <c r="EE170" s="75"/>
    </row>
    <row r="171" ht="47.25" hidden="1" customHeight="1">
      <c r="A171" s="55" t="s">
        <v>699</v>
      </c>
      <c r="B171" s="55" t="s">
        <v>256</v>
      </c>
      <c r="C171" s="55" t="s">
        <v>272</v>
      </c>
      <c r="D171" s="55" t="s">
        <v>481</v>
      </c>
      <c r="E171" s="55" t="s">
        <v>700</v>
      </c>
      <c r="F171" s="55" t="s">
        <v>481</v>
      </c>
      <c r="G171" s="55" t="s">
        <v>697</v>
      </c>
      <c r="H171" s="55" t="s">
        <v>701</v>
      </c>
      <c r="I171" s="56"/>
      <c r="J171" s="56">
        <v>1.0</v>
      </c>
      <c r="K171" s="56">
        <v>1.0</v>
      </c>
      <c r="L171" s="56">
        <v>1.0</v>
      </c>
      <c r="M171" s="56">
        <v>1.0</v>
      </c>
      <c r="N171" s="56">
        <v>1.0</v>
      </c>
      <c r="O171" s="56"/>
      <c r="P171" s="56"/>
      <c r="Q171" s="56" t="s">
        <v>131</v>
      </c>
      <c r="R171" s="58" t="str">
        <f t="shared" si="1"/>
        <v>2019-2020-2021-2022-2023</v>
      </c>
      <c r="S171" s="59" t="str">
        <f>SUM(Hoja1!$I171:$P171)</f>
        <v>5</v>
      </c>
      <c r="T171" s="59" t="str">
        <f>IF(OR(Hoja1!$J171=1,Hoja1!$K171=1,Hoja1!$L171=1,Hoja1!$M171=1,Hoja1!$N171=1,Hoja1!$O171=1,Hoja1!$P171=1),"SI","NO")</f>
        <v>SI</v>
      </c>
      <c r="U171" s="59" t="str">
        <f>IF(OR(Hoja1!$K171=1,Hoja1!$L171=1,Hoja1!$M171=1,Hoja1!$N171=1,Hoja1!$O171=1,Hoja1!$P171=1),"SI","NO")</f>
        <v>SI</v>
      </c>
      <c r="V171" s="60">
        <v>0.0</v>
      </c>
      <c r="W171" s="61">
        <v>124.0</v>
      </c>
      <c r="X171" s="61">
        <v>31.0</v>
      </c>
      <c r="Y171" s="60">
        <v>155.0</v>
      </c>
      <c r="Z171" s="61">
        <v>197.0</v>
      </c>
      <c r="AA171" s="61">
        <v>99.0</v>
      </c>
      <c r="AB171" s="60">
        <v>296.0</v>
      </c>
      <c r="AC171" s="61">
        <v>148.0</v>
      </c>
      <c r="AD171" s="61">
        <v>58.0</v>
      </c>
      <c r="AE171" s="60">
        <v>206.0</v>
      </c>
      <c r="AF171" s="61">
        <v>148.0</v>
      </c>
      <c r="AG171" s="61">
        <v>58.0</v>
      </c>
      <c r="AH171" s="60">
        <v>206.0</v>
      </c>
      <c r="AI171" s="61">
        <v>148.0</v>
      </c>
      <c r="AJ171" s="61">
        <v>58.0</v>
      </c>
      <c r="AK171" s="60">
        <v>206.0</v>
      </c>
      <c r="AL171" s="61">
        <v>0.0</v>
      </c>
      <c r="AM171" s="61">
        <v>0.0</v>
      </c>
      <c r="AN171" s="60">
        <v>0.0</v>
      </c>
      <c r="AO171" s="62">
        <v>0.0</v>
      </c>
      <c r="AP171" s="62">
        <v>0.0</v>
      </c>
      <c r="AQ171" s="60">
        <v>0.0</v>
      </c>
      <c r="AR171" s="60" t="str">
        <f>IF(Hoja1!$AQ171&gt;0,Hoja1!$AQ171,IF(Hoja1!$AN171&gt;0,Hoja1!$AN171,IF(Hoja1!$AK171&gt;0,Hoja1!$AK171,IF(Hoja1!$AH171&gt;0,Hoja1!$AH171,IF(Hoja1!$AE171&gt;0,Hoja1!$AE171,IF(Hoja1!$AB171&gt;0,Hoja1!$AB171,IF(Hoja1!$Y171&gt;0,Hoja1!$Y171,IF(Hoja1!$V171&gt;0,Hoja1!$V171," ---"))))))))</f>
        <v>206</v>
      </c>
      <c r="AS171" s="63">
        <v>0.0</v>
      </c>
      <c r="AT171" s="63">
        <v>0.0</v>
      </c>
      <c r="AU171" s="63">
        <v>45.0</v>
      </c>
      <c r="AV171" s="63">
        <v>1.0</v>
      </c>
      <c r="AW171" s="63">
        <v>33.0</v>
      </c>
      <c r="AX171" s="63">
        <v>2.0</v>
      </c>
      <c r="AY171" s="63">
        <v>37.0</v>
      </c>
      <c r="AZ171" s="63">
        <v>3.0</v>
      </c>
      <c r="BA171" s="63">
        <v>0.0</v>
      </c>
      <c r="BB171" s="63">
        <v>0.0</v>
      </c>
      <c r="BC171" s="63">
        <v>0.0</v>
      </c>
      <c r="BD171" s="63">
        <v>0.0</v>
      </c>
      <c r="BE171" s="64">
        <v>0.0</v>
      </c>
      <c r="BF171" s="65">
        <v>485191.97</v>
      </c>
      <c r="BG171" s="65">
        <v>0.0</v>
      </c>
      <c r="BH171" s="66">
        <v>485191.97</v>
      </c>
      <c r="BI171" s="67" t="str">
        <f t="shared" si="41"/>
        <v>#REF!</v>
      </c>
      <c r="BJ171" s="68" t="str">
        <f t="shared" si="42"/>
        <v>#REF!</v>
      </c>
      <c r="BK171" s="65">
        <v>306114.21</v>
      </c>
      <c r="BL171" s="65">
        <v>0.0</v>
      </c>
      <c r="BM171" s="66">
        <v>306114.21</v>
      </c>
      <c r="BN171" s="67" t="str">
        <f t="shared" si="43"/>
        <v>#REF!</v>
      </c>
      <c r="BO171" s="68" t="str">
        <f t="shared" si="44"/>
        <v>#REF!</v>
      </c>
      <c r="BP171" s="65">
        <v>316195.8</v>
      </c>
      <c r="BQ171" s="65">
        <v>0.0</v>
      </c>
      <c r="BR171" s="66">
        <v>316195.8</v>
      </c>
      <c r="BS171" s="67" t="str">
        <f t="shared" si="45"/>
        <v>#REF!</v>
      </c>
      <c r="BT171" s="68" t="str">
        <f>'[1]DATA CONSOLIDADA 2018-2025 '!$BR171-Hoja1!$BO171</f>
        <v>#REF!</v>
      </c>
      <c r="BU171" s="65">
        <v>169602.31</v>
      </c>
      <c r="BV171" s="65">
        <v>0.0</v>
      </c>
      <c r="BW171" s="66">
        <v>169602.31</v>
      </c>
      <c r="BX171" s="67" t="str">
        <f t="shared" si="46"/>
        <v>#REF!</v>
      </c>
      <c r="BY171" s="68" t="str">
        <f t="shared" si="47"/>
        <v>#REF!</v>
      </c>
      <c r="BZ171" s="65">
        <v>445342.5</v>
      </c>
      <c r="CA171" s="65">
        <v>0.0</v>
      </c>
      <c r="CB171" s="66">
        <v>445342.5</v>
      </c>
      <c r="CC171" s="67" t="str">
        <f t="shared" si="48"/>
        <v>#REF!</v>
      </c>
      <c r="CD171" s="68" t="str">
        <f>'[1]DATA CONSOLIDADA 2018-2025 '!$CB171-Hoja1!$BW171</f>
        <v>#REF!</v>
      </c>
      <c r="CE171" s="70">
        <v>0.0</v>
      </c>
      <c r="CF171" s="70">
        <v>0.0</v>
      </c>
      <c r="CG171" s="71">
        <v>0.0</v>
      </c>
      <c r="CH171" s="67" t="str">
        <f t="shared" si="49"/>
        <v>#REF!</v>
      </c>
      <c r="CI171" s="68" t="str">
        <f>'[1]DATA CONSOLIDADA 2018-2025 '!$CG171-Hoja1!$CB171</f>
        <v>#REF!</v>
      </c>
      <c r="CJ171" s="64" t="str">
        <f t="shared" si="22"/>
        <v>#REF!</v>
      </c>
      <c r="CK171" s="64">
        <v>0.0</v>
      </c>
      <c r="CL171" s="64">
        <v>0.0</v>
      </c>
      <c r="CM171" s="64">
        <v>0.0</v>
      </c>
      <c r="CN171" s="64" t="str">
        <f t="shared" si="12"/>
        <v>#REF!</v>
      </c>
      <c r="CO171" s="68" t="str">
        <f>'[1]DATA CONSOLIDADA 2018-2025 '!$CM171-Hoja1!$CG171</f>
        <v>#REF!</v>
      </c>
      <c r="CP171" s="70">
        <v>0.0</v>
      </c>
      <c r="CQ171" s="70">
        <v>412342.5</v>
      </c>
      <c r="CR171" s="70">
        <v>0.0</v>
      </c>
      <c r="CS171" s="70">
        <v>33000.0</v>
      </c>
      <c r="CT171" s="70">
        <v>0.0</v>
      </c>
      <c r="CU171" s="70">
        <v>0.0</v>
      </c>
      <c r="CV171" s="64">
        <v>445342.5</v>
      </c>
      <c r="CW171" s="64">
        <v>0.0</v>
      </c>
      <c r="CX171" s="64">
        <v>0.0</v>
      </c>
      <c r="CY171" s="64">
        <v>0.0</v>
      </c>
      <c r="CZ171" s="64">
        <v>0.0</v>
      </c>
      <c r="DA171" s="64">
        <v>0.0</v>
      </c>
      <c r="DB171" s="64">
        <v>0.0</v>
      </c>
      <c r="DC171" s="72">
        <v>0.0</v>
      </c>
      <c r="DD171" s="72">
        <v>0.0</v>
      </c>
      <c r="DE171" s="72">
        <v>0.0</v>
      </c>
      <c r="DF171" s="72">
        <v>0.0</v>
      </c>
      <c r="DG171" s="72">
        <v>0.0</v>
      </c>
      <c r="DH171" s="72">
        <v>0.0</v>
      </c>
      <c r="DI171" s="73">
        <v>2.0604419175E10</v>
      </c>
      <c r="DJ171" s="74" t="s">
        <v>702</v>
      </c>
      <c r="DK171" s="74" t="s">
        <v>138</v>
      </c>
      <c r="DL171" s="75"/>
      <c r="DM171" s="75"/>
      <c r="DN171" s="75"/>
      <c r="DO171" s="75"/>
      <c r="DP171" s="75"/>
      <c r="DQ171" s="75"/>
      <c r="DR171" s="75"/>
      <c r="DS171" s="75"/>
      <c r="DT171" s="75"/>
      <c r="DU171" s="75"/>
      <c r="DV171" s="75"/>
      <c r="DW171" s="75"/>
      <c r="DX171" s="75"/>
      <c r="DY171" s="75"/>
      <c r="DZ171" s="75"/>
      <c r="EA171" s="75"/>
      <c r="EB171" s="75"/>
      <c r="EC171" s="75"/>
      <c r="ED171" s="75"/>
      <c r="EE171" s="75"/>
    </row>
    <row r="172" ht="47.25" hidden="1" customHeight="1">
      <c r="A172" s="55" t="s">
        <v>703</v>
      </c>
      <c r="B172" s="55" t="s">
        <v>491</v>
      </c>
      <c r="C172" s="55" t="s">
        <v>491</v>
      </c>
      <c r="D172" s="55" t="s">
        <v>481</v>
      </c>
      <c r="E172" s="55" t="s">
        <v>668</v>
      </c>
      <c r="F172" s="55" t="s">
        <v>481</v>
      </c>
      <c r="G172" s="55" t="s">
        <v>483</v>
      </c>
      <c r="H172" s="55" t="s">
        <v>669</v>
      </c>
      <c r="I172" s="56"/>
      <c r="J172" s="56">
        <v>1.0</v>
      </c>
      <c r="K172" s="56">
        <v>1.0</v>
      </c>
      <c r="L172" s="56"/>
      <c r="M172" s="56"/>
      <c r="N172" s="56"/>
      <c r="O172" s="56"/>
      <c r="P172" s="56"/>
      <c r="Q172" s="56" t="s">
        <v>131</v>
      </c>
      <c r="R172" s="58" t="str">
        <f t="shared" si="1"/>
        <v>2019-2020</v>
      </c>
      <c r="S172" s="59" t="str">
        <f>SUM(Hoja1!$I172:$P172)</f>
        <v>2</v>
      </c>
      <c r="T172" s="59" t="str">
        <f>IF(OR(Hoja1!$J172=1,Hoja1!$K172=1,Hoja1!$L172=1,Hoja1!$M172=1,Hoja1!$N172=1,Hoja1!$O172=1,Hoja1!$P172=1),"SI","NO")</f>
        <v>SI</v>
      </c>
      <c r="U172" s="59" t="str">
        <f>IF(OR(Hoja1!$K172=1,Hoja1!$L172=1,Hoja1!$M172=1,Hoja1!$N172=1,Hoja1!$O172=1,Hoja1!$P172=1),"SI","NO")</f>
        <v>SI</v>
      </c>
      <c r="V172" s="60">
        <v>0.0</v>
      </c>
      <c r="W172" s="61">
        <v>18.0</v>
      </c>
      <c r="X172" s="61">
        <v>4.0</v>
      </c>
      <c r="Y172" s="60">
        <v>22.0</v>
      </c>
      <c r="Z172" s="61">
        <v>18.0</v>
      </c>
      <c r="AA172" s="61">
        <v>4.0</v>
      </c>
      <c r="AB172" s="60">
        <v>22.0</v>
      </c>
      <c r="AC172" s="61">
        <v>0.0</v>
      </c>
      <c r="AD172" s="61">
        <v>0.0</v>
      </c>
      <c r="AE172" s="60">
        <v>0.0</v>
      </c>
      <c r="AF172" s="61">
        <v>0.0</v>
      </c>
      <c r="AG172" s="61">
        <v>0.0</v>
      </c>
      <c r="AH172" s="60">
        <v>0.0</v>
      </c>
      <c r="AI172" s="61">
        <v>0.0</v>
      </c>
      <c r="AJ172" s="61">
        <v>0.0</v>
      </c>
      <c r="AK172" s="60">
        <v>0.0</v>
      </c>
      <c r="AL172" s="61">
        <v>0.0</v>
      </c>
      <c r="AM172" s="61">
        <v>0.0</v>
      </c>
      <c r="AN172" s="60">
        <v>0.0</v>
      </c>
      <c r="AO172" s="62">
        <v>0.0</v>
      </c>
      <c r="AP172" s="62">
        <v>0.0</v>
      </c>
      <c r="AQ172" s="60">
        <v>0.0</v>
      </c>
      <c r="AR172" s="60" t="str">
        <f>IF(Hoja1!$AQ172&gt;0,Hoja1!$AQ172,IF(Hoja1!$AN172&gt;0,Hoja1!$AN172,IF(Hoja1!$AK172&gt;0,Hoja1!$AK172,IF(Hoja1!$AH172&gt;0,Hoja1!$AH172,IF(Hoja1!$AE172&gt;0,Hoja1!$AE172,IF(Hoja1!$AB172&gt;0,Hoja1!$AB172,IF(Hoja1!$Y172&gt;0,Hoja1!$Y172,IF(Hoja1!$V172&gt;0,Hoja1!$V172," ---"))))))))</f>
        <v>22</v>
      </c>
      <c r="AS172" s="63">
        <v>0.0</v>
      </c>
      <c r="AT172" s="63">
        <v>2.0</v>
      </c>
      <c r="AU172" s="63">
        <v>0.0</v>
      </c>
      <c r="AV172" s="63">
        <v>0.0</v>
      </c>
      <c r="AW172" s="63">
        <v>0.0</v>
      </c>
      <c r="AX172" s="63">
        <v>0.0</v>
      </c>
      <c r="AY172" s="63">
        <v>0.0</v>
      </c>
      <c r="AZ172" s="63">
        <v>0.0</v>
      </c>
      <c r="BA172" s="63">
        <v>0.0</v>
      </c>
      <c r="BB172" s="63">
        <v>0.0</v>
      </c>
      <c r="BC172" s="63">
        <v>0.0</v>
      </c>
      <c r="BD172" s="63">
        <v>0.0</v>
      </c>
      <c r="BE172" s="66">
        <v>0.0</v>
      </c>
      <c r="BF172" s="65">
        <v>96115.0</v>
      </c>
      <c r="BG172" s="65">
        <v>0.0</v>
      </c>
      <c r="BH172" s="66">
        <v>96115.0</v>
      </c>
      <c r="BI172" s="67" t="str">
        <f t="shared" si="41"/>
        <v>#REF!</v>
      </c>
      <c r="BJ172" s="68" t="str">
        <f t="shared" si="42"/>
        <v>#REF!</v>
      </c>
      <c r="BK172" s="65">
        <v>56565.0</v>
      </c>
      <c r="BL172" s="65">
        <v>0.0</v>
      </c>
      <c r="BM172" s="66">
        <v>56565.0</v>
      </c>
      <c r="BN172" s="67" t="str">
        <f t="shared" si="43"/>
        <v>#REF!</v>
      </c>
      <c r="BO172" s="68" t="str">
        <f t="shared" si="44"/>
        <v>#REF!</v>
      </c>
      <c r="BP172" s="65">
        <v>0.0</v>
      </c>
      <c r="BQ172" s="65">
        <v>0.0</v>
      </c>
      <c r="BR172" s="66">
        <v>0.0</v>
      </c>
      <c r="BS172" s="67" t="str">
        <f t="shared" si="45"/>
        <v>#REF!</v>
      </c>
      <c r="BT172" s="68" t="str">
        <f>'[1]DATA CONSOLIDADA 2018-2025 '!$BR172-Hoja1!$BO172</f>
        <v>#REF!</v>
      </c>
      <c r="BU172" s="65">
        <v>0.0</v>
      </c>
      <c r="BV172" s="65">
        <v>0.0</v>
      </c>
      <c r="BW172" s="66">
        <v>0.0</v>
      </c>
      <c r="BX172" s="67" t="str">
        <f t="shared" si="46"/>
        <v>#REF!</v>
      </c>
      <c r="BY172" s="68" t="str">
        <f t="shared" si="47"/>
        <v>#REF!</v>
      </c>
      <c r="BZ172" s="65">
        <v>0.0</v>
      </c>
      <c r="CA172" s="65">
        <v>0.0</v>
      </c>
      <c r="CB172" s="66">
        <v>0.0</v>
      </c>
      <c r="CC172" s="67" t="str">
        <f t="shared" si="48"/>
        <v>#REF!</v>
      </c>
      <c r="CD172" s="68" t="str">
        <f>'[1]DATA CONSOLIDADA 2018-2025 '!$CB172-Hoja1!$BW172</f>
        <v>#REF!</v>
      </c>
      <c r="CE172" s="70">
        <v>0.0</v>
      </c>
      <c r="CF172" s="70">
        <v>0.0</v>
      </c>
      <c r="CG172" s="71">
        <v>0.0</v>
      </c>
      <c r="CH172" s="67" t="str">
        <f t="shared" si="49"/>
        <v>#REF!</v>
      </c>
      <c r="CI172" s="68" t="str">
        <f>'[1]DATA CONSOLIDADA 2018-2025 '!$CG172-Hoja1!$CB172</f>
        <v>#REF!</v>
      </c>
      <c r="CJ172" s="64" t="str">
        <f t="shared" si="22"/>
        <v>#REF!</v>
      </c>
      <c r="CK172" s="64">
        <v>0.0</v>
      </c>
      <c r="CL172" s="64">
        <v>0.0</v>
      </c>
      <c r="CM172" s="64">
        <v>0.0</v>
      </c>
      <c r="CN172" s="64" t="str">
        <f t="shared" si="12"/>
        <v>#REF!</v>
      </c>
      <c r="CO172" s="68" t="str">
        <f>'[1]DATA CONSOLIDADA 2018-2025 '!$CM172-Hoja1!$CG172</f>
        <v>#REF!</v>
      </c>
      <c r="CP172" s="70">
        <v>0.0</v>
      </c>
      <c r="CQ172" s="70">
        <v>0.0</v>
      </c>
      <c r="CR172" s="70">
        <v>0.0</v>
      </c>
      <c r="CS172" s="70">
        <v>0.0</v>
      </c>
      <c r="CT172" s="70">
        <v>0.0</v>
      </c>
      <c r="CU172" s="70">
        <v>0.0</v>
      </c>
      <c r="CV172" s="64">
        <v>0.0</v>
      </c>
      <c r="CW172" s="64">
        <v>0.0</v>
      </c>
      <c r="CX172" s="64">
        <v>0.0</v>
      </c>
      <c r="CY172" s="64">
        <v>0.0</v>
      </c>
      <c r="CZ172" s="64">
        <v>0.0</v>
      </c>
      <c r="DA172" s="64">
        <v>0.0</v>
      </c>
      <c r="DB172" s="64">
        <v>0.0</v>
      </c>
      <c r="DC172" s="72">
        <v>0.0</v>
      </c>
      <c r="DD172" s="72">
        <v>0.0</v>
      </c>
      <c r="DE172" s="72">
        <v>0.0</v>
      </c>
      <c r="DF172" s="72">
        <v>0.0</v>
      </c>
      <c r="DG172" s="72">
        <v>0.0</v>
      </c>
      <c r="DH172" s="72">
        <v>0.0</v>
      </c>
      <c r="DI172" s="73">
        <v>2.0568733411E10</v>
      </c>
      <c r="DJ172" s="74" t="s">
        <v>703</v>
      </c>
      <c r="DK172" s="74" t="s">
        <v>138</v>
      </c>
      <c r="DL172" s="75"/>
      <c r="DM172" s="75"/>
      <c r="DN172" s="75"/>
      <c r="DO172" s="75"/>
      <c r="DP172" s="75"/>
      <c r="DQ172" s="75"/>
      <c r="DR172" s="75"/>
      <c r="DS172" s="75"/>
      <c r="DT172" s="75"/>
      <c r="DU172" s="75"/>
      <c r="DV172" s="75"/>
      <c r="DW172" s="75"/>
      <c r="DX172" s="75"/>
      <c r="DY172" s="75"/>
      <c r="DZ172" s="75"/>
      <c r="EA172" s="75"/>
      <c r="EB172" s="75"/>
      <c r="EC172" s="75"/>
      <c r="ED172" s="75"/>
      <c r="EE172" s="75"/>
    </row>
    <row r="173" ht="47.25" customHeight="1">
      <c r="A173" s="55" t="s">
        <v>704</v>
      </c>
      <c r="B173" s="55" t="s">
        <v>146</v>
      </c>
      <c r="C173" s="55" t="s">
        <v>146</v>
      </c>
      <c r="D173" s="55" t="s">
        <v>481</v>
      </c>
      <c r="E173" s="55" t="s">
        <v>705</v>
      </c>
      <c r="F173" s="55" t="s">
        <v>481</v>
      </c>
      <c r="G173" s="55" t="s">
        <v>483</v>
      </c>
      <c r="H173" s="55" t="s">
        <v>706</v>
      </c>
      <c r="I173" s="56"/>
      <c r="J173" s="56">
        <v>1.0</v>
      </c>
      <c r="K173" s="56"/>
      <c r="L173" s="56"/>
      <c r="M173" s="56"/>
      <c r="N173" s="56"/>
      <c r="O173" s="56"/>
      <c r="P173" s="56"/>
      <c r="Q173" s="56" t="s">
        <v>131</v>
      </c>
      <c r="R173" s="58" t="str">
        <f t="shared" si="1"/>
        <v>2019</v>
      </c>
      <c r="S173" s="59" t="str">
        <f>SUM(Hoja1!$I173:$P173)</f>
        <v>1</v>
      </c>
      <c r="T173" s="59" t="str">
        <f>IF(OR(Hoja1!$J173=1,Hoja1!$K173=1,Hoja1!$L173=1,Hoja1!$M173=1,Hoja1!$N173=1,Hoja1!$O173=1,Hoja1!$P173=1),"SI","NO")</f>
        <v>SI</v>
      </c>
      <c r="U173" s="59" t="str">
        <f>IF(OR(Hoja1!$K173=1,Hoja1!$L173=1,Hoja1!$M173=1,Hoja1!$N173=1,Hoja1!$O173=1,Hoja1!$P173=1),"SI","NO")</f>
        <v>NO</v>
      </c>
      <c r="V173" s="60">
        <v>0.0</v>
      </c>
      <c r="W173" s="61">
        <v>0.0</v>
      </c>
      <c r="X173" s="61">
        <v>0.0</v>
      </c>
      <c r="Y173" s="60">
        <v>0.0</v>
      </c>
      <c r="Z173" s="61">
        <v>0.0</v>
      </c>
      <c r="AA173" s="61">
        <v>0.0</v>
      </c>
      <c r="AB173" s="60">
        <v>0.0</v>
      </c>
      <c r="AC173" s="61">
        <v>0.0</v>
      </c>
      <c r="AD173" s="61">
        <v>0.0</v>
      </c>
      <c r="AE173" s="60">
        <v>0.0</v>
      </c>
      <c r="AF173" s="61">
        <v>0.0</v>
      </c>
      <c r="AG173" s="61">
        <v>0.0</v>
      </c>
      <c r="AH173" s="60">
        <v>0.0</v>
      </c>
      <c r="AI173" s="61">
        <v>0.0</v>
      </c>
      <c r="AJ173" s="61">
        <v>0.0</v>
      </c>
      <c r="AK173" s="60">
        <v>0.0</v>
      </c>
      <c r="AL173" s="61">
        <v>0.0</v>
      </c>
      <c r="AM173" s="61">
        <v>0.0</v>
      </c>
      <c r="AN173" s="60">
        <v>0.0</v>
      </c>
      <c r="AO173" s="62">
        <v>0.0</v>
      </c>
      <c r="AP173" s="62">
        <v>0.0</v>
      </c>
      <c r="AQ173" s="60">
        <v>0.0</v>
      </c>
      <c r="AR173" s="60" t="str">
        <f>IF(Hoja1!$AQ173&gt;0,Hoja1!$AQ173,IF(Hoja1!$AN173&gt;0,Hoja1!$AN173,IF(Hoja1!$AK173&gt;0,Hoja1!$AK173,IF(Hoja1!$AH173&gt;0,Hoja1!$AH173,IF(Hoja1!$AE173&gt;0,Hoja1!$AE173,IF(Hoja1!$AB173&gt;0,Hoja1!$AB173,IF(Hoja1!$Y173&gt;0,Hoja1!$Y173,IF(Hoja1!$V173&gt;0,Hoja1!$V173," ---"))))))))</f>
        <v> ---</v>
      </c>
      <c r="AS173" s="63">
        <v>0.0</v>
      </c>
      <c r="AT173" s="63">
        <v>0.0</v>
      </c>
      <c r="AU173" s="63">
        <v>0.0</v>
      </c>
      <c r="AV173" s="63">
        <v>0.0</v>
      </c>
      <c r="AW173" s="63">
        <v>0.0</v>
      </c>
      <c r="AX173" s="63">
        <v>0.0</v>
      </c>
      <c r="AY173" s="63">
        <v>0.0</v>
      </c>
      <c r="AZ173" s="63">
        <v>0.0</v>
      </c>
      <c r="BA173" s="63">
        <v>0.0</v>
      </c>
      <c r="BB173" s="63">
        <v>0.0</v>
      </c>
      <c r="BC173" s="63">
        <v>0.0</v>
      </c>
      <c r="BD173" s="63">
        <v>0.0</v>
      </c>
      <c r="BE173" s="66">
        <v>0.0</v>
      </c>
      <c r="BF173" s="65">
        <v>0.0</v>
      </c>
      <c r="BG173" s="65">
        <v>0.0</v>
      </c>
      <c r="BH173" s="66">
        <v>0.0</v>
      </c>
      <c r="BI173" s="67" t="str">
        <f t="shared" si="41"/>
        <v>#REF!</v>
      </c>
      <c r="BJ173" s="68" t="str">
        <f t="shared" si="42"/>
        <v>#REF!</v>
      </c>
      <c r="BK173" s="65">
        <v>0.0</v>
      </c>
      <c r="BL173" s="65">
        <v>0.0</v>
      </c>
      <c r="BM173" s="66">
        <v>0.0</v>
      </c>
      <c r="BN173" s="67" t="str">
        <f t="shared" si="43"/>
        <v>#REF!</v>
      </c>
      <c r="BO173" s="68" t="str">
        <f t="shared" si="44"/>
        <v>#REF!</v>
      </c>
      <c r="BP173" s="65">
        <v>0.0</v>
      </c>
      <c r="BQ173" s="65">
        <v>0.0</v>
      </c>
      <c r="BR173" s="66">
        <v>0.0</v>
      </c>
      <c r="BS173" s="67" t="str">
        <f t="shared" si="45"/>
        <v>#REF!</v>
      </c>
      <c r="BT173" s="68" t="str">
        <f>'[1]DATA CONSOLIDADA 2018-2025 '!$BR173-Hoja1!$BO173</f>
        <v>#REF!</v>
      </c>
      <c r="BU173" s="65">
        <v>0.0</v>
      </c>
      <c r="BV173" s="65">
        <v>0.0</v>
      </c>
      <c r="BW173" s="66">
        <v>0.0</v>
      </c>
      <c r="BX173" s="67" t="str">
        <f t="shared" si="46"/>
        <v>#REF!</v>
      </c>
      <c r="BY173" s="68" t="str">
        <f t="shared" si="47"/>
        <v>#REF!</v>
      </c>
      <c r="BZ173" s="65">
        <v>0.0</v>
      </c>
      <c r="CA173" s="65">
        <v>0.0</v>
      </c>
      <c r="CB173" s="66">
        <v>0.0</v>
      </c>
      <c r="CC173" s="67" t="str">
        <f t="shared" si="48"/>
        <v>#REF!</v>
      </c>
      <c r="CD173" s="68" t="str">
        <f>'[1]DATA CONSOLIDADA 2018-2025 '!$CB173-Hoja1!$BW173</f>
        <v>#REF!</v>
      </c>
      <c r="CE173" s="70">
        <v>0.0</v>
      </c>
      <c r="CF173" s="70">
        <v>0.0</v>
      </c>
      <c r="CG173" s="71">
        <v>0.0</v>
      </c>
      <c r="CH173" s="67" t="str">
        <f t="shared" si="49"/>
        <v>#REF!</v>
      </c>
      <c r="CI173" s="68" t="str">
        <f>'[1]DATA CONSOLIDADA 2018-2025 '!$CG173-Hoja1!$CB173</f>
        <v>#REF!</v>
      </c>
      <c r="CJ173" s="64" t="str">
        <f t="shared" si="22"/>
        <v>#REF!</v>
      </c>
      <c r="CK173" s="64">
        <v>0.0</v>
      </c>
      <c r="CL173" s="64">
        <v>0.0</v>
      </c>
      <c r="CM173" s="64">
        <v>0.0</v>
      </c>
      <c r="CN173" s="64" t="str">
        <f t="shared" si="12"/>
        <v>#REF!</v>
      </c>
      <c r="CO173" s="68" t="str">
        <f>'[1]DATA CONSOLIDADA 2018-2025 '!$CM173-Hoja1!$CG173</f>
        <v>#REF!</v>
      </c>
      <c r="CP173" s="70">
        <v>0.0</v>
      </c>
      <c r="CQ173" s="70">
        <v>0.0</v>
      </c>
      <c r="CR173" s="70">
        <v>0.0</v>
      </c>
      <c r="CS173" s="70">
        <v>0.0</v>
      </c>
      <c r="CT173" s="70">
        <v>0.0</v>
      </c>
      <c r="CU173" s="70">
        <v>0.0</v>
      </c>
      <c r="CV173" s="64">
        <v>0.0</v>
      </c>
      <c r="CW173" s="64">
        <v>0.0</v>
      </c>
      <c r="CX173" s="64">
        <v>0.0</v>
      </c>
      <c r="CY173" s="64">
        <v>0.0</v>
      </c>
      <c r="CZ173" s="64">
        <v>0.0</v>
      </c>
      <c r="DA173" s="64">
        <v>0.0</v>
      </c>
      <c r="DB173" s="64">
        <v>0.0</v>
      </c>
      <c r="DC173" s="72">
        <v>0.0</v>
      </c>
      <c r="DD173" s="72">
        <v>0.0</v>
      </c>
      <c r="DE173" s="72">
        <v>0.0</v>
      </c>
      <c r="DF173" s="72">
        <v>0.0</v>
      </c>
      <c r="DG173" s="72">
        <v>0.0</v>
      </c>
      <c r="DH173" s="72">
        <v>0.0</v>
      </c>
      <c r="DI173" s="73">
        <v>2.0486876019E10</v>
      </c>
      <c r="DJ173" s="74" t="s">
        <v>707</v>
      </c>
      <c r="DK173" s="74" t="s">
        <v>132</v>
      </c>
      <c r="DL173" s="75"/>
      <c r="DM173" s="75"/>
      <c r="DN173" s="75"/>
      <c r="DO173" s="75"/>
      <c r="DP173" s="75"/>
      <c r="DQ173" s="75"/>
      <c r="DR173" s="75"/>
      <c r="DS173" s="75"/>
      <c r="DT173" s="75"/>
      <c r="DU173" s="75"/>
      <c r="DV173" s="75"/>
      <c r="DW173" s="75"/>
      <c r="DX173" s="75"/>
      <c r="DY173" s="75"/>
      <c r="DZ173" s="75"/>
      <c r="EA173" s="75"/>
      <c r="EB173" s="75"/>
      <c r="EC173" s="75"/>
      <c r="ED173" s="75"/>
      <c r="EE173" s="75"/>
    </row>
    <row r="174" ht="47.25" hidden="1" customHeight="1">
      <c r="A174" s="55" t="s">
        <v>708</v>
      </c>
      <c r="B174" s="55" t="s">
        <v>530</v>
      </c>
      <c r="C174" s="55" t="s">
        <v>530</v>
      </c>
      <c r="D174" s="55" t="s">
        <v>481</v>
      </c>
      <c r="E174" s="55" t="s">
        <v>709</v>
      </c>
      <c r="F174" s="55" t="s">
        <v>481</v>
      </c>
      <c r="G174" s="55" t="s">
        <v>483</v>
      </c>
      <c r="H174" s="55" t="s">
        <v>483</v>
      </c>
      <c r="I174" s="56">
        <v>1.0</v>
      </c>
      <c r="J174" s="56">
        <v>1.0</v>
      </c>
      <c r="K174" s="56"/>
      <c r="L174" s="56"/>
      <c r="M174" s="56"/>
      <c r="N174" s="56"/>
      <c r="O174" s="56"/>
      <c r="P174" s="56"/>
      <c r="Q174" s="56" t="s">
        <v>131</v>
      </c>
      <c r="R174" s="58" t="str">
        <f t="shared" si="1"/>
        <v>2018-2019</v>
      </c>
      <c r="S174" s="59" t="str">
        <f>SUM(Hoja1!$I174:$P174)</f>
        <v>2</v>
      </c>
      <c r="T174" s="59" t="str">
        <f>IF(OR(Hoja1!$J174=1,Hoja1!$K174=1,Hoja1!$L174=1,Hoja1!$M174=1,Hoja1!$N174=1,Hoja1!$O174=1,Hoja1!$P174=1),"SI","NO")</f>
        <v>SI</v>
      </c>
      <c r="U174" s="59" t="str">
        <f>IF(OR(Hoja1!$K174=1,Hoja1!$L174=1,Hoja1!$M174=1,Hoja1!$N174=1,Hoja1!$O174=1,Hoja1!$P174=1),"SI","NO")</f>
        <v>NO</v>
      </c>
      <c r="V174" s="60">
        <v>1490.0</v>
      </c>
      <c r="W174" s="61">
        <v>0.0</v>
      </c>
      <c r="X174" s="61">
        <v>0.0</v>
      </c>
      <c r="Y174" s="60">
        <v>0.0</v>
      </c>
      <c r="Z174" s="61">
        <v>0.0</v>
      </c>
      <c r="AA174" s="61">
        <v>0.0</v>
      </c>
      <c r="AB174" s="60">
        <v>0.0</v>
      </c>
      <c r="AC174" s="61">
        <v>0.0</v>
      </c>
      <c r="AD174" s="61">
        <v>0.0</v>
      </c>
      <c r="AE174" s="60">
        <v>0.0</v>
      </c>
      <c r="AF174" s="61">
        <v>0.0</v>
      </c>
      <c r="AG174" s="61">
        <v>0.0</v>
      </c>
      <c r="AH174" s="60">
        <v>0.0</v>
      </c>
      <c r="AI174" s="61">
        <v>0.0</v>
      </c>
      <c r="AJ174" s="61">
        <v>0.0</v>
      </c>
      <c r="AK174" s="60">
        <v>0.0</v>
      </c>
      <c r="AL174" s="61">
        <v>0.0</v>
      </c>
      <c r="AM174" s="61">
        <v>0.0</v>
      </c>
      <c r="AN174" s="60">
        <v>0.0</v>
      </c>
      <c r="AO174" s="62">
        <v>0.0</v>
      </c>
      <c r="AP174" s="62">
        <v>0.0</v>
      </c>
      <c r="AQ174" s="60">
        <v>0.0</v>
      </c>
      <c r="AR174" s="60" t="str">
        <f>IF(Hoja1!$AQ174&gt;0,Hoja1!$AQ174,IF(Hoja1!$AN174&gt;0,Hoja1!$AN174,IF(Hoja1!$AK174&gt;0,Hoja1!$AK174,IF(Hoja1!$AH174&gt;0,Hoja1!$AH174,IF(Hoja1!$AE174&gt;0,Hoja1!$AE174,IF(Hoja1!$AB174&gt;0,Hoja1!$AB174,IF(Hoja1!$Y174&gt;0,Hoja1!$Y174,IF(Hoja1!$V174&gt;0,Hoja1!$V174," ---"))))))))</f>
        <v>1,490</v>
      </c>
      <c r="AS174" s="63">
        <v>0.0</v>
      </c>
      <c r="AT174" s="63">
        <v>0.0</v>
      </c>
      <c r="AU174" s="63">
        <v>0.0</v>
      </c>
      <c r="AV174" s="63">
        <v>0.0</v>
      </c>
      <c r="AW174" s="63">
        <v>0.0</v>
      </c>
      <c r="AX174" s="63">
        <v>0.0</v>
      </c>
      <c r="AY174" s="63">
        <v>0.0</v>
      </c>
      <c r="AZ174" s="63">
        <v>0.0</v>
      </c>
      <c r="BA174" s="63">
        <v>0.0</v>
      </c>
      <c r="BB174" s="63">
        <v>0.0</v>
      </c>
      <c r="BC174" s="63">
        <v>0.0</v>
      </c>
      <c r="BD174" s="63">
        <v>0.0</v>
      </c>
      <c r="BE174" s="64">
        <v>0.0</v>
      </c>
      <c r="BF174" s="65">
        <v>0.0</v>
      </c>
      <c r="BG174" s="65">
        <v>0.0</v>
      </c>
      <c r="BH174" s="66">
        <v>0.0</v>
      </c>
      <c r="BI174" s="67" t="str">
        <f t="shared" si="41"/>
        <v>#REF!</v>
      </c>
      <c r="BJ174" s="68" t="str">
        <f t="shared" si="42"/>
        <v>#REF!</v>
      </c>
      <c r="BK174" s="65">
        <v>0.0</v>
      </c>
      <c r="BL174" s="65">
        <v>0.0</v>
      </c>
      <c r="BM174" s="66">
        <v>0.0</v>
      </c>
      <c r="BN174" s="67" t="str">
        <f t="shared" si="43"/>
        <v>#REF!</v>
      </c>
      <c r="BO174" s="68" t="str">
        <f t="shared" si="44"/>
        <v>#REF!</v>
      </c>
      <c r="BP174" s="65">
        <v>0.0</v>
      </c>
      <c r="BQ174" s="65">
        <v>0.0</v>
      </c>
      <c r="BR174" s="66">
        <v>0.0</v>
      </c>
      <c r="BS174" s="67" t="str">
        <f t="shared" si="45"/>
        <v>#REF!</v>
      </c>
      <c r="BT174" s="68" t="str">
        <f>'[1]DATA CONSOLIDADA 2018-2025 '!$BR174-Hoja1!$BO174</f>
        <v>#REF!</v>
      </c>
      <c r="BU174" s="65">
        <v>0.0</v>
      </c>
      <c r="BV174" s="65">
        <v>0.0</v>
      </c>
      <c r="BW174" s="66">
        <v>0.0</v>
      </c>
      <c r="BX174" s="67" t="str">
        <f t="shared" si="46"/>
        <v>#REF!</v>
      </c>
      <c r="BY174" s="68" t="str">
        <f t="shared" si="47"/>
        <v>#REF!</v>
      </c>
      <c r="BZ174" s="65">
        <v>0.0</v>
      </c>
      <c r="CA174" s="65">
        <v>0.0</v>
      </c>
      <c r="CB174" s="66">
        <v>0.0</v>
      </c>
      <c r="CC174" s="67" t="str">
        <f t="shared" si="48"/>
        <v>#REF!</v>
      </c>
      <c r="CD174" s="68" t="str">
        <f>'[1]DATA CONSOLIDADA 2018-2025 '!$CB174-Hoja1!$BW174</f>
        <v>#REF!</v>
      </c>
      <c r="CE174" s="70">
        <v>0.0</v>
      </c>
      <c r="CF174" s="70">
        <v>0.0</v>
      </c>
      <c r="CG174" s="71">
        <v>0.0</v>
      </c>
      <c r="CH174" s="67" t="str">
        <f t="shared" si="49"/>
        <v>#REF!</v>
      </c>
      <c r="CI174" s="68" t="str">
        <f>'[1]DATA CONSOLIDADA 2018-2025 '!$CG174-Hoja1!$CB174</f>
        <v>#REF!</v>
      </c>
      <c r="CJ174" s="64" t="str">
        <f t="shared" si="22"/>
        <v>#REF!</v>
      </c>
      <c r="CK174" s="64">
        <v>0.0</v>
      </c>
      <c r="CL174" s="64">
        <v>0.0</v>
      </c>
      <c r="CM174" s="64">
        <v>0.0</v>
      </c>
      <c r="CN174" s="64" t="str">
        <f t="shared" si="12"/>
        <v>#REF!</v>
      </c>
      <c r="CO174" s="68" t="str">
        <f>'[1]DATA CONSOLIDADA 2018-2025 '!$CM174-Hoja1!$CG174</f>
        <v>#REF!</v>
      </c>
      <c r="CP174" s="70">
        <v>0.0</v>
      </c>
      <c r="CQ174" s="70">
        <v>0.0</v>
      </c>
      <c r="CR174" s="70">
        <v>0.0</v>
      </c>
      <c r="CS174" s="70">
        <v>0.0</v>
      </c>
      <c r="CT174" s="70">
        <v>0.0</v>
      </c>
      <c r="CU174" s="70">
        <v>0.0</v>
      </c>
      <c r="CV174" s="64">
        <v>0.0</v>
      </c>
      <c r="CW174" s="64">
        <v>0.0</v>
      </c>
      <c r="CX174" s="64">
        <v>0.0</v>
      </c>
      <c r="CY174" s="64">
        <v>0.0</v>
      </c>
      <c r="CZ174" s="64">
        <v>0.0</v>
      </c>
      <c r="DA174" s="64">
        <v>0.0</v>
      </c>
      <c r="DB174" s="64">
        <v>0.0</v>
      </c>
      <c r="DC174" s="72">
        <v>0.0</v>
      </c>
      <c r="DD174" s="72">
        <v>0.0</v>
      </c>
      <c r="DE174" s="72">
        <v>0.0</v>
      </c>
      <c r="DF174" s="72">
        <v>0.0</v>
      </c>
      <c r="DG174" s="72">
        <v>0.0</v>
      </c>
      <c r="DH174" s="72">
        <v>0.0</v>
      </c>
      <c r="DI174" s="73">
        <v>2.0568858621E10</v>
      </c>
      <c r="DJ174" s="74" t="s">
        <v>708</v>
      </c>
      <c r="DK174" s="74" t="s">
        <v>138</v>
      </c>
      <c r="DL174" s="75"/>
      <c r="DM174" s="75"/>
      <c r="DN174" s="75"/>
      <c r="DO174" s="75"/>
      <c r="DP174" s="75"/>
      <c r="DQ174" s="75"/>
      <c r="DR174" s="75"/>
      <c r="DS174" s="75"/>
      <c r="DT174" s="75"/>
      <c r="DU174" s="75"/>
      <c r="DV174" s="75"/>
      <c r="DW174" s="75"/>
      <c r="DX174" s="75"/>
      <c r="DY174" s="75"/>
      <c r="DZ174" s="75"/>
      <c r="EA174" s="75"/>
      <c r="EB174" s="75"/>
      <c r="EC174" s="75"/>
      <c r="ED174" s="75"/>
      <c r="EE174" s="75"/>
    </row>
    <row r="175" ht="47.25" hidden="1" customHeight="1">
      <c r="A175" s="55" t="s">
        <v>710</v>
      </c>
      <c r="B175" s="55" t="s">
        <v>711</v>
      </c>
      <c r="C175" s="55" t="s">
        <v>712</v>
      </c>
      <c r="D175" s="55" t="s">
        <v>481</v>
      </c>
      <c r="E175" s="55" t="s">
        <v>713</v>
      </c>
      <c r="F175" s="55" t="s">
        <v>481</v>
      </c>
      <c r="G175" s="55" t="s">
        <v>673</v>
      </c>
      <c r="H175" s="55" t="s">
        <v>714</v>
      </c>
      <c r="I175" s="56">
        <v>1.0</v>
      </c>
      <c r="J175" s="56">
        <v>1.0</v>
      </c>
      <c r="K175" s="56"/>
      <c r="L175" s="56"/>
      <c r="M175" s="56"/>
      <c r="N175" s="56"/>
      <c r="O175" s="56"/>
      <c r="P175" s="56"/>
      <c r="Q175" s="56" t="s">
        <v>131</v>
      </c>
      <c r="R175" s="58" t="str">
        <f t="shared" si="1"/>
        <v>2018-2019</v>
      </c>
      <c r="S175" s="59" t="str">
        <f>SUM(Hoja1!$I175:$P175)</f>
        <v>2</v>
      </c>
      <c r="T175" s="59" t="str">
        <f>IF(OR(Hoja1!$J175=1,Hoja1!$K175=1,Hoja1!$L175=1,Hoja1!$M175=1,Hoja1!$N175=1,Hoja1!$O175=1,Hoja1!$P175=1),"SI","NO")</f>
        <v>SI</v>
      </c>
      <c r="U175" s="59" t="str">
        <f>IF(OR(Hoja1!$K175=1,Hoja1!$L175=1,Hoja1!$M175=1,Hoja1!$N175=1,Hoja1!$O175=1,Hoja1!$P175=1),"SI","NO")</f>
        <v>NO</v>
      </c>
      <c r="V175" s="60">
        <v>86.0</v>
      </c>
      <c r="W175" s="61">
        <v>0.0</v>
      </c>
      <c r="X175" s="61">
        <v>0.0</v>
      </c>
      <c r="Y175" s="60">
        <v>0.0</v>
      </c>
      <c r="Z175" s="61">
        <v>0.0</v>
      </c>
      <c r="AA175" s="61">
        <v>0.0</v>
      </c>
      <c r="AB175" s="60">
        <v>0.0</v>
      </c>
      <c r="AC175" s="61">
        <v>0.0</v>
      </c>
      <c r="AD175" s="61">
        <v>0.0</v>
      </c>
      <c r="AE175" s="60">
        <v>0.0</v>
      </c>
      <c r="AF175" s="61">
        <v>0.0</v>
      </c>
      <c r="AG175" s="61">
        <v>0.0</v>
      </c>
      <c r="AH175" s="60">
        <v>0.0</v>
      </c>
      <c r="AI175" s="61">
        <v>0.0</v>
      </c>
      <c r="AJ175" s="61">
        <v>0.0</v>
      </c>
      <c r="AK175" s="60">
        <v>0.0</v>
      </c>
      <c r="AL175" s="61">
        <v>0.0</v>
      </c>
      <c r="AM175" s="61">
        <v>0.0</v>
      </c>
      <c r="AN175" s="60">
        <v>0.0</v>
      </c>
      <c r="AO175" s="62">
        <v>0.0</v>
      </c>
      <c r="AP175" s="62">
        <v>0.0</v>
      </c>
      <c r="AQ175" s="60">
        <v>0.0</v>
      </c>
      <c r="AR175" s="60" t="str">
        <f>IF(Hoja1!$AQ175&gt;0,Hoja1!$AQ175,IF(Hoja1!$AN175&gt;0,Hoja1!$AN175,IF(Hoja1!$AK175&gt;0,Hoja1!$AK175,IF(Hoja1!$AH175&gt;0,Hoja1!$AH175,IF(Hoja1!$AE175&gt;0,Hoja1!$AE175,IF(Hoja1!$AB175&gt;0,Hoja1!$AB175,IF(Hoja1!$Y175&gt;0,Hoja1!$Y175,IF(Hoja1!$V175&gt;0,Hoja1!$V175," ---"))))))))</f>
        <v>86</v>
      </c>
      <c r="AS175" s="63">
        <v>0.0</v>
      </c>
      <c r="AT175" s="63">
        <v>0.0</v>
      </c>
      <c r="AU175" s="63">
        <v>0.0</v>
      </c>
      <c r="AV175" s="63">
        <v>0.0</v>
      </c>
      <c r="AW175" s="63">
        <v>0.0</v>
      </c>
      <c r="AX175" s="63">
        <v>0.0</v>
      </c>
      <c r="AY175" s="63">
        <v>0.0</v>
      </c>
      <c r="AZ175" s="63">
        <v>0.0</v>
      </c>
      <c r="BA175" s="63">
        <v>0.0</v>
      </c>
      <c r="BB175" s="63">
        <v>0.0</v>
      </c>
      <c r="BC175" s="63">
        <v>0.0</v>
      </c>
      <c r="BD175" s="63">
        <v>0.0</v>
      </c>
      <c r="BE175" s="64">
        <v>0.0</v>
      </c>
      <c r="BF175" s="65">
        <v>0.0</v>
      </c>
      <c r="BG175" s="65">
        <v>0.0</v>
      </c>
      <c r="BH175" s="66">
        <v>0.0</v>
      </c>
      <c r="BI175" s="67" t="str">
        <f t="shared" si="41"/>
        <v>#REF!</v>
      </c>
      <c r="BJ175" s="68" t="str">
        <f t="shared" si="42"/>
        <v>#REF!</v>
      </c>
      <c r="BK175" s="65">
        <v>0.0</v>
      </c>
      <c r="BL175" s="65">
        <v>0.0</v>
      </c>
      <c r="BM175" s="66">
        <v>0.0</v>
      </c>
      <c r="BN175" s="67" t="str">
        <f t="shared" si="43"/>
        <v>#REF!</v>
      </c>
      <c r="BO175" s="68" t="str">
        <f t="shared" si="44"/>
        <v>#REF!</v>
      </c>
      <c r="BP175" s="65">
        <v>0.0</v>
      </c>
      <c r="BQ175" s="65">
        <v>0.0</v>
      </c>
      <c r="BR175" s="66">
        <v>0.0</v>
      </c>
      <c r="BS175" s="67" t="str">
        <f t="shared" si="45"/>
        <v>#REF!</v>
      </c>
      <c r="BT175" s="68" t="str">
        <f>'[1]DATA CONSOLIDADA 2018-2025 '!$BR175-Hoja1!$BO175</f>
        <v>#REF!</v>
      </c>
      <c r="BU175" s="65">
        <v>0.0</v>
      </c>
      <c r="BV175" s="65">
        <v>0.0</v>
      </c>
      <c r="BW175" s="66">
        <v>0.0</v>
      </c>
      <c r="BX175" s="67" t="str">
        <f t="shared" si="46"/>
        <v>#REF!</v>
      </c>
      <c r="BY175" s="68" t="str">
        <f t="shared" si="47"/>
        <v>#REF!</v>
      </c>
      <c r="BZ175" s="65">
        <v>0.0</v>
      </c>
      <c r="CA175" s="65">
        <v>0.0</v>
      </c>
      <c r="CB175" s="66">
        <v>0.0</v>
      </c>
      <c r="CC175" s="67" t="str">
        <f t="shared" si="48"/>
        <v>#REF!</v>
      </c>
      <c r="CD175" s="68" t="str">
        <f>'[1]DATA CONSOLIDADA 2018-2025 '!$CB175-Hoja1!$BW175</f>
        <v>#REF!</v>
      </c>
      <c r="CE175" s="70">
        <v>0.0</v>
      </c>
      <c r="CF175" s="70">
        <v>0.0</v>
      </c>
      <c r="CG175" s="71">
        <v>0.0</v>
      </c>
      <c r="CH175" s="67" t="str">
        <f t="shared" si="49"/>
        <v>#REF!</v>
      </c>
      <c r="CI175" s="68" t="str">
        <f>'[1]DATA CONSOLIDADA 2018-2025 '!$CG175-Hoja1!$CB175</f>
        <v>#REF!</v>
      </c>
      <c r="CJ175" s="64" t="str">
        <f t="shared" si="22"/>
        <v>#REF!</v>
      </c>
      <c r="CK175" s="64">
        <v>0.0</v>
      </c>
      <c r="CL175" s="64">
        <v>0.0</v>
      </c>
      <c r="CM175" s="64">
        <v>0.0</v>
      </c>
      <c r="CN175" s="64" t="str">
        <f t="shared" si="12"/>
        <v>#REF!</v>
      </c>
      <c r="CO175" s="68" t="str">
        <f>'[1]DATA CONSOLIDADA 2018-2025 '!$CM175-Hoja1!$CG175</f>
        <v>#REF!</v>
      </c>
      <c r="CP175" s="70">
        <v>0.0</v>
      </c>
      <c r="CQ175" s="70">
        <v>0.0</v>
      </c>
      <c r="CR175" s="70">
        <v>0.0</v>
      </c>
      <c r="CS175" s="70">
        <v>0.0</v>
      </c>
      <c r="CT175" s="70">
        <v>0.0</v>
      </c>
      <c r="CU175" s="70">
        <v>0.0</v>
      </c>
      <c r="CV175" s="64">
        <v>0.0</v>
      </c>
      <c r="CW175" s="64">
        <v>0.0</v>
      </c>
      <c r="CX175" s="64">
        <v>0.0</v>
      </c>
      <c r="CY175" s="64">
        <v>0.0</v>
      </c>
      <c r="CZ175" s="64">
        <v>0.0</v>
      </c>
      <c r="DA175" s="64">
        <v>0.0</v>
      </c>
      <c r="DB175" s="64">
        <v>0.0</v>
      </c>
      <c r="DC175" s="72">
        <v>0.0</v>
      </c>
      <c r="DD175" s="72">
        <v>0.0</v>
      </c>
      <c r="DE175" s="72">
        <v>0.0</v>
      </c>
      <c r="DF175" s="72">
        <v>0.0</v>
      </c>
      <c r="DG175" s="72">
        <v>0.0</v>
      </c>
      <c r="DH175" s="72">
        <v>0.0</v>
      </c>
      <c r="DI175" s="73">
        <v>2.0600796055E10</v>
      </c>
      <c r="DJ175" s="74" t="s">
        <v>715</v>
      </c>
      <c r="DK175" s="74" t="s">
        <v>138</v>
      </c>
      <c r="DL175" s="75"/>
      <c r="DM175" s="75"/>
      <c r="DN175" s="75"/>
      <c r="DO175" s="75"/>
      <c r="DP175" s="75"/>
      <c r="DQ175" s="75"/>
      <c r="DR175" s="75"/>
      <c r="DS175" s="75"/>
      <c r="DT175" s="75"/>
      <c r="DU175" s="75"/>
      <c r="DV175" s="75"/>
      <c r="DW175" s="75"/>
      <c r="DX175" s="75"/>
      <c r="DY175" s="75"/>
      <c r="DZ175" s="75"/>
      <c r="EA175" s="75"/>
      <c r="EB175" s="75"/>
      <c r="EC175" s="75"/>
      <c r="ED175" s="75"/>
      <c r="EE175" s="75"/>
    </row>
    <row r="176" ht="47.25" hidden="1" customHeight="1">
      <c r="A176" s="55" t="s">
        <v>716</v>
      </c>
      <c r="B176" s="55" t="s">
        <v>126</v>
      </c>
      <c r="C176" s="55" t="s">
        <v>126</v>
      </c>
      <c r="D176" s="55" t="s">
        <v>481</v>
      </c>
      <c r="E176" s="55" t="s">
        <v>672</v>
      </c>
      <c r="F176" s="55" t="s">
        <v>481</v>
      </c>
      <c r="G176" s="55" t="s">
        <v>673</v>
      </c>
      <c r="H176" s="55" t="s">
        <v>674</v>
      </c>
      <c r="I176" s="56"/>
      <c r="J176" s="56">
        <v>1.0</v>
      </c>
      <c r="K176" s="56">
        <v>1.0</v>
      </c>
      <c r="L176" s="56"/>
      <c r="M176" s="56"/>
      <c r="N176" s="56"/>
      <c r="O176" s="56"/>
      <c r="P176" s="56"/>
      <c r="Q176" s="56" t="s">
        <v>131</v>
      </c>
      <c r="R176" s="58" t="str">
        <f t="shared" si="1"/>
        <v>2019-2020</v>
      </c>
      <c r="S176" s="59" t="str">
        <f>SUM(Hoja1!$I176:$P176)</f>
        <v>2</v>
      </c>
      <c r="T176" s="59" t="str">
        <f>IF(OR(Hoja1!$J176=1,Hoja1!$K176=1,Hoja1!$L176=1,Hoja1!$M176=1,Hoja1!$N176=1,Hoja1!$O176=1,Hoja1!$P176=1),"SI","NO")</f>
        <v>SI</v>
      </c>
      <c r="U176" s="59" t="str">
        <f>IF(OR(Hoja1!$K176=1,Hoja1!$L176=1,Hoja1!$M176=1,Hoja1!$N176=1,Hoja1!$O176=1,Hoja1!$P176=1),"SI","NO")</f>
        <v>SI</v>
      </c>
      <c r="V176" s="60">
        <v>0.0</v>
      </c>
      <c r="W176" s="61">
        <v>77.0</v>
      </c>
      <c r="X176" s="61">
        <v>34.0</v>
      </c>
      <c r="Y176" s="60">
        <v>111.0</v>
      </c>
      <c r="Z176" s="61">
        <v>77.0</v>
      </c>
      <c r="AA176" s="61">
        <v>34.0</v>
      </c>
      <c r="AB176" s="60">
        <v>111.0</v>
      </c>
      <c r="AC176" s="61">
        <v>0.0</v>
      </c>
      <c r="AD176" s="61">
        <v>0.0</v>
      </c>
      <c r="AE176" s="60">
        <v>0.0</v>
      </c>
      <c r="AF176" s="61">
        <v>0.0</v>
      </c>
      <c r="AG176" s="61">
        <v>0.0</v>
      </c>
      <c r="AH176" s="60">
        <v>0.0</v>
      </c>
      <c r="AI176" s="61">
        <v>0.0</v>
      </c>
      <c r="AJ176" s="61">
        <v>0.0</v>
      </c>
      <c r="AK176" s="60">
        <v>0.0</v>
      </c>
      <c r="AL176" s="61">
        <v>0.0</v>
      </c>
      <c r="AM176" s="61">
        <v>0.0</v>
      </c>
      <c r="AN176" s="60">
        <v>0.0</v>
      </c>
      <c r="AO176" s="62">
        <v>0.0</v>
      </c>
      <c r="AP176" s="62">
        <v>0.0</v>
      </c>
      <c r="AQ176" s="60">
        <v>0.0</v>
      </c>
      <c r="AR176" s="60" t="str">
        <f>IF(Hoja1!$AQ176&gt;0,Hoja1!$AQ176,IF(Hoja1!$AN176&gt;0,Hoja1!$AN176,IF(Hoja1!$AK176&gt;0,Hoja1!$AK176,IF(Hoja1!$AH176&gt;0,Hoja1!$AH176,IF(Hoja1!$AE176&gt;0,Hoja1!$AE176,IF(Hoja1!$AB176&gt;0,Hoja1!$AB176,IF(Hoja1!$Y176&gt;0,Hoja1!$Y176,IF(Hoja1!$V176&gt;0,Hoja1!$V176," ---"))))))))</f>
        <v>111</v>
      </c>
      <c r="AS176" s="63">
        <v>4.0</v>
      </c>
      <c r="AT176" s="63">
        <v>6.0</v>
      </c>
      <c r="AU176" s="63">
        <v>0.0</v>
      </c>
      <c r="AV176" s="63">
        <v>0.0</v>
      </c>
      <c r="AW176" s="63">
        <v>0.0</v>
      </c>
      <c r="AX176" s="63">
        <v>0.0</v>
      </c>
      <c r="AY176" s="63">
        <v>0.0</v>
      </c>
      <c r="AZ176" s="63">
        <v>0.0</v>
      </c>
      <c r="BA176" s="63">
        <v>0.0</v>
      </c>
      <c r="BB176" s="63">
        <v>0.0</v>
      </c>
      <c r="BC176" s="63">
        <v>0.0</v>
      </c>
      <c r="BD176" s="63">
        <v>0.0</v>
      </c>
      <c r="BE176" s="66">
        <v>0.0</v>
      </c>
      <c r="BF176" s="65">
        <v>2384211.58</v>
      </c>
      <c r="BG176" s="65">
        <v>0.0</v>
      </c>
      <c r="BH176" s="66">
        <v>2384211.58</v>
      </c>
      <c r="BI176" s="67" t="str">
        <f t="shared" si="41"/>
        <v>#REF!</v>
      </c>
      <c r="BJ176" s="68" t="str">
        <f t="shared" si="42"/>
        <v>#REF!</v>
      </c>
      <c r="BK176" s="65">
        <v>0.0</v>
      </c>
      <c r="BL176" s="65">
        <v>1447396.71</v>
      </c>
      <c r="BM176" s="66">
        <v>1447396.71</v>
      </c>
      <c r="BN176" s="67" t="str">
        <f t="shared" si="43"/>
        <v>#REF!</v>
      </c>
      <c r="BO176" s="68" t="str">
        <f t="shared" si="44"/>
        <v>#REF!</v>
      </c>
      <c r="BP176" s="65">
        <v>0.0</v>
      </c>
      <c r="BQ176" s="65">
        <v>0.0</v>
      </c>
      <c r="BR176" s="66">
        <v>0.0</v>
      </c>
      <c r="BS176" s="67" t="str">
        <f t="shared" si="45"/>
        <v>#REF!</v>
      </c>
      <c r="BT176" s="68" t="str">
        <f>'[1]DATA CONSOLIDADA 2018-2025 '!$BR176-Hoja1!$BO176</f>
        <v>#REF!</v>
      </c>
      <c r="BU176" s="65">
        <v>0.0</v>
      </c>
      <c r="BV176" s="65">
        <v>0.0</v>
      </c>
      <c r="BW176" s="66">
        <v>0.0</v>
      </c>
      <c r="BX176" s="67" t="str">
        <f t="shared" si="46"/>
        <v>#REF!</v>
      </c>
      <c r="BY176" s="68" t="str">
        <f t="shared" si="47"/>
        <v>#REF!</v>
      </c>
      <c r="BZ176" s="65">
        <v>0.0</v>
      </c>
      <c r="CA176" s="65">
        <v>0.0</v>
      </c>
      <c r="CB176" s="66">
        <v>0.0</v>
      </c>
      <c r="CC176" s="67" t="str">
        <f t="shared" si="48"/>
        <v>#REF!</v>
      </c>
      <c r="CD176" s="68" t="str">
        <f>'[1]DATA CONSOLIDADA 2018-2025 '!$CB176-Hoja1!$BW176</f>
        <v>#REF!</v>
      </c>
      <c r="CE176" s="70">
        <v>0.0</v>
      </c>
      <c r="CF176" s="70">
        <v>0.0</v>
      </c>
      <c r="CG176" s="71">
        <v>0.0</v>
      </c>
      <c r="CH176" s="67" t="str">
        <f t="shared" si="49"/>
        <v>#REF!</v>
      </c>
      <c r="CI176" s="68" t="str">
        <f>'[1]DATA CONSOLIDADA 2018-2025 '!$CG176-Hoja1!$CB176</f>
        <v>#REF!</v>
      </c>
      <c r="CJ176" s="64" t="str">
        <f t="shared" si="22"/>
        <v>#REF!</v>
      </c>
      <c r="CK176" s="64">
        <v>0.0</v>
      </c>
      <c r="CL176" s="64">
        <v>0.0</v>
      </c>
      <c r="CM176" s="64">
        <v>0.0</v>
      </c>
      <c r="CN176" s="64" t="str">
        <f t="shared" si="12"/>
        <v>#REF!</v>
      </c>
      <c r="CO176" s="68" t="str">
        <f>'[1]DATA CONSOLIDADA 2018-2025 '!$CM176-Hoja1!$CG176</f>
        <v>#REF!</v>
      </c>
      <c r="CP176" s="70">
        <v>0.0</v>
      </c>
      <c r="CQ176" s="70">
        <v>0.0</v>
      </c>
      <c r="CR176" s="70">
        <v>0.0</v>
      </c>
      <c r="CS176" s="70">
        <v>0.0</v>
      </c>
      <c r="CT176" s="70">
        <v>0.0</v>
      </c>
      <c r="CU176" s="70">
        <v>0.0</v>
      </c>
      <c r="CV176" s="64">
        <v>0.0</v>
      </c>
      <c r="CW176" s="64">
        <v>0.0</v>
      </c>
      <c r="CX176" s="64">
        <v>0.0</v>
      </c>
      <c r="CY176" s="64">
        <v>0.0</v>
      </c>
      <c r="CZ176" s="64">
        <v>0.0</v>
      </c>
      <c r="DA176" s="64">
        <v>0.0</v>
      </c>
      <c r="DB176" s="64">
        <v>0.0</v>
      </c>
      <c r="DC176" s="72">
        <v>0.0</v>
      </c>
      <c r="DD176" s="72">
        <v>0.0</v>
      </c>
      <c r="DE176" s="72">
        <v>0.0</v>
      </c>
      <c r="DF176" s="72">
        <v>0.0</v>
      </c>
      <c r="DG176" s="72">
        <v>0.0</v>
      </c>
      <c r="DH176" s="72">
        <v>0.0</v>
      </c>
      <c r="DI176" s="73">
        <v>2.0601537771E10</v>
      </c>
      <c r="DJ176" s="74" t="s">
        <v>716</v>
      </c>
      <c r="DK176" s="74" t="s">
        <v>138</v>
      </c>
      <c r="DL176" s="75"/>
      <c r="DM176" s="75"/>
      <c r="DN176" s="75"/>
      <c r="DO176" s="75"/>
      <c r="DP176" s="75"/>
      <c r="DQ176" s="75"/>
      <c r="DR176" s="75"/>
      <c r="DS176" s="75"/>
      <c r="DT176" s="75"/>
      <c r="DU176" s="75"/>
      <c r="DV176" s="75"/>
      <c r="DW176" s="75"/>
      <c r="DX176" s="75"/>
      <c r="DY176" s="75"/>
      <c r="DZ176" s="75"/>
      <c r="EA176" s="75"/>
      <c r="EB176" s="75"/>
      <c r="EC176" s="75"/>
      <c r="ED176" s="75"/>
      <c r="EE176" s="75"/>
    </row>
    <row r="177" ht="47.25" hidden="1" customHeight="1">
      <c r="A177" s="55" t="s">
        <v>717</v>
      </c>
      <c r="B177" s="55" t="s">
        <v>126</v>
      </c>
      <c r="C177" s="55" t="s">
        <v>126</v>
      </c>
      <c r="D177" s="55" t="s">
        <v>481</v>
      </c>
      <c r="E177" s="55" t="s">
        <v>709</v>
      </c>
      <c r="F177" s="55" t="s">
        <v>481</v>
      </c>
      <c r="G177" s="55" t="s">
        <v>483</v>
      </c>
      <c r="H177" s="55" t="s">
        <v>483</v>
      </c>
      <c r="I177" s="56"/>
      <c r="J177" s="56">
        <v>1.0</v>
      </c>
      <c r="K177" s="56">
        <v>1.0</v>
      </c>
      <c r="L177" s="56"/>
      <c r="M177" s="56"/>
      <c r="N177" s="56"/>
      <c r="O177" s="56"/>
      <c r="P177" s="56"/>
      <c r="Q177" s="56" t="s">
        <v>131</v>
      </c>
      <c r="R177" s="58" t="str">
        <f t="shared" si="1"/>
        <v>2019-2020</v>
      </c>
      <c r="S177" s="59" t="str">
        <f>SUM(Hoja1!$I177:$P177)</f>
        <v>2</v>
      </c>
      <c r="T177" s="59" t="str">
        <f>IF(OR(Hoja1!$J177=1,Hoja1!$K177=1,Hoja1!$L177=1,Hoja1!$M177=1,Hoja1!$N177=1,Hoja1!$O177=1,Hoja1!$P177=1),"SI","NO")</f>
        <v>SI</v>
      </c>
      <c r="U177" s="59" t="str">
        <f>IF(OR(Hoja1!$K177=1,Hoja1!$L177=1,Hoja1!$M177=1,Hoja1!$N177=1,Hoja1!$O177=1,Hoja1!$P177=1),"SI","NO")</f>
        <v>SI</v>
      </c>
      <c r="V177" s="60">
        <v>0.0</v>
      </c>
      <c r="W177" s="61">
        <v>41.0</v>
      </c>
      <c r="X177" s="61">
        <v>18.0</v>
      </c>
      <c r="Y177" s="60">
        <v>59.0</v>
      </c>
      <c r="Z177" s="61">
        <v>41.0</v>
      </c>
      <c r="AA177" s="61">
        <v>18.0</v>
      </c>
      <c r="AB177" s="60">
        <v>59.0</v>
      </c>
      <c r="AC177" s="61">
        <v>0.0</v>
      </c>
      <c r="AD177" s="61">
        <v>0.0</v>
      </c>
      <c r="AE177" s="60">
        <v>0.0</v>
      </c>
      <c r="AF177" s="61">
        <v>0.0</v>
      </c>
      <c r="AG177" s="61">
        <v>0.0</v>
      </c>
      <c r="AH177" s="60">
        <v>0.0</v>
      </c>
      <c r="AI177" s="61">
        <v>0.0</v>
      </c>
      <c r="AJ177" s="61">
        <v>0.0</v>
      </c>
      <c r="AK177" s="60">
        <v>0.0</v>
      </c>
      <c r="AL177" s="61">
        <v>0.0</v>
      </c>
      <c r="AM177" s="61">
        <v>0.0</v>
      </c>
      <c r="AN177" s="60">
        <v>0.0</v>
      </c>
      <c r="AO177" s="62">
        <v>0.0</v>
      </c>
      <c r="AP177" s="62">
        <v>0.0</v>
      </c>
      <c r="AQ177" s="60">
        <v>0.0</v>
      </c>
      <c r="AR177" s="60" t="str">
        <f>IF(Hoja1!$AQ177&gt;0,Hoja1!$AQ177,IF(Hoja1!$AN177&gt;0,Hoja1!$AN177,IF(Hoja1!$AK177&gt;0,Hoja1!$AK177,IF(Hoja1!$AH177&gt;0,Hoja1!$AH177,IF(Hoja1!$AE177&gt;0,Hoja1!$AE177,IF(Hoja1!$AB177&gt;0,Hoja1!$AB177,IF(Hoja1!$Y177&gt;0,Hoja1!$Y177,IF(Hoja1!$V177&gt;0,Hoja1!$V177," ---"))))))))</f>
        <v>59</v>
      </c>
      <c r="AS177" s="63">
        <v>5.0</v>
      </c>
      <c r="AT177" s="63">
        <v>4.0</v>
      </c>
      <c r="AU177" s="63">
        <v>0.0</v>
      </c>
      <c r="AV177" s="63">
        <v>0.0</v>
      </c>
      <c r="AW177" s="63">
        <v>0.0</v>
      </c>
      <c r="AX177" s="63">
        <v>0.0</v>
      </c>
      <c r="AY177" s="63">
        <v>0.0</v>
      </c>
      <c r="AZ177" s="63">
        <v>0.0</v>
      </c>
      <c r="BA177" s="63">
        <v>0.0</v>
      </c>
      <c r="BB177" s="63">
        <v>0.0</v>
      </c>
      <c r="BC177" s="63">
        <v>0.0</v>
      </c>
      <c r="BD177" s="63">
        <v>0.0</v>
      </c>
      <c r="BE177" s="66">
        <v>0.0</v>
      </c>
      <c r="BF177" s="65">
        <v>0.0</v>
      </c>
      <c r="BG177" s="65">
        <v>0.0</v>
      </c>
      <c r="BH177" s="66">
        <v>0.0</v>
      </c>
      <c r="BI177" s="67" t="str">
        <f t="shared" si="41"/>
        <v>#REF!</v>
      </c>
      <c r="BJ177" s="68" t="str">
        <f t="shared" si="42"/>
        <v>#REF!</v>
      </c>
      <c r="BK177" s="65">
        <v>2436.91</v>
      </c>
      <c r="BL177" s="65">
        <v>307009.89</v>
      </c>
      <c r="BM177" s="66">
        <v>309446.8</v>
      </c>
      <c r="BN177" s="67" t="str">
        <f t="shared" si="43"/>
        <v>#REF!</v>
      </c>
      <c r="BO177" s="68" t="str">
        <f t="shared" si="44"/>
        <v>#REF!</v>
      </c>
      <c r="BP177" s="65">
        <v>0.0</v>
      </c>
      <c r="BQ177" s="65">
        <v>0.0</v>
      </c>
      <c r="BR177" s="66">
        <v>0.0</v>
      </c>
      <c r="BS177" s="67" t="str">
        <f t="shared" si="45"/>
        <v>#REF!</v>
      </c>
      <c r="BT177" s="68" t="str">
        <f>'[1]DATA CONSOLIDADA 2018-2025 '!$BR177-Hoja1!$BO177</f>
        <v>#REF!</v>
      </c>
      <c r="BU177" s="65">
        <v>0.0</v>
      </c>
      <c r="BV177" s="65">
        <v>0.0</v>
      </c>
      <c r="BW177" s="66">
        <v>0.0</v>
      </c>
      <c r="BX177" s="67" t="str">
        <f t="shared" si="46"/>
        <v>#REF!</v>
      </c>
      <c r="BY177" s="68" t="str">
        <f t="shared" si="47"/>
        <v>#REF!</v>
      </c>
      <c r="BZ177" s="65">
        <v>0.0</v>
      </c>
      <c r="CA177" s="65">
        <v>0.0</v>
      </c>
      <c r="CB177" s="66">
        <v>0.0</v>
      </c>
      <c r="CC177" s="67" t="str">
        <f t="shared" si="48"/>
        <v>#REF!</v>
      </c>
      <c r="CD177" s="68" t="str">
        <f>'[1]DATA CONSOLIDADA 2018-2025 '!$CB177-Hoja1!$BW177</f>
        <v>#REF!</v>
      </c>
      <c r="CE177" s="70">
        <v>0.0</v>
      </c>
      <c r="CF177" s="70">
        <v>0.0</v>
      </c>
      <c r="CG177" s="71">
        <v>0.0</v>
      </c>
      <c r="CH177" s="67" t="str">
        <f t="shared" si="49"/>
        <v>#REF!</v>
      </c>
      <c r="CI177" s="68" t="str">
        <f>'[1]DATA CONSOLIDADA 2018-2025 '!$CG177-Hoja1!$CB177</f>
        <v>#REF!</v>
      </c>
      <c r="CJ177" s="64" t="str">
        <f t="shared" si="22"/>
        <v>#REF!</v>
      </c>
      <c r="CK177" s="64">
        <v>0.0</v>
      </c>
      <c r="CL177" s="64">
        <v>0.0</v>
      </c>
      <c r="CM177" s="64">
        <v>0.0</v>
      </c>
      <c r="CN177" s="64" t="str">
        <f t="shared" si="12"/>
        <v>#REF!</v>
      </c>
      <c r="CO177" s="68" t="str">
        <f>'[1]DATA CONSOLIDADA 2018-2025 '!$CM177-Hoja1!$CG177</f>
        <v>#REF!</v>
      </c>
      <c r="CP177" s="70">
        <v>0.0</v>
      </c>
      <c r="CQ177" s="70">
        <v>0.0</v>
      </c>
      <c r="CR177" s="70">
        <v>0.0</v>
      </c>
      <c r="CS177" s="70">
        <v>0.0</v>
      </c>
      <c r="CT177" s="70">
        <v>0.0</v>
      </c>
      <c r="CU177" s="70">
        <v>0.0</v>
      </c>
      <c r="CV177" s="64">
        <v>0.0</v>
      </c>
      <c r="CW177" s="64">
        <v>0.0</v>
      </c>
      <c r="CX177" s="64">
        <v>0.0</v>
      </c>
      <c r="CY177" s="64">
        <v>0.0</v>
      </c>
      <c r="CZ177" s="64">
        <v>0.0</v>
      </c>
      <c r="DA177" s="64">
        <v>0.0</v>
      </c>
      <c r="DB177" s="64">
        <v>0.0</v>
      </c>
      <c r="DC177" s="72">
        <v>0.0</v>
      </c>
      <c r="DD177" s="72">
        <v>0.0</v>
      </c>
      <c r="DE177" s="72">
        <v>0.0</v>
      </c>
      <c r="DF177" s="72">
        <v>0.0</v>
      </c>
      <c r="DG177" s="72">
        <v>0.0</v>
      </c>
      <c r="DH177" s="72">
        <v>0.0</v>
      </c>
      <c r="DI177" s="73">
        <v>2.0603557825E10</v>
      </c>
      <c r="DJ177" s="74" t="s">
        <v>718</v>
      </c>
      <c r="DK177" s="74" t="s">
        <v>132</v>
      </c>
      <c r="DL177" s="75"/>
      <c r="DM177" s="75"/>
      <c r="DN177" s="75"/>
      <c r="DO177" s="75"/>
      <c r="DP177" s="75"/>
      <c r="DQ177" s="75"/>
      <c r="DR177" s="75"/>
      <c r="DS177" s="75"/>
      <c r="DT177" s="75"/>
      <c r="DU177" s="75"/>
      <c r="DV177" s="75"/>
      <c r="DW177" s="75"/>
      <c r="DX177" s="75"/>
      <c r="DY177" s="75"/>
      <c r="DZ177" s="75"/>
      <c r="EA177" s="75"/>
      <c r="EB177" s="75"/>
      <c r="EC177" s="75"/>
      <c r="ED177" s="75"/>
      <c r="EE177" s="75"/>
    </row>
    <row r="178" ht="47.25" hidden="1" customHeight="1">
      <c r="A178" s="55" t="s">
        <v>719</v>
      </c>
      <c r="B178" s="55" t="s">
        <v>126</v>
      </c>
      <c r="C178" s="55" t="s">
        <v>126</v>
      </c>
      <c r="D178" s="55" t="s">
        <v>481</v>
      </c>
      <c r="E178" s="55" t="s">
        <v>720</v>
      </c>
      <c r="F178" s="55" t="s">
        <v>481</v>
      </c>
      <c r="G178" s="55" t="s">
        <v>673</v>
      </c>
      <c r="H178" s="55" t="s">
        <v>721</v>
      </c>
      <c r="I178" s="56"/>
      <c r="J178" s="56">
        <v>1.0</v>
      </c>
      <c r="K178" s="56">
        <v>1.0</v>
      </c>
      <c r="L178" s="56"/>
      <c r="M178" s="56"/>
      <c r="N178" s="56"/>
      <c r="O178" s="56"/>
      <c r="P178" s="56"/>
      <c r="Q178" s="56" t="s">
        <v>131</v>
      </c>
      <c r="R178" s="58" t="str">
        <f t="shared" si="1"/>
        <v>2019-2020</v>
      </c>
      <c r="S178" s="59" t="str">
        <f>SUM(Hoja1!$I178:$P178)</f>
        <v>2</v>
      </c>
      <c r="T178" s="59" t="str">
        <f>IF(OR(Hoja1!$J178=1,Hoja1!$K178=1,Hoja1!$L178=1,Hoja1!$M178=1,Hoja1!$N178=1,Hoja1!$O178=1,Hoja1!$P178=1),"SI","NO")</f>
        <v>SI</v>
      </c>
      <c r="U178" s="59" t="str">
        <f>IF(OR(Hoja1!$K178=1,Hoja1!$L178=1,Hoja1!$M178=1,Hoja1!$N178=1,Hoja1!$O178=1,Hoja1!$P178=1),"SI","NO")</f>
        <v>SI</v>
      </c>
      <c r="V178" s="60">
        <v>0.0</v>
      </c>
      <c r="W178" s="61">
        <v>71.0</v>
      </c>
      <c r="X178" s="61">
        <v>24.0</v>
      </c>
      <c r="Y178" s="60">
        <v>95.0</v>
      </c>
      <c r="Z178" s="61">
        <v>71.0</v>
      </c>
      <c r="AA178" s="61">
        <v>24.0</v>
      </c>
      <c r="AB178" s="60">
        <v>95.0</v>
      </c>
      <c r="AC178" s="61">
        <v>0.0</v>
      </c>
      <c r="AD178" s="61">
        <v>0.0</v>
      </c>
      <c r="AE178" s="60">
        <v>0.0</v>
      </c>
      <c r="AF178" s="61">
        <v>0.0</v>
      </c>
      <c r="AG178" s="61">
        <v>0.0</v>
      </c>
      <c r="AH178" s="60">
        <v>0.0</v>
      </c>
      <c r="AI178" s="61">
        <v>0.0</v>
      </c>
      <c r="AJ178" s="61">
        <v>0.0</v>
      </c>
      <c r="AK178" s="60">
        <v>0.0</v>
      </c>
      <c r="AL178" s="61">
        <v>0.0</v>
      </c>
      <c r="AM178" s="61">
        <v>0.0</v>
      </c>
      <c r="AN178" s="60">
        <v>0.0</v>
      </c>
      <c r="AO178" s="62">
        <v>0.0</v>
      </c>
      <c r="AP178" s="62">
        <v>0.0</v>
      </c>
      <c r="AQ178" s="60">
        <v>0.0</v>
      </c>
      <c r="AR178" s="60" t="str">
        <f>IF(Hoja1!$AQ178&gt;0,Hoja1!$AQ178,IF(Hoja1!$AN178&gt;0,Hoja1!$AN178,IF(Hoja1!$AK178&gt;0,Hoja1!$AK178,IF(Hoja1!$AH178&gt;0,Hoja1!$AH178,IF(Hoja1!$AE178&gt;0,Hoja1!$AE178,IF(Hoja1!$AB178&gt;0,Hoja1!$AB178,IF(Hoja1!$Y178&gt;0,Hoja1!$Y178,IF(Hoja1!$V178&gt;0,Hoja1!$V178," ---"))))))))</f>
        <v>95</v>
      </c>
      <c r="AS178" s="63">
        <v>4.0</v>
      </c>
      <c r="AT178" s="63">
        <v>4.0</v>
      </c>
      <c r="AU178" s="63">
        <v>0.0</v>
      </c>
      <c r="AV178" s="63">
        <v>0.0</v>
      </c>
      <c r="AW178" s="63">
        <v>0.0</v>
      </c>
      <c r="AX178" s="63">
        <v>0.0</v>
      </c>
      <c r="AY178" s="63">
        <v>0.0</v>
      </c>
      <c r="AZ178" s="63">
        <v>0.0</v>
      </c>
      <c r="BA178" s="63">
        <v>0.0</v>
      </c>
      <c r="BB178" s="63">
        <v>0.0</v>
      </c>
      <c r="BC178" s="63">
        <v>0.0</v>
      </c>
      <c r="BD178" s="63">
        <v>0.0</v>
      </c>
      <c r="BE178" s="66">
        <v>0.0</v>
      </c>
      <c r="BF178" s="65">
        <v>855774.68</v>
      </c>
      <c r="BG178" s="65">
        <v>0.0</v>
      </c>
      <c r="BH178" s="66">
        <v>855774.68</v>
      </c>
      <c r="BI178" s="67" t="str">
        <f t="shared" si="41"/>
        <v>#REF!</v>
      </c>
      <c r="BJ178" s="68" t="str">
        <f t="shared" si="42"/>
        <v>#REF!</v>
      </c>
      <c r="BK178" s="65">
        <v>572460.4</v>
      </c>
      <c r="BL178" s="65">
        <v>1708848.65</v>
      </c>
      <c r="BM178" s="66">
        <v>2281309.05</v>
      </c>
      <c r="BN178" s="67" t="str">
        <f t="shared" si="43"/>
        <v>#REF!</v>
      </c>
      <c r="BO178" s="68" t="str">
        <f t="shared" si="44"/>
        <v>#REF!</v>
      </c>
      <c r="BP178" s="65">
        <v>0.0</v>
      </c>
      <c r="BQ178" s="65">
        <v>0.0</v>
      </c>
      <c r="BR178" s="66">
        <v>0.0</v>
      </c>
      <c r="BS178" s="67" t="str">
        <f t="shared" si="45"/>
        <v>#REF!</v>
      </c>
      <c r="BT178" s="68" t="str">
        <f>'[1]DATA CONSOLIDADA 2018-2025 '!$BR178-Hoja1!$BO178</f>
        <v>#REF!</v>
      </c>
      <c r="BU178" s="65">
        <v>0.0</v>
      </c>
      <c r="BV178" s="65">
        <v>0.0</v>
      </c>
      <c r="BW178" s="66">
        <v>0.0</v>
      </c>
      <c r="BX178" s="67" t="str">
        <f t="shared" si="46"/>
        <v>#REF!</v>
      </c>
      <c r="BY178" s="68" t="str">
        <f t="shared" si="47"/>
        <v>#REF!</v>
      </c>
      <c r="BZ178" s="65">
        <v>0.0</v>
      </c>
      <c r="CA178" s="65">
        <v>0.0</v>
      </c>
      <c r="CB178" s="66">
        <v>0.0</v>
      </c>
      <c r="CC178" s="67" t="str">
        <f t="shared" si="48"/>
        <v>#REF!</v>
      </c>
      <c r="CD178" s="68" t="str">
        <f>'[1]DATA CONSOLIDADA 2018-2025 '!$CB178-Hoja1!$BW178</f>
        <v>#REF!</v>
      </c>
      <c r="CE178" s="70">
        <v>0.0</v>
      </c>
      <c r="CF178" s="70">
        <v>0.0</v>
      </c>
      <c r="CG178" s="71">
        <v>0.0</v>
      </c>
      <c r="CH178" s="67" t="str">
        <f t="shared" si="49"/>
        <v>#REF!</v>
      </c>
      <c r="CI178" s="68" t="str">
        <f>'[1]DATA CONSOLIDADA 2018-2025 '!$CG178-Hoja1!$CB178</f>
        <v>#REF!</v>
      </c>
      <c r="CJ178" s="64" t="str">
        <f t="shared" si="22"/>
        <v>#REF!</v>
      </c>
      <c r="CK178" s="64">
        <v>0.0</v>
      </c>
      <c r="CL178" s="64">
        <v>0.0</v>
      </c>
      <c r="CM178" s="64">
        <v>0.0</v>
      </c>
      <c r="CN178" s="64" t="str">
        <f t="shared" si="12"/>
        <v>#REF!</v>
      </c>
      <c r="CO178" s="68" t="str">
        <f>'[1]DATA CONSOLIDADA 2018-2025 '!$CM178-Hoja1!$CG178</f>
        <v>#REF!</v>
      </c>
      <c r="CP178" s="70">
        <v>0.0</v>
      </c>
      <c r="CQ178" s="70">
        <v>0.0</v>
      </c>
      <c r="CR178" s="70">
        <v>0.0</v>
      </c>
      <c r="CS178" s="70">
        <v>0.0</v>
      </c>
      <c r="CT178" s="70">
        <v>0.0</v>
      </c>
      <c r="CU178" s="70">
        <v>0.0</v>
      </c>
      <c r="CV178" s="64">
        <v>0.0</v>
      </c>
      <c r="CW178" s="64">
        <v>0.0</v>
      </c>
      <c r="CX178" s="64">
        <v>0.0</v>
      </c>
      <c r="CY178" s="64">
        <v>0.0</v>
      </c>
      <c r="CZ178" s="64">
        <v>0.0</v>
      </c>
      <c r="DA178" s="64">
        <v>0.0</v>
      </c>
      <c r="DB178" s="64">
        <v>0.0</v>
      </c>
      <c r="DC178" s="72">
        <v>0.0</v>
      </c>
      <c r="DD178" s="72">
        <v>0.0</v>
      </c>
      <c r="DE178" s="72">
        <v>0.0</v>
      </c>
      <c r="DF178" s="72">
        <v>0.0</v>
      </c>
      <c r="DG178" s="72">
        <v>0.0</v>
      </c>
      <c r="DH178" s="72">
        <v>0.0</v>
      </c>
      <c r="DI178" s="73">
        <v>2.0485945815E10</v>
      </c>
      <c r="DJ178" s="74" t="s">
        <v>719</v>
      </c>
      <c r="DK178" s="74" t="s">
        <v>132</v>
      </c>
      <c r="DL178" s="75"/>
      <c r="DM178" s="75"/>
      <c r="DN178" s="75"/>
      <c r="DO178" s="75"/>
      <c r="DP178" s="75"/>
      <c r="DQ178" s="75"/>
      <c r="DR178" s="75"/>
      <c r="DS178" s="75"/>
      <c r="DT178" s="75"/>
      <c r="DU178" s="75"/>
      <c r="DV178" s="75"/>
      <c r="DW178" s="75"/>
      <c r="DX178" s="75"/>
      <c r="DY178" s="75"/>
      <c r="DZ178" s="75"/>
      <c r="EA178" s="75"/>
      <c r="EB178" s="75"/>
      <c r="EC178" s="75"/>
      <c r="ED178" s="75"/>
      <c r="EE178" s="75"/>
    </row>
    <row r="179" ht="47.25" hidden="1" customHeight="1">
      <c r="A179" s="55" t="s">
        <v>722</v>
      </c>
      <c r="B179" s="55" t="s">
        <v>126</v>
      </c>
      <c r="C179" s="55" t="s">
        <v>126</v>
      </c>
      <c r="D179" s="55" t="s">
        <v>481</v>
      </c>
      <c r="E179" s="55" t="s">
        <v>713</v>
      </c>
      <c r="F179" s="55" t="s">
        <v>481</v>
      </c>
      <c r="G179" s="55" t="s">
        <v>673</v>
      </c>
      <c r="H179" s="55" t="s">
        <v>714</v>
      </c>
      <c r="I179" s="56"/>
      <c r="J179" s="56">
        <v>1.0</v>
      </c>
      <c r="K179" s="56"/>
      <c r="L179" s="56"/>
      <c r="M179" s="56"/>
      <c r="N179" s="56"/>
      <c r="O179" s="56"/>
      <c r="P179" s="56"/>
      <c r="Q179" s="56" t="s">
        <v>131</v>
      </c>
      <c r="R179" s="58" t="str">
        <f t="shared" si="1"/>
        <v>2019</v>
      </c>
      <c r="S179" s="59" t="str">
        <f>SUM(Hoja1!$I179:$P179)</f>
        <v>1</v>
      </c>
      <c r="T179" s="59" t="str">
        <f>IF(OR(Hoja1!$J179=1,Hoja1!$K179=1,Hoja1!$L179=1,Hoja1!$M179=1,Hoja1!$N179=1,Hoja1!$O179=1,Hoja1!$P179=1),"SI","NO")</f>
        <v>SI</v>
      </c>
      <c r="U179" s="59" t="str">
        <f>IF(OR(Hoja1!$K179=1,Hoja1!$L179=1,Hoja1!$M179=1,Hoja1!$N179=1,Hoja1!$O179=1,Hoja1!$P179=1),"SI","NO")</f>
        <v>NO</v>
      </c>
      <c r="V179" s="60">
        <v>0.0</v>
      </c>
      <c r="W179" s="61">
        <v>16.0</v>
      </c>
      <c r="X179" s="61">
        <v>14.0</v>
      </c>
      <c r="Y179" s="60">
        <v>30.0</v>
      </c>
      <c r="Z179" s="61">
        <v>0.0</v>
      </c>
      <c r="AA179" s="61">
        <v>0.0</v>
      </c>
      <c r="AB179" s="60">
        <v>0.0</v>
      </c>
      <c r="AC179" s="61">
        <v>0.0</v>
      </c>
      <c r="AD179" s="61">
        <v>0.0</v>
      </c>
      <c r="AE179" s="60">
        <v>0.0</v>
      </c>
      <c r="AF179" s="61">
        <v>0.0</v>
      </c>
      <c r="AG179" s="61">
        <v>0.0</v>
      </c>
      <c r="AH179" s="60">
        <v>0.0</v>
      </c>
      <c r="AI179" s="61">
        <v>0.0</v>
      </c>
      <c r="AJ179" s="61">
        <v>0.0</v>
      </c>
      <c r="AK179" s="60">
        <v>0.0</v>
      </c>
      <c r="AL179" s="61">
        <v>0.0</v>
      </c>
      <c r="AM179" s="61">
        <v>0.0</v>
      </c>
      <c r="AN179" s="60">
        <v>0.0</v>
      </c>
      <c r="AO179" s="62">
        <v>0.0</v>
      </c>
      <c r="AP179" s="62">
        <v>0.0</v>
      </c>
      <c r="AQ179" s="60">
        <v>0.0</v>
      </c>
      <c r="AR179" s="60" t="str">
        <f>IF(Hoja1!$AQ179&gt;0,Hoja1!$AQ179,IF(Hoja1!$AN179&gt;0,Hoja1!$AN179,IF(Hoja1!$AK179&gt;0,Hoja1!$AK179,IF(Hoja1!$AH179&gt;0,Hoja1!$AH179,IF(Hoja1!$AE179&gt;0,Hoja1!$AE179,IF(Hoja1!$AB179&gt;0,Hoja1!$AB179,IF(Hoja1!$Y179&gt;0,Hoja1!$Y179,IF(Hoja1!$V179&gt;0,Hoja1!$V179," ---"))))))))</f>
        <v>30</v>
      </c>
      <c r="AS179" s="63">
        <v>0.0</v>
      </c>
      <c r="AT179" s="63">
        <v>0.0</v>
      </c>
      <c r="AU179" s="63">
        <v>0.0</v>
      </c>
      <c r="AV179" s="63">
        <v>0.0</v>
      </c>
      <c r="AW179" s="63">
        <v>0.0</v>
      </c>
      <c r="AX179" s="63">
        <v>0.0</v>
      </c>
      <c r="AY179" s="63">
        <v>0.0</v>
      </c>
      <c r="AZ179" s="63">
        <v>0.0</v>
      </c>
      <c r="BA179" s="63">
        <v>0.0</v>
      </c>
      <c r="BB179" s="63">
        <v>0.0</v>
      </c>
      <c r="BC179" s="63">
        <v>0.0</v>
      </c>
      <c r="BD179" s="63">
        <v>0.0</v>
      </c>
      <c r="BE179" s="66">
        <v>0.0</v>
      </c>
      <c r="BF179" s="65">
        <v>15460.0</v>
      </c>
      <c r="BG179" s="65">
        <v>0.0</v>
      </c>
      <c r="BH179" s="66">
        <v>15460.0</v>
      </c>
      <c r="BI179" s="67" t="str">
        <f t="shared" si="41"/>
        <v>#REF!</v>
      </c>
      <c r="BJ179" s="68" t="str">
        <f t="shared" si="42"/>
        <v>#REF!</v>
      </c>
      <c r="BK179" s="65">
        <v>0.0</v>
      </c>
      <c r="BL179" s="65">
        <v>0.0</v>
      </c>
      <c r="BM179" s="66">
        <v>0.0</v>
      </c>
      <c r="BN179" s="67" t="str">
        <f t="shared" si="43"/>
        <v>#REF!</v>
      </c>
      <c r="BO179" s="68" t="str">
        <f t="shared" si="44"/>
        <v>#REF!</v>
      </c>
      <c r="BP179" s="65">
        <v>0.0</v>
      </c>
      <c r="BQ179" s="65">
        <v>0.0</v>
      </c>
      <c r="BR179" s="66">
        <v>0.0</v>
      </c>
      <c r="BS179" s="67" t="str">
        <f t="shared" si="45"/>
        <v>#REF!</v>
      </c>
      <c r="BT179" s="68" t="str">
        <f>'[1]DATA CONSOLIDADA 2018-2025 '!$BR179-Hoja1!$BO179</f>
        <v>#REF!</v>
      </c>
      <c r="BU179" s="65">
        <v>0.0</v>
      </c>
      <c r="BV179" s="65">
        <v>0.0</v>
      </c>
      <c r="BW179" s="66">
        <v>0.0</v>
      </c>
      <c r="BX179" s="67" t="str">
        <f t="shared" si="46"/>
        <v>#REF!</v>
      </c>
      <c r="BY179" s="68" t="str">
        <f t="shared" si="47"/>
        <v>#REF!</v>
      </c>
      <c r="BZ179" s="65">
        <v>0.0</v>
      </c>
      <c r="CA179" s="65">
        <v>0.0</v>
      </c>
      <c r="CB179" s="66">
        <v>0.0</v>
      </c>
      <c r="CC179" s="67" t="str">
        <f t="shared" si="48"/>
        <v>#REF!</v>
      </c>
      <c r="CD179" s="68" t="str">
        <f>'[1]DATA CONSOLIDADA 2018-2025 '!$CB179-Hoja1!$BW179</f>
        <v>#REF!</v>
      </c>
      <c r="CE179" s="70">
        <v>0.0</v>
      </c>
      <c r="CF179" s="70">
        <v>0.0</v>
      </c>
      <c r="CG179" s="71">
        <v>0.0</v>
      </c>
      <c r="CH179" s="67" t="str">
        <f t="shared" si="49"/>
        <v>#REF!</v>
      </c>
      <c r="CI179" s="68" t="str">
        <f>'[1]DATA CONSOLIDADA 2018-2025 '!$CG179-Hoja1!$CB179</f>
        <v>#REF!</v>
      </c>
      <c r="CJ179" s="64" t="str">
        <f t="shared" si="22"/>
        <v>#REF!</v>
      </c>
      <c r="CK179" s="64">
        <v>0.0</v>
      </c>
      <c r="CL179" s="64">
        <v>0.0</v>
      </c>
      <c r="CM179" s="64">
        <v>0.0</v>
      </c>
      <c r="CN179" s="64" t="str">
        <f t="shared" si="12"/>
        <v>#REF!</v>
      </c>
      <c r="CO179" s="68" t="str">
        <f>'[1]DATA CONSOLIDADA 2018-2025 '!$CM179-Hoja1!$CG179</f>
        <v>#REF!</v>
      </c>
      <c r="CP179" s="70">
        <v>0.0</v>
      </c>
      <c r="CQ179" s="70">
        <v>0.0</v>
      </c>
      <c r="CR179" s="70">
        <v>0.0</v>
      </c>
      <c r="CS179" s="70">
        <v>0.0</v>
      </c>
      <c r="CT179" s="70">
        <v>0.0</v>
      </c>
      <c r="CU179" s="70">
        <v>0.0</v>
      </c>
      <c r="CV179" s="64">
        <v>0.0</v>
      </c>
      <c r="CW179" s="64">
        <v>0.0</v>
      </c>
      <c r="CX179" s="64">
        <v>0.0</v>
      </c>
      <c r="CY179" s="64">
        <v>0.0</v>
      </c>
      <c r="CZ179" s="64">
        <v>0.0</v>
      </c>
      <c r="DA179" s="64">
        <v>0.0</v>
      </c>
      <c r="DB179" s="64">
        <v>0.0</v>
      </c>
      <c r="DC179" s="72">
        <v>0.0</v>
      </c>
      <c r="DD179" s="72">
        <v>0.0</v>
      </c>
      <c r="DE179" s="72">
        <v>0.0</v>
      </c>
      <c r="DF179" s="72">
        <v>0.0</v>
      </c>
      <c r="DG179" s="72">
        <v>0.0</v>
      </c>
      <c r="DH179" s="72">
        <v>0.0</v>
      </c>
      <c r="DI179" s="73">
        <v>2.0602161081E10</v>
      </c>
      <c r="DJ179" s="74" t="s">
        <v>723</v>
      </c>
      <c r="DK179" s="74" t="s">
        <v>138</v>
      </c>
      <c r="DL179" s="75"/>
      <c r="DM179" s="75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75"/>
      <c r="EC179" s="75"/>
      <c r="ED179" s="75"/>
      <c r="EE179" s="75"/>
    </row>
    <row r="180" ht="47.25" hidden="1" customHeight="1">
      <c r="A180" s="55" t="s">
        <v>724</v>
      </c>
      <c r="B180" s="55" t="s">
        <v>725</v>
      </c>
      <c r="C180" s="55" t="s">
        <v>725</v>
      </c>
      <c r="D180" s="55" t="s">
        <v>481</v>
      </c>
      <c r="E180" s="55" t="s">
        <v>672</v>
      </c>
      <c r="F180" s="55" t="s">
        <v>481</v>
      </c>
      <c r="G180" s="55" t="s">
        <v>673</v>
      </c>
      <c r="H180" s="55" t="s">
        <v>674</v>
      </c>
      <c r="I180" s="56"/>
      <c r="J180" s="56">
        <v>1.0</v>
      </c>
      <c r="K180" s="56"/>
      <c r="L180" s="56"/>
      <c r="M180" s="56"/>
      <c r="N180" s="56"/>
      <c r="O180" s="56"/>
      <c r="P180" s="56"/>
      <c r="Q180" s="56" t="s">
        <v>131</v>
      </c>
      <c r="R180" s="58" t="str">
        <f t="shared" si="1"/>
        <v>2019</v>
      </c>
      <c r="S180" s="59" t="str">
        <f>SUM(Hoja1!$I180:$P180)</f>
        <v>1</v>
      </c>
      <c r="T180" s="59" t="str">
        <f>IF(OR(Hoja1!$J180=1,Hoja1!$K180=1,Hoja1!$L180=1,Hoja1!$M180=1,Hoja1!$N180=1,Hoja1!$O180=1,Hoja1!$P180=1),"SI","NO")</f>
        <v>SI</v>
      </c>
      <c r="U180" s="59" t="str">
        <f>IF(OR(Hoja1!$K180=1,Hoja1!$L180=1,Hoja1!$M180=1,Hoja1!$N180=1,Hoja1!$O180=1,Hoja1!$P180=1),"SI","NO")</f>
        <v>NO</v>
      </c>
      <c r="V180" s="60">
        <v>0.0</v>
      </c>
      <c r="W180" s="61">
        <v>28.0</v>
      </c>
      <c r="X180" s="61">
        <v>16.0</v>
      </c>
      <c r="Y180" s="60">
        <v>44.0</v>
      </c>
      <c r="Z180" s="61">
        <v>0.0</v>
      </c>
      <c r="AA180" s="61">
        <v>0.0</v>
      </c>
      <c r="AB180" s="60">
        <v>0.0</v>
      </c>
      <c r="AC180" s="61">
        <v>0.0</v>
      </c>
      <c r="AD180" s="61">
        <v>0.0</v>
      </c>
      <c r="AE180" s="60">
        <v>0.0</v>
      </c>
      <c r="AF180" s="61">
        <v>0.0</v>
      </c>
      <c r="AG180" s="61">
        <v>0.0</v>
      </c>
      <c r="AH180" s="60">
        <v>0.0</v>
      </c>
      <c r="AI180" s="61">
        <v>0.0</v>
      </c>
      <c r="AJ180" s="61">
        <v>0.0</v>
      </c>
      <c r="AK180" s="60">
        <v>0.0</v>
      </c>
      <c r="AL180" s="61">
        <v>0.0</v>
      </c>
      <c r="AM180" s="61">
        <v>0.0</v>
      </c>
      <c r="AN180" s="60">
        <v>0.0</v>
      </c>
      <c r="AO180" s="62">
        <v>0.0</v>
      </c>
      <c r="AP180" s="62">
        <v>0.0</v>
      </c>
      <c r="AQ180" s="60">
        <v>0.0</v>
      </c>
      <c r="AR180" s="60" t="str">
        <f>IF(Hoja1!$AQ180&gt;0,Hoja1!$AQ180,IF(Hoja1!$AN180&gt;0,Hoja1!$AN180,IF(Hoja1!$AK180&gt;0,Hoja1!$AK180,IF(Hoja1!$AH180&gt;0,Hoja1!$AH180,IF(Hoja1!$AE180&gt;0,Hoja1!$AE180,IF(Hoja1!$AB180&gt;0,Hoja1!$AB180,IF(Hoja1!$Y180&gt;0,Hoja1!$Y180,IF(Hoja1!$V180&gt;0,Hoja1!$V180," ---"))))))))</f>
        <v>44</v>
      </c>
      <c r="AS180" s="63">
        <v>0.0</v>
      </c>
      <c r="AT180" s="63">
        <v>0.0</v>
      </c>
      <c r="AU180" s="63">
        <v>0.0</v>
      </c>
      <c r="AV180" s="63">
        <v>0.0</v>
      </c>
      <c r="AW180" s="63">
        <v>0.0</v>
      </c>
      <c r="AX180" s="63">
        <v>0.0</v>
      </c>
      <c r="AY180" s="63">
        <v>0.0</v>
      </c>
      <c r="AZ180" s="63">
        <v>0.0</v>
      </c>
      <c r="BA180" s="63">
        <v>0.0</v>
      </c>
      <c r="BB180" s="63">
        <v>0.0</v>
      </c>
      <c r="BC180" s="63">
        <v>0.0</v>
      </c>
      <c r="BD180" s="63">
        <v>0.0</v>
      </c>
      <c r="BE180" s="66">
        <v>0.0</v>
      </c>
      <c r="BF180" s="65">
        <v>0.0</v>
      </c>
      <c r="BG180" s="65">
        <v>0.0</v>
      </c>
      <c r="BH180" s="66">
        <v>0.0</v>
      </c>
      <c r="BI180" s="67" t="str">
        <f t="shared" si="41"/>
        <v>#REF!</v>
      </c>
      <c r="BJ180" s="68" t="str">
        <f t="shared" si="42"/>
        <v>#REF!</v>
      </c>
      <c r="BK180" s="65">
        <v>0.0</v>
      </c>
      <c r="BL180" s="65">
        <v>0.0</v>
      </c>
      <c r="BM180" s="66">
        <v>0.0</v>
      </c>
      <c r="BN180" s="67" t="str">
        <f t="shared" si="43"/>
        <v>#REF!</v>
      </c>
      <c r="BO180" s="68" t="str">
        <f t="shared" si="44"/>
        <v>#REF!</v>
      </c>
      <c r="BP180" s="65">
        <v>0.0</v>
      </c>
      <c r="BQ180" s="65">
        <v>0.0</v>
      </c>
      <c r="BR180" s="66">
        <v>0.0</v>
      </c>
      <c r="BS180" s="67" t="str">
        <f t="shared" si="45"/>
        <v>#REF!</v>
      </c>
      <c r="BT180" s="68" t="str">
        <f>'[1]DATA CONSOLIDADA 2018-2025 '!$BR180-Hoja1!$BO180</f>
        <v>#REF!</v>
      </c>
      <c r="BU180" s="65">
        <v>0.0</v>
      </c>
      <c r="BV180" s="65">
        <v>0.0</v>
      </c>
      <c r="BW180" s="66">
        <v>0.0</v>
      </c>
      <c r="BX180" s="67" t="str">
        <f t="shared" si="46"/>
        <v>#REF!</v>
      </c>
      <c r="BY180" s="68" t="str">
        <f t="shared" si="47"/>
        <v>#REF!</v>
      </c>
      <c r="BZ180" s="65">
        <v>0.0</v>
      </c>
      <c r="CA180" s="65">
        <v>0.0</v>
      </c>
      <c r="CB180" s="66">
        <v>0.0</v>
      </c>
      <c r="CC180" s="67" t="str">
        <f t="shared" si="48"/>
        <v>#REF!</v>
      </c>
      <c r="CD180" s="68" t="str">
        <f>'[1]DATA CONSOLIDADA 2018-2025 '!$CB180-Hoja1!$BW180</f>
        <v>#REF!</v>
      </c>
      <c r="CE180" s="70">
        <v>0.0</v>
      </c>
      <c r="CF180" s="70">
        <v>0.0</v>
      </c>
      <c r="CG180" s="71">
        <v>0.0</v>
      </c>
      <c r="CH180" s="67" t="str">
        <f t="shared" si="49"/>
        <v>#REF!</v>
      </c>
      <c r="CI180" s="68" t="str">
        <f>'[1]DATA CONSOLIDADA 2018-2025 '!$CG180-Hoja1!$CB180</f>
        <v>#REF!</v>
      </c>
      <c r="CJ180" s="64" t="str">
        <f t="shared" si="22"/>
        <v>#REF!</v>
      </c>
      <c r="CK180" s="64">
        <v>0.0</v>
      </c>
      <c r="CL180" s="64">
        <v>0.0</v>
      </c>
      <c r="CM180" s="64">
        <v>0.0</v>
      </c>
      <c r="CN180" s="64" t="str">
        <f t="shared" si="12"/>
        <v>#REF!</v>
      </c>
      <c r="CO180" s="68" t="str">
        <f>'[1]DATA CONSOLIDADA 2018-2025 '!$CM180-Hoja1!$CG180</f>
        <v>#REF!</v>
      </c>
      <c r="CP180" s="70">
        <v>0.0</v>
      </c>
      <c r="CQ180" s="70">
        <v>0.0</v>
      </c>
      <c r="CR180" s="70">
        <v>0.0</v>
      </c>
      <c r="CS180" s="70">
        <v>0.0</v>
      </c>
      <c r="CT180" s="70">
        <v>0.0</v>
      </c>
      <c r="CU180" s="70">
        <v>0.0</v>
      </c>
      <c r="CV180" s="64">
        <v>0.0</v>
      </c>
      <c r="CW180" s="64">
        <v>0.0</v>
      </c>
      <c r="CX180" s="64">
        <v>0.0</v>
      </c>
      <c r="CY180" s="64">
        <v>0.0</v>
      </c>
      <c r="CZ180" s="64">
        <v>0.0</v>
      </c>
      <c r="DA180" s="64">
        <v>0.0</v>
      </c>
      <c r="DB180" s="64">
        <v>0.0</v>
      </c>
      <c r="DC180" s="72">
        <v>0.0</v>
      </c>
      <c r="DD180" s="72">
        <v>0.0</v>
      </c>
      <c r="DE180" s="72">
        <v>0.0</v>
      </c>
      <c r="DF180" s="72">
        <v>0.0</v>
      </c>
      <c r="DG180" s="72">
        <v>0.0</v>
      </c>
      <c r="DH180" s="72">
        <v>0.0</v>
      </c>
      <c r="DI180" s="73">
        <v>2.0600719361E10</v>
      </c>
      <c r="DJ180" s="74" t="s">
        <v>726</v>
      </c>
      <c r="DK180" s="74" t="s">
        <v>138</v>
      </c>
      <c r="DL180" s="75"/>
      <c r="DM180" s="75"/>
      <c r="DN180" s="75"/>
      <c r="DO180" s="75"/>
      <c r="DP180" s="75"/>
      <c r="DQ180" s="75"/>
      <c r="DR180" s="75"/>
      <c r="DS180" s="75"/>
      <c r="DT180" s="75"/>
      <c r="DU180" s="75"/>
      <c r="DV180" s="75"/>
      <c r="DW180" s="75"/>
      <c r="DX180" s="75"/>
      <c r="DY180" s="75"/>
      <c r="DZ180" s="75"/>
      <c r="EA180" s="75"/>
      <c r="EB180" s="75"/>
      <c r="EC180" s="75"/>
      <c r="ED180" s="75"/>
      <c r="EE180" s="75"/>
    </row>
    <row r="181" ht="47.25" customHeight="1">
      <c r="A181" s="55" t="s">
        <v>727</v>
      </c>
      <c r="B181" s="55" t="s">
        <v>146</v>
      </c>
      <c r="C181" s="55" t="s">
        <v>146</v>
      </c>
      <c r="D181" s="55" t="s">
        <v>408</v>
      </c>
      <c r="E181" s="55" t="s">
        <v>728</v>
      </c>
      <c r="F181" s="55" t="s">
        <v>408</v>
      </c>
      <c r="G181" s="55" t="s">
        <v>729</v>
      </c>
      <c r="H181" s="55" t="s">
        <v>730</v>
      </c>
      <c r="I181" s="56"/>
      <c r="J181" s="56">
        <v>1.0</v>
      </c>
      <c r="K181" s="56"/>
      <c r="L181" s="56"/>
      <c r="M181" s="56"/>
      <c r="N181" s="56"/>
      <c r="O181" s="56"/>
      <c r="P181" s="56"/>
      <c r="Q181" s="56" t="s">
        <v>131</v>
      </c>
      <c r="R181" s="58" t="str">
        <f t="shared" si="1"/>
        <v>2019</v>
      </c>
      <c r="S181" s="59" t="str">
        <f>SUM(Hoja1!$I181:$P181)</f>
        <v>1</v>
      </c>
      <c r="T181" s="59" t="str">
        <f>IF(OR(Hoja1!$J181=1,Hoja1!$K181=1,Hoja1!$L181=1,Hoja1!$M181=1,Hoja1!$N181=1,Hoja1!$O181=1,Hoja1!$P181=1),"SI","NO")</f>
        <v>SI</v>
      </c>
      <c r="U181" s="59" t="str">
        <f>IF(OR(Hoja1!$K181=1,Hoja1!$L181=1,Hoja1!$M181=1,Hoja1!$N181=1,Hoja1!$O181=1,Hoja1!$P181=1),"SI","NO")</f>
        <v>NO</v>
      </c>
      <c r="V181" s="60">
        <v>0.0</v>
      </c>
      <c r="W181" s="61">
        <v>0.0</v>
      </c>
      <c r="X181" s="61">
        <v>0.0</v>
      </c>
      <c r="Y181" s="60">
        <v>0.0</v>
      </c>
      <c r="Z181" s="61">
        <v>0.0</v>
      </c>
      <c r="AA181" s="61">
        <v>0.0</v>
      </c>
      <c r="AB181" s="60">
        <v>0.0</v>
      </c>
      <c r="AC181" s="61">
        <v>0.0</v>
      </c>
      <c r="AD181" s="61">
        <v>0.0</v>
      </c>
      <c r="AE181" s="60">
        <v>0.0</v>
      </c>
      <c r="AF181" s="61">
        <v>0.0</v>
      </c>
      <c r="AG181" s="61">
        <v>0.0</v>
      </c>
      <c r="AH181" s="60">
        <v>0.0</v>
      </c>
      <c r="AI181" s="61">
        <v>0.0</v>
      </c>
      <c r="AJ181" s="61">
        <v>0.0</v>
      </c>
      <c r="AK181" s="60">
        <v>0.0</v>
      </c>
      <c r="AL181" s="61">
        <v>0.0</v>
      </c>
      <c r="AM181" s="61">
        <v>0.0</v>
      </c>
      <c r="AN181" s="60">
        <v>0.0</v>
      </c>
      <c r="AO181" s="62">
        <v>0.0</v>
      </c>
      <c r="AP181" s="62">
        <v>0.0</v>
      </c>
      <c r="AQ181" s="60">
        <v>0.0</v>
      </c>
      <c r="AR181" s="60" t="str">
        <f>IF(Hoja1!$AQ181&gt;0,Hoja1!$AQ181,IF(Hoja1!$AN181&gt;0,Hoja1!$AN181,IF(Hoja1!$AK181&gt;0,Hoja1!$AK181,IF(Hoja1!$AH181&gt;0,Hoja1!$AH181,IF(Hoja1!$AE181&gt;0,Hoja1!$AE181,IF(Hoja1!$AB181&gt;0,Hoja1!$AB181,IF(Hoja1!$Y181&gt;0,Hoja1!$Y181,IF(Hoja1!$V181&gt;0,Hoja1!$V181," ---"))))))))</f>
        <v> ---</v>
      </c>
      <c r="AS181" s="63">
        <v>0.0</v>
      </c>
      <c r="AT181" s="63">
        <v>0.0</v>
      </c>
      <c r="AU181" s="63">
        <v>0.0</v>
      </c>
      <c r="AV181" s="63">
        <v>0.0</v>
      </c>
      <c r="AW181" s="63">
        <v>0.0</v>
      </c>
      <c r="AX181" s="63">
        <v>0.0</v>
      </c>
      <c r="AY181" s="63">
        <v>0.0</v>
      </c>
      <c r="AZ181" s="63">
        <v>0.0</v>
      </c>
      <c r="BA181" s="63">
        <v>0.0</v>
      </c>
      <c r="BB181" s="63">
        <v>0.0</v>
      </c>
      <c r="BC181" s="63">
        <v>0.0</v>
      </c>
      <c r="BD181" s="63">
        <v>0.0</v>
      </c>
      <c r="BE181" s="66">
        <v>0.0</v>
      </c>
      <c r="BF181" s="65">
        <v>0.0</v>
      </c>
      <c r="BG181" s="65">
        <v>0.0</v>
      </c>
      <c r="BH181" s="66">
        <v>0.0</v>
      </c>
      <c r="BI181" s="67" t="str">
        <f>IF('[1]DATA CONSOLIDADA 2018-2025 '!$BH94&gt;'[1]DATA CONSOLIDADA 2018-2025 '!$AN94,"Incremento",IF('[1]DATA CONSOLIDADA 2018-2025 '!$AN94='[1]DATA CONSOLIDADA 2018-2025 '!$BH94,"Sin incremento",IF('[1]DATA CONSOLIDADA 2018-2025 '!$BH94&lt;'[1]DATA CONSOLIDADA 2018-2025 '!$AN94,"Disminución"," ---")))</f>
        <v>#REF!</v>
      </c>
      <c r="BJ181" s="68" t="str">
        <f>'[1]DATA CONSOLIDADA 2018-2025 '!$BH94-'[1]DATA CONSOLIDADA 2018-2025 '!$BE94</f>
        <v>#REF!</v>
      </c>
      <c r="BK181" s="65">
        <v>0.0</v>
      </c>
      <c r="BL181" s="65">
        <v>0.0</v>
      </c>
      <c r="BM181" s="66">
        <v>0.0</v>
      </c>
      <c r="BN181" s="67" t="str">
        <f>IF('[1]DATA CONSOLIDADA 2018-2025 '!$BM94&gt;'[1]DATA CONSOLIDADA 2018-2025 '!$BH94,"Incremento",IF('[1]DATA CONSOLIDADA 2018-2025 '!$BH94='[1]DATA CONSOLIDADA 2018-2025 '!$BM94,"Sin incremento",IF('[1]DATA CONSOLIDADA 2018-2025 '!$BM94&lt;'[1]DATA CONSOLIDADA 2018-2025 '!$BH94,"Disminución"," ---")))</f>
        <v>#REF!</v>
      </c>
      <c r="BO181" s="68" t="str">
        <f>'[1]DATA CONSOLIDADA 2018-2025 '!$BM94-'[1]DATA CONSOLIDADA 2018-2025 '!$BH94</f>
        <v>#REF!</v>
      </c>
      <c r="BP181" s="65">
        <v>0.0</v>
      </c>
      <c r="BQ181" s="65">
        <v>0.0</v>
      </c>
      <c r="BR181" s="66">
        <v>0.0</v>
      </c>
      <c r="BS181" s="67" t="str">
        <f>IF('[1]DATA CONSOLIDADA 2018-2025 '!$BR94&gt;'[1]DATA CONSOLIDADA 2018-2025 '!$BM94,"Incremento",IF('[1]DATA CONSOLIDADA 2018-2025 '!$BM94='[1]DATA CONSOLIDADA 2018-2025 '!$BR94,"Sin incremento",IF('[1]DATA CONSOLIDADA 2018-2025 '!$BR94&lt;'[1]DATA CONSOLIDADA 2018-2025 '!$BM94,"Disminución"," ---")))</f>
        <v>#REF!</v>
      </c>
      <c r="BT181" s="68" t="str">
        <f>'[1]DATA CONSOLIDADA 2018-2025 '!$BR181-Hoja1!$BO181</f>
        <v>#REF!</v>
      </c>
      <c r="BU181" s="65">
        <v>0.0</v>
      </c>
      <c r="BV181" s="65">
        <v>0.0</v>
      </c>
      <c r="BW181" s="66">
        <v>0.0</v>
      </c>
      <c r="BX181" s="67" t="str">
        <f>IF('[1]DATA CONSOLIDADA 2018-2025 '!$BW94&gt;'[1]DATA CONSOLIDADA 2018-2025 '!$BR94,"Incremento",IF('[1]DATA CONSOLIDADA 2018-2025 '!$BR94='[1]DATA CONSOLIDADA 2018-2025 '!$BW94,"Sin incremento",IF('[1]DATA CONSOLIDADA 2018-2025 '!$BW94&lt;'[1]DATA CONSOLIDADA 2018-2025 '!$BR94,"Disminución"," ---")))</f>
        <v>#REF!</v>
      </c>
      <c r="BY181" s="68" t="str">
        <f>'[1]DATA CONSOLIDADA 2018-2025 '!$BW94-'[1]DATA CONSOLIDADA 2018-2025 '!$BR94</f>
        <v>#REF!</v>
      </c>
      <c r="BZ181" s="65">
        <v>0.0</v>
      </c>
      <c r="CA181" s="65">
        <v>0.0</v>
      </c>
      <c r="CB181" s="66">
        <v>0.0</v>
      </c>
      <c r="CC181" s="67" t="str">
        <f>IF('[1]DATA CONSOLIDADA 2018-2025 '!$CB94&gt;'[1]DATA CONSOLIDADA 2018-2025 '!$BW94,"Incremento",IF('[1]DATA CONSOLIDADA 2018-2025 '!$BW94='[1]DATA CONSOLIDADA 2018-2025 '!$CB94,"Sin incremento",IF('[1]DATA CONSOLIDADA 2018-2025 '!$CB94&lt;'[1]DATA CONSOLIDADA 2018-2025 '!$BW94,"Disminución"," ---")))</f>
        <v>#REF!</v>
      </c>
      <c r="CD181" s="68" t="str">
        <f>'[1]DATA CONSOLIDADA 2018-2025 '!$CB181-Hoja1!$BW181</f>
        <v>#REF!</v>
      </c>
      <c r="CE181" s="70">
        <v>0.0</v>
      </c>
      <c r="CF181" s="70">
        <v>0.0</v>
      </c>
      <c r="CG181" s="71">
        <v>0.0</v>
      </c>
      <c r="CH181" s="67" t="str">
        <f>IF('[1]DATA CONSOLIDADA 2018-2025 '!$CG94&gt;'[1]DATA CONSOLIDADA 2018-2025 '!$CB94,"Incremento",IF('[1]DATA CONSOLIDADA 2018-2025 '!$CB94='[1]DATA CONSOLIDADA 2018-2025 '!$CG94,"Sin incremento",IF('[1]DATA CONSOLIDADA 2018-2025 '!$CG94&lt;'[1]DATA CONSOLIDADA 2018-2025 '!$CB94,"Disminución"," ---")))</f>
        <v>#REF!</v>
      </c>
      <c r="CI181" s="68" t="str">
        <f>'[1]DATA CONSOLIDADA 2018-2025 '!$CG181-Hoja1!$CB181</f>
        <v>#REF!</v>
      </c>
      <c r="CJ181" s="64" t="str">
        <f t="shared" si="22"/>
        <v>#REF!</v>
      </c>
      <c r="CK181" s="64">
        <v>0.0</v>
      </c>
      <c r="CL181" s="64">
        <v>0.0</v>
      </c>
      <c r="CM181" s="64">
        <v>0.0</v>
      </c>
      <c r="CN181" s="64" t="str">
        <f t="shared" si="12"/>
        <v>#REF!</v>
      </c>
      <c r="CO181" s="68" t="str">
        <f>'[1]DATA CONSOLIDADA 2018-2025 '!$CM181-Hoja1!$CG181</f>
        <v>#REF!</v>
      </c>
      <c r="CP181" s="70">
        <v>0.0</v>
      </c>
      <c r="CQ181" s="70">
        <v>0.0</v>
      </c>
      <c r="CR181" s="70">
        <v>0.0</v>
      </c>
      <c r="CS181" s="70">
        <v>0.0</v>
      </c>
      <c r="CT181" s="70">
        <v>0.0</v>
      </c>
      <c r="CU181" s="70">
        <v>0.0</v>
      </c>
      <c r="CV181" s="64">
        <v>0.0</v>
      </c>
      <c r="CW181" s="64">
        <v>0.0</v>
      </c>
      <c r="CX181" s="64">
        <v>0.0</v>
      </c>
      <c r="CY181" s="64">
        <v>0.0</v>
      </c>
      <c r="CZ181" s="64">
        <v>0.0</v>
      </c>
      <c r="DA181" s="64">
        <v>0.0</v>
      </c>
      <c r="DB181" s="64">
        <v>0.0</v>
      </c>
      <c r="DC181" s="72">
        <v>0.0</v>
      </c>
      <c r="DD181" s="72">
        <v>0.0</v>
      </c>
      <c r="DE181" s="72">
        <v>0.0</v>
      </c>
      <c r="DF181" s="72">
        <v>0.0</v>
      </c>
      <c r="DG181" s="72">
        <v>0.0</v>
      </c>
      <c r="DH181" s="72">
        <v>0.0</v>
      </c>
      <c r="DI181" s="73">
        <v>2.0487661539E10</v>
      </c>
      <c r="DJ181" s="74" t="s">
        <v>731</v>
      </c>
      <c r="DK181" s="74" t="s">
        <v>138</v>
      </c>
      <c r="DL181" s="75"/>
      <c r="DM181" s="75"/>
      <c r="DN181" s="75"/>
      <c r="DO181" s="75"/>
      <c r="DP181" s="75"/>
      <c r="DQ181" s="75"/>
      <c r="DR181" s="75"/>
      <c r="DS181" s="75"/>
      <c r="DT181" s="75"/>
      <c r="DU181" s="75"/>
      <c r="DV181" s="75"/>
      <c r="DW181" s="75"/>
      <c r="DX181" s="75"/>
      <c r="DY181" s="75"/>
      <c r="DZ181" s="75"/>
      <c r="EA181" s="75"/>
      <c r="EB181" s="75"/>
      <c r="EC181" s="75"/>
      <c r="ED181" s="75"/>
      <c r="EE181" s="75"/>
    </row>
    <row r="182" ht="47.25" hidden="1" customHeight="1">
      <c r="A182" s="55" t="s">
        <v>732</v>
      </c>
      <c r="B182" s="55" t="s">
        <v>126</v>
      </c>
      <c r="C182" s="55" t="s">
        <v>126</v>
      </c>
      <c r="D182" s="55" t="s">
        <v>481</v>
      </c>
      <c r="E182" s="55" t="s">
        <v>668</v>
      </c>
      <c r="F182" s="55" t="s">
        <v>481</v>
      </c>
      <c r="G182" s="55" t="s">
        <v>483</v>
      </c>
      <c r="H182" s="55" t="s">
        <v>669</v>
      </c>
      <c r="I182" s="56"/>
      <c r="J182" s="56">
        <v>1.0</v>
      </c>
      <c r="K182" s="56"/>
      <c r="L182" s="56"/>
      <c r="M182" s="56"/>
      <c r="N182" s="56">
        <v>1.0</v>
      </c>
      <c r="O182" s="56"/>
      <c r="P182" s="56"/>
      <c r="Q182" s="56" t="s">
        <v>131</v>
      </c>
      <c r="R182" s="58" t="str">
        <f t="shared" si="1"/>
        <v>2019-2023</v>
      </c>
      <c r="S182" s="59" t="str">
        <f>SUM(Hoja1!$I182:$P182)</f>
        <v>2</v>
      </c>
      <c r="T182" s="59" t="str">
        <f>IF(OR(Hoja1!$J182=1,Hoja1!$K182=1,Hoja1!$L182=1,Hoja1!$M182=1,Hoja1!$N182=1,Hoja1!$O182=1,Hoja1!$P182=1),"SI","NO")</f>
        <v>SI</v>
      </c>
      <c r="U182" s="59" t="str">
        <f>IF(OR(Hoja1!$K182=1,Hoja1!$L182=1,Hoja1!$M182=1,Hoja1!$N182=1,Hoja1!$O182=1,Hoja1!$P182=1),"SI","NO")</f>
        <v>SI</v>
      </c>
      <c r="V182" s="60">
        <v>0.0</v>
      </c>
      <c r="W182" s="61">
        <v>538.0</v>
      </c>
      <c r="X182" s="61">
        <v>168.0</v>
      </c>
      <c r="Y182" s="60">
        <v>706.0</v>
      </c>
      <c r="Z182" s="61">
        <v>0.0</v>
      </c>
      <c r="AA182" s="61">
        <v>0.0</v>
      </c>
      <c r="AB182" s="60">
        <v>0.0</v>
      </c>
      <c r="AC182" s="61">
        <v>0.0</v>
      </c>
      <c r="AD182" s="61">
        <v>0.0</v>
      </c>
      <c r="AE182" s="60">
        <v>0.0</v>
      </c>
      <c r="AF182" s="61">
        <v>0.0</v>
      </c>
      <c r="AG182" s="61">
        <v>0.0</v>
      </c>
      <c r="AH182" s="60">
        <v>0.0</v>
      </c>
      <c r="AI182" s="61">
        <v>538.0</v>
      </c>
      <c r="AJ182" s="61">
        <v>168.0</v>
      </c>
      <c r="AK182" s="60">
        <v>706.0</v>
      </c>
      <c r="AL182" s="61">
        <v>0.0</v>
      </c>
      <c r="AM182" s="61">
        <v>0.0</v>
      </c>
      <c r="AN182" s="60">
        <v>0.0</v>
      </c>
      <c r="AO182" s="62">
        <v>0.0</v>
      </c>
      <c r="AP182" s="62">
        <v>0.0</v>
      </c>
      <c r="AQ182" s="60">
        <v>0.0</v>
      </c>
      <c r="AR182" s="60" t="str">
        <f>IF(Hoja1!$AQ182&gt;0,Hoja1!$AQ182,IF(Hoja1!$AN182&gt;0,Hoja1!$AN182,IF(Hoja1!$AK182&gt;0,Hoja1!$AK182,IF(Hoja1!$AH182&gt;0,Hoja1!$AH182,IF(Hoja1!$AE182&gt;0,Hoja1!$AE182,IF(Hoja1!$AB182&gt;0,Hoja1!$AB182,IF(Hoja1!$Y182&gt;0,Hoja1!$Y182,IF(Hoja1!$V182&gt;0,Hoja1!$V182," ---"))))))))</f>
        <v>706</v>
      </c>
      <c r="AS182" s="63">
        <v>0.0</v>
      </c>
      <c r="AT182" s="63">
        <v>0.0</v>
      </c>
      <c r="AU182" s="63">
        <v>0.0</v>
      </c>
      <c r="AV182" s="63">
        <v>0.0</v>
      </c>
      <c r="AW182" s="63">
        <v>0.0</v>
      </c>
      <c r="AX182" s="63">
        <v>0.0</v>
      </c>
      <c r="AY182" s="63">
        <v>22.0</v>
      </c>
      <c r="AZ182" s="63">
        <v>0.0</v>
      </c>
      <c r="BA182" s="63">
        <v>0.0</v>
      </c>
      <c r="BB182" s="63">
        <v>0.0</v>
      </c>
      <c r="BC182" s="63">
        <v>0.0</v>
      </c>
      <c r="BD182" s="63">
        <v>0.0</v>
      </c>
      <c r="BE182" s="66">
        <v>0.0</v>
      </c>
      <c r="BF182" s="65">
        <v>3432137.13</v>
      </c>
      <c r="BG182" s="65">
        <v>8713347.17</v>
      </c>
      <c r="BH182" s="66">
        <v>1.21454843E7</v>
      </c>
      <c r="BI182" s="67" t="str">
        <f t="shared" ref="BI182:BI184" si="50">IF('[1]DATA CONSOLIDADA 2018-2025 '!$BH182&gt;'[1]DATA CONSOLIDADA 2018-2025 '!$AN182,"Incremento",IF('[1]DATA CONSOLIDADA 2018-2025 '!$AN182='[1]DATA CONSOLIDADA 2018-2025 '!$BH182,"Sin incremento",IF('[1]DATA CONSOLIDADA 2018-2025 '!$BH182&lt;'[1]DATA CONSOLIDADA 2018-2025 '!$AN182,"Disminución"," ---")))</f>
        <v>#REF!</v>
      </c>
      <c r="BJ182" s="68" t="str">
        <f t="shared" ref="BJ182:BJ184" si="51">'[1]DATA CONSOLIDADA 2018-2025 '!$BH182-'[1]DATA CONSOLIDADA 2018-2025 '!$BE182</f>
        <v>#REF!</v>
      </c>
      <c r="BK182" s="65">
        <v>0.0</v>
      </c>
      <c r="BL182" s="65">
        <v>0.0</v>
      </c>
      <c r="BM182" s="66">
        <v>0.0</v>
      </c>
      <c r="BN182" s="67" t="str">
        <f t="shared" ref="BN182:BN184" si="52">IF('[1]DATA CONSOLIDADA 2018-2025 '!$BM182&gt;'[1]DATA CONSOLIDADA 2018-2025 '!$BH182,"Incremento",IF('[1]DATA CONSOLIDADA 2018-2025 '!$BH182='[1]DATA CONSOLIDADA 2018-2025 '!$BM182,"Sin incremento",IF('[1]DATA CONSOLIDADA 2018-2025 '!$BM182&lt;'[1]DATA CONSOLIDADA 2018-2025 '!$BH182,"Disminución"," ---")))</f>
        <v>#REF!</v>
      </c>
      <c r="BO182" s="68" t="str">
        <f t="shared" ref="BO182:BO184" si="53">'[1]DATA CONSOLIDADA 2018-2025 '!$BM182-'[1]DATA CONSOLIDADA 2018-2025 '!$BH182</f>
        <v>#REF!</v>
      </c>
      <c r="BP182" s="65">
        <v>0.0</v>
      </c>
      <c r="BQ182" s="65">
        <v>0.0</v>
      </c>
      <c r="BR182" s="66">
        <v>0.0</v>
      </c>
      <c r="BS182" s="67" t="str">
        <f t="shared" ref="BS182:BS184" si="54">IF('[1]DATA CONSOLIDADA 2018-2025 '!$BR182&gt;'[1]DATA CONSOLIDADA 2018-2025 '!$BM182,"Incremento",IF('[1]DATA CONSOLIDADA 2018-2025 '!$BM182='[1]DATA CONSOLIDADA 2018-2025 '!$BR182,"Sin incremento",IF('[1]DATA CONSOLIDADA 2018-2025 '!$BR182&lt;'[1]DATA CONSOLIDADA 2018-2025 '!$BM182,"Disminución"," ---")))</f>
        <v>#REF!</v>
      </c>
      <c r="BT182" s="68" t="str">
        <f>'[1]DATA CONSOLIDADA 2018-2025 '!$BR182-Hoja1!$BO182</f>
        <v>#REF!</v>
      </c>
      <c r="BU182" s="65">
        <v>0.0</v>
      </c>
      <c r="BV182" s="65">
        <v>0.0</v>
      </c>
      <c r="BW182" s="66">
        <v>0.0</v>
      </c>
      <c r="BX182" s="67" t="str">
        <f t="shared" ref="BX182:BX184" si="55">IF('[1]DATA CONSOLIDADA 2018-2025 '!$BW182&gt;'[1]DATA CONSOLIDADA 2018-2025 '!$BR182,"Incremento",IF('[1]DATA CONSOLIDADA 2018-2025 '!$BR182='[1]DATA CONSOLIDADA 2018-2025 '!$BW182,"Sin incremento",IF('[1]DATA CONSOLIDADA 2018-2025 '!$BW182&lt;'[1]DATA CONSOLIDADA 2018-2025 '!$BR182,"Disminución"," ---")))</f>
        <v>#REF!</v>
      </c>
      <c r="BY182" s="68" t="str">
        <f t="shared" ref="BY182:BY184" si="56">'[1]DATA CONSOLIDADA 2018-2025 '!$BW182-'[1]DATA CONSOLIDADA 2018-2025 '!$BR182</f>
        <v>#REF!</v>
      </c>
      <c r="BZ182" s="65">
        <v>1171730.5</v>
      </c>
      <c r="CA182" s="65">
        <v>6039585.04</v>
      </c>
      <c r="CB182" s="66">
        <v>7211315.54</v>
      </c>
      <c r="CC182" s="67" t="str">
        <f t="shared" ref="CC182:CC184" si="57">IF('[1]DATA CONSOLIDADA 2018-2025 '!$CB182&gt;'[1]DATA CONSOLIDADA 2018-2025 '!$BW182,"Incremento",IF('[1]DATA CONSOLIDADA 2018-2025 '!$BW182='[1]DATA CONSOLIDADA 2018-2025 '!$CB182,"Sin incremento",IF('[1]DATA CONSOLIDADA 2018-2025 '!$CB182&lt;'[1]DATA CONSOLIDADA 2018-2025 '!$BW182,"Disminución"," ---")))</f>
        <v>#REF!</v>
      </c>
      <c r="CD182" s="68" t="str">
        <f>'[1]DATA CONSOLIDADA 2018-2025 '!$CB182-Hoja1!$BW182</f>
        <v>#REF!</v>
      </c>
      <c r="CE182" s="70">
        <v>0.0</v>
      </c>
      <c r="CF182" s="70">
        <v>0.0</v>
      </c>
      <c r="CG182" s="71">
        <v>0.0</v>
      </c>
      <c r="CH182" s="67" t="str">
        <f t="shared" ref="CH182:CH184" si="58">IF('[1]DATA CONSOLIDADA 2018-2025 '!$CG182&gt;'[1]DATA CONSOLIDADA 2018-2025 '!$CB182,"Incremento",IF('[1]DATA CONSOLIDADA 2018-2025 '!$CB182='[1]DATA CONSOLIDADA 2018-2025 '!$CG182,"Sin incremento",IF('[1]DATA CONSOLIDADA 2018-2025 '!$CG182&lt;'[1]DATA CONSOLIDADA 2018-2025 '!$CB182,"Disminución"," ---")))</f>
        <v>#REF!</v>
      </c>
      <c r="CI182" s="68" t="str">
        <f>'[1]DATA CONSOLIDADA 2018-2025 '!$CG182-Hoja1!$CB182</f>
        <v>#REF!</v>
      </c>
      <c r="CJ182" s="64" t="str">
        <f t="shared" si="22"/>
        <v>#REF!</v>
      </c>
      <c r="CK182" s="64">
        <v>0.0</v>
      </c>
      <c r="CL182" s="64">
        <v>0.0</v>
      </c>
      <c r="CM182" s="64">
        <v>0.0</v>
      </c>
      <c r="CN182" s="64" t="str">
        <f t="shared" si="12"/>
        <v>#REF!</v>
      </c>
      <c r="CO182" s="68" t="str">
        <f>'[1]DATA CONSOLIDADA 2018-2025 '!$CM182-Hoja1!$CG182</f>
        <v>#REF!</v>
      </c>
      <c r="CP182" s="70">
        <v>0.0</v>
      </c>
      <c r="CQ182" s="70">
        <v>2641451.375</v>
      </c>
      <c r="CR182" s="70">
        <v>0.0</v>
      </c>
      <c r="CS182" s="70">
        <v>4569864.16</v>
      </c>
      <c r="CT182" s="70">
        <v>0.0</v>
      </c>
      <c r="CU182" s="70">
        <v>0.0</v>
      </c>
      <c r="CV182" s="64">
        <v>7211315.535</v>
      </c>
      <c r="CW182" s="64">
        <v>0.0</v>
      </c>
      <c r="CX182" s="64">
        <v>0.0</v>
      </c>
      <c r="CY182" s="64">
        <v>0.0</v>
      </c>
      <c r="CZ182" s="64">
        <v>0.0</v>
      </c>
      <c r="DA182" s="64">
        <v>0.0</v>
      </c>
      <c r="DB182" s="64">
        <v>0.0</v>
      </c>
      <c r="DC182" s="72">
        <v>0.0</v>
      </c>
      <c r="DD182" s="72">
        <v>0.0</v>
      </c>
      <c r="DE182" s="72">
        <v>0.0</v>
      </c>
      <c r="DF182" s="72">
        <v>0.0</v>
      </c>
      <c r="DG182" s="72">
        <v>0.0</v>
      </c>
      <c r="DH182" s="72">
        <v>0.0</v>
      </c>
      <c r="DI182" s="73">
        <v>2.0568194951E10</v>
      </c>
      <c r="DJ182" s="74" t="s">
        <v>733</v>
      </c>
      <c r="DK182" s="74" t="s">
        <v>138</v>
      </c>
      <c r="DL182" s="75"/>
      <c r="DM182" s="7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75"/>
      <c r="EC182" s="75"/>
      <c r="ED182" s="75"/>
      <c r="EE182" s="75"/>
    </row>
    <row r="183" ht="47.25" hidden="1" customHeight="1">
      <c r="A183" s="55" t="s">
        <v>734</v>
      </c>
      <c r="B183" s="55" t="s">
        <v>711</v>
      </c>
      <c r="C183" s="55" t="s">
        <v>735</v>
      </c>
      <c r="D183" s="55" t="s">
        <v>481</v>
      </c>
      <c r="E183" s="55" t="s">
        <v>672</v>
      </c>
      <c r="F183" s="55" t="s">
        <v>481</v>
      </c>
      <c r="G183" s="55" t="s">
        <v>673</v>
      </c>
      <c r="H183" s="55" t="s">
        <v>674</v>
      </c>
      <c r="I183" s="56"/>
      <c r="J183" s="56">
        <v>1.0</v>
      </c>
      <c r="K183" s="56">
        <v>1.0</v>
      </c>
      <c r="L183" s="56">
        <v>1.0</v>
      </c>
      <c r="M183" s="56">
        <v>1.0</v>
      </c>
      <c r="N183" s="56">
        <v>1.0</v>
      </c>
      <c r="O183" s="56"/>
      <c r="P183" s="56"/>
      <c r="Q183" s="56" t="s">
        <v>131</v>
      </c>
      <c r="R183" s="58" t="str">
        <f t="shared" si="1"/>
        <v>2019-2020-2021-2022-2023</v>
      </c>
      <c r="S183" s="59" t="str">
        <f>SUM(Hoja1!$I183:$P183)</f>
        <v>5</v>
      </c>
      <c r="T183" s="59" t="str">
        <f>IF(OR(Hoja1!$J183=1,Hoja1!$K183=1,Hoja1!$L183=1,Hoja1!$M183=1,Hoja1!$N183=1,Hoja1!$O183=1,Hoja1!$P183=1),"SI","NO")</f>
        <v>SI</v>
      </c>
      <c r="U183" s="59" t="str">
        <f>IF(OR(Hoja1!$K183=1,Hoja1!$L183=1,Hoja1!$M183=1,Hoja1!$N183=1,Hoja1!$O183=1,Hoja1!$P183=1),"SI","NO")</f>
        <v>SI</v>
      </c>
      <c r="V183" s="60">
        <v>0.0</v>
      </c>
      <c r="W183" s="61">
        <v>0.0</v>
      </c>
      <c r="X183" s="61">
        <v>0.0</v>
      </c>
      <c r="Y183" s="60">
        <v>0.0</v>
      </c>
      <c r="Z183" s="61">
        <v>20.0</v>
      </c>
      <c r="AA183" s="61">
        <v>11.0</v>
      </c>
      <c r="AB183" s="60">
        <v>31.0</v>
      </c>
      <c r="AC183" s="61">
        <v>20.0</v>
      </c>
      <c r="AD183" s="61">
        <v>11.0</v>
      </c>
      <c r="AE183" s="60">
        <v>31.0</v>
      </c>
      <c r="AF183" s="61">
        <v>36.0</v>
      </c>
      <c r="AG183" s="61">
        <v>14.0</v>
      </c>
      <c r="AH183" s="60">
        <v>50.0</v>
      </c>
      <c r="AI183" s="61">
        <v>36.0</v>
      </c>
      <c r="AJ183" s="61">
        <v>14.0</v>
      </c>
      <c r="AK183" s="60">
        <v>50.0</v>
      </c>
      <c r="AL183" s="61">
        <v>0.0</v>
      </c>
      <c r="AM183" s="61">
        <v>0.0</v>
      </c>
      <c r="AN183" s="60">
        <v>0.0</v>
      </c>
      <c r="AO183" s="62">
        <v>0.0</v>
      </c>
      <c r="AP183" s="62">
        <v>0.0</v>
      </c>
      <c r="AQ183" s="60">
        <v>0.0</v>
      </c>
      <c r="AR183" s="60" t="str">
        <f>IF(Hoja1!$AQ183&gt;0,Hoja1!$AQ183,IF(Hoja1!$AN183&gt;0,Hoja1!$AN183,IF(Hoja1!$AK183&gt;0,Hoja1!$AK183,IF(Hoja1!$AH183&gt;0,Hoja1!$AH183,IF(Hoja1!$AE183&gt;0,Hoja1!$AE183,IF(Hoja1!$AB183&gt;0,Hoja1!$AB183,IF(Hoja1!$Y183&gt;0,Hoja1!$Y183,IF(Hoja1!$V183&gt;0,Hoja1!$V183," ---"))))))))</f>
        <v>50</v>
      </c>
      <c r="AS183" s="63">
        <v>0.0</v>
      </c>
      <c r="AT183" s="63">
        <v>4.0</v>
      </c>
      <c r="AU183" s="63">
        <v>23.0</v>
      </c>
      <c r="AV183" s="63">
        <v>6.0</v>
      </c>
      <c r="AW183" s="63">
        <v>28.0</v>
      </c>
      <c r="AX183" s="63">
        <v>9.0</v>
      </c>
      <c r="AY183" s="63">
        <v>19.0</v>
      </c>
      <c r="AZ183" s="63">
        <v>0.0</v>
      </c>
      <c r="BA183" s="63">
        <v>0.0</v>
      </c>
      <c r="BB183" s="63">
        <v>0.0</v>
      </c>
      <c r="BC183" s="63">
        <v>0.0</v>
      </c>
      <c r="BD183" s="63">
        <v>0.0</v>
      </c>
      <c r="BE183" s="66">
        <v>0.0</v>
      </c>
      <c r="BF183" s="65">
        <v>591869.7</v>
      </c>
      <c r="BG183" s="65">
        <v>0.0</v>
      </c>
      <c r="BH183" s="66">
        <v>591869.7</v>
      </c>
      <c r="BI183" s="67" t="str">
        <f t="shared" si="50"/>
        <v>#REF!</v>
      </c>
      <c r="BJ183" s="68" t="str">
        <f t="shared" si="51"/>
        <v>#REF!</v>
      </c>
      <c r="BK183" s="65">
        <v>517711.29</v>
      </c>
      <c r="BL183" s="65">
        <v>960882.06</v>
      </c>
      <c r="BM183" s="66">
        <v>1478593.35</v>
      </c>
      <c r="BN183" s="67" t="str">
        <f t="shared" si="52"/>
        <v>#REF!</v>
      </c>
      <c r="BO183" s="68" t="str">
        <f t="shared" si="53"/>
        <v>#REF!</v>
      </c>
      <c r="BP183" s="65">
        <v>629083.94</v>
      </c>
      <c r="BQ183" s="65">
        <v>0.0</v>
      </c>
      <c r="BR183" s="66">
        <v>629083.94</v>
      </c>
      <c r="BS183" s="67" t="str">
        <f t="shared" si="54"/>
        <v>#REF!</v>
      </c>
      <c r="BT183" s="68" t="str">
        <f>'[1]DATA CONSOLIDADA 2018-2025 '!$BR183-Hoja1!$BO183</f>
        <v>#REF!</v>
      </c>
      <c r="BU183" s="65">
        <v>783749.06</v>
      </c>
      <c r="BV183" s="65">
        <v>0.0</v>
      </c>
      <c r="BW183" s="66">
        <v>783749.06</v>
      </c>
      <c r="BX183" s="67" t="str">
        <f t="shared" si="55"/>
        <v>#REF!</v>
      </c>
      <c r="BY183" s="68" t="str">
        <f t="shared" si="56"/>
        <v>#REF!</v>
      </c>
      <c r="BZ183" s="65">
        <v>678682.76</v>
      </c>
      <c r="CA183" s="65">
        <v>0.0</v>
      </c>
      <c r="CB183" s="66">
        <v>678682.76</v>
      </c>
      <c r="CC183" s="67" t="str">
        <f t="shared" si="57"/>
        <v>#REF!</v>
      </c>
      <c r="CD183" s="68" t="str">
        <f>'[1]DATA CONSOLIDADA 2018-2025 '!$CB183-Hoja1!$BW183</f>
        <v>#REF!</v>
      </c>
      <c r="CE183" s="70">
        <v>0.0</v>
      </c>
      <c r="CF183" s="70">
        <v>0.0</v>
      </c>
      <c r="CG183" s="71">
        <v>0.0</v>
      </c>
      <c r="CH183" s="67" t="str">
        <f t="shared" si="58"/>
        <v>#REF!</v>
      </c>
      <c r="CI183" s="68" t="str">
        <f>'[1]DATA CONSOLIDADA 2018-2025 '!$CG183-Hoja1!$CB183</f>
        <v>#REF!</v>
      </c>
      <c r="CJ183" s="64" t="str">
        <f t="shared" si="22"/>
        <v>#REF!</v>
      </c>
      <c r="CK183" s="64">
        <v>0.0</v>
      </c>
      <c r="CL183" s="64">
        <v>0.0</v>
      </c>
      <c r="CM183" s="64">
        <v>0.0</v>
      </c>
      <c r="CN183" s="64" t="str">
        <f t="shared" si="12"/>
        <v>#REF!</v>
      </c>
      <c r="CO183" s="68" t="str">
        <f>'[1]DATA CONSOLIDADA 2018-2025 '!$CM183-Hoja1!$CG183</f>
        <v>#REF!</v>
      </c>
      <c r="CP183" s="70">
        <v>0.0</v>
      </c>
      <c r="CQ183" s="70">
        <v>0.0</v>
      </c>
      <c r="CR183" s="70">
        <v>0.0</v>
      </c>
      <c r="CS183" s="70">
        <v>678682.76095784</v>
      </c>
      <c r="CT183" s="70">
        <v>0.0</v>
      </c>
      <c r="CU183" s="70">
        <v>0.0</v>
      </c>
      <c r="CV183" s="64">
        <v>678682.76095784</v>
      </c>
      <c r="CW183" s="64">
        <v>0.0</v>
      </c>
      <c r="CX183" s="64">
        <v>0.0</v>
      </c>
      <c r="CY183" s="64">
        <v>0.0</v>
      </c>
      <c r="CZ183" s="64">
        <v>0.0</v>
      </c>
      <c r="DA183" s="64">
        <v>0.0</v>
      </c>
      <c r="DB183" s="64">
        <v>0.0</v>
      </c>
      <c r="DC183" s="72">
        <v>0.0</v>
      </c>
      <c r="DD183" s="72">
        <v>0.0</v>
      </c>
      <c r="DE183" s="72">
        <v>0.0</v>
      </c>
      <c r="DF183" s="72">
        <v>0.0</v>
      </c>
      <c r="DG183" s="72">
        <v>0.0</v>
      </c>
      <c r="DH183" s="72">
        <v>0.0</v>
      </c>
      <c r="DI183" s="73">
        <v>2.0603907176E10</v>
      </c>
      <c r="DJ183" s="74" t="s">
        <v>736</v>
      </c>
      <c r="DK183" s="74" t="s">
        <v>132</v>
      </c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  <c r="EA183" s="77"/>
      <c r="EB183" s="77"/>
      <c r="EC183" s="77"/>
      <c r="ED183" s="77"/>
      <c r="EE183" s="77"/>
    </row>
    <row r="184" ht="47.25" customHeight="1">
      <c r="A184" s="55" t="s">
        <v>737</v>
      </c>
      <c r="B184" s="55" t="s">
        <v>146</v>
      </c>
      <c r="C184" s="55" t="s">
        <v>146</v>
      </c>
      <c r="D184" s="55" t="s">
        <v>481</v>
      </c>
      <c r="E184" s="55" t="s">
        <v>738</v>
      </c>
      <c r="F184" s="55" t="s">
        <v>481</v>
      </c>
      <c r="G184" s="55" t="s">
        <v>483</v>
      </c>
      <c r="H184" s="55" t="s">
        <v>739</v>
      </c>
      <c r="I184" s="56"/>
      <c r="J184" s="56"/>
      <c r="K184" s="56"/>
      <c r="L184" s="56">
        <v>1.0</v>
      </c>
      <c r="M184" s="56">
        <v>1.0</v>
      </c>
      <c r="N184" s="56">
        <v>1.0</v>
      </c>
      <c r="O184" s="56"/>
      <c r="P184" s="56"/>
      <c r="Q184" s="56" t="s">
        <v>131</v>
      </c>
      <c r="R184" s="58" t="str">
        <f t="shared" si="1"/>
        <v>2021-2022-2023</v>
      </c>
      <c r="S184" s="59" t="str">
        <f>SUM(Hoja1!$I184:$P184)</f>
        <v>3</v>
      </c>
      <c r="T184" s="59" t="str">
        <f>IF(OR(Hoja1!$J184=1,Hoja1!$K184=1,Hoja1!$L184=1,Hoja1!$M184=1,Hoja1!$N184=1,Hoja1!$O184=1,Hoja1!$P184=1),"SI","NO")</f>
        <v>SI</v>
      </c>
      <c r="U184" s="59" t="str">
        <f>IF(OR(Hoja1!$K184=1,Hoja1!$L184=1,Hoja1!$M184=1,Hoja1!$N184=1,Hoja1!$O184=1,Hoja1!$P184=1),"SI","NO")</f>
        <v>SI</v>
      </c>
      <c r="V184" s="60">
        <v>0.0</v>
      </c>
      <c r="W184" s="61">
        <v>0.0</v>
      </c>
      <c r="X184" s="61">
        <v>0.0</v>
      </c>
      <c r="Y184" s="60">
        <v>0.0</v>
      </c>
      <c r="Z184" s="61">
        <v>0.0</v>
      </c>
      <c r="AA184" s="61">
        <v>0.0</v>
      </c>
      <c r="AB184" s="60">
        <v>0.0</v>
      </c>
      <c r="AC184" s="61">
        <v>194.0</v>
      </c>
      <c r="AD184" s="61">
        <v>66.0</v>
      </c>
      <c r="AE184" s="60">
        <v>260.0</v>
      </c>
      <c r="AF184" s="61">
        <v>186.0</v>
      </c>
      <c r="AG184" s="61">
        <v>65.0</v>
      </c>
      <c r="AH184" s="60">
        <v>251.0</v>
      </c>
      <c r="AI184" s="61">
        <v>186.0</v>
      </c>
      <c r="AJ184" s="61">
        <v>65.0</v>
      </c>
      <c r="AK184" s="60">
        <v>251.0</v>
      </c>
      <c r="AL184" s="61">
        <v>0.0</v>
      </c>
      <c r="AM184" s="61">
        <v>0.0</v>
      </c>
      <c r="AN184" s="60">
        <v>0.0</v>
      </c>
      <c r="AO184" s="62">
        <v>0.0</v>
      </c>
      <c r="AP184" s="62">
        <v>0.0</v>
      </c>
      <c r="AQ184" s="60">
        <v>0.0</v>
      </c>
      <c r="AR184" s="60" t="str">
        <f>IF(Hoja1!$AQ184&gt;0,Hoja1!$AQ184,IF(Hoja1!$AN184&gt;0,Hoja1!$AN184,IF(Hoja1!$AK184&gt;0,Hoja1!$AK184,IF(Hoja1!$AH184&gt;0,Hoja1!$AH184,IF(Hoja1!$AE184&gt;0,Hoja1!$AE184,IF(Hoja1!$AB184&gt;0,Hoja1!$AB184,IF(Hoja1!$Y184&gt;0,Hoja1!$Y184,IF(Hoja1!$V184&gt;0,Hoja1!$V184," ---"))))))))</f>
        <v>251</v>
      </c>
      <c r="AS184" s="63">
        <v>0.0</v>
      </c>
      <c r="AT184" s="63">
        <v>0.0</v>
      </c>
      <c r="AU184" s="63">
        <v>23.0</v>
      </c>
      <c r="AV184" s="63">
        <v>10.0</v>
      </c>
      <c r="AW184" s="63">
        <v>26.0</v>
      </c>
      <c r="AX184" s="63">
        <v>11.0</v>
      </c>
      <c r="AY184" s="63">
        <v>22.0</v>
      </c>
      <c r="AZ184" s="63">
        <v>0.0</v>
      </c>
      <c r="BA184" s="63">
        <v>0.0</v>
      </c>
      <c r="BB184" s="63">
        <v>0.0</v>
      </c>
      <c r="BC184" s="63">
        <v>0.0</v>
      </c>
      <c r="BD184" s="63">
        <v>0.0</v>
      </c>
      <c r="BE184" s="64">
        <v>0.0</v>
      </c>
      <c r="BF184" s="69">
        <v>0.0</v>
      </c>
      <c r="BG184" s="69">
        <v>0.0</v>
      </c>
      <c r="BH184" s="64">
        <v>0.0</v>
      </c>
      <c r="BI184" s="67" t="str">
        <f t="shared" si="50"/>
        <v>#REF!</v>
      </c>
      <c r="BJ184" s="68" t="str">
        <f t="shared" si="51"/>
        <v>#REF!</v>
      </c>
      <c r="BK184" s="69">
        <v>0.0</v>
      </c>
      <c r="BL184" s="69">
        <v>0.0</v>
      </c>
      <c r="BM184" s="66">
        <v>0.0</v>
      </c>
      <c r="BN184" s="67" t="str">
        <f t="shared" si="52"/>
        <v>#REF!</v>
      </c>
      <c r="BO184" s="68" t="str">
        <f t="shared" si="53"/>
        <v>#REF!</v>
      </c>
      <c r="BP184" s="65">
        <v>196488.59</v>
      </c>
      <c r="BQ184" s="65">
        <v>0.0</v>
      </c>
      <c r="BR184" s="66">
        <v>196488.59</v>
      </c>
      <c r="BS184" s="67" t="str">
        <f t="shared" si="54"/>
        <v>#REF!</v>
      </c>
      <c r="BT184" s="68" t="str">
        <f>'[1]DATA CONSOLIDADA 2018-2025 '!$BR184-Hoja1!$BO184</f>
        <v>#REF!</v>
      </c>
      <c r="BU184" s="65">
        <v>0.0</v>
      </c>
      <c r="BV184" s="65">
        <v>0.0</v>
      </c>
      <c r="BW184" s="66">
        <v>0.0</v>
      </c>
      <c r="BX184" s="67" t="str">
        <f t="shared" si="55"/>
        <v>#REF!</v>
      </c>
      <c r="BY184" s="68" t="str">
        <f t="shared" si="56"/>
        <v>#REF!</v>
      </c>
      <c r="BZ184" s="65">
        <v>124176.0</v>
      </c>
      <c r="CA184" s="65">
        <v>0.0</v>
      </c>
      <c r="CB184" s="66">
        <v>124176.0</v>
      </c>
      <c r="CC184" s="67" t="str">
        <f t="shared" si="57"/>
        <v>#REF!</v>
      </c>
      <c r="CD184" s="68" t="str">
        <f>'[1]DATA CONSOLIDADA 2018-2025 '!$CB184-Hoja1!$BW184</f>
        <v>#REF!</v>
      </c>
      <c r="CE184" s="70">
        <v>0.0</v>
      </c>
      <c r="CF184" s="70">
        <v>0.0</v>
      </c>
      <c r="CG184" s="71">
        <v>0.0</v>
      </c>
      <c r="CH184" s="67" t="str">
        <f t="shared" si="58"/>
        <v>#REF!</v>
      </c>
      <c r="CI184" s="68" t="str">
        <f>'[1]DATA CONSOLIDADA 2018-2025 '!$CG184-Hoja1!$CB184</f>
        <v>#REF!</v>
      </c>
      <c r="CJ184" s="64" t="str">
        <f t="shared" si="22"/>
        <v>#REF!</v>
      </c>
      <c r="CK184" s="64">
        <v>0.0</v>
      </c>
      <c r="CL184" s="64">
        <v>0.0</v>
      </c>
      <c r="CM184" s="64">
        <v>0.0</v>
      </c>
      <c r="CN184" s="64" t="str">
        <f t="shared" si="12"/>
        <v>#REF!</v>
      </c>
      <c r="CO184" s="68" t="str">
        <f>'[1]DATA CONSOLIDADA 2018-2025 '!$CM184-Hoja1!$CG184</f>
        <v>#REF!</v>
      </c>
      <c r="CP184" s="70">
        <v>0.0</v>
      </c>
      <c r="CQ184" s="70">
        <v>124176.0</v>
      </c>
      <c r="CR184" s="70">
        <v>0.0</v>
      </c>
      <c r="CS184" s="70">
        <v>0.0</v>
      </c>
      <c r="CT184" s="70">
        <v>0.0</v>
      </c>
      <c r="CU184" s="70">
        <v>0.0</v>
      </c>
      <c r="CV184" s="64">
        <v>124176.0</v>
      </c>
      <c r="CW184" s="64">
        <v>0.0</v>
      </c>
      <c r="CX184" s="64">
        <v>0.0</v>
      </c>
      <c r="CY184" s="64">
        <v>0.0</v>
      </c>
      <c r="CZ184" s="64">
        <v>0.0</v>
      </c>
      <c r="DA184" s="64">
        <v>0.0</v>
      </c>
      <c r="DB184" s="64">
        <v>0.0</v>
      </c>
      <c r="DC184" s="72">
        <v>0.0</v>
      </c>
      <c r="DD184" s="72">
        <v>0.0</v>
      </c>
      <c r="DE184" s="72">
        <v>0.0</v>
      </c>
      <c r="DF184" s="72">
        <v>0.0</v>
      </c>
      <c r="DG184" s="72">
        <v>0.0</v>
      </c>
      <c r="DH184" s="72">
        <v>0.0</v>
      </c>
      <c r="DI184" s="73" t="s">
        <v>740</v>
      </c>
      <c r="DJ184" s="74" t="s">
        <v>741</v>
      </c>
      <c r="DK184" s="74" t="s">
        <v>132</v>
      </c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  <c r="DV184" s="77"/>
      <c r="DW184" s="77"/>
      <c r="DX184" s="77"/>
      <c r="DY184" s="77"/>
      <c r="DZ184" s="77"/>
      <c r="EA184" s="77"/>
      <c r="EB184" s="77"/>
      <c r="EC184" s="77"/>
      <c r="ED184" s="77"/>
      <c r="EE184" s="77"/>
    </row>
    <row r="185" ht="47.25" customHeight="1">
      <c r="A185" s="55" t="s">
        <v>742</v>
      </c>
      <c r="B185" s="55" t="s">
        <v>146</v>
      </c>
      <c r="C185" s="55" t="s">
        <v>146</v>
      </c>
      <c r="D185" s="55" t="s">
        <v>434</v>
      </c>
      <c r="E185" s="55" t="s">
        <v>487</v>
      </c>
      <c r="F185" s="55" t="s">
        <v>434</v>
      </c>
      <c r="G185" s="55" t="s">
        <v>435</v>
      </c>
      <c r="H185" s="55" t="s">
        <v>488</v>
      </c>
      <c r="I185" s="56"/>
      <c r="J185" s="56"/>
      <c r="K185" s="56"/>
      <c r="L185" s="56"/>
      <c r="M185" s="56"/>
      <c r="N185" s="56"/>
      <c r="O185" s="56">
        <v>1.0</v>
      </c>
      <c r="P185" s="56">
        <v>1.0</v>
      </c>
      <c r="Q185" s="56" t="s">
        <v>131</v>
      </c>
      <c r="R185" s="58" t="str">
        <f t="shared" si="1"/>
        <v>2024 - 2025</v>
      </c>
      <c r="S185" s="59" t="str">
        <f>SUM(Hoja1!$I185:$P185)</f>
        <v>2</v>
      </c>
      <c r="T185" s="59" t="str">
        <f>IF(OR(Hoja1!$J185=1,Hoja1!$K185=1,Hoja1!$L185=1,Hoja1!$M185=1,Hoja1!$N185=1,Hoja1!$O185=1,Hoja1!$P185=1),"SI","NO")</f>
        <v>SI</v>
      </c>
      <c r="U185" s="59" t="str">
        <f>IF(OR(Hoja1!$K185=1,Hoja1!$L185=1,Hoja1!$M185=1,Hoja1!$N185=1,Hoja1!$O185=1,Hoja1!$P185=1),"SI","NO")</f>
        <v>SI</v>
      </c>
      <c r="V185" s="60">
        <v>0.0</v>
      </c>
      <c r="W185" s="61">
        <v>0.0</v>
      </c>
      <c r="X185" s="61">
        <v>0.0</v>
      </c>
      <c r="Y185" s="60">
        <v>0.0</v>
      </c>
      <c r="Z185" s="61">
        <v>0.0</v>
      </c>
      <c r="AA185" s="61">
        <v>0.0</v>
      </c>
      <c r="AB185" s="60">
        <v>0.0</v>
      </c>
      <c r="AC185" s="61">
        <v>0.0</v>
      </c>
      <c r="AD185" s="61">
        <v>0.0</v>
      </c>
      <c r="AE185" s="60">
        <v>0.0</v>
      </c>
      <c r="AF185" s="61">
        <v>0.0</v>
      </c>
      <c r="AG185" s="61">
        <v>0.0</v>
      </c>
      <c r="AH185" s="60">
        <v>0.0</v>
      </c>
      <c r="AI185" s="61">
        <v>0.0</v>
      </c>
      <c r="AJ185" s="61">
        <v>0.0</v>
      </c>
      <c r="AK185" s="60">
        <v>0.0</v>
      </c>
      <c r="AL185" s="61">
        <v>19.0</v>
      </c>
      <c r="AM185" s="61">
        <v>3.0</v>
      </c>
      <c r="AN185" s="60">
        <v>22.0</v>
      </c>
      <c r="AO185" s="62">
        <v>20.0</v>
      </c>
      <c r="AP185" s="62">
        <v>2.0</v>
      </c>
      <c r="AQ185" s="60">
        <v>22.0</v>
      </c>
      <c r="AR185" s="60" t="str">
        <f>IF(Hoja1!$AQ185&gt;0,Hoja1!$AQ185,IF(Hoja1!$AN185&gt;0,Hoja1!$AN185,IF(Hoja1!$AK185&gt;0,Hoja1!$AK185,IF(Hoja1!$AH185&gt;0,Hoja1!$AH185,IF(Hoja1!$AE185&gt;0,Hoja1!$AE185,IF(Hoja1!$AB185&gt;0,Hoja1!$AB185,IF(Hoja1!$Y185&gt;0,Hoja1!$Y185,IF(Hoja1!$V185&gt;0,Hoja1!$V185," ---"))))))))</f>
        <v>22</v>
      </c>
      <c r="AS185" s="63">
        <v>0.0</v>
      </c>
      <c r="AT185" s="63">
        <v>0.0</v>
      </c>
      <c r="AU185" s="63">
        <v>0.0</v>
      </c>
      <c r="AV185" s="63">
        <v>0.0</v>
      </c>
      <c r="AW185" s="63">
        <v>0.0</v>
      </c>
      <c r="AX185" s="63">
        <v>0.0</v>
      </c>
      <c r="AY185" s="63">
        <v>0.0</v>
      </c>
      <c r="AZ185" s="63">
        <v>0.0</v>
      </c>
      <c r="BA185" s="63">
        <v>14.0</v>
      </c>
      <c r="BB185" s="63">
        <v>3.0</v>
      </c>
      <c r="BC185" s="63">
        <v>15.0</v>
      </c>
      <c r="BD185" s="63">
        <v>3.0</v>
      </c>
      <c r="BE185" s="64">
        <v>0.0</v>
      </c>
      <c r="BF185" s="69">
        <v>0.0</v>
      </c>
      <c r="BG185" s="69">
        <v>0.0</v>
      </c>
      <c r="BH185" s="64">
        <v>0.0</v>
      </c>
      <c r="BI185" s="67" t="str">
        <f>IF('[1]DATA CONSOLIDADA 2018-2025 '!$BH437&gt;'[1]DATA CONSOLIDADA 2018-2025 '!$AN437,"Incremento",IF('[1]DATA CONSOLIDADA 2018-2025 '!$AN437='[1]DATA CONSOLIDADA 2018-2025 '!$BH437,"Sin incremento",IF('[1]DATA CONSOLIDADA 2018-2025 '!$BH437&lt;'[1]DATA CONSOLIDADA 2018-2025 '!$AN437,"Disminución"," ---")))</f>
        <v>#REF!</v>
      </c>
      <c r="BJ185" s="68" t="str">
        <f>'[1]DATA CONSOLIDADA 2018-2025 '!$BH437-'[1]DATA CONSOLIDADA 2018-2025 '!$BE437</f>
        <v>#REF!</v>
      </c>
      <c r="BK185" s="69">
        <v>0.0</v>
      </c>
      <c r="BL185" s="69">
        <v>0.0</v>
      </c>
      <c r="BM185" s="64">
        <v>0.0</v>
      </c>
      <c r="BN185" s="67" t="str">
        <f>IF('[1]DATA CONSOLIDADA 2018-2025 '!$BM437&gt;'[1]DATA CONSOLIDADA 2018-2025 '!$BH437,"Incremento",IF('[1]DATA CONSOLIDADA 2018-2025 '!$BH437='[1]DATA CONSOLIDADA 2018-2025 '!$BM437,"Sin incremento",IF('[1]DATA CONSOLIDADA 2018-2025 '!$BM437&lt;'[1]DATA CONSOLIDADA 2018-2025 '!$BH437,"Disminución"," ---")))</f>
        <v>#REF!</v>
      </c>
      <c r="BO185" s="68" t="str">
        <f>'[1]DATA CONSOLIDADA 2018-2025 '!$BM437-'[1]DATA CONSOLIDADA 2018-2025 '!$BH437</f>
        <v>#REF!</v>
      </c>
      <c r="BP185" s="65">
        <v>0.0</v>
      </c>
      <c r="BQ185" s="65">
        <v>0.0</v>
      </c>
      <c r="BR185" s="66">
        <v>0.0</v>
      </c>
      <c r="BS185" s="67" t="str">
        <f>IF('[1]DATA CONSOLIDADA 2018-2025 '!$BR437&gt;'[1]DATA CONSOLIDADA 2018-2025 '!$BM437,"Incremento",IF('[1]DATA CONSOLIDADA 2018-2025 '!$BM437='[1]DATA CONSOLIDADA 2018-2025 '!$BR437,"Sin incremento",IF('[1]DATA CONSOLIDADA 2018-2025 '!$BR437&lt;'[1]DATA CONSOLIDADA 2018-2025 '!$BM437,"Disminución"," ---")))</f>
        <v>#REF!</v>
      </c>
      <c r="BT185" s="68" t="str">
        <f>'[1]DATA CONSOLIDADA 2018-2025 '!$BR185-Hoja1!$BO185</f>
        <v>#REF!</v>
      </c>
      <c r="BU185" s="69">
        <v>0.0</v>
      </c>
      <c r="BV185" s="65">
        <v>0.0</v>
      </c>
      <c r="BW185" s="66">
        <v>0.0</v>
      </c>
      <c r="BX185" s="67" t="str">
        <f>IF('[1]DATA CONSOLIDADA 2018-2025 '!$BW437&gt;'[1]DATA CONSOLIDADA 2018-2025 '!$BR437,"Incremento",IF('[1]DATA CONSOLIDADA 2018-2025 '!$BR437='[1]DATA CONSOLIDADA 2018-2025 '!$BW437,"Sin incremento",IF('[1]DATA CONSOLIDADA 2018-2025 '!$BW437&lt;'[1]DATA CONSOLIDADA 2018-2025 '!$BR437,"Disminución"," ---")))</f>
        <v>#REF!</v>
      </c>
      <c r="BY185" s="68" t="str">
        <f>'[1]DATA CONSOLIDADA 2018-2025 '!$BW437-'[1]DATA CONSOLIDADA 2018-2025 '!$BR437</f>
        <v>#REF!</v>
      </c>
      <c r="BZ185" s="65">
        <v>0.0</v>
      </c>
      <c r="CA185" s="65">
        <v>0.0</v>
      </c>
      <c r="CB185" s="66">
        <v>0.0</v>
      </c>
      <c r="CC185" s="67" t="str">
        <f>IF('[1]DATA CONSOLIDADA 2018-2025 '!$CB437&gt;'[1]DATA CONSOLIDADA 2018-2025 '!$BW437,"Incremento",IF('[1]DATA CONSOLIDADA 2018-2025 '!$BW437='[1]DATA CONSOLIDADA 2018-2025 '!$CB437,"Sin incremento",IF('[1]DATA CONSOLIDADA 2018-2025 '!$CB437&lt;'[1]DATA CONSOLIDADA 2018-2025 '!$BW437,"Disminución"," ---")))</f>
        <v>#REF!</v>
      </c>
      <c r="CD185" s="68" t="str">
        <f>'[1]DATA CONSOLIDADA 2018-2025 '!$CB185-Hoja1!$BW185</f>
        <v>#REF!</v>
      </c>
      <c r="CE185" s="70">
        <v>548000.0</v>
      </c>
      <c r="CF185" s="70">
        <v>0.0</v>
      </c>
      <c r="CG185" s="71">
        <v>548000.0</v>
      </c>
      <c r="CH185" s="67" t="str">
        <f>IF('[1]DATA CONSOLIDADA 2018-2025 '!$CG437&gt;'[1]DATA CONSOLIDADA 2018-2025 '!$CB437,"Incremento",IF('[1]DATA CONSOLIDADA 2018-2025 '!$CB437='[1]DATA CONSOLIDADA 2018-2025 '!$CG437,"Sin incremento",IF('[1]DATA CONSOLIDADA 2018-2025 '!$CG437&lt;'[1]DATA CONSOLIDADA 2018-2025 '!$CB437,"Disminución"," ---")))</f>
        <v>#REF!</v>
      </c>
      <c r="CI185" s="68" t="str">
        <f>'[1]DATA CONSOLIDADA 2018-2025 '!$CG185-Hoja1!$CB185</f>
        <v>#REF!</v>
      </c>
      <c r="CJ185" s="64" t="str">
        <f t="shared" si="22"/>
        <v>#REF!</v>
      </c>
      <c r="CK185" s="64">
        <v>268522.5</v>
      </c>
      <c r="CL185" s="64">
        <v>0.0</v>
      </c>
      <c r="CM185" s="64">
        <v>268522.5</v>
      </c>
      <c r="CN185" s="64" t="str">
        <f t="shared" si="12"/>
        <v>#REF!</v>
      </c>
      <c r="CO185" s="68" t="str">
        <f>'[1]DATA CONSOLIDADA 2018-2025 '!$CM185-Hoja1!$CG185</f>
        <v>#REF!</v>
      </c>
      <c r="CP185" s="70">
        <v>0.0</v>
      </c>
      <c r="CQ185" s="70">
        <v>0.0</v>
      </c>
      <c r="CR185" s="70">
        <v>0.0</v>
      </c>
      <c r="CS185" s="70">
        <v>0.0</v>
      </c>
      <c r="CT185" s="70">
        <v>0.0</v>
      </c>
      <c r="CU185" s="70">
        <v>0.0</v>
      </c>
      <c r="CV185" s="64">
        <v>0.0</v>
      </c>
      <c r="CW185" s="64">
        <v>0.0</v>
      </c>
      <c r="CX185" s="64">
        <v>77500.0</v>
      </c>
      <c r="CY185" s="64">
        <v>424000.0</v>
      </c>
      <c r="CZ185" s="64">
        <v>0.0</v>
      </c>
      <c r="DA185" s="64">
        <v>46500.0</v>
      </c>
      <c r="DB185" s="64">
        <v>548000.0</v>
      </c>
      <c r="DC185" s="72">
        <v>0.0</v>
      </c>
      <c r="DD185" s="72">
        <v>0.0</v>
      </c>
      <c r="DE185" s="72">
        <v>268522.5</v>
      </c>
      <c r="DF185" s="72">
        <v>0.0</v>
      </c>
      <c r="DG185" s="72">
        <v>0.0</v>
      </c>
      <c r="DH185" s="72">
        <v>268522.5</v>
      </c>
      <c r="DI185" s="73">
        <v>2.06049882E10</v>
      </c>
      <c r="DJ185" s="74" t="s">
        <v>742</v>
      </c>
      <c r="DK185" s="74" t="s">
        <v>138</v>
      </c>
      <c r="DL185" s="75"/>
      <c r="DM185" s="75"/>
      <c r="DN185" s="75"/>
      <c r="DO185" s="75"/>
      <c r="DP185" s="75"/>
      <c r="DQ185" s="75"/>
      <c r="DR185" s="75"/>
      <c r="DS185" s="75"/>
      <c r="DT185" s="75"/>
      <c r="DU185" s="75"/>
      <c r="DV185" s="75"/>
      <c r="DW185" s="75"/>
      <c r="DX185" s="75"/>
      <c r="DY185" s="75"/>
      <c r="DZ185" s="75"/>
      <c r="EA185" s="75"/>
      <c r="EB185" s="75"/>
      <c r="EC185" s="75"/>
      <c r="ED185" s="75"/>
      <c r="EE185" s="75"/>
    </row>
    <row r="186" ht="47.25" hidden="1" customHeight="1">
      <c r="A186" s="55" t="s">
        <v>743</v>
      </c>
      <c r="B186" s="55" t="s">
        <v>126</v>
      </c>
      <c r="C186" s="55" t="s">
        <v>126</v>
      </c>
      <c r="D186" s="55" t="s">
        <v>481</v>
      </c>
      <c r="E186" s="55" t="s">
        <v>709</v>
      </c>
      <c r="F186" s="55" t="s">
        <v>481</v>
      </c>
      <c r="G186" s="55" t="s">
        <v>483</v>
      </c>
      <c r="H186" s="55" t="s">
        <v>483</v>
      </c>
      <c r="I186" s="56"/>
      <c r="J186" s="56"/>
      <c r="K186" s="56"/>
      <c r="L186" s="56">
        <v>1.0</v>
      </c>
      <c r="M186" s="56"/>
      <c r="N186" s="56">
        <v>1.0</v>
      </c>
      <c r="O186" s="56"/>
      <c r="P186" s="56"/>
      <c r="Q186" s="56" t="s">
        <v>131</v>
      </c>
      <c r="R186" s="58" t="str">
        <f t="shared" si="1"/>
        <v>2021-2023</v>
      </c>
      <c r="S186" s="59" t="str">
        <f>SUM(Hoja1!$I186:$P186)</f>
        <v>2</v>
      </c>
      <c r="T186" s="59" t="str">
        <f>IF(OR(Hoja1!$J186=1,Hoja1!$K186=1,Hoja1!$L186=1,Hoja1!$M186=1,Hoja1!$N186=1,Hoja1!$O186=1,Hoja1!$P186=1),"SI","NO")</f>
        <v>SI</v>
      </c>
      <c r="U186" s="59" t="str">
        <f>IF(OR(Hoja1!$K186=1,Hoja1!$L186=1,Hoja1!$M186=1,Hoja1!$N186=1,Hoja1!$O186=1,Hoja1!$P186=1),"SI","NO")</f>
        <v>SI</v>
      </c>
      <c r="V186" s="60">
        <v>0.0</v>
      </c>
      <c r="W186" s="61">
        <v>0.0</v>
      </c>
      <c r="X186" s="61">
        <v>0.0</v>
      </c>
      <c r="Y186" s="60">
        <v>0.0</v>
      </c>
      <c r="Z186" s="61">
        <v>0.0</v>
      </c>
      <c r="AA186" s="61">
        <v>0.0</v>
      </c>
      <c r="AB186" s="60">
        <v>0.0</v>
      </c>
      <c r="AC186" s="61">
        <v>178.0</v>
      </c>
      <c r="AD186" s="61">
        <v>51.0</v>
      </c>
      <c r="AE186" s="60">
        <v>229.0</v>
      </c>
      <c r="AF186" s="61">
        <v>0.0</v>
      </c>
      <c r="AG186" s="61">
        <v>0.0</v>
      </c>
      <c r="AH186" s="60">
        <v>0.0</v>
      </c>
      <c r="AI186" s="61">
        <v>28.0</v>
      </c>
      <c r="AJ186" s="61">
        <v>50.0</v>
      </c>
      <c r="AK186" s="60">
        <v>78.0</v>
      </c>
      <c r="AL186" s="61">
        <v>0.0</v>
      </c>
      <c r="AM186" s="61">
        <v>0.0</v>
      </c>
      <c r="AN186" s="60">
        <v>0.0</v>
      </c>
      <c r="AO186" s="62">
        <v>0.0</v>
      </c>
      <c r="AP186" s="62">
        <v>0.0</v>
      </c>
      <c r="AQ186" s="60">
        <v>0.0</v>
      </c>
      <c r="AR186" s="60" t="str">
        <f>IF(Hoja1!$AQ186&gt;0,Hoja1!$AQ186,IF(Hoja1!$AN186&gt;0,Hoja1!$AN186,IF(Hoja1!$AK186&gt;0,Hoja1!$AK186,IF(Hoja1!$AH186&gt;0,Hoja1!$AH186,IF(Hoja1!$AE186&gt;0,Hoja1!$AE186,IF(Hoja1!$AB186&gt;0,Hoja1!$AB186,IF(Hoja1!$Y186&gt;0,Hoja1!$Y186,IF(Hoja1!$V186&gt;0,Hoja1!$V186," ---"))))))))</f>
        <v>78</v>
      </c>
      <c r="AS186" s="63">
        <v>0.0</v>
      </c>
      <c r="AT186" s="63">
        <v>0.0</v>
      </c>
      <c r="AU186" s="63">
        <v>14.0</v>
      </c>
      <c r="AV186" s="63">
        <v>4.0</v>
      </c>
      <c r="AW186" s="63">
        <v>0.0</v>
      </c>
      <c r="AX186" s="63">
        <v>0.0</v>
      </c>
      <c r="AY186" s="63">
        <v>15.0</v>
      </c>
      <c r="AZ186" s="63">
        <v>0.0</v>
      </c>
      <c r="BA186" s="63">
        <v>0.0</v>
      </c>
      <c r="BB186" s="63">
        <v>0.0</v>
      </c>
      <c r="BC186" s="63">
        <v>0.0</v>
      </c>
      <c r="BD186" s="63">
        <v>0.0</v>
      </c>
      <c r="BE186" s="64">
        <v>0.0</v>
      </c>
      <c r="BF186" s="69">
        <v>0.0</v>
      </c>
      <c r="BG186" s="69">
        <v>0.0</v>
      </c>
      <c r="BH186" s="64">
        <v>0.0</v>
      </c>
      <c r="BI186" s="67" t="str">
        <f t="shared" ref="BI186:BI214" si="59">IF('[1]DATA CONSOLIDADA 2018-2025 '!$BH186&gt;'[1]DATA CONSOLIDADA 2018-2025 '!$AN186,"Incremento",IF('[1]DATA CONSOLIDADA 2018-2025 '!$AN186='[1]DATA CONSOLIDADA 2018-2025 '!$BH186,"Sin incremento",IF('[1]DATA CONSOLIDADA 2018-2025 '!$BH186&lt;'[1]DATA CONSOLIDADA 2018-2025 '!$AN186,"Disminución"," ---")))</f>
        <v>#REF!</v>
      </c>
      <c r="BJ186" s="68" t="str">
        <f t="shared" ref="BJ186:BJ214" si="60">'[1]DATA CONSOLIDADA 2018-2025 '!$BH186-'[1]DATA CONSOLIDADA 2018-2025 '!$BE186</f>
        <v>#REF!</v>
      </c>
      <c r="BK186" s="69">
        <v>0.0</v>
      </c>
      <c r="BL186" s="69">
        <v>0.0</v>
      </c>
      <c r="BM186" s="64">
        <v>0.0</v>
      </c>
      <c r="BN186" s="67" t="str">
        <f t="shared" ref="BN186:BN214" si="61">IF('[1]DATA CONSOLIDADA 2018-2025 '!$BM186&gt;'[1]DATA CONSOLIDADA 2018-2025 '!$BH186,"Incremento",IF('[1]DATA CONSOLIDADA 2018-2025 '!$BH186='[1]DATA CONSOLIDADA 2018-2025 '!$BM186,"Sin incremento",IF('[1]DATA CONSOLIDADA 2018-2025 '!$BM186&lt;'[1]DATA CONSOLIDADA 2018-2025 '!$BH186,"Disminución"," ---")))</f>
        <v>#REF!</v>
      </c>
      <c r="BO186" s="68" t="str">
        <f t="shared" ref="BO186:BO214" si="62">'[1]DATA CONSOLIDADA 2018-2025 '!$BM186-'[1]DATA CONSOLIDADA 2018-2025 '!$BH186</f>
        <v>#REF!</v>
      </c>
      <c r="BP186" s="65">
        <v>1458401.22</v>
      </c>
      <c r="BQ186" s="65">
        <v>997071.46</v>
      </c>
      <c r="BR186" s="66">
        <v>2455472.68</v>
      </c>
      <c r="BS186" s="67" t="str">
        <f t="shared" ref="BS186:BS214" si="63">IF('[1]DATA CONSOLIDADA 2018-2025 '!$BR186&gt;'[1]DATA CONSOLIDADA 2018-2025 '!$BM186,"Incremento",IF('[1]DATA CONSOLIDADA 2018-2025 '!$BM186='[1]DATA CONSOLIDADA 2018-2025 '!$BR186,"Sin incremento",IF('[1]DATA CONSOLIDADA 2018-2025 '!$BR186&lt;'[1]DATA CONSOLIDADA 2018-2025 '!$BM186,"Disminución"," ---")))</f>
        <v>#REF!</v>
      </c>
      <c r="BT186" s="68" t="str">
        <f>'[1]DATA CONSOLIDADA 2018-2025 '!$BR186-Hoja1!$BO186</f>
        <v>#REF!</v>
      </c>
      <c r="BU186" s="65">
        <v>0.0</v>
      </c>
      <c r="BV186" s="65">
        <v>0.0</v>
      </c>
      <c r="BW186" s="66">
        <v>0.0</v>
      </c>
      <c r="BX186" s="67" t="str">
        <f t="shared" ref="BX186:BX214" si="64">IF('[1]DATA CONSOLIDADA 2018-2025 '!$BW186&gt;'[1]DATA CONSOLIDADA 2018-2025 '!$BR186,"Incremento",IF('[1]DATA CONSOLIDADA 2018-2025 '!$BR186='[1]DATA CONSOLIDADA 2018-2025 '!$BW186,"Sin incremento",IF('[1]DATA CONSOLIDADA 2018-2025 '!$BW186&lt;'[1]DATA CONSOLIDADA 2018-2025 '!$BR186,"Disminución"," ---")))</f>
        <v>#REF!</v>
      </c>
      <c r="BY186" s="68" t="str">
        <f t="shared" ref="BY186:BY214" si="65">'[1]DATA CONSOLIDADA 2018-2025 '!$BW186-'[1]DATA CONSOLIDADA 2018-2025 '!$BR186</f>
        <v>#REF!</v>
      </c>
      <c r="BZ186" s="65">
        <v>409579.4</v>
      </c>
      <c r="CA186" s="65">
        <v>1420682.13</v>
      </c>
      <c r="CB186" s="66">
        <v>1830261.53</v>
      </c>
      <c r="CC186" s="67" t="str">
        <f t="shared" ref="CC186:CC214" si="66">IF('[1]DATA CONSOLIDADA 2018-2025 '!$CB186&gt;'[1]DATA CONSOLIDADA 2018-2025 '!$BW186,"Incremento",IF('[1]DATA CONSOLIDADA 2018-2025 '!$BW186='[1]DATA CONSOLIDADA 2018-2025 '!$CB186,"Sin incremento",IF('[1]DATA CONSOLIDADA 2018-2025 '!$CB186&lt;'[1]DATA CONSOLIDADA 2018-2025 '!$BW186,"Disminución"," ---")))</f>
        <v>#REF!</v>
      </c>
      <c r="CD186" s="68" t="str">
        <f>'[1]DATA CONSOLIDADA 2018-2025 '!$CB186-Hoja1!$BW186</f>
        <v>#REF!</v>
      </c>
      <c r="CE186" s="70">
        <v>0.0</v>
      </c>
      <c r="CF186" s="70">
        <v>0.0</v>
      </c>
      <c r="CG186" s="71">
        <v>0.0</v>
      </c>
      <c r="CH186" s="67" t="str">
        <f t="shared" ref="CH186:CH214" si="67">IF('[1]DATA CONSOLIDADA 2018-2025 '!$CG186&gt;'[1]DATA CONSOLIDADA 2018-2025 '!$CB186,"Incremento",IF('[1]DATA CONSOLIDADA 2018-2025 '!$CB186='[1]DATA CONSOLIDADA 2018-2025 '!$CG186,"Sin incremento",IF('[1]DATA CONSOLIDADA 2018-2025 '!$CG186&lt;'[1]DATA CONSOLIDADA 2018-2025 '!$CB186,"Disminución"," ---")))</f>
        <v>#REF!</v>
      </c>
      <c r="CI186" s="68" t="str">
        <f>'[1]DATA CONSOLIDADA 2018-2025 '!$CG186-Hoja1!$CB186</f>
        <v>#REF!</v>
      </c>
      <c r="CJ186" s="64" t="str">
        <f t="shared" si="22"/>
        <v>#REF!</v>
      </c>
      <c r="CK186" s="64">
        <v>0.0</v>
      </c>
      <c r="CL186" s="64">
        <v>0.0</v>
      </c>
      <c r="CM186" s="64">
        <v>0.0</v>
      </c>
      <c r="CN186" s="64" t="str">
        <f t="shared" si="12"/>
        <v>#REF!</v>
      </c>
      <c r="CO186" s="68" t="str">
        <f>'[1]DATA CONSOLIDADA 2018-2025 '!$CM186-Hoja1!$CG186</f>
        <v>#REF!</v>
      </c>
      <c r="CP186" s="70">
        <v>0.0</v>
      </c>
      <c r="CQ186" s="70">
        <v>0.0</v>
      </c>
      <c r="CR186" s="70">
        <v>0.0</v>
      </c>
      <c r="CS186" s="70">
        <v>1830261.53</v>
      </c>
      <c r="CT186" s="70">
        <v>0.0</v>
      </c>
      <c r="CU186" s="70">
        <v>0.0</v>
      </c>
      <c r="CV186" s="64">
        <v>1830261.53</v>
      </c>
      <c r="CW186" s="64">
        <v>0.0</v>
      </c>
      <c r="CX186" s="64">
        <v>0.0</v>
      </c>
      <c r="CY186" s="64">
        <v>0.0</v>
      </c>
      <c r="CZ186" s="64">
        <v>0.0</v>
      </c>
      <c r="DA186" s="64">
        <v>0.0</v>
      </c>
      <c r="DB186" s="64">
        <v>0.0</v>
      </c>
      <c r="DC186" s="72">
        <v>0.0</v>
      </c>
      <c r="DD186" s="72">
        <v>0.0</v>
      </c>
      <c r="DE186" s="72">
        <v>0.0</v>
      </c>
      <c r="DF186" s="72">
        <v>0.0</v>
      </c>
      <c r="DG186" s="72">
        <v>0.0</v>
      </c>
      <c r="DH186" s="72">
        <v>0.0</v>
      </c>
      <c r="DI186" s="73" t="s">
        <v>744</v>
      </c>
      <c r="DJ186" s="74" t="s">
        <v>745</v>
      </c>
      <c r="DK186" s="74" t="s">
        <v>132</v>
      </c>
      <c r="DL186" s="75"/>
      <c r="DM186" s="75"/>
      <c r="DN186" s="75"/>
      <c r="DO186" s="75"/>
      <c r="DP186" s="75"/>
      <c r="DQ186" s="75"/>
      <c r="DR186" s="75"/>
      <c r="DS186" s="75"/>
      <c r="DT186" s="75"/>
      <c r="DU186" s="75"/>
      <c r="DV186" s="75"/>
      <c r="DW186" s="75"/>
      <c r="DX186" s="75"/>
      <c r="DY186" s="75"/>
      <c r="DZ186" s="75"/>
      <c r="EA186" s="75"/>
      <c r="EB186" s="75"/>
      <c r="EC186" s="75"/>
      <c r="ED186" s="75"/>
      <c r="EE186" s="75"/>
    </row>
    <row r="187" ht="47.25" hidden="1" customHeight="1">
      <c r="A187" s="55" t="s">
        <v>746</v>
      </c>
      <c r="B187" s="55" t="s">
        <v>126</v>
      </c>
      <c r="C187" s="55" t="s">
        <v>126</v>
      </c>
      <c r="D187" s="55" t="s">
        <v>481</v>
      </c>
      <c r="E187" s="55" t="s">
        <v>709</v>
      </c>
      <c r="F187" s="55" t="s">
        <v>481</v>
      </c>
      <c r="G187" s="55" t="s">
        <v>483</v>
      </c>
      <c r="H187" s="55" t="s">
        <v>483</v>
      </c>
      <c r="I187" s="56"/>
      <c r="J187" s="56"/>
      <c r="K187" s="56"/>
      <c r="L187" s="56">
        <v>1.0</v>
      </c>
      <c r="M187" s="56"/>
      <c r="N187" s="56"/>
      <c r="O187" s="56"/>
      <c r="P187" s="56"/>
      <c r="Q187" s="56" t="s">
        <v>131</v>
      </c>
      <c r="R187" s="58" t="str">
        <f t="shared" si="1"/>
        <v>2021</v>
      </c>
      <c r="S187" s="59" t="str">
        <f>SUM(Hoja1!$I187:$P187)</f>
        <v>1</v>
      </c>
      <c r="T187" s="59" t="str">
        <f>IF(OR(Hoja1!$J187=1,Hoja1!$K187=1,Hoja1!$L187=1,Hoja1!$M187=1,Hoja1!$N187=1,Hoja1!$O187=1,Hoja1!$P187=1),"SI","NO")</f>
        <v>SI</v>
      </c>
      <c r="U187" s="59" t="str">
        <f>IF(OR(Hoja1!$K187=1,Hoja1!$L187=1,Hoja1!$M187=1,Hoja1!$N187=1,Hoja1!$O187=1,Hoja1!$P187=1),"SI","NO")</f>
        <v>SI</v>
      </c>
      <c r="V187" s="60">
        <v>0.0</v>
      </c>
      <c r="W187" s="61">
        <v>0.0</v>
      </c>
      <c r="X187" s="61">
        <v>0.0</v>
      </c>
      <c r="Y187" s="60">
        <v>0.0</v>
      </c>
      <c r="Z187" s="61">
        <v>0.0</v>
      </c>
      <c r="AA187" s="61">
        <v>0.0</v>
      </c>
      <c r="AB187" s="60">
        <v>0.0</v>
      </c>
      <c r="AC187" s="61">
        <v>60.0</v>
      </c>
      <c r="AD187" s="61">
        <v>15.0</v>
      </c>
      <c r="AE187" s="60">
        <v>75.0</v>
      </c>
      <c r="AF187" s="61">
        <v>0.0</v>
      </c>
      <c r="AG187" s="61">
        <v>0.0</v>
      </c>
      <c r="AH187" s="60">
        <v>0.0</v>
      </c>
      <c r="AI187" s="61">
        <v>0.0</v>
      </c>
      <c r="AJ187" s="61">
        <v>0.0</v>
      </c>
      <c r="AK187" s="60">
        <v>0.0</v>
      </c>
      <c r="AL187" s="61">
        <v>0.0</v>
      </c>
      <c r="AM187" s="61">
        <v>0.0</v>
      </c>
      <c r="AN187" s="60">
        <v>0.0</v>
      </c>
      <c r="AO187" s="62">
        <v>0.0</v>
      </c>
      <c r="AP187" s="62">
        <v>0.0</v>
      </c>
      <c r="AQ187" s="60">
        <v>0.0</v>
      </c>
      <c r="AR187" s="60" t="str">
        <f>IF(Hoja1!$AQ187&gt;0,Hoja1!$AQ187,IF(Hoja1!$AN187&gt;0,Hoja1!$AN187,IF(Hoja1!$AK187&gt;0,Hoja1!$AK187,IF(Hoja1!$AH187&gt;0,Hoja1!$AH187,IF(Hoja1!$AE187&gt;0,Hoja1!$AE187,IF(Hoja1!$AB187&gt;0,Hoja1!$AB187,IF(Hoja1!$Y187&gt;0,Hoja1!$Y187,IF(Hoja1!$V187&gt;0,Hoja1!$V187," ---"))))))))</f>
        <v>75</v>
      </c>
      <c r="AS187" s="63">
        <v>0.0</v>
      </c>
      <c r="AT187" s="63">
        <v>0.0</v>
      </c>
      <c r="AU187" s="63">
        <v>17.0</v>
      </c>
      <c r="AV187" s="63">
        <v>5.0</v>
      </c>
      <c r="AW187" s="63">
        <v>0.0</v>
      </c>
      <c r="AX187" s="63">
        <v>0.0</v>
      </c>
      <c r="AY187" s="63">
        <v>0.0</v>
      </c>
      <c r="AZ187" s="63">
        <v>0.0</v>
      </c>
      <c r="BA187" s="63">
        <v>0.0</v>
      </c>
      <c r="BB187" s="63">
        <v>0.0</v>
      </c>
      <c r="BC187" s="63">
        <v>0.0</v>
      </c>
      <c r="BD187" s="63">
        <v>0.0</v>
      </c>
      <c r="BE187" s="64">
        <v>0.0</v>
      </c>
      <c r="BF187" s="69">
        <v>0.0</v>
      </c>
      <c r="BG187" s="69">
        <v>0.0</v>
      </c>
      <c r="BH187" s="64">
        <v>0.0</v>
      </c>
      <c r="BI187" s="67" t="str">
        <f t="shared" si="59"/>
        <v>#REF!</v>
      </c>
      <c r="BJ187" s="68" t="str">
        <f t="shared" si="60"/>
        <v>#REF!</v>
      </c>
      <c r="BK187" s="69">
        <v>0.0</v>
      </c>
      <c r="BL187" s="69">
        <v>0.0</v>
      </c>
      <c r="BM187" s="64">
        <v>0.0</v>
      </c>
      <c r="BN187" s="67" t="str">
        <f t="shared" si="61"/>
        <v>#REF!</v>
      </c>
      <c r="BO187" s="68" t="str">
        <f t="shared" si="62"/>
        <v>#REF!</v>
      </c>
      <c r="BP187" s="65">
        <v>0.0</v>
      </c>
      <c r="BQ187" s="65">
        <v>0.0</v>
      </c>
      <c r="BR187" s="66">
        <v>0.0</v>
      </c>
      <c r="BS187" s="67" t="str">
        <f t="shared" si="63"/>
        <v>#REF!</v>
      </c>
      <c r="BT187" s="68" t="str">
        <f>'[1]DATA CONSOLIDADA 2018-2025 '!$BR187-Hoja1!$BO187</f>
        <v>#REF!</v>
      </c>
      <c r="BU187" s="65">
        <v>0.0</v>
      </c>
      <c r="BV187" s="65">
        <v>0.0</v>
      </c>
      <c r="BW187" s="66">
        <v>0.0</v>
      </c>
      <c r="BX187" s="67" t="str">
        <f t="shared" si="64"/>
        <v>#REF!</v>
      </c>
      <c r="BY187" s="68" t="str">
        <f t="shared" si="65"/>
        <v>#REF!</v>
      </c>
      <c r="BZ187" s="65">
        <v>0.0</v>
      </c>
      <c r="CA187" s="65">
        <v>0.0</v>
      </c>
      <c r="CB187" s="66">
        <v>0.0</v>
      </c>
      <c r="CC187" s="67" t="str">
        <f t="shared" si="66"/>
        <v>#REF!</v>
      </c>
      <c r="CD187" s="68" t="str">
        <f>'[1]DATA CONSOLIDADA 2018-2025 '!$CB187-Hoja1!$BW187</f>
        <v>#REF!</v>
      </c>
      <c r="CE187" s="70">
        <v>0.0</v>
      </c>
      <c r="CF187" s="70">
        <v>0.0</v>
      </c>
      <c r="CG187" s="71">
        <v>0.0</v>
      </c>
      <c r="CH187" s="67" t="str">
        <f t="shared" si="67"/>
        <v>#REF!</v>
      </c>
      <c r="CI187" s="68" t="str">
        <f>'[1]DATA CONSOLIDADA 2018-2025 '!$CG187-Hoja1!$CB187</f>
        <v>#REF!</v>
      </c>
      <c r="CJ187" s="64" t="str">
        <f t="shared" si="22"/>
        <v>#REF!</v>
      </c>
      <c r="CK187" s="64">
        <v>0.0</v>
      </c>
      <c r="CL187" s="64">
        <v>0.0</v>
      </c>
      <c r="CM187" s="64">
        <v>0.0</v>
      </c>
      <c r="CN187" s="64" t="str">
        <f t="shared" si="12"/>
        <v>#REF!</v>
      </c>
      <c r="CO187" s="68" t="str">
        <f>'[1]DATA CONSOLIDADA 2018-2025 '!$CM187-Hoja1!$CG187</f>
        <v>#REF!</v>
      </c>
      <c r="CP187" s="70">
        <v>0.0</v>
      </c>
      <c r="CQ187" s="70">
        <v>0.0</v>
      </c>
      <c r="CR187" s="70">
        <v>0.0</v>
      </c>
      <c r="CS187" s="70">
        <v>0.0</v>
      </c>
      <c r="CT187" s="70">
        <v>0.0</v>
      </c>
      <c r="CU187" s="70">
        <v>0.0</v>
      </c>
      <c r="CV187" s="64">
        <v>0.0</v>
      </c>
      <c r="CW187" s="64">
        <v>0.0</v>
      </c>
      <c r="CX187" s="64">
        <v>0.0</v>
      </c>
      <c r="CY187" s="64">
        <v>0.0</v>
      </c>
      <c r="CZ187" s="64">
        <v>0.0</v>
      </c>
      <c r="DA187" s="64">
        <v>0.0</v>
      </c>
      <c r="DB187" s="64">
        <v>0.0</v>
      </c>
      <c r="DC187" s="72">
        <v>0.0</v>
      </c>
      <c r="DD187" s="72">
        <v>0.0</v>
      </c>
      <c r="DE187" s="72">
        <v>0.0</v>
      </c>
      <c r="DF187" s="72">
        <v>0.0</v>
      </c>
      <c r="DG187" s="72">
        <v>0.0</v>
      </c>
      <c r="DH187" s="72">
        <v>0.0</v>
      </c>
      <c r="DI187" s="73" t="s">
        <v>747</v>
      </c>
      <c r="DJ187" s="74" t="s">
        <v>748</v>
      </c>
      <c r="DK187" s="74" t="s">
        <v>132</v>
      </c>
      <c r="DL187" s="75"/>
      <c r="DM187" s="75"/>
      <c r="DN187" s="75"/>
      <c r="DO187" s="75"/>
      <c r="DP187" s="75"/>
      <c r="DQ187" s="75"/>
      <c r="DR187" s="75"/>
      <c r="DS187" s="75"/>
      <c r="DT187" s="75"/>
      <c r="DU187" s="75"/>
      <c r="DV187" s="75"/>
      <c r="DW187" s="75"/>
      <c r="DX187" s="75"/>
      <c r="DY187" s="75"/>
      <c r="DZ187" s="75"/>
      <c r="EA187" s="75"/>
      <c r="EB187" s="75"/>
      <c r="EC187" s="75"/>
      <c r="ED187" s="75"/>
      <c r="EE187" s="75"/>
    </row>
    <row r="188" ht="47.25" hidden="1" customHeight="1">
      <c r="A188" s="55" t="s">
        <v>749</v>
      </c>
      <c r="B188" s="55" t="s">
        <v>287</v>
      </c>
      <c r="C188" s="55" t="s">
        <v>287</v>
      </c>
      <c r="D188" s="55" t="s">
        <v>481</v>
      </c>
      <c r="E188" s="55" t="s">
        <v>750</v>
      </c>
      <c r="F188" s="55" t="s">
        <v>481</v>
      </c>
      <c r="G188" s="55" t="s">
        <v>677</v>
      </c>
      <c r="H188" s="55" t="s">
        <v>751</v>
      </c>
      <c r="I188" s="56"/>
      <c r="J188" s="56"/>
      <c r="K188" s="56"/>
      <c r="L188" s="56">
        <v>1.0</v>
      </c>
      <c r="M188" s="56">
        <v>1.0</v>
      </c>
      <c r="N188" s="56">
        <v>1.0</v>
      </c>
      <c r="O188" s="56">
        <v>1.0</v>
      </c>
      <c r="P188" s="56"/>
      <c r="Q188" s="56" t="s">
        <v>131</v>
      </c>
      <c r="R188" s="58" t="str">
        <f t="shared" si="1"/>
        <v>2021-2022-2023-2024</v>
      </c>
      <c r="S188" s="59" t="str">
        <f>SUM(Hoja1!$I188:$P188)</f>
        <v>4</v>
      </c>
      <c r="T188" s="59" t="str">
        <f>IF(OR(Hoja1!$J188=1,Hoja1!$K188=1,Hoja1!$L188=1,Hoja1!$M188=1,Hoja1!$N188=1,Hoja1!$O188=1,Hoja1!$P188=1),"SI","NO")</f>
        <v>SI</v>
      </c>
      <c r="U188" s="59" t="str">
        <f>IF(OR(Hoja1!$K188=1,Hoja1!$L188=1,Hoja1!$M188=1,Hoja1!$N188=1,Hoja1!$O188=1,Hoja1!$P188=1),"SI","NO")</f>
        <v>SI</v>
      </c>
      <c r="V188" s="60">
        <v>0.0</v>
      </c>
      <c r="W188" s="61">
        <v>0.0</v>
      </c>
      <c r="X188" s="61">
        <v>0.0</v>
      </c>
      <c r="Y188" s="60">
        <v>0.0</v>
      </c>
      <c r="Z188" s="61">
        <v>0.0</v>
      </c>
      <c r="AA188" s="61">
        <v>0.0</v>
      </c>
      <c r="AB188" s="60">
        <v>0.0</v>
      </c>
      <c r="AC188" s="61">
        <v>0.0</v>
      </c>
      <c r="AD188" s="61">
        <v>76.0</v>
      </c>
      <c r="AE188" s="60">
        <v>76.0</v>
      </c>
      <c r="AF188" s="61">
        <v>0.0</v>
      </c>
      <c r="AG188" s="61">
        <v>76.0</v>
      </c>
      <c r="AH188" s="60">
        <v>76.0</v>
      </c>
      <c r="AI188" s="61">
        <v>0.0</v>
      </c>
      <c r="AJ188" s="61">
        <v>76.0</v>
      </c>
      <c r="AK188" s="60">
        <v>76.0</v>
      </c>
      <c r="AL188" s="61">
        <v>0.0</v>
      </c>
      <c r="AM188" s="61">
        <v>76.0</v>
      </c>
      <c r="AN188" s="60">
        <v>76.0</v>
      </c>
      <c r="AO188" s="62">
        <v>0.0</v>
      </c>
      <c r="AP188" s="62">
        <v>0.0</v>
      </c>
      <c r="AQ188" s="60">
        <v>0.0</v>
      </c>
      <c r="AR188" s="60" t="str">
        <f>IF(Hoja1!$AQ188&gt;0,Hoja1!$AQ188,IF(Hoja1!$AN188&gt;0,Hoja1!$AN188,IF(Hoja1!$AK188&gt;0,Hoja1!$AK188,IF(Hoja1!$AH188&gt;0,Hoja1!$AH188,IF(Hoja1!$AE188&gt;0,Hoja1!$AE188,IF(Hoja1!$AB188&gt;0,Hoja1!$AB188,IF(Hoja1!$Y188&gt;0,Hoja1!$Y188,IF(Hoja1!$V188&gt;0,Hoja1!$V188," ---"))))))))</f>
        <v>76</v>
      </c>
      <c r="AS188" s="63">
        <v>0.0</v>
      </c>
      <c r="AT188" s="63">
        <v>0.0</v>
      </c>
      <c r="AU188" s="63">
        <v>70.0</v>
      </c>
      <c r="AV188" s="63">
        <v>5.0</v>
      </c>
      <c r="AW188" s="63">
        <v>45.0</v>
      </c>
      <c r="AX188" s="63">
        <v>2.0</v>
      </c>
      <c r="AY188" s="63">
        <v>35.0</v>
      </c>
      <c r="AZ188" s="63">
        <v>5.0</v>
      </c>
      <c r="BA188" s="63">
        <v>26.0</v>
      </c>
      <c r="BB188" s="63">
        <v>0.0</v>
      </c>
      <c r="BC188" s="63">
        <v>0.0</v>
      </c>
      <c r="BD188" s="63">
        <v>0.0</v>
      </c>
      <c r="BE188" s="64">
        <v>0.0</v>
      </c>
      <c r="BF188" s="69">
        <v>0.0</v>
      </c>
      <c r="BG188" s="69">
        <v>0.0</v>
      </c>
      <c r="BH188" s="64">
        <v>0.0</v>
      </c>
      <c r="BI188" s="67" t="str">
        <f t="shared" si="59"/>
        <v>#REF!</v>
      </c>
      <c r="BJ188" s="68" t="str">
        <f t="shared" si="60"/>
        <v>#REF!</v>
      </c>
      <c r="BK188" s="69">
        <v>0.0</v>
      </c>
      <c r="BL188" s="69">
        <v>0.0</v>
      </c>
      <c r="BM188" s="64">
        <v>0.0</v>
      </c>
      <c r="BN188" s="67" t="str">
        <f t="shared" si="61"/>
        <v>#REF!</v>
      </c>
      <c r="BO188" s="68" t="str">
        <f t="shared" si="62"/>
        <v>#REF!</v>
      </c>
      <c r="BP188" s="65">
        <v>0.0</v>
      </c>
      <c r="BQ188" s="65">
        <v>0.0</v>
      </c>
      <c r="BR188" s="66">
        <v>0.0</v>
      </c>
      <c r="BS188" s="67" t="str">
        <f t="shared" si="63"/>
        <v>#REF!</v>
      </c>
      <c r="BT188" s="68" t="str">
        <f>'[1]DATA CONSOLIDADA 2018-2025 '!$BR188-Hoja1!$BO188</f>
        <v>#REF!</v>
      </c>
      <c r="BU188" s="65">
        <v>26641.77</v>
      </c>
      <c r="BV188" s="65">
        <v>0.0</v>
      </c>
      <c r="BW188" s="66">
        <v>26641.77</v>
      </c>
      <c r="BX188" s="67" t="str">
        <f t="shared" si="64"/>
        <v>#REF!</v>
      </c>
      <c r="BY188" s="68" t="str">
        <f t="shared" si="65"/>
        <v>#REF!</v>
      </c>
      <c r="BZ188" s="65">
        <v>48626.2</v>
      </c>
      <c r="CA188" s="65">
        <v>0.0</v>
      </c>
      <c r="CB188" s="66">
        <v>48626.2</v>
      </c>
      <c r="CC188" s="67" t="str">
        <f t="shared" si="66"/>
        <v>#REF!</v>
      </c>
      <c r="CD188" s="68" t="str">
        <f>'[1]DATA CONSOLIDADA 2018-2025 '!$CB188-Hoja1!$BW188</f>
        <v>#REF!</v>
      </c>
      <c r="CE188" s="70">
        <v>80809.0</v>
      </c>
      <c r="CF188" s="70">
        <v>0.0</v>
      </c>
      <c r="CG188" s="71">
        <v>80809.0</v>
      </c>
      <c r="CH188" s="67" t="str">
        <f t="shared" si="67"/>
        <v>#REF!</v>
      </c>
      <c r="CI188" s="68" t="str">
        <f>'[1]DATA CONSOLIDADA 2018-2025 '!$CG188-Hoja1!$CB188</f>
        <v>#REF!</v>
      </c>
      <c r="CJ188" s="64" t="str">
        <f t="shared" si="22"/>
        <v>#REF!</v>
      </c>
      <c r="CK188" s="64">
        <v>0.0</v>
      </c>
      <c r="CL188" s="64">
        <v>0.0</v>
      </c>
      <c r="CM188" s="64">
        <v>0.0</v>
      </c>
      <c r="CN188" s="64" t="str">
        <f t="shared" si="12"/>
        <v>#REF!</v>
      </c>
      <c r="CO188" s="68" t="str">
        <f>'[1]DATA CONSOLIDADA 2018-2025 '!$CM188-Hoja1!$CG188</f>
        <v>#REF!</v>
      </c>
      <c r="CP188" s="70">
        <v>0.0</v>
      </c>
      <c r="CQ188" s="70">
        <v>48626.2</v>
      </c>
      <c r="CR188" s="70">
        <v>0.0</v>
      </c>
      <c r="CS188" s="70">
        <v>0.0</v>
      </c>
      <c r="CT188" s="70">
        <v>0.0</v>
      </c>
      <c r="CU188" s="70">
        <v>0.0</v>
      </c>
      <c r="CV188" s="64">
        <v>48626.2</v>
      </c>
      <c r="CW188" s="64">
        <v>0.0</v>
      </c>
      <c r="CX188" s="64">
        <v>80809.0</v>
      </c>
      <c r="CY188" s="64">
        <v>0.0</v>
      </c>
      <c r="CZ188" s="64">
        <v>0.0</v>
      </c>
      <c r="DA188" s="64">
        <v>0.0</v>
      </c>
      <c r="DB188" s="64">
        <v>80809.0</v>
      </c>
      <c r="DC188" s="72">
        <v>0.0</v>
      </c>
      <c r="DD188" s="72">
        <v>0.0</v>
      </c>
      <c r="DE188" s="72">
        <v>0.0</v>
      </c>
      <c r="DF188" s="72">
        <v>0.0</v>
      </c>
      <c r="DG188" s="72">
        <v>0.0</v>
      </c>
      <c r="DH188" s="72">
        <v>0.0</v>
      </c>
      <c r="DI188" s="73">
        <v>2.0568236034E10</v>
      </c>
      <c r="DJ188" s="74" t="s">
        <v>749</v>
      </c>
      <c r="DK188" s="74" t="s">
        <v>138</v>
      </c>
      <c r="DL188" s="75"/>
      <c r="DM188" s="75"/>
      <c r="DN188" s="75"/>
      <c r="DO188" s="75"/>
      <c r="DP188" s="75"/>
      <c r="DQ188" s="75"/>
      <c r="DR188" s="75"/>
      <c r="DS188" s="75"/>
      <c r="DT188" s="75"/>
      <c r="DU188" s="75"/>
      <c r="DV188" s="75"/>
      <c r="DW188" s="75"/>
      <c r="DX188" s="75"/>
      <c r="DY188" s="75"/>
      <c r="DZ188" s="75"/>
      <c r="EA188" s="75"/>
      <c r="EB188" s="75"/>
      <c r="EC188" s="75"/>
      <c r="ED188" s="75"/>
      <c r="EE188" s="75"/>
    </row>
    <row r="189" ht="47.25" hidden="1" customHeight="1">
      <c r="A189" s="55" t="s">
        <v>752</v>
      </c>
      <c r="B189" s="55" t="s">
        <v>287</v>
      </c>
      <c r="C189" s="55" t="s">
        <v>287</v>
      </c>
      <c r="D189" s="55" t="s">
        <v>481</v>
      </c>
      <c r="E189" s="55" t="s">
        <v>753</v>
      </c>
      <c r="F189" s="55" t="s">
        <v>481</v>
      </c>
      <c r="G189" s="55" t="s">
        <v>692</v>
      </c>
      <c r="H189" s="55" t="s">
        <v>692</v>
      </c>
      <c r="I189" s="56"/>
      <c r="J189" s="56"/>
      <c r="K189" s="56"/>
      <c r="L189" s="56">
        <v>1.0</v>
      </c>
      <c r="M189" s="56">
        <v>1.0</v>
      </c>
      <c r="N189" s="56">
        <v>1.0</v>
      </c>
      <c r="O189" s="56">
        <v>1.0</v>
      </c>
      <c r="P189" s="56"/>
      <c r="Q189" s="56" t="s">
        <v>131</v>
      </c>
      <c r="R189" s="58" t="str">
        <f t="shared" si="1"/>
        <v>2021-2022-2023-2024</v>
      </c>
      <c r="S189" s="59" t="str">
        <f>SUM(Hoja1!$I189:$P189)</f>
        <v>4</v>
      </c>
      <c r="T189" s="59" t="str">
        <f>IF(OR(Hoja1!$J189=1,Hoja1!$K189=1,Hoja1!$L189=1,Hoja1!$M189=1,Hoja1!$N189=1,Hoja1!$O189=1,Hoja1!$P189=1),"SI","NO")</f>
        <v>SI</v>
      </c>
      <c r="U189" s="59" t="str">
        <f>IF(OR(Hoja1!$K189=1,Hoja1!$L189=1,Hoja1!$M189=1,Hoja1!$N189=1,Hoja1!$O189=1,Hoja1!$P189=1),"SI","NO")</f>
        <v>SI</v>
      </c>
      <c r="V189" s="60">
        <v>0.0</v>
      </c>
      <c r="W189" s="61">
        <v>0.0</v>
      </c>
      <c r="X189" s="61">
        <v>0.0</v>
      </c>
      <c r="Y189" s="60">
        <v>0.0</v>
      </c>
      <c r="Z189" s="61">
        <v>0.0</v>
      </c>
      <c r="AA189" s="61">
        <v>0.0</v>
      </c>
      <c r="AB189" s="60">
        <v>0.0</v>
      </c>
      <c r="AC189" s="61">
        <v>0.0</v>
      </c>
      <c r="AD189" s="61">
        <v>0.0</v>
      </c>
      <c r="AE189" s="60">
        <v>0.0</v>
      </c>
      <c r="AF189" s="61">
        <v>4.0</v>
      </c>
      <c r="AG189" s="61">
        <v>45.0</v>
      </c>
      <c r="AH189" s="60">
        <v>49.0</v>
      </c>
      <c r="AI189" s="61">
        <v>4.0</v>
      </c>
      <c r="AJ189" s="61">
        <v>45.0</v>
      </c>
      <c r="AK189" s="60">
        <v>49.0</v>
      </c>
      <c r="AL189" s="61">
        <v>0.0</v>
      </c>
      <c r="AM189" s="61">
        <v>40.0</v>
      </c>
      <c r="AN189" s="60">
        <v>40.0</v>
      </c>
      <c r="AO189" s="62">
        <v>0.0</v>
      </c>
      <c r="AP189" s="62">
        <v>0.0</v>
      </c>
      <c r="AQ189" s="60">
        <v>0.0</v>
      </c>
      <c r="AR189" s="60" t="str">
        <f>IF(Hoja1!$AQ189&gt;0,Hoja1!$AQ189,IF(Hoja1!$AN189&gt;0,Hoja1!$AN189,IF(Hoja1!$AK189&gt;0,Hoja1!$AK189,IF(Hoja1!$AH189&gt;0,Hoja1!$AH189,IF(Hoja1!$AE189&gt;0,Hoja1!$AE189,IF(Hoja1!$AB189&gt;0,Hoja1!$AB189,IF(Hoja1!$Y189&gt;0,Hoja1!$Y189,IF(Hoja1!$V189&gt;0,Hoja1!$V189," ---"))))))))</f>
        <v>40</v>
      </c>
      <c r="AS189" s="63">
        <v>0.0</v>
      </c>
      <c r="AT189" s="63">
        <v>0.0</v>
      </c>
      <c r="AU189" s="63">
        <v>20.0</v>
      </c>
      <c r="AV189" s="63">
        <v>2.0</v>
      </c>
      <c r="AW189" s="63">
        <v>41.0</v>
      </c>
      <c r="AX189" s="63">
        <v>2.0</v>
      </c>
      <c r="AY189" s="63">
        <v>35.0</v>
      </c>
      <c r="AZ189" s="63">
        <v>5.0</v>
      </c>
      <c r="BA189" s="63">
        <v>26.0</v>
      </c>
      <c r="BB189" s="63">
        <v>0.0</v>
      </c>
      <c r="BC189" s="63">
        <v>0.0</v>
      </c>
      <c r="BD189" s="63">
        <v>0.0</v>
      </c>
      <c r="BE189" s="64">
        <v>0.0</v>
      </c>
      <c r="BF189" s="69">
        <v>0.0</v>
      </c>
      <c r="BG189" s="69">
        <v>0.0</v>
      </c>
      <c r="BH189" s="64">
        <v>0.0</v>
      </c>
      <c r="BI189" s="67" t="str">
        <f t="shared" si="59"/>
        <v>#REF!</v>
      </c>
      <c r="BJ189" s="68" t="str">
        <f t="shared" si="60"/>
        <v>#REF!</v>
      </c>
      <c r="BK189" s="69">
        <v>0.0</v>
      </c>
      <c r="BL189" s="69">
        <v>0.0</v>
      </c>
      <c r="BM189" s="66">
        <v>0.0</v>
      </c>
      <c r="BN189" s="67" t="str">
        <f t="shared" si="61"/>
        <v>#REF!</v>
      </c>
      <c r="BO189" s="68" t="str">
        <f t="shared" si="62"/>
        <v>#REF!</v>
      </c>
      <c r="BP189" s="65">
        <v>14646.08</v>
      </c>
      <c r="BQ189" s="65">
        <v>0.0</v>
      </c>
      <c r="BR189" s="66">
        <v>14646.08</v>
      </c>
      <c r="BS189" s="67" t="str">
        <f t="shared" si="63"/>
        <v>#REF!</v>
      </c>
      <c r="BT189" s="68" t="str">
        <f>'[1]DATA CONSOLIDADA 2018-2025 '!$BR189-Hoja1!$BO189</f>
        <v>#REF!</v>
      </c>
      <c r="BU189" s="65">
        <v>137580.62</v>
      </c>
      <c r="BV189" s="65">
        <v>0.0</v>
      </c>
      <c r="BW189" s="66">
        <v>137580.62</v>
      </c>
      <c r="BX189" s="67" t="str">
        <f t="shared" si="64"/>
        <v>#REF!</v>
      </c>
      <c r="BY189" s="68" t="str">
        <f t="shared" si="65"/>
        <v>#REF!</v>
      </c>
      <c r="BZ189" s="65">
        <v>422750.57</v>
      </c>
      <c r="CA189" s="65">
        <v>0.0</v>
      </c>
      <c r="CB189" s="66">
        <v>422750.57</v>
      </c>
      <c r="CC189" s="67" t="str">
        <f t="shared" si="66"/>
        <v>#REF!</v>
      </c>
      <c r="CD189" s="68" t="str">
        <f>'[1]DATA CONSOLIDADA 2018-2025 '!$CB189-Hoja1!$BW189</f>
        <v>#REF!</v>
      </c>
      <c r="CE189" s="70">
        <v>287100.0</v>
      </c>
      <c r="CF189" s="70">
        <v>0.0</v>
      </c>
      <c r="CG189" s="71">
        <v>287100.0</v>
      </c>
      <c r="CH189" s="67" t="str">
        <f t="shared" si="67"/>
        <v>#REF!</v>
      </c>
      <c r="CI189" s="68" t="str">
        <f>'[1]DATA CONSOLIDADA 2018-2025 '!$CG189-Hoja1!$CB189</f>
        <v>#REF!</v>
      </c>
      <c r="CJ189" s="64" t="str">
        <f t="shared" si="22"/>
        <v>#REF!</v>
      </c>
      <c r="CK189" s="64">
        <v>0.0</v>
      </c>
      <c r="CL189" s="64">
        <v>0.0</v>
      </c>
      <c r="CM189" s="64">
        <v>0.0</v>
      </c>
      <c r="CN189" s="64" t="str">
        <f t="shared" si="12"/>
        <v>#REF!</v>
      </c>
      <c r="CO189" s="68" t="str">
        <f>'[1]DATA CONSOLIDADA 2018-2025 '!$CM189-Hoja1!$CG189</f>
        <v>#REF!</v>
      </c>
      <c r="CP189" s="70">
        <v>57005.729199999994</v>
      </c>
      <c r="CQ189" s="70">
        <v>365744.8067</v>
      </c>
      <c r="CR189" s="70">
        <v>0.0</v>
      </c>
      <c r="CS189" s="70">
        <v>0.0</v>
      </c>
      <c r="CT189" s="70">
        <v>0.0</v>
      </c>
      <c r="CU189" s="70">
        <v>0.0</v>
      </c>
      <c r="CV189" s="64">
        <v>422750.5359</v>
      </c>
      <c r="CW189" s="64">
        <v>0.0</v>
      </c>
      <c r="CX189" s="64">
        <v>287100.0</v>
      </c>
      <c r="CY189" s="64">
        <v>0.0</v>
      </c>
      <c r="CZ189" s="64">
        <v>0.0</v>
      </c>
      <c r="DA189" s="64">
        <v>0.0</v>
      </c>
      <c r="DB189" s="64">
        <v>287100.0</v>
      </c>
      <c r="DC189" s="72">
        <v>0.0</v>
      </c>
      <c r="DD189" s="72">
        <v>0.0</v>
      </c>
      <c r="DE189" s="72">
        <v>0.0</v>
      </c>
      <c r="DF189" s="72">
        <v>0.0</v>
      </c>
      <c r="DG189" s="72">
        <v>0.0</v>
      </c>
      <c r="DH189" s="72">
        <v>0.0</v>
      </c>
      <c r="DI189" s="73">
        <v>2.0568804709E10</v>
      </c>
      <c r="DJ189" s="74" t="s">
        <v>752</v>
      </c>
      <c r="DK189" s="74" t="s">
        <v>132</v>
      </c>
      <c r="DL189" s="75"/>
      <c r="DM189" s="75"/>
      <c r="DN189" s="75"/>
      <c r="DO189" s="75"/>
      <c r="DP189" s="75"/>
      <c r="DQ189" s="75"/>
      <c r="DR189" s="75"/>
      <c r="DS189" s="75"/>
      <c r="DT189" s="75"/>
      <c r="DU189" s="75"/>
      <c r="DV189" s="75"/>
      <c r="DW189" s="75"/>
      <c r="DX189" s="75"/>
      <c r="DY189" s="75"/>
      <c r="DZ189" s="75"/>
      <c r="EA189" s="75"/>
      <c r="EB189" s="75"/>
      <c r="EC189" s="75"/>
      <c r="ED189" s="75"/>
      <c r="EE189" s="75"/>
    </row>
    <row r="190" ht="47.25" hidden="1" customHeight="1">
      <c r="A190" s="55" t="s">
        <v>754</v>
      </c>
      <c r="B190" s="55" t="s">
        <v>455</v>
      </c>
      <c r="C190" s="55" t="s">
        <v>455</v>
      </c>
      <c r="D190" s="55" t="s">
        <v>481</v>
      </c>
      <c r="E190" s="55" t="s">
        <v>750</v>
      </c>
      <c r="F190" s="55" t="s">
        <v>481</v>
      </c>
      <c r="G190" s="55" t="s">
        <v>677</v>
      </c>
      <c r="H190" s="55" t="s">
        <v>751</v>
      </c>
      <c r="I190" s="56"/>
      <c r="J190" s="56"/>
      <c r="K190" s="56"/>
      <c r="L190" s="56">
        <v>1.0</v>
      </c>
      <c r="M190" s="56">
        <v>1.0</v>
      </c>
      <c r="N190" s="56">
        <v>1.0</v>
      </c>
      <c r="O190" s="56"/>
      <c r="P190" s="56"/>
      <c r="Q190" s="56" t="s">
        <v>131</v>
      </c>
      <c r="R190" s="58" t="str">
        <f t="shared" si="1"/>
        <v>2021-2022-2023</v>
      </c>
      <c r="S190" s="59" t="str">
        <f>SUM(Hoja1!$I190:$P190)</f>
        <v>3</v>
      </c>
      <c r="T190" s="59" t="str">
        <f>IF(OR(Hoja1!$J190=1,Hoja1!$K190=1,Hoja1!$L190=1,Hoja1!$M190=1,Hoja1!$N190=1,Hoja1!$O190=1,Hoja1!$P190=1),"SI","NO")</f>
        <v>SI</v>
      </c>
      <c r="U190" s="59" t="str">
        <f>IF(OR(Hoja1!$K190=1,Hoja1!$L190=1,Hoja1!$M190=1,Hoja1!$N190=1,Hoja1!$O190=1,Hoja1!$P190=1),"SI","NO")</f>
        <v>SI</v>
      </c>
      <c r="V190" s="60">
        <v>0.0</v>
      </c>
      <c r="W190" s="61">
        <v>0.0</v>
      </c>
      <c r="X190" s="61">
        <v>0.0</v>
      </c>
      <c r="Y190" s="60">
        <v>0.0</v>
      </c>
      <c r="Z190" s="61">
        <v>0.0</v>
      </c>
      <c r="AA190" s="61">
        <v>0.0</v>
      </c>
      <c r="AB190" s="60">
        <v>0.0</v>
      </c>
      <c r="AC190" s="61">
        <v>36.0</v>
      </c>
      <c r="AD190" s="61">
        <v>82.0</v>
      </c>
      <c r="AE190" s="60">
        <v>118.0</v>
      </c>
      <c r="AF190" s="61">
        <v>36.0</v>
      </c>
      <c r="AG190" s="61">
        <v>82.0</v>
      </c>
      <c r="AH190" s="60">
        <v>118.0</v>
      </c>
      <c r="AI190" s="61">
        <v>36.0</v>
      </c>
      <c r="AJ190" s="61">
        <v>82.0</v>
      </c>
      <c r="AK190" s="60">
        <v>118.0</v>
      </c>
      <c r="AL190" s="61">
        <v>0.0</v>
      </c>
      <c r="AM190" s="61">
        <v>0.0</v>
      </c>
      <c r="AN190" s="60">
        <v>0.0</v>
      </c>
      <c r="AO190" s="62">
        <v>0.0</v>
      </c>
      <c r="AP190" s="62">
        <v>0.0</v>
      </c>
      <c r="AQ190" s="60">
        <v>0.0</v>
      </c>
      <c r="AR190" s="60" t="str">
        <f>IF(Hoja1!$AQ190&gt;0,Hoja1!$AQ190,IF(Hoja1!$AN190&gt;0,Hoja1!$AN190,IF(Hoja1!$AK190&gt;0,Hoja1!$AK190,IF(Hoja1!$AH190&gt;0,Hoja1!$AH190,IF(Hoja1!$AE190&gt;0,Hoja1!$AE190,IF(Hoja1!$AB190&gt;0,Hoja1!$AB190,IF(Hoja1!$Y190&gt;0,Hoja1!$Y190,IF(Hoja1!$V190&gt;0,Hoja1!$V190," ---"))))))))</f>
        <v>118</v>
      </c>
      <c r="AS190" s="63">
        <v>0.0</v>
      </c>
      <c r="AT190" s="63">
        <v>0.0</v>
      </c>
      <c r="AU190" s="63">
        <v>67.0</v>
      </c>
      <c r="AV190" s="63">
        <v>4.0</v>
      </c>
      <c r="AW190" s="63">
        <v>22.0</v>
      </c>
      <c r="AX190" s="63">
        <v>2.0</v>
      </c>
      <c r="AY190" s="63">
        <v>33.0</v>
      </c>
      <c r="AZ190" s="63">
        <v>6.0</v>
      </c>
      <c r="BA190" s="63">
        <v>0.0</v>
      </c>
      <c r="BB190" s="63">
        <v>0.0</v>
      </c>
      <c r="BC190" s="63">
        <v>0.0</v>
      </c>
      <c r="BD190" s="63">
        <v>0.0</v>
      </c>
      <c r="BE190" s="64">
        <v>0.0</v>
      </c>
      <c r="BF190" s="69">
        <v>0.0</v>
      </c>
      <c r="BG190" s="69">
        <v>0.0</v>
      </c>
      <c r="BH190" s="64">
        <v>0.0</v>
      </c>
      <c r="BI190" s="67" t="str">
        <f t="shared" si="59"/>
        <v>#REF!</v>
      </c>
      <c r="BJ190" s="68" t="str">
        <f t="shared" si="60"/>
        <v>#REF!</v>
      </c>
      <c r="BK190" s="69">
        <v>0.0</v>
      </c>
      <c r="BL190" s="69">
        <v>0.0</v>
      </c>
      <c r="BM190" s="66">
        <v>0.0</v>
      </c>
      <c r="BN190" s="67" t="str">
        <f t="shared" si="61"/>
        <v>#REF!</v>
      </c>
      <c r="BO190" s="68" t="str">
        <f t="shared" si="62"/>
        <v>#REF!</v>
      </c>
      <c r="BP190" s="65">
        <v>403482.59</v>
      </c>
      <c r="BQ190" s="65">
        <v>0.0</v>
      </c>
      <c r="BR190" s="66">
        <v>403482.59</v>
      </c>
      <c r="BS190" s="67" t="str">
        <f t="shared" si="63"/>
        <v>#REF!</v>
      </c>
      <c r="BT190" s="68" t="str">
        <f>'[1]DATA CONSOLIDADA 2018-2025 '!$BR534-Hoja1!$BO190</f>
        <v>#REF!</v>
      </c>
      <c r="BU190" s="65">
        <v>827230.9</v>
      </c>
      <c r="BV190" s="65">
        <v>0.0</v>
      </c>
      <c r="BW190" s="66">
        <v>827230.9</v>
      </c>
      <c r="BX190" s="67" t="str">
        <f t="shared" si="64"/>
        <v>#REF!</v>
      </c>
      <c r="BY190" s="68" t="str">
        <f t="shared" si="65"/>
        <v>#REF!</v>
      </c>
      <c r="BZ190" s="65">
        <v>496495.44</v>
      </c>
      <c r="CA190" s="65">
        <v>0.0</v>
      </c>
      <c r="CB190" s="66">
        <v>496495.44</v>
      </c>
      <c r="CC190" s="67" t="str">
        <f t="shared" si="66"/>
        <v>#REF!</v>
      </c>
      <c r="CD190" s="68" t="str">
        <f>'[1]DATA CONSOLIDADA 2018-2025 '!$CB534-Hoja1!$BW190</f>
        <v>#REF!</v>
      </c>
      <c r="CE190" s="70">
        <v>0.0</v>
      </c>
      <c r="CF190" s="70">
        <v>0.0</v>
      </c>
      <c r="CG190" s="71">
        <v>0.0</v>
      </c>
      <c r="CH190" s="67" t="str">
        <f t="shared" si="67"/>
        <v>#REF!</v>
      </c>
      <c r="CI190" s="68" t="str">
        <f>'[1]DATA CONSOLIDADA 2018-2025 '!$CG534-Hoja1!$CB190</f>
        <v>#REF!</v>
      </c>
      <c r="CJ190" s="64" t="str">
        <f>'[1]DATA CONSOLIDADA 2018-2025 '!$BE534+'[1]DATA CONSOLIDADA 2018-2025 '!$BH534+'[1]DATA CONSOLIDADA 2018-2025 '!$BM534+'[1]DATA CONSOLIDADA 2018-2025 '!$BR534+'[1]DATA CONSOLIDADA 2018-2025 '!$BW534+'[1]DATA CONSOLIDADA 2018-2025 '!$CB534+'[1]DATA CONSOLIDADA 2018-2025 '!$CG534</f>
        <v>#REF!</v>
      </c>
      <c r="CK190" s="64">
        <v>0.0</v>
      </c>
      <c r="CL190" s="64">
        <v>0.0</v>
      </c>
      <c r="CM190" s="64">
        <v>0.0</v>
      </c>
      <c r="CN190" s="64" t="str">
        <f t="shared" si="12"/>
        <v>#REF!</v>
      </c>
      <c r="CO190" s="68" t="str">
        <f>'[1]DATA CONSOLIDADA 2018-2025 '!$CM190-Hoja1!$CG190</f>
        <v>#REF!</v>
      </c>
      <c r="CP190" s="70">
        <v>52081.875</v>
      </c>
      <c r="CQ190" s="70">
        <v>444413.55999999994</v>
      </c>
      <c r="CR190" s="70">
        <v>0.0</v>
      </c>
      <c r="CS190" s="70">
        <v>0.0</v>
      </c>
      <c r="CT190" s="70">
        <v>0.0</v>
      </c>
      <c r="CU190" s="70">
        <v>0.0</v>
      </c>
      <c r="CV190" s="64">
        <v>496495.43499999994</v>
      </c>
      <c r="CW190" s="64">
        <v>0.0</v>
      </c>
      <c r="CX190" s="64">
        <v>0.0</v>
      </c>
      <c r="CY190" s="64">
        <v>0.0</v>
      </c>
      <c r="CZ190" s="64">
        <v>0.0</v>
      </c>
      <c r="DA190" s="64">
        <v>0.0</v>
      </c>
      <c r="DB190" s="64">
        <v>0.0</v>
      </c>
      <c r="DC190" s="72">
        <v>0.0</v>
      </c>
      <c r="DD190" s="72">
        <v>0.0</v>
      </c>
      <c r="DE190" s="72">
        <v>0.0</v>
      </c>
      <c r="DF190" s="72">
        <v>0.0</v>
      </c>
      <c r="DG190" s="72">
        <v>0.0</v>
      </c>
      <c r="DH190" s="72">
        <v>0.0</v>
      </c>
      <c r="DI190" s="73" t="s">
        <v>755</v>
      </c>
      <c r="DJ190" s="74" t="s">
        <v>754</v>
      </c>
      <c r="DK190" s="74" t="s">
        <v>138</v>
      </c>
      <c r="DL190" s="77"/>
      <c r="DM190" s="77"/>
      <c r="DN190" s="77"/>
      <c r="DO190" s="77"/>
      <c r="DP190" s="77"/>
      <c r="DQ190" s="77"/>
      <c r="DR190" s="77"/>
      <c r="DS190" s="77"/>
      <c r="DT190" s="77"/>
      <c r="DU190" s="77"/>
      <c r="DV190" s="77"/>
      <c r="DW190" s="77"/>
      <c r="DX190" s="77"/>
      <c r="DY190" s="77"/>
      <c r="DZ190" s="77"/>
      <c r="EA190" s="77"/>
      <c r="EB190" s="77"/>
      <c r="EC190" s="77"/>
      <c r="ED190" s="77"/>
      <c r="EE190" s="77"/>
    </row>
    <row r="191" ht="47.25" hidden="1" customHeight="1">
      <c r="A191" s="55" t="s">
        <v>756</v>
      </c>
      <c r="B191" s="55" t="s">
        <v>236</v>
      </c>
      <c r="C191" s="55" t="s">
        <v>237</v>
      </c>
      <c r="D191" s="55" t="s">
        <v>481</v>
      </c>
      <c r="E191" s="55" t="s">
        <v>687</v>
      </c>
      <c r="F191" s="55" t="s">
        <v>481</v>
      </c>
      <c r="G191" s="55" t="s">
        <v>677</v>
      </c>
      <c r="H191" s="55" t="s">
        <v>688</v>
      </c>
      <c r="I191" s="56"/>
      <c r="J191" s="56"/>
      <c r="K191" s="56"/>
      <c r="L191" s="56">
        <v>1.0</v>
      </c>
      <c r="M191" s="56">
        <v>1.0</v>
      </c>
      <c r="N191" s="56"/>
      <c r="O191" s="56"/>
      <c r="P191" s="56"/>
      <c r="Q191" s="56" t="s">
        <v>131</v>
      </c>
      <c r="R191" s="58" t="str">
        <f t="shared" si="1"/>
        <v>2021-2022</v>
      </c>
      <c r="S191" s="59" t="str">
        <f>SUM(Hoja1!$I191:$P191)</f>
        <v>2</v>
      </c>
      <c r="T191" s="59" t="str">
        <f>IF(OR(Hoja1!$J191=1,Hoja1!$K191=1,Hoja1!$L191=1,Hoja1!$M191=1,Hoja1!$N191=1,Hoja1!$O191=1,Hoja1!$P191=1),"SI","NO")</f>
        <v>SI</v>
      </c>
      <c r="U191" s="59" t="str">
        <f>IF(OR(Hoja1!$K191=1,Hoja1!$L191=1,Hoja1!$M191=1,Hoja1!$N191=1,Hoja1!$O191=1,Hoja1!$P191=1),"SI","NO")</f>
        <v>SI</v>
      </c>
      <c r="V191" s="60">
        <v>0.0</v>
      </c>
      <c r="W191" s="61">
        <v>0.0</v>
      </c>
      <c r="X191" s="61">
        <v>0.0</v>
      </c>
      <c r="Y191" s="60">
        <v>0.0</v>
      </c>
      <c r="Z191" s="61">
        <v>0.0</v>
      </c>
      <c r="AA191" s="61">
        <v>0.0</v>
      </c>
      <c r="AB191" s="60">
        <v>0.0</v>
      </c>
      <c r="AC191" s="61">
        <v>14.0</v>
      </c>
      <c r="AD191" s="61">
        <v>11.0</v>
      </c>
      <c r="AE191" s="60">
        <v>25.0</v>
      </c>
      <c r="AF191" s="61">
        <v>14.0</v>
      </c>
      <c r="AG191" s="61">
        <v>11.0</v>
      </c>
      <c r="AH191" s="60">
        <v>25.0</v>
      </c>
      <c r="AI191" s="61">
        <v>0.0</v>
      </c>
      <c r="AJ191" s="61">
        <v>0.0</v>
      </c>
      <c r="AK191" s="60">
        <v>0.0</v>
      </c>
      <c r="AL191" s="61">
        <v>0.0</v>
      </c>
      <c r="AM191" s="61">
        <v>0.0</v>
      </c>
      <c r="AN191" s="60">
        <v>0.0</v>
      </c>
      <c r="AO191" s="62">
        <v>0.0</v>
      </c>
      <c r="AP191" s="62">
        <v>0.0</v>
      </c>
      <c r="AQ191" s="60">
        <v>0.0</v>
      </c>
      <c r="AR191" s="60" t="str">
        <f>IF(Hoja1!$AQ191&gt;0,Hoja1!$AQ191,IF(Hoja1!$AN191&gt;0,Hoja1!$AN191,IF(Hoja1!$AK191&gt;0,Hoja1!$AK191,IF(Hoja1!$AH191&gt;0,Hoja1!$AH191,IF(Hoja1!$AE191&gt;0,Hoja1!$AE191,IF(Hoja1!$AB191&gt;0,Hoja1!$AB191,IF(Hoja1!$Y191&gt;0,Hoja1!$Y191,IF(Hoja1!$V191&gt;0,Hoja1!$V191," ---"))))))))</f>
        <v>25</v>
      </c>
      <c r="AS191" s="63">
        <v>0.0</v>
      </c>
      <c r="AT191" s="63">
        <v>0.0</v>
      </c>
      <c r="AU191" s="63">
        <v>31.0</v>
      </c>
      <c r="AV191" s="63">
        <v>1.0</v>
      </c>
      <c r="AW191" s="63">
        <v>22.0</v>
      </c>
      <c r="AX191" s="63">
        <v>2.0</v>
      </c>
      <c r="AY191" s="63">
        <v>0.0</v>
      </c>
      <c r="AZ191" s="63">
        <v>0.0</v>
      </c>
      <c r="BA191" s="63">
        <v>0.0</v>
      </c>
      <c r="BB191" s="63">
        <v>0.0</v>
      </c>
      <c r="BC191" s="63">
        <v>0.0</v>
      </c>
      <c r="BD191" s="63">
        <v>0.0</v>
      </c>
      <c r="BE191" s="64">
        <v>0.0</v>
      </c>
      <c r="BF191" s="69">
        <v>0.0</v>
      </c>
      <c r="BG191" s="69">
        <v>0.0</v>
      </c>
      <c r="BH191" s="64">
        <v>0.0</v>
      </c>
      <c r="BI191" s="67" t="str">
        <f t="shared" si="59"/>
        <v>#REF!</v>
      </c>
      <c r="BJ191" s="68" t="str">
        <f t="shared" si="60"/>
        <v>#REF!</v>
      </c>
      <c r="BK191" s="69">
        <v>0.0</v>
      </c>
      <c r="BL191" s="69">
        <v>0.0</v>
      </c>
      <c r="BM191" s="66">
        <v>0.0</v>
      </c>
      <c r="BN191" s="67" t="str">
        <f t="shared" si="61"/>
        <v>#REF!</v>
      </c>
      <c r="BO191" s="68" t="str">
        <f t="shared" si="62"/>
        <v>#REF!</v>
      </c>
      <c r="BP191" s="65">
        <v>333900.0</v>
      </c>
      <c r="BQ191" s="65">
        <v>0.0</v>
      </c>
      <c r="BR191" s="66">
        <v>333900.0</v>
      </c>
      <c r="BS191" s="67" t="str">
        <f t="shared" si="63"/>
        <v>#REF!</v>
      </c>
      <c r="BT191" s="68" t="str">
        <f>'[1]DATA CONSOLIDADA 2018-2025 '!$BR191-Hoja1!$BO191</f>
        <v>#REF!</v>
      </c>
      <c r="BU191" s="65">
        <v>51000.0</v>
      </c>
      <c r="BV191" s="65">
        <v>0.0</v>
      </c>
      <c r="BW191" s="66">
        <v>51000.0</v>
      </c>
      <c r="BX191" s="67" t="str">
        <f t="shared" si="64"/>
        <v>#REF!</v>
      </c>
      <c r="BY191" s="68" t="str">
        <f t="shared" si="65"/>
        <v>#REF!</v>
      </c>
      <c r="BZ191" s="65">
        <v>0.0</v>
      </c>
      <c r="CA191" s="65">
        <v>0.0</v>
      </c>
      <c r="CB191" s="66">
        <v>0.0</v>
      </c>
      <c r="CC191" s="67" t="str">
        <f t="shared" si="66"/>
        <v>#REF!</v>
      </c>
      <c r="CD191" s="68" t="str">
        <f>'[1]DATA CONSOLIDADA 2018-2025 '!$CB191-Hoja1!$BW191</f>
        <v>#REF!</v>
      </c>
      <c r="CE191" s="70">
        <v>0.0</v>
      </c>
      <c r="CF191" s="70">
        <v>0.0</v>
      </c>
      <c r="CG191" s="71">
        <v>0.0</v>
      </c>
      <c r="CH191" s="67" t="str">
        <f t="shared" si="67"/>
        <v>#REF!</v>
      </c>
      <c r="CI191" s="68" t="str">
        <f>'[1]DATA CONSOLIDADA 2018-2025 '!$CG191-Hoja1!$CB191</f>
        <v>#REF!</v>
      </c>
      <c r="CJ191" s="64" t="str">
        <f t="shared" ref="CJ191:CJ311" si="68">'[1]DATA CONSOLIDADA 2018-2025 '!$BE191+'[1]DATA CONSOLIDADA 2018-2025 '!$BH191+'[1]DATA CONSOLIDADA 2018-2025 '!$BM191+'[1]DATA CONSOLIDADA 2018-2025 '!$BR191+'[1]DATA CONSOLIDADA 2018-2025 '!$BW191+'[1]DATA CONSOLIDADA 2018-2025 '!$CB191+'[1]DATA CONSOLIDADA 2018-2025 '!$CG191</f>
        <v>#REF!</v>
      </c>
      <c r="CK191" s="64">
        <v>0.0</v>
      </c>
      <c r="CL191" s="64">
        <v>0.0</v>
      </c>
      <c r="CM191" s="64">
        <v>0.0</v>
      </c>
      <c r="CN191" s="64" t="str">
        <f t="shared" si="12"/>
        <v>#REF!</v>
      </c>
      <c r="CO191" s="68" t="str">
        <f>'[1]DATA CONSOLIDADA 2018-2025 '!$CM191-Hoja1!$CG191</f>
        <v>#REF!</v>
      </c>
      <c r="CP191" s="70">
        <v>0.0</v>
      </c>
      <c r="CQ191" s="70">
        <v>0.0</v>
      </c>
      <c r="CR191" s="70">
        <v>0.0</v>
      </c>
      <c r="CS191" s="70">
        <v>0.0</v>
      </c>
      <c r="CT191" s="70">
        <v>0.0</v>
      </c>
      <c r="CU191" s="70">
        <v>0.0</v>
      </c>
      <c r="CV191" s="64">
        <v>0.0</v>
      </c>
      <c r="CW191" s="64">
        <v>0.0</v>
      </c>
      <c r="CX191" s="64">
        <v>0.0</v>
      </c>
      <c r="CY191" s="64">
        <v>0.0</v>
      </c>
      <c r="CZ191" s="64">
        <v>0.0</v>
      </c>
      <c r="DA191" s="64">
        <v>0.0</v>
      </c>
      <c r="DB191" s="64">
        <v>0.0</v>
      </c>
      <c r="DC191" s="72">
        <v>0.0</v>
      </c>
      <c r="DD191" s="72">
        <v>0.0</v>
      </c>
      <c r="DE191" s="72">
        <v>0.0</v>
      </c>
      <c r="DF191" s="72">
        <v>0.0</v>
      </c>
      <c r="DG191" s="72">
        <v>0.0</v>
      </c>
      <c r="DH191" s="72">
        <v>0.0</v>
      </c>
      <c r="DI191" s="73" t="s">
        <v>757</v>
      </c>
      <c r="DJ191" s="74" t="s">
        <v>758</v>
      </c>
      <c r="DK191" s="74" t="s">
        <v>138</v>
      </c>
      <c r="DL191" s="77"/>
      <c r="DM191" s="77"/>
      <c r="DN191" s="77"/>
      <c r="DO191" s="77"/>
      <c r="DP191" s="77"/>
      <c r="DQ191" s="77"/>
      <c r="DR191" s="77"/>
      <c r="DS191" s="77"/>
      <c r="DT191" s="77"/>
      <c r="DU191" s="77"/>
      <c r="DV191" s="77"/>
      <c r="DW191" s="77"/>
      <c r="DX191" s="77"/>
      <c r="DY191" s="77"/>
      <c r="DZ191" s="77"/>
      <c r="EA191" s="77"/>
      <c r="EB191" s="77"/>
      <c r="EC191" s="77"/>
      <c r="ED191" s="77"/>
      <c r="EE191" s="77"/>
    </row>
    <row r="192" ht="47.25" hidden="1" customHeight="1">
      <c r="A192" s="55" t="s">
        <v>759</v>
      </c>
      <c r="B192" s="55" t="s">
        <v>256</v>
      </c>
      <c r="C192" s="55" t="s">
        <v>272</v>
      </c>
      <c r="D192" s="55" t="s">
        <v>481</v>
      </c>
      <c r="E192" s="55" t="s">
        <v>760</v>
      </c>
      <c r="F192" s="55" t="s">
        <v>481</v>
      </c>
      <c r="G192" s="55" t="s">
        <v>684</v>
      </c>
      <c r="H192" s="55" t="s">
        <v>761</v>
      </c>
      <c r="I192" s="56"/>
      <c r="J192" s="56"/>
      <c r="K192" s="56"/>
      <c r="L192" s="56"/>
      <c r="M192" s="56">
        <v>1.0</v>
      </c>
      <c r="N192" s="56">
        <v>1.0</v>
      </c>
      <c r="O192" s="56">
        <v>1.0</v>
      </c>
      <c r="P192" s="56"/>
      <c r="Q192" s="56" t="s">
        <v>131</v>
      </c>
      <c r="R192" s="58" t="str">
        <f t="shared" si="1"/>
        <v>2022-2023-2024</v>
      </c>
      <c r="S192" s="59" t="str">
        <f>SUM(Hoja1!$I192:$P192)</f>
        <v>3</v>
      </c>
      <c r="T192" s="59" t="str">
        <f>IF(OR(Hoja1!$J192=1,Hoja1!$K192=1,Hoja1!$L192=1,Hoja1!$M192=1,Hoja1!$N192=1,Hoja1!$O192=1,Hoja1!$P192=1),"SI","NO")</f>
        <v>SI</v>
      </c>
      <c r="U192" s="59" t="str">
        <f>IF(OR(Hoja1!$K192=1,Hoja1!$L192=1,Hoja1!$M192=1,Hoja1!$N192=1,Hoja1!$O192=1,Hoja1!$P192=1),"SI","NO")</f>
        <v>SI</v>
      </c>
      <c r="V192" s="60">
        <v>0.0</v>
      </c>
      <c r="W192" s="61">
        <v>0.0</v>
      </c>
      <c r="X192" s="61">
        <v>0.0</v>
      </c>
      <c r="Y192" s="60">
        <v>0.0</v>
      </c>
      <c r="Z192" s="61">
        <v>0.0</v>
      </c>
      <c r="AA192" s="61">
        <v>0.0</v>
      </c>
      <c r="AB192" s="60">
        <v>0.0</v>
      </c>
      <c r="AC192" s="61">
        <v>0.0</v>
      </c>
      <c r="AD192" s="61">
        <v>0.0</v>
      </c>
      <c r="AE192" s="60">
        <v>0.0</v>
      </c>
      <c r="AF192" s="61">
        <v>226.0</v>
      </c>
      <c r="AG192" s="61">
        <v>90.0</v>
      </c>
      <c r="AH192" s="60">
        <v>316.0</v>
      </c>
      <c r="AI192" s="61">
        <v>226.0</v>
      </c>
      <c r="AJ192" s="61">
        <v>90.0</v>
      </c>
      <c r="AK192" s="60">
        <v>316.0</v>
      </c>
      <c r="AL192" s="61">
        <v>296.0</v>
      </c>
      <c r="AM192" s="61">
        <v>85.0</v>
      </c>
      <c r="AN192" s="60">
        <v>381.0</v>
      </c>
      <c r="AO192" s="62">
        <v>0.0</v>
      </c>
      <c r="AP192" s="62">
        <v>0.0</v>
      </c>
      <c r="AQ192" s="60">
        <v>0.0</v>
      </c>
      <c r="AR192" s="60" t="str">
        <f>IF(Hoja1!$AQ192&gt;0,Hoja1!$AQ192,IF(Hoja1!$AN192&gt;0,Hoja1!$AN192,IF(Hoja1!$AK192&gt;0,Hoja1!$AK192,IF(Hoja1!$AH192&gt;0,Hoja1!$AH192,IF(Hoja1!$AE192&gt;0,Hoja1!$AE192,IF(Hoja1!$AB192&gt;0,Hoja1!$AB192,IF(Hoja1!$Y192&gt;0,Hoja1!$Y192,IF(Hoja1!$V192&gt;0,Hoja1!$V192," ---"))))))))</f>
        <v>381</v>
      </c>
      <c r="AS192" s="63">
        <v>0.0</v>
      </c>
      <c r="AT192" s="63">
        <v>0.0</v>
      </c>
      <c r="AU192" s="63">
        <v>0.0</v>
      </c>
      <c r="AV192" s="63">
        <v>0.0</v>
      </c>
      <c r="AW192" s="63">
        <v>34.0</v>
      </c>
      <c r="AX192" s="63">
        <v>2.0</v>
      </c>
      <c r="AY192" s="63">
        <v>39.0</v>
      </c>
      <c r="AZ192" s="63">
        <v>1.0</v>
      </c>
      <c r="BA192" s="63">
        <v>21.0</v>
      </c>
      <c r="BB192" s="63">
        <v>2.0</v>
      </c>
      <c r="BC192" s="63">
        <v>0.0</v>
      </c>
      <c r="BD192" s="63">
        <v>0.0</v>
      </c>
      <c r="BE192" s="64">
        <v>0.0</v>
      </c>
      <c r="BF192" s="69">
        <v>0.0</v>
      </c>
      <c r="BG192" s="69">
        <v>0.0</v>
      </c>
      <c r="BH192" s="64">
        <v>0.0</v>
      </c>
      <c r="BI192" s="67" t="str">
        <f t="shared" si="59"/>
        <v>#REF!</v>
      </c>
      <c r="BJ192" s="68" t="str">
        <f t="shared" si="60"/>
        <v>#REF!</v>
      </c>
      <c r="BK192" s="69">
        <v>0.0</v>
      </c>
      <c r="BL192" s="69">
        <v>0.0</v>
      </c>
      <c r="BM192" s="64">
        <v>0.0</v>
      </c>
      <c r="BN192" s="67" t="str">
        <f t="shared" si="61"/>
        <v>#REF!</v>
      </c>
      <c r="BO192" s="68" t="str">
        <f t="shared" si="62"/>
        <v>#REF!</v>
      </c>
      <c r="BP192" s="65">
        <v>0.0</v>
      </c>
      <c r="BQ192" s="65">
        <v>0.0</v>
      </c>
      <c r="BR192" s="66">
        <v>0.0</v>
      </c>
      <c r="BS192" s="67" t="str">
        <f t="shared" si="63"/>
        <v>#REF!</v>
      </c>
      <c r="BT192" s="68" t="str">
        <f>'[1]DATA CONSOLIDADA 2018-2025 '!$BR192-Hoja1!$BO192</f>
        <v>#REF!</v>
      </c>
      <c r="BU192" s="65">
        <v>211469.0</v>
      </c>
      <c r="BV192" s="65">
        <v>0.0</v>
      </c>
      <c r="BW192" s="66">
        <v>211469.0</v>
      </c>
      <c r="BX192" s="67" t="str">
        <f t="shared" si="64"/>
        <v>#REF!</v>
      </c>
      <c r="BY192" s="68" t="str">
        <f t="shared" si="65"/>
        <v>#REF!</v>
      </c>
      <c r="BZ192" s="65">
        <v>3157678.0</v>
      </c>
      <c r="CA192" s="65">
        <v>0.0</v>
      </c>
      <c r="CB192" s="66">
        <v>3157678.0</v>
      </c>
      <c r="CC192" s="67" t="str">
        <f t="shared" si="66"/>
        <v>#REF!</v>
      </c>
      <c r="CD192" s="68" t="str">
        <f>'[1]DATA CONSOLIDADA 2018-2025 '!$CB192-Hoja1!$BW192</f>
        <v>#REF!</v>
      </c>
      <c r="CE192" s="70">
        <v>3668450.0</v>
      </c>
      <c r="CF192" s="70">
        <v>0.0</v>
      </c>
      <c r="CG192" s="71">
        <v>3668450.0</v>
      </c>
      <c r="CH192" s="67" t="str">
        <f t="shared" si="67"/>
        <v>#REF!</v>
      </c>
      <c r="CI192" s="68" t="str">
        <f>'[1]DATA CONSOLIDADA 2018-2025 '!$CG192-Hoja1!$CB192</f>
        <v>#REF!</v>
      </c>
      <c r="CJ192" s="64" t="str">
        <f t="shared" si="68"/>
        <v>#REF!</v>
      </c>
      <c r="CK192" s="64">
        <v>0.0</v>
      </c>
      <c r="CL192" s="64">
        <v>0.0</v>
      </c>
      <c r="CM192" s="64">
        <v>0.0</v>
      </c>
      <c r="CN192" s="64" t="str">
        <f t="shared" si="12"/>
        <v>#REF!</v>
      </c>
      <c r="CO192" s="68" t="str">
        <f>'[1]DATA CONSOLIDADA 2018-2025 '!$CM192-Hoja1!$CG192</f>
        <v>#REF!</v>
      </c>
      <c r="CP192" s="70">
        <v>0.0</v>
      </c>
      <c r="CQ192" s="70">
        <v>3157678.0</v>
      </c>
      <c r="CR192" s="70">
        <v>0.0</v>
      </c>
      <c r="CS192" s="70">
        <v>0.0</v>
      </c>
      <c r="CT192" s="70">
        <v>0.0</v>
      </c>
      <c r="CU192" s="70">
        <v>0.0</v>
      </c>
      <c r="CV192" s="64">
        <v>3157678.0</v>
      </c>
      <c r="CW192" s="64">
        <v>0.0</v>
      </c>
      <c r="CX192" s="64">
        <v>3668450.0</v>
      </c>
      <c r="CY192" s="64">
        <v>0.0</v>
      </c>
      <c r="CZ192" s="64">
        <v>0.0</v>
      </c>
      <c r="DA192" s="64">
        <v>0.0</v>
      </c>
      <c r="DB192" s="64">
        <v>3668450.0</v>
      </c>
      <c r="DC192" s="72">
        <v>0.0</v>
      </c>
      <c r="DD192" s="72">
        <v>0.0</v>
      </c>
      <c r="DE192" s="72">
        <v>0.0</v>
      </c>
      <c r="DF192" s="72">
        <v>0.0</v>
      </c>
      <c r="DG192" s="72">
        <v>0.0</v>
      </c>
      <c r="DH192" s="72">
        <v>0.0</v>
      </c>
      <c r="DI192" s="73">
        <v>2.0568771002E10</v>
      </c>
      <c r="DJ192" s="74" t="s">
        <v>762</v>
      </c>
      <c r="DK192" s="74" t="s">
        <v>306</v>
      </c>
      <c r="DL192" s="77"/>
      <c r="DM192" s="77"/>
      <c r="DN192" s="77"/>
      <c r="DO192" s="77"/>
      <c r="DP192" s="77"/>
      <c r="DQ192" s="77"/>
      <c r="DR192" s="77"/>
      <c r="DS192" s="77"/>
      <c r="DT192" s="77"/>
      <c r="DU192" s="77"/>
      <c r="DV192" s="77"/>
      <c r="DW192" s="77"/>
      <c r="DX192" s="77"/>
      <c r="DY192" s="77"/>
      <c r="DZ192" s="77"/>
      <c r="EA192" s="77"/>
      <c r="EB192" s="77"/>
      <c r="EC192" s="77"/>
      <c r="ED192" s="77"/>
      <c r="EE192" s="77"/>
    </row>
    <row r="193" ht="47.25" hidden="1" customHeight="1">
      <c r="A193" s="55" t="s">
        <v>763</v>
      </c>
      <c r="B193" s="55" t="s">
        <v>166</v>
      </c>
      <c r="C193" s="55" t="s">
        <v>166</v>
      </c>
      <c r="D193" s="55" t="s">
        <v>481</v>
      </c>
      <c r="E193" s="55" t="s">
        <v>764</v>
      </c>
      <c r="F193" s="55" t="s">
        <v>481</v>
      </c>
      <c r="G193" s="55" t="s">
        <v>697</v>
      </c>
      <c r="H193" s="55" t="s">
        <v>765</v>
      </c>
      <c r="I193" s="56"/>
      <c r="J193" s="56"/>
      <c r="K193" s="56"/>
      <c r="L193" s="56"/>
      <c r="M193" s="56">
        <v>1.0</v>
      </c>
      <c r="N193" s="56">
        <v>1.0</v>
      </c>
      <c r="O193" s="56"/>
      <c r="P193" s="56"/>
      <c r="Q193" s="56" t="s">
        <v>131</v>
      </c>
      <c r="R193" s="58" t="str">
        <f t="shared" si="1"/>
        <v>2022-2023</v>
      </c>
      <c r="S193" s="59" t="str">
        <f>SUM(Hoja1!$I193:$P193)</f>
        <v>2</v>
      </c>
      <c r="T193" s="59" t="str">
        <f>IF(OR(Hoja1!$J193=1,Hoja1!$K193=1,Hoja1!$L193=1,Hoja1!$M193=1,Hoja1!$N193=1,Hoja1!$O193=1,Hoja1!$P193=1),"SI","NO")</f>
        <v>SI</v>
      </c>
      <c r="U193" s="59" t="str">
        <f>IF(OR(Hoja1!$K193=1,Hoja1!$L193=1,Hoja1!$M193=1,Hoja1!$N193=1,Hoja1!$O193=1,Hoja1!$P193=1),"SI","NO")</f>
        <v>SI</v>
      </c>
      <c r="V193" s="60">
        <v>0.0</v>
      </c>
      <c r="W193" s="61">
        <v>0.0</v>
      </c>
      <c r="X193" s="61">
        <v>0.0</v>
      </c>
      <c r="Y193" s="60">
        <v>0.0</v>
      </c>
      <c r="Z193" s="61">
        <v>0.0</v>
      </c>
      <c r="AA193" s="61">
        <v>0.0</v>
      </c>
      <c r="AB193" s="60">
        <v>0.0</v>
      </c>
      <c r="AC193" s="61">
        <v>0.0</v>
      </c>
      <c r="AD193" s="61">
        <v>0.0</v>
      </c>
      <c r="AE193" s="60">
        <v>0.0</v>
      </c>
      <c r="AF193" s="61">
        <v>94.0</v>
      </c>
      <c r="AG193" s="61">
        <v>28.0</v>
      </c>
      <c r="AH193" s="60">
        <v>122.0</v>
      </c>
      <c r="AI193" s="61">
        <v>94.0</v>
      </c>
      <c r="AJ193" s="61">
        <v>28.0</v>
      </c>
      <c r="AK193" s="60">
        <v>122.0</v>
      </c>
      <c r="AL193" s="61">
        <v>0.0</v>
      </c>
      <c r="AM193" s="61">
        <v>0.0</v>
      </c>
      <c r="AN193" s="60">
        <v>0.0</v>
      </c>
      <c r="AO193" s="62">
        <v>0.0</v>
      </c>
      <c r="AP193" s="62">
        <v>0.0</v>
      </c>
      <c r="AQ193" s="60">
        <v>0.0</v>
      </c>
      <c r="AR193" s="60" t="str">
        <f>IF(Hoja1!$AQ193&gt;0,Hoja1!$AQ193,IF(Hoja1!$AN193&gt;0,Hoja1!$AN193,IF(Hoja1!$AK193&gt;0,Hoja1!$AK193,IF(Hoja1!$AH193&gt;0,Hoja1!$AH193,IF(Hoja1!$AE193&gt;0,Hoja1!$AE193,IF(Hoja1!$AB193&gt;0,Hoja1!$AB193,IF(Hoja1!$Y193&gt;0,Hoja1!$Y193,IF(Hoja1!$V193&gt;0,Hoja1!$V193," ---"))))))))</f>
        <v>122</v>
      </c>
      <c r="AS193" s="63">
        <v>0.0</v>
      </c>
      <c r="AT193" s="63">
        <v>0.0</v>
      </c>
      <c r="AU193" s="63">
        <v>0.0</v>
      </c>
      <c r="AV193" s="63">
        <v>0.0</v>
      </c>
      <c r="AW193" s="63">
        <v>25.0</v>
      </c>
      <c r="AX193" s="63">
        <v>2.0</v>
      </c>
      <c r="AY193" s="63">
        <v>39.0</v>
      </c>
      <c r="AZ193" s="63">
        <v>1.0</v>
      </c>
      <c r="BA193" s="63">
        <v>0.0</v>
      </c>
      <c r="BB193" s="63">
        <v>0.0</v>
      </c>
      <c r="BC193" s="63">
        <v>0.0</v>
      </c>
      <c r="BD193" s="63">
        <v>0.0</v>
      </c>
      <c r="BE193" s="64">
        <v>0.0</v>
      </c>
      <c r="BF193" s="69">
        <v>0.0</v>
      </c>
      <c r="BG193" s="69">
        <v>0.0</v>
      </c>
      <c r="BH193" s="64">
        <v>0.0</v>
      </c>
      <c r="BI193" s="67" t="str">
        <f t="shared" si="59"/>
        <v>#REF!</v>
      </c>
      <c r="BJ193" s="68" t="str">
        <f t="shared" si="60"/>
        <v>#REF!</v>
      </c>
      <c r="BK193" s="69">
        <v>0.0</v>
      </c>
      <c r="BL193" s="69">
        <v>0.0</v>
      </c>
      <c r="BM193" s="64">
        <v>0.0</v>
      </c>
      <c r="BN193" s="67" t="str">
        <f t="shared" si="61"/>
        <v>#REF!</v>
      </c>
      <c r="BO193" s="68" t="str">
        <f t="shared" si="62"/>
        <v>#REF!</v>
      </c>
      <c r="BP193" s="65">
        <v>0.0</v>
      </c>
      <c r="BQ193" s="65">
        <v>0.0</v>
      </c>
      <c r="BR193" s="66">
        <v>0.0</v>
      </c>
      <c r="BS193" s="67" t="str">
        <f t="shared" si="63"/>
        <v>#REF!</v>
      </c>
      <c r="BT193" s="68" t="str">
        <f>'[1]DATA CONSOLIDADA 2018-2025 '!$BR193-Hoja1!$BO193</f>
        <v>#REF!</v>
      </c>
      <c r="BU193" s="65">
        <v>630066.09</v>
      </c>
      <c r="BV193" s="65">
        <v>0.0</v>
      </c>
      <c r="BW193" s="66">
        <v>630066.09</v>
      </c>
      <c r="BX193" s="67" t="str">
        <f t="shared" si="64"/>
        <v>#REF!</v>
      </c>
      <c r="BY193" s="68" t="str">
        <f t="shared" si="65"/>
        <v>#REF!</v>
      </c>
      <c r="BZ193" s="65">
        <v>1054600.0</v>
      </c>
      <c r="CA193" s="65">
        <v>167146.58</v>
      </c>
      <c r="CB193" s="66">
        <v>1221746.58</v>
      </c>
      <c r="CC193" s="67" t="str">
        <f t="shared" si="66"/>
        <v>#REF!</v>
      </c>
      <c r="CD193" s="68" t="str">
        <f>'[1]DATA CONSOLIDADA 2018-2025 '!$CB193-Hoja1!$BW193</f>
        <v>#REF!</v>
      </c>
      <c r="CE193" s="70">
        <v>0.0</v>
      </c>
      <c r="CF193" s="70">
        <v>0.0</v>
      </c>
      <c r="CG193" s="71">
        <v>0.0</v>
      </c>
      <c r="CH193" s="67" t="str">
        <f t="shared" si="67"/>
        <v>#REF!</v>
      </c>
      <c r="CI193" s="68" t="str">
        <f>'[1]DATA CONSOLIDADA 2018-2025 '!$CG193-Hoja1!$CB193</f>
        <v>#REF!</v>
      </c>
      <c r="CJ193" s="64" t="str">
        <f t="shared" si="68"/>
        <v>#REF!</v>
      </c>
      <c r="CK193" s="64">
        <v>0.0</v>
      </c>
      <c r="CL193" s="64">
        <v>0.0</v>
      </c>
      <c r="CM193" s="64">
        <v>0.0</v>
      </c>
      <c r="CN193" s="64" t="str">
        <f t="shared" si="12"/>
        <v>#REF!</v>
      </c>
      <c r="CO193" s="68" t="str">
        <f>'[1]DATA CONSOLIDADA 2018-2025 '!$CM193-Hoja1!$CG193</f>
        <v>#REF!</v>
      </c>
      <c r="CP193" s="70">
        <v>0.0</v>
      </c>
      <c r="CQ193" s="70">
        <v>1054600.0</v>
      </c>
      <c r="CR193" s="70">
        <v>0.0</v>
      </c>
      <c r="CS193" s="70">
        <v>167146.58</v>
      </c>
      <c r="CT193" s="70">
        <v>0.0</v>
      </c>
      <c r="CU193" s="70">
        <v>0.0</v>
      </c>
      <c r="CV193" s="64">
        <v>1221746.58</v>
      </c>
      <c r="CW193" s="64">
        <v>0.0</v>
      </c>
      <c r="CX193" s="64">
        <v>0.0</v>
      </c>
      <c r="CY193" s="64">
        <v>0.0</v>
      </c>
      <c r="CZ193" s="64">
        <v>0.0</v>
      </c>
      <c r="DA193" s="64">
        <v>0.0</v>
      </c>
      <c r="DB193" s="64">
        <v>0.0</v>
      </c>
      <c r="DC193" s="72">
        <v>0.0</v>
      </c>
      <c r="DD193" s="72">
        <v>0.0</v>
      </c>
      <c r="DE193" s="72">
        <v>0.0</v>
      </c>
      <c r="DF193" s="72">
        <v>0.0</v>
      </c>
      <c r="DG193" s="72">
        <v>0.0</v>
      </c>
      <c r="DH193" s="72">
        <v>0.0</v>
      </c>
      <c r="DI193" s="73">
        <v>2.060596245E10</v>
      </c>
      <c r="DJ193" s="74" t="s">
        <v>766</v>
      </c>
      <c r="DK193" s="74" t="s">
        <v>132</v>
      </c>
      <c r="DL193" s="77"/>
      <c r="DM193" s="77"/>
      <c r="DN193" s="77"/>
      <c r="DO193" s="77"/>
      <c r="DP193" s="77"/>
      <c r="DQ193" s="77"/>
      <c r="DR193" s="77"/>
      <c r="DS193" s="77"/>
      <c r="DT193" s="77"/>
      <c r="DU193" s="77"/>
      <c r="DV193" s="77"/>
      <c r="DW193" s="77"/>
      <c r="DX193" s="77"/>
      <c r="DY193" s="77"/>
      <c r="DZ193" s="77"/>
      <c r="EA193" s="77"/>
      <c r="EB193" s="77"/>
      <c r="EC193" s="77"/>
      <c r="ED193" s="77"/>
      <c r="EE193" s="77"/>
    </row>
    <row r="194" ht="47.25" hidden="1" customHeight="1">
      <c r="A194" s="55" t="s">
        <v>767</v>
      </c>
      <c r="B194" s="55" t="s">
        <v>126</v>
      </c>
      <c r="C194" s="55" t="s">
        <v>126</v>
      </c>
      <c r="D194" s="55" t="s">
        <v>768</v>
      </c>
      <c r="E194" s="55" t="s">
        <v>769</v>
      </c>
      <c r="F194" s="55" t="s">
        <v>768</v>
      </c>
      <c r="G194" s="55" t="s">
        <v>768</v>
      </c>
      <c r="H194" s="55" t="s">
        <v>770</v>
      </c>
      <c r="I194" s="56"/>
      <c r="J194" s="56">
        <v>1.0</v>
      </c>
      <c r="K194" s="56">
        <v>1.0</v>
      </c>
      <c r="L194" s="56"/>
      <c r="M194" s="56"/>
      <c r="N194" s="56">
        <v>1.0</v>
      </c>
      <c r="O194" s="56"/>
      <c r="P194" s="56"/>
      <c r="Q194" s="56" t="s">
        <v>131</v>
      </c>
      <c r="R194" s="58" t="str">
        <f t="shared" si="1"/>
        <v>2019-2020-2023</v>
      </c>
      <c r="S194" s="59" t="str">
        <f>SUM(Hoja1!$I194:$P194)</f>
        <v>3</v>
      </c>
      <c r="T194" s="59" t="str">
        <f>IF(OR(Hoja1!$J194=1,Hoja1!$K194=1,Hoja1!$L194=1,Hoja1!$M194=1,Hoja1!$N194=1,Hoja1!$O194=1,Hoja1!$P194=1),"SI","NO")</f>
        <v>SI</v>
      </c>
      <c r="U194" s="59" t="str">
        <f>IF(OR(Hoja1!$K194=1,Hoja1!$L194=1,Hoja1!$M194=1,Hoja1!$N194=1,Hoja1!$O194=1,Hoja1!$P194=1),"SI","NO")</f>
        <v>SI</v>
      </c>
      <c r="V194" s="60">
        <v>0.0</v>
      </c>
      <c r="W194" s="61">
        <v>22.0</v>
      </c>
      <c r="X194" s="61">
        <v>28.0</v>
      </c>
      <c r="Y194" s="60">
        <v>50.0</v>
      </c>
      <c r="Z194" s="61">
        <v>24.0</v>
      </c>
      <c r="AA194" s="61">
        <v>26.0</v>
      </c>
      <c r="AB194" s="60">
        <v>50.0</v>
      </c>
      <c r="AC194" s="61">
        <v>0.0</v>
      </c>
      <c r="AD194" s="61">
        <v>0.0</v>
      </c>
      <c r="AE194" s="60">
        <v>0.0</v>
      </c>
      <c r="AF194" s="61">
        <v>0.0</v>
      </c>
      <c r="AG194" s="61">
        <v>0.0</v>
      </c>
      <c r="AH194" s="60">
        <v>0.0</v>
      </c>
      <c r="AI194" s="61">
        <v>89.0</v>
      </c>
      <c r="AJ194" s="61">
        <v>27.0</v>
      </c>
      <c r="AK194" s="60">
        <v>116.0</v>
      </c>
      <c r="AL194" s="61">
        <v>0.0</v>
      </c>
      <c r="AM194" s="61">
        <v>0.0</v>
      </c>
      <c r="AN194" s="60">
        <v>0.0</v>
      </c>
      <c r="AO194" s="62">
        <v>0.0</v>
      </c>
      <c r="AP194" s="62">
        <v>0.0</v>
      </c>
      <c r="AQ194" s="60">
        <v>0.0</v>
      </c>
      <c r="AR194" s="60" t="str">
        <f>IF(Hoja1!$AQ194&gt;0,Hoja1!$AQ194,IF(Hoja1!$AN194&gt;0,Hoja1!$AN194,IF(Hoja1!$AK194&gt;0,Hoja1!$AK194,IF(Hoja1!$AH194&gt;0,Hoja1!$AH194,IF(Hoja1!$AE194&gt;0,Hoja1!$AE194,IF(Hoja1!$AB194&gt;0,Hoja1!$AB194,IF(Hoja1!$Y194&gt;0,Hoja1!$Y194,IF(Hoja1!$V194&gt;0,Hoja1!$V194," ---"))))))))</f>
        <v>116</v>
      </c>
      <c r="AS194" s="63">
        <v>0.0</v>
      </c>
      <c r="AT194" s="63">
        <v>0.0</v>
      </c>
      <c r="AU194" s="63">
        <v>0.0</v>
      </c>
      <c r="AV194" s="63">
        <v>0.0</v>
      </c>
      <c r="AW194" s="63">
        <v>0.0</v>
      </c>
      <c r="AX194" s="63">
        <v>0.0</v>
      </c>
      <c r="AY194" s="63">
        <v>22.0</v>
      </c>
      <c r="AZ194" s="63">
        <v>4.0</v>
      </c>
      <c r="BA194" s="63">
        <v>0.0</v>
      </c>
      <c r="BB194" s="63">
        <v>0.0</v>
      </c>
      <c r="BC194" s="63">
        <v>0.0</v>
      </c>
      <c r="BD194" s="63">
        <v>0.0</v>
      </c>
      <c r="BE194" s="66">
        <v>0.0</v>
      </c>
      <c r="BF194" s="65">
        <v>0.0</v>
      </c>
      <c r="BG194" s="65">
        <v>0.0</v>
      </c>
      <c r="BH194" s="66">
        <v>0.0</v>
      </c>
      <c r="BI194" s="67" t="str">
        <f t="shared" si="59"/>
        <v>#REF!</v>
      </c>
      <c r="BJ194" s="68" t="str">
        <f t="shared" si="60"/>
        <v>#REF!</v>
      </c>
      <c r="BK194" s="65">
        <v>24668.25</v>
      </c>
      <c r="BL194" s="65">
        <v>0.0</v>
      </c>
      <c r="BM194" s="66">
        <v>24668.25</v>
      </c>
      <c r="BN194" s="67" t="str">
        <f t="shared" si="61"/>
        <v>#REF!</v>
      </c>
      <c r="BO194" s="68" t="str">
        <f t="shared" si="62"/>
        <v>#REF!</v>
      </c>
      <c r="BP194" s="65">
        <v>0.0</v>
      </c>
      <c r="BQ194" s="65">
        <v>0.0</v>
      </c>
      <c r="BR194" s="66">
        <v>0.0</v>
      </c>
      <c r="BS194" s="67" t="str">
        <f t="shared" si="63"/>
        <v>#REF!</v>
      </c>
      <c r="BT194" s="68" t="str">
        <f>'[1]DATA CONSOLIDADA 2018-2025 '!$BR194-Hoja1!$BO194</f>
        <v>#REF!</v>
      </c>
      <c r="BU194" s="65">
        <v>0.0</v>
      </c>
      <c r="BV194" s="65">
        <v>0.0</v>
      </c>
      <c r="BW194" s="66">
        <v>0.0</v>
      </c>
      <c r="BX194" s="67" t="str">
        <f t="shared" si="64"/>
        <v>#REF!</v>
      </c>
      <c r="BY194" s="68" t="str">
        <f t="shared" si="65"/>
        <v>#REF!</v>
      </c>
      <c r="BZ194" s="65">
        <v>28500.0</v>
      </c>
      <c r="CA194" s="65">
        <v>0.0</v>
      </c>
      <c r="CB194" s="66">
        <v>28500.0</v>
      </c>
      <c r="CC194" s="67" t="str">
        <f t="shared" si="66"/>
        <v>#REF!</v>
      </c>
      <c r="CD194" s="68" t="str">
        <f>'[1]DATA CONSOLIDADA 2018-2025 '!$CB194-Hoja1!$BW194</f>
        <v>#REF!</v>
      </c>
      <c r="CE194" s="70">
        <v>0.0</v>
      </c>
      <c r="CF194" s="70">
        <v>0.0</v>
      </c>
      <c r="CG194" s="71">
        <v>0.0</v>
      </c>
      <c r="CH194" s="67" t="str">
        <f t="shared" si="67"/>
        <v>#REF!</v>
      </c>
      <c r="CI194" s="68" t="str">
        <f>'[1]DATA CONSOLIDADA 2018-2025 '!$CG194-Hoja1!$CB194</f>
        <v>#REF!</v>
      </c>
      <c r="CJ194" s="64" t="str">
        <f t="shared" si="68"/>
        <v>#REF!</v>
      </c>
      <c r="CK194" s="64">
        <v>0.0</v>
      </c>
      <c r="CL194" s="64">
        <v>0.0</v>
      </c>
      <c r="CM194" s="64">
        <v>0.0</v>
      </c>
      <c r="CN194" s="64" t="str">
        <f t="shared" si="12"/>
        <v>#REF!</v>
      </c>
      <c r="CO194" s="68" t="str">
        <f>'[1]DATA CONSOLIDADA 2018-2025 '!$CM194-Hoja1!$CG194</f>
        <v>#REF!</v>
      </c>
      <c r="CP194" s="70">
        <v>0.0</v>
      </c>
      <c r="CQ194" s="70">
        <v>0.0</v>
      </c>
      <c r="CR194" s="70">
        <v>0.0</v>
      </c>
      <c r="CS194" s="70">
        <v>0.0</v>
      </c>
      <c r="CT194" s="70">
        <v>28500.0</v>
      </c>
      <c r="CU194" s="70">
        <v>0.0</v>
      </c>
      <c r="CV194" s="64">
        <v>28500.0</v>
      </c>
      <c r="CW194" s="64">
        <v>0.0</v>
      </c>
      <c r="CX194" s="64">
        <v>0.0</v>
      </c>
      <c r="CY194" s="64">
        <v>0.0</v>
      </c>
      <c r="CZ194" s="64">
        <v>0.0</v>
      </c>
      <c r="DA194" s="64">
        <v>0.0</v>
      </c>
      <c r="DB194" s="64">
        <v>0.0</v>
      </c>
      <c r="DC194" s="72">
        <v>0.0</v>
      </c>
      <c r="DD194" s="72">
        <v>0.0</v>
      </c>
      <c r="DE194" s="72">
        <v>0.0</v>
      </c>
      <c r="DF194" s="72">
        <v>0.0</v>
      </c>
      <c r="DG194" s="72">
        <v>0.0</v>
      </c>
      <c r="DH194" s="72">
        <v>0.0</v>
      </c>
      <c r="DI194" s="73">
        <v>2.060096408E10</v>
      </c>
      <c r="DJ194" s="74" t="s">
        <v>771</v>
      </c>
      <c r="DK194" s="74" t="s">
        <v>138</v>
      </c>
      <c r="DL194" s="75"/>
      <c r="DM194" s="75"/>
      <c r="DN194" s="75"/>
      <c r="DO194" s="75"/>
      <c r="DP194" s="75"/>
      <c r="DQ194" s="75"/>
      <c r="DR194" s="75"/>
      <c r="DS194" s="75"/>
      <c r="DT194" s="75"/>
      <c r="DU194" s="75"/>
      <c r="DV194" s="75"/>
      <c r="DW194" s="75"/>
      <c r="DX194" s="75"/>
      <c r="DY194" s="75"/>
      <c r="DZ194" s="75"/>
      <c r="EA194" s="75"/>
      <c r="EB194" s="75"/>
      <c r="EC194" s="75"/>
      <c r="ED194" s="75"/>
      <c r="EE194" s="75"/>
    </row>
    <row r="195" ht="47.25" hidden="1" customHeight="1">
      <c r="A195" s="55" t="s">
        <v>772</v>
      </c>
      <c r="B195" s="55" t="s">
        <v>126</v>
      </c>
      <c r="C195" s="55" t="s">
        <v>126</v>
      </c>
      <c r="D195" s="55" t="s">
        <v>768</v>
      </c>
      <c r="E195" s="55" t="s">
        <v>773</v>
      </c>
      <c r="F195" s="55" t="s">
        <v>768</v>
      </c>
      <c r="G195" s="55" t="s">
        <v>774</v>
      </c>
      <c r="H195" s="55" t="s">
        <v>775</v>
      </c>
      <c r="I195" s="56"/>
      <c r="J195" s="56">
        <v>1.0</v>
      </c>
      <c r="K195" s="56">
        <v>1.0</v>
      </c>
      <c r="L195" s="56">
        <v>1.0</v>
      </c>
      <c r="M195" s="56"/>
      <c r="N195" s="56">
        <v>1.0</v>
      </c>
      <c r="O195" s="56"/>
      <c r="P195" s="56"/>
      <c r="Q195" s="56" t="s">
        <v>131</v>
      </c>
      <c r="R195" s="58" t="str">
        <f t="shared" si="1"/>
        <v>2019-2020-2021-2023</v>
      </c>
      <c r="S195" s="59" t="str">
        <f>SUM(Hoja1!$I195:$P195)</f>
        <v>4</v>
      </c>
      <c r="T195" s="59" t="str">
        <f>IF(OR(Hoja1!$J195=1,Hoja1!$K195=1,Hoja1!$L195=1,Hoja1!$M195=1,Hoja1!$N195=1,Hoja1!$O195=1,Hoja1!$P195=1),"SI","NO")</f>
        <v>SI</v>
      </c>
      <c r="U195" s="59" t="str">
        <f>IF(OR(Hoja1!$K195=1,Hoja1!$L195=1,Hoja1!$M195=1,Hoja1!$N195=1,Hoja1!$O195=1,Hoja1!$P195=1),"SI","NO")</f>
        <v>SI</v>
      </c>
      <c r="V195" s="60">
        <v>0.0</v>
      </c>
      <c r="W195" s="61">
        <v>171.0</v>
      </c>
      <c r="X195" s="61">
        <v>122.0</v>
      </c>
      <c r="Y195" s="60">
        <v>293.0</v>
      </c>
      <c r="Z195" s="61">
        <v>162.0</v>
      </c>
      <c r="AA195" s="61">
        <v>111.0</v>
      </c>
      <c r="AB195" s="60">
        <v>273.0</v>
      </c>
      <c r="AC195" s="61">
        <v>138.0</v>
      </c>
      <c r="AD195" s="61">
        <v>98.0</v>
      </c>
      <c r="AE195" s="60">
        <v>236.0</v>
      </c>
      <c r="AF195" s="61">
        <v>0.0</v>
      </c>
      <c r="AG195" s="61">
        <v>0.0</v>
      </c>
      <c r="AH195" s="60">
        <v>0.0</v>
      </c>
      <c r="AI195" s="61">
        <v>13.0</v>
      </c>
      <c r="AJ195" s="61">
        <v>11.0</v>
      </c>
      <c r="AK195" s="60">
        <v>24.0</v>
      </c>
      <c r="AL195" s="61">
        <v>0.0</v>
      </c>
      <c r="AM195" s="61">
        <v>0.0</v>
      </c>
      <c r="AN195" s="60">
        <v>0.0</v>
      </c>
      <c r="AO195" s="62">
        <v>0.0</v>
      </c>
      <c r="AP195" s="62">
        <v>0.0</v>
      </c>
      <c r="AQ195" s="60">
        <v>0.0</v>
      </c>
      <c r="AR195" s="60" t="str">
        <f>IF(Hoja1!$AQ195&gt;0,Hoja1!$AQ195,IF(Hoja1!$AN195&gt;0,Hoja1!$AN195,IF(Hoja1!$AK195&gt;0,Hoja1!$AK195,IF(Hoja1!$AH195&gt;0,Hoja1!$AH195,IF(Hoja1!$AE195&gt;0,Hoja1!$AE195,IF(Hoja1!$AB195&gt;0,Hoja1!$AB195,IF(Hoja1!$Y195&gt;0,Hoja1!$Y195,IF(Hoja1!$V195&gt;0,Hoja1!$V195," ---"))))))))</f>
        <v>24</v>
      </c>
      <c r="AS195" s="63">
        <v>0.0</v>
      </c>
      <c r="AT195" s="63">
        <v>0.0</v>
      </c>
      <c r="AU195" s="63">
        <v>60.0</v>
      </c>
      <c r="AV195" s="63">
        <v>25.0</v>
      </c>
      <c r="AW195" s="63">
        <v>0.0</v>
      </c>
      <c r="AX195" s="63">
        <v>0.0</v>
      </c>
      <c r="AY195" s="63">
        <v>34.0</v>
      </c>
      <c r="AZ195" s="63">
        <v>10.0</v>
      </c>
      <c r="BA195" s="63">
        <v>0.0</v>
      </c>
      <c r="BB195" s="63">
        <v>0.0</v>
      </c>
      <c r="BC195" s="63">
        <v>0.0</v>
      </c>
      <c r="BD195" s="63">
        <v>0.0</v>
      </c>
      <c r="BE195" s="66">
        <v>0.0</v>
      </c>
      <c r="BF195" s="65">
        <v>0.0</v>
      </c>
      <c r="BG195" s="65">
        <v>0.0</v>
      </c>
      <c r="BH195" s="66">
        <v>0.0</v>
      </c>
      <c r="BI195" s="67" t="str">
        <f t="shared" si="59"/>
        <v>#REF!</v>
      </c>
      <c r="BJ195" s="68" t="str">
        <f t="shared" si="60"/>
        <v>#REF!</v>
      </c>
      <c r="BK195" s="65">
        <v>288452.4</v>
      </c>
      <c r="BL195" s="65">
        <v>0.0</v>
      </c>
      <c r="BM195" s="66">
        <v>288452.4</v>
      </c>
      <c r="BN195" s="67" t="str">
        <f t="shared" si="61"/>
        <v>#REF!</v>
      </c>
      <c r="BO195" s="68" t="str">
        <f t="shared" si="62"/>
        <v>#REF!</v>
      </c>
      <c r="BP195" s="65">
        <v>641131.68</v>
      </c>
      <c r="BQ195" s="65">
        <v>0.0</v>
      </c>
      <c r="BR195" s="66">
        <v>641131.68</v>
      </c>
      <c r="BS195" s="67" t="str">
        <f t="shared" si="63"/>
        <v>#REF!</v>
      </c>
      <c r="BT195" s="68" t="str">
        <f>'[1]DATA CONSOLIDADA 2018-2025 '!$BR195-Hoja1!$BO195</f>
        <v>#REF!</v>
      </c>
      <c r="BU195" s="65">
        <v>0.0</v>
      </c>
      <c r="BV195" s="65">
        <v>0.0</v>
      </c>
      <c r="BW195" s="66">
        <v>0.0</v>
      </c>
      <c r="BX195" s="67" t="str">
        <f t="shared" si="64"/>
        <v>#REF!</v>
      </c>
      <c r="BY195" s="68" t="str">
        <f t="shared" si="65"/>
        <v>#REF!</v>
      </c>
      <c r="BZ195" s="65">
        <v>200272.33</v>
      </c>
      <c r="CA195" s="65">
        <v>0.0</v>
      </c>
      <c r="CB195" s="66">
        <v>200272.33</v>
      </c>
      <c r="CC195" s="67" t="str">
        <f t="shared" si="66"/>
        <v>#REF!</v>
      </c>
      <c r="CD195" s="68" t="str">
        <f>'[1]DATA CONSOLIDADA 2018-2025 '!$CB195-Hoja1!$BW195</f>
        <v>#REF!</v>
      </c>
      <c r="CE195" s="70">
        <v>0.0</v>
      </c>
      <c r="CF195" s="70">
        <v>0.0</v>
      </c>
      <c r="CG195" s="71">
        <v>0.0</v>
      </c>
      <c r="CH195" s="67" t="str">
        <f t="shared" si="67"/>
        <v>#REF!</v>
      </c>
      <c r="CI195" s="68" t="str">
        <f>'[1]DATA CONSOLIDADA 2018-2025 '!$CG195-Hoja1!$CB195</f>
        <v>#REF!</v>
      </c>
      <c r="CJ195" s="64" t="str">
        <f t="shared" si="68"/>
        <v>#REF!</v>
      </c>
      <c r="CK195" s="64">
        <v>0.0</v>
      </c>
      <c r="CL195" s="64">
        <v>0.0</v>
      </c>
      <c r="CM195" s="64">
        <v>0.0</v>
      </c>
      <c r="CN195" s="64" t="str">
        <f t="shared" si="12"/>
        <v>#REF!</v>
      </c>
      <c r="CO195" s="68" t="str">
        <f>'[1]DATA CONSOLIDADA 2018-2025 '!$CM195-Hoja1!$CG195</f>
        <v>#REF!</v>
      </c>
      <c r="CP195" s="70">
        <v>0.0</v>
      </c>
      <c r="CQ195" s="70">
        <v>0.0</v>
      </c>
      <c r="CR195" s="70">
        <v>0.0</v>
      </c>
      <c r="CS195" s="70">
        <v>0.0</v>
      </c>
      <c r="CT195" s="70">
        <v>0.0</v>
      </c>
      <c r="CU195" s="70">
        <v>200272.36076019995</v>
      </c>
      <c r="CV195" s="64">
        <v>200272.36076019995</v>
      </c>
      <c r="CW195" s="64">
        <v>0.0</v>
      </c>
      <c r="CX195" s="64">
        <v>0.0</v>
      </c>
      <c r="CY195" s="64">
        <v>0.0</v>
      </c>
      <c r="CZ195" s="64">
        <v>0.0</v>
      </c>
      <c r="DA195" s="64">
        <v>0.0</v>
      </c>
      <c r="DB195" s="64">
        <v>0.0</v>
      </c>
      <c r="DC195" s="72">
        <v>0.0</v>
      </c>
      <c r="DD195" s="72">
        <v>0.0</v>
      </c>
      <c r="DE195" s="72">
        <v>0.0</v>
      </c>
      <c r="DF195" s="72">
        <v>0.0</v>
      </c>
      <c r="DG195" s="72">
        <v>0.0</v>
      </c>
      <c r="DH195" s="72">
        <v>0.0</v>
      </c>
      <c r="DI195" s="73">
        <v>2.0487351343E10</v>
      </c>
      <c r="DJ195" s="74" t="s">
        <v>776</v>
      </c>
      <c r="DK195" s="74" t="s">
        <v>138</v>
      </c>
      <c r="DL195" s="75"/>
      <c r="DM195" s="75"/>
      <c r="DN195" s="75"/>
      <c r="DO195" s="75"/>
      <c r="DP195" s="75"/>
      <c r="DQ195" s="75"/>
      <c r="DR195" s="75"/>
      <c r="DS195" s="75"/>
      <c r="DT195" s="75"/>
      <c r="DU195" s="75"/>
      <c r="DV195" s="75"/>
      <c r="DW195" s="75"/>
      <c r="DX195" s="75"/>
      <c r="DY195" s="75"/>
      <c r="DZ195" s="75"/>
      <c r="EA195" s="75"/>
      <c r="EB195" s="75"/>
      <c r="EC195" s="75"/>
      <c r="ED195" s="75"/>
      <c r="EE195" s="75"/>
    </row>
    <row r="196" ht="47.25" hidden="1" customHeight="1">
      <c r="A196" s="55" t="s">
        <v>777</v>
      </c>
      <c r="B196" s="55" t="s">
        <v>126</v>
      </c>
      <c r="C196" s="55" t="s">
        <v>126</v>
      </c>
      <c r="D196" s="55" t="s">
        <v>768</v>
      </c>
      <c r="E196" s="55" t="s">
        <v>769</v>
      </c>
      <c r="F196" s="55" t="s">
        <v>768</v>
      </c>
      <c r="G196" s="55" t="s">
        <v>768</v>
      </c>
      <c r="H196" s="55" t="s">
        <v>770</v>
      </c>
      <c r="I196" s="56"/>
      <c r="J196" s="56">
        <v>1.0</v>
      </c>
      <c r="K196" s="56">
        <v>1.0</v>
      </c>
      <c r="L196" s="56">
        <v>1.0</v>
      </c>
      <c r="M196" s="56"/>
      <c r="N196" s="56">
        <v>1.0</v>
      </c>
      <c r="O196" s="56"/>
      <c r="P196" s="56"/>
      <c r="Q196" s="56" t="s">
        <v>131</v>
      </c>
      <c r="R196" s="58" t="str">
        <f t="shared" si="1"/>
        <v>2019-2020-2021-2023</v>
      </c>
      <c r="S196" s="59" t="str">
        <f>SUM(Hoja1!$I196:$P196)</f>
        <v>4</v>
      </c>
      <c r="T196" s="59" t="str">
        <f>IF(OR(Hoja1!$J196=1,Hoja1!$K196=1,Hoja1!$L196=1,Hoja1!$M196=1,Hoja1!$N196=1,Hoja1!$O196=1,Hoja1!$P196=1),"SI","NO")</f>
        <v>SI</v>
      </c>
      <c r="U196" s="59" t="str">
        <f>IF(OR(Hoja1!$K196=1,Hoja1!$L196=1,Hoja1!$M196=1,Hoja1!$N196=1,Hoja1!$O196=1,Hoja1!$P196=1),"SI","NO")</f>
        <v>SI</v>
      </c>
      <c r="V196" s="60">
        <v>0.0</v>
      </c>
      <c r="W196" s="61">
        <v>103.0</v>
      </c>
      <c r="X196" s="61">
        <v>92.0</v>
      </c>
      <c r="Y196" s="60">
        <v>195.0</v>
      </c>
      <c r="Z196" s="61">
        <v>89.0</v>
      </c>
      <c r="AA196" s="61">
        <v>91.0</v>
      </c>
      <c r="AB196" s="60">
        <v>180.0</v>
      </c>
      <c r="AC196" s="61">
        <v>82.0</v>
      </c>
      <c r="AD196" s="61">
        <v>81.0</v>
      </c>
      <c r="AE196" s="60">
        <v>163.0</v>
      </c>
      <c r="AF196" s="61">
        <v>0.0</v>
      </c>
      <c r="AG196" s="61">
        <v>0.0</v>
      </c>
      <c r="AH196" s="60">
        <v>0.0</v>
      </c>
      <c r="AI196" s="61">
        <v>8.0</v>
      </c>
      <c r="AJ196" s="61">
        <v>12.0</v>
      </c>
      <c r="AK196" s="60">
        <v>20.0</v>
      </c>
      <c r="AL196" s="61">
        <v>0.0</v>
      </c>
      <c r="AM196" s="61">
        <v>0.0</v>
      </c>
      <c r="AN196" s="60">
        <v>0.0</v>
      </c>
      <c r="AO196" s="62">
        <v>0.0</v>
      </c>
      <c r="AP196" s="62">
        <v>0.0</v>
      </c>
      <c r="AQ196" s="60">
        <v>0.0</v>
      </c>
      <c r="AR196" s="60" t="str">
        <f>IF(Hoja1!$AQ196&gt;0,Hoja1!$AQ196,IF(Hoja1!$AN196&gt;0,Hoja1!$AN196,IF(Hoja1!$AK196&gt;0,Hoja1!$AK196,IF(Hoja1!$AH196&gt;0,Hoja1!$AH196,IF(Hoja1!$AE196&gt;0,Hoja1!$AE196,IF(Hoja1!$AB196&gt;0,Hoja1!$AB196,IF(Hoja1!$Y196&gt;0,Hoja1!$Y196,IF(Hoja1!$V196&gt;0,Hoja1!$V196," ---"))))))))</f>
        <v>20</v>
      </c>
      <c r="AS196" s="63">
        <v>0.0</v>
      </c>
      <c r="AT196" s="63">
        <v>1.0</v>
      </c>
      <c r="AU196" s="63">
        <v>62.0</v>
      </c>
      <c r="AV196" s="63">
        <v>26.0</v>
      </c>
      <c r="AW196" s="63">
        <v>0.0</v>
      </c>
      <c r="AX196" s="63">
        <v>0.0</v>
      </c>
      <c r="AY196" s="63">
        <v>32.0</v>
      </c>
      <c r="AZ196" s="63">
        <v>16.0</v>
      </c>
      <c r="BA196" s="63">
        <v>0.0</v>
      </c>
      <c r="BB196" s="63">
        <v>0.0</v>
      </c>
      <c r="BC196" s="63">
        <v>0.0</v>
      </c>
      <c r="BD196" s="63">
        <v>0.0</v>
      </c>
      <c r="BE196" s="66">
        <v>0.0</v>
      </c>
      <c r="BF196" s="65">
        <v>0.0</v>
      </c>
      <c r="BG196" s="65">
        <v>0.0</v>
      </c>
      <c r="BH196" s="66">
        <v>0.0</v>
      </c>
      <c r="BI196" s="67" t="str">
        <f t="shared" si="59"/>
        <v>#REF!</v>
      </c>
      <c r="BJ196" s="68" t="str">
        <f t="shared" si="60"/>
        <v>#REF!</v>
      </c>
      <c r="BK196" s="65">
        <v>399924.47</v>
      </c>
      <c r="BL196" s="65">
        <v>0.0</v>
      </c>
      <c r="BM196" s="66">
        <v>399924.47</v>
      </c>
      <c r="BN196" s="67" t="str">
        <f t="shared" si="61"/>
        <v>#REF!</v>
      </c>
      <c r="BO196" s="68" t="str">
        <f t="shared" si="62"/>
        <v>#REF!</v>
      </c>
      <c r="BP196" s="65">
        <v>597668.98</v>
      </c>
      <c r="BQ196" s="65">
        <v>0.0</v>
      </c>
      <c r="BR196" s="66">
        <v>597668.98</v>
      </c>
      <c r="BS196" s="67" t="str">
        <f t="shared" si="63"/>
        <v>#REF!</v>
      </c>
      <c r="BT196" s="68" t="str">
        <f>'[1]DATA CONSOLIDADA 2018-2025 '!$BR196-Hoja1!$BO196</f>
        <v>#REF!</v>
      </c>
      <c r="BU196" s="65">
        <v>0.0</v>
      </c>
      <c r="BV196" s="65">
        <v>0.0</v>
      </c>
      <c r="BW196" s="66">
        <v>0.0</v>
      </c>
      <c r="BX196" s="67" t="str">
        <f t="shared" si="64"/>
        <v>#REF!</v>
      </c>
      <c r="BY196" s="68" t="str">
        <f t="shared" si="65"/>
        <v>#REF!</v>
      </c>
      <c r="BZ196" s="65">
        <v>526288.09</v>
      </c>
      <c r="CA196" s="65">
        <v>0.0</v>
      </c>
      <c r="CB196" s="66">
        <v>526288.09</v>
      </c>
      <c r="CC196" s="67" t="str">
        <f t="shared" si="66"/>
        <v>#REF!</v>
      </c>
      <c r="CD196" s="68" t="str">
        <f>'[1]DATA CONSOLIDADA 2018-2025 '!$CB196-Hoja1!$BW196</f>
        <v>#REF!</v>
      </c>
      <c r="CE196" s="70">
        <v>0.0</v>
      </c>
      <c r="CF196" s="70">
        <v>0.0</v>
      </c>
      <c r="CG196" s="71">
        <v>0.0</v>
      </c>
      <c r="CH196" s="67" t="str">
        <f t="shared" si="67"/>
        <v>#REF!</v>
      </c>
      <c r="CI196" s="68" t="str">
        <f>'[1]DATA CONSOLIDADA 2018-2025 '!$CG196-Hoja1!$CB196</f>
        <v>#REF!</v>
      </c>
      <c r="CJ196" s="64" t="str">
        <f t="shared" si="68"/>
        <v>#REF!</v>
      </c>
      <c r="CK196" s="64">
        <v>0.0</v>
      </c>
      <c r="CL196" s="64">
        <v>0.0</v>
      </c>
      <c r="CM196" s="64">
        <v>0.0</v>
      </c>
      <c r="CN196" s="64" t="str">
        <f t="shared" si="12"/>
        <v>#REF!</v>
      </c>
      <c r="CO196" s="68" t="str">
        <f>'[1]DATA CONSOLIDADA 2018-2025 '!$CM196-Hoja1!$CG196</f>
        <v>#REF!</v>
      </c>
      <c r="CP196" s="70">
        <v>0.0</v>
      </c>
      <c r="CQ196" s="70">
        <v>0.0</v>
      </c>
      <c r="CR196" s="70">
        <v>0.0</v>
      </c>
      <c r="CS196" s="70">
        <v>4034.809969</v>
      </c>
      <c r="CT196" s="70">
        <v>0.0</v>
      </c>
      <c r="CU196" s="70">
        <v>522253.4691249997</v>
      </c>
      <c r="CV196" s="64">
        <v>526288.2790939998</v>
      </c>
      <c r="CW196" s="64">
        <v>0.0</v>
      </c>
      <c r="CX196" s="64">
        <v>0.0</v>
      </c>
      <c r="CY196" s="64">
        <v>0.0</v>
      </c>
      <c r="CZ196" s="64">
        <v>0.0</v>
      </c>
      <c r="DA196" s="64">
        <v>0.0</v>
      </c>
      <c r="DB196" s="64">
        <v>0.0</v>
      </c>
      <c r="DC196" s="72">
        <v>0.0</v>
      </c>
      <c r="DD196" s="72">
        <v>0.0</v>
      </c>
      <c r="DE196" s="72">
        <v>0.0</v>
      </c>
      <c r="DF196" s="72">
        <v>0.0</v>
      </c>
      <c r="DG196" s="72">
        <v>0.0</v>
      </c>
      <c r="DH196" s="72">
        <v>0.0</v>
      </c>
      <c r="DI196" s="73">
        <v>2.0539280644E10</v>
      </c>
      <c r="DJ196" s="74" t="s">
        <v>778</v>
      </c>
      <c r="DK196" s="74" t="s">
        <v>138</v>
      </c>
      <c r="DL196" s="75"/>
      <c r="DM196" s="75"/>
      <c r="DN196" s="75"/>
      <c r="DO196" s="75"/>
      <c r="DP196" s="75"/>
      <c r="DQ196" s="75"/>
      <c r="DR196" s="75"/>
      <c r="DS196" s="75"/>
      <c r="DT196" s="75"/>
      <c r="DU196" s="75"/>
      <c r="DV196" s="75"/>
      <c r="DW196" s="75"/>
      <c r="DX196" s="75"/>
      <c r="DY196" s="75"/>
      <c r="DZ196" s="75"/>
      <c r="EA196" s="75"/>
      <c r="EB196" s="75"/>
      <c r="EC196" s="75"/>
      <c r="ED196" s="75"/>
      <c r="EE196" s="75"/>
    </row>
    <row r="197" ht="47.25" hidden="1" customHeight="1">
      <c r="A197" s="55" t="s">
        <v>779</v>
      </c>
      <c r="B197" s="55" t="s">
        <v>449</v>
      </c>
      <c r="C197" s="55" t="s">
        <v>780</v>
      </c>
      <c r="D197" s="55" t="s">
        <v>768</v>
      </c>
      <c r="E197" s="55" t="s">
        <v>781</v>
      </c>
      <c r="F197" s="55" t="s">
        <v>768</v>
      </c>
      <c r="G197" s="55" t="s">
        <v>774</v>
      </c>
      <c r="H197" s="55" t="s">
        <v>782</v>
      </c>
      <c r="I197" s="56"/>
      <c r="J197" s="56"/>
      <c r="K197" s="56"/>
      <c r="L197" s="56">
        <v>1.0</v>
      </c>
      <c r="M197" s="56"/>
      <c r="N197" s="56"/>
      <c r="O197" s="56"/>
      <c r="P197" s="56"/>
      <c r="Q197" s="56" t="s">
        <v>131</v>
      </c>
      <c r="R197" s="58" t="str">
        <f t="shared" si="1"/>
        <v>2021</v>
      </c>
      <c r="S197" s="59" t="str">
        <f>SUM(Hoja1!$I197:$P197)</f>
        <v>1</v>
      </c>
      <c r="T197" s="59" t="str">
        <f>IF(OR(Hoja1!$J197=1,Hoja1!$K197=1,Hoja1!$L197=1,Hoja1!$M197=1,Hoja1!$N197=1,Hoja1!$O197=1,Hoja1!$P197=1),"SI","NO")</f>
        <v>SI</v>
      </c>
      <c r="U197" s="59" t="str">
        <f>IF(OR(Hoja1!$K197=1,Hoja1!$L197=1,Hoja1!$M197=1,Hoja1!$N197=1,Hoja1!$O197=1,Hoja1!$P197=1),"SI","NO")</f>
        <v>SI</v>
      </c>
      <c r="V197" s="60">
        <v>0.0</v>
      </c>
      <c r="W197" s="61">
        <v>0.0</v>
      </c>
      <c r="X197" s="61">
        <v>0.0</v>
      </c>
      <c r="Y197" s="60">
        <v>0.0</v>
      </c>
      <c r="Z197" s="61">
        <v>0.0</v>
      </c>
      <c r="AA197" s="61">
        <v>0.0</v>
      </c>
      <c r="AB197" s="60">
        <v>0.0</v>
      </c>
      <c r="AC197" s="61">
        <v>10.0</v>
      </c>
      <c r="AD197" s="61">
        <v>8.0</v>
      </c>
      <c r="AE197" s="60">
        <v>18.0</v>
      </c>
      <c r="AF197" s="61">
        <v>0.0</v>
      </c>
      <c r="AG197" s="61">
        <v>0.0</v>
      </c>
      <c r="AH197" s="60">
        <v>0.0</v>
      </c>
      <c r="AI197" s="61">
        <v>0.0</v>
      </c>
      <c r="AJ197" s="61">
        <v>0.0</v>
      </c>
      <c r="AK197" s="60">
        <v>0.0</v>
      </c>
      <c r="AL197" s="61">
        <v>0.0</v>
      </c>
      <c r="AM197" s="61">
        <v>0.0</v>
      </c>
      <c r="AN197" s="60">
        <v>0.0</v>
      </c>
      <c r="AO197" s="62">
        <v>0.0</v>
      </c>
      <c r="AP197" s="62">
        <v>0.0</v>
      </c>
      <c r="AQ197" s="60">
        <v>0.0</v>
      </c>
      <c r="AR197" s="60" t="str">
        <f>IF(Hoja1!$AQ197&gt;0,Hoja1!$AQ197,IF(Hoja1!$AN197&gt;0,Hoja1!$AN197,IF(Hoja1!$AK197&gt;0,Hoja1!$AK197,IF(Hoja1!$AH197&gt;0,Hoja1!$AH197,IF(Hoja1!$AE197&gt;0,Hoja1!$AE197,IF(Hoja1!$AB197&gt;0,Hoja1!$AB197,IF(Hoja1!$Y197&gt;0,Hoja1!$Y197,IF(Hoja1!$V197&gt;0,Hoja1!$V197," ---"))))))))</f>
        <v>18</v>
      </c>
      <c r="AS197" s="63">
        <v>0.0</v>
      </c>
      <c r="AT197" s="63">
        <v>0.0</v>
      </c>
      <c r="AU197" s="63">
        <v>93.0</v>
      </c>
      <c r="AV197" s="63">
        <v>12.0</v>
      </c>
      <c r="AW197" s="63">
        <v>5.0</v>
      </c>
      <c r="AX197" s="63">
        <v>2.0</v>
      </c>
      <c r="AY197" s="63">
        <v>0.0</v>
      </c>
      <c r="AZ197" s="63">
        <v>0.0</v>
      </c>
      <c r="BA197" s="63">
        <v>0.0</v>
      </c>
      <c r="BB197" s="63">
        <v>0.0</v>
      </c>
      <c r="BC197" s="63">
        <v>0.0</v>
      </c>
      <c r="BD197" s="63">
        <v>0.0</v>
      </c>
      <c r="BE197" s="64">
        <v>0.0</v>
      </c>
      <c r="BF197" s="69">
        <v>0.0</v>
      </c>
      <c r="BG197" s="69">
        <v>0.0</v>
      </c>
      <c r="BH197" s="64">
        <v>0.0</v>
      </c>
      <c r="BI197" s="67" t="str">
        <f t="shared" si="59"/>
        <v>#REF!</v>
      </c>
      <c r="BJ197" s="68" t="str">
        <f t="shared" si="60"/>
        <v>#REF!</v>
      </c>
      <c r="BK197" s="69">
        <v>0.0</v>
      </c>
      <c r="BL197" s="69">
        <v>0.0</v>
      </c>
      <c r="BM197" s="64">
        <v>0.0</v>
      </c>
      <c r="BN197" s="67" t="str">
        <f t="shared" si="61"/>
        <v>#REF!</v>
      </c>
      <c r="BO197" s="68" t="str">
        <f t="shared" si="62"/>
        <v>#REF!</v>
      </c>
      <c r="BP197" s="65">
        <v>523329.0</v>
      </c>
      <c r="BQ197" s="65">
        <v>0.0</v>
      </c>
      <c r="BR197" s="66">
        <v>523329.0</v>
      </c>
      <c r="BS197" s="67" t="str">
        <f t="shared" si="63"/>
        <v>#REF!</v>
      </c>
      <c r="BT197" s="68" t="str">
        <f>'[1]DATA CONSOLIDADA 2018-2025 '!$BR197-Hoja1!$BO197</f>
        <v>#REF!</v>
      </c>
      <c r="BU197" s="65">
        <v>0.0</v>
      </c>
      <c r="BV197" s="65">
        <v>0.0</v>
      </c>
      <c r="BW197" s="66">
        <v>0.0</v>
      </c>
      <c r="BX197" s="67" t="str">
        <f t="shared" si="64"/>
        <v>#REF!</v>
      </c>
      <c r="BY197" s="68" t="str">
        <f t="shared" si="65"/>
        <v>#REF!</v>
      </c>
      <c r="BZ197" s="65">
        <v>0.0</v>
      </c>
      <c r="CA197" s="65">
        <v>0.0</v>
      </c>
      <c r="CB197" s="66">
        <v>0.0</v>
      </c>
      <c r="CC197" s="67" t="str">
        <f t="shared" si="66"/>
        <v>#REF!</v>
      </c>
      <c r="CD197" s="68" t="str">
        <f>'[1]DATA CONSOLIDADA 2018-2025 '!$CB197-Hoja1!$BW197</f>
        <v>#REF!</v>
      </c>
      <c r="CE197" s="70">
        <v>0.0</v>
      </c>
      <c r="CF197" s="70">
        <v>0.0</v>
      </c>
      <c r="CG197" s="71">
        <v>0.0</v>
      </c>
      <c r="CH197" s="67" t="str">
        <f t="shared" si="67"/>
        <v>#REF!</v>
      </c>
      <c r="CI197" s="68" t="str">
        <f>'[1]DATA CONSOLIDADA 2018-2025 '!$CG197-Hoja1!$CB197</f>
        <v>#REF!</v>
      </c>
      <c r="CJ197" s="64" t="str">
        <f t="shared" si="68"/>
        <v>#REF!</v>
      </c>
      <c r="CK197" s="64">
        <v>0.0</v>
      </c>
      <c r="CL197" s="64">
        <v>0.0</v>
      </c>
      <c r="CM197" s="64">
        <v>0.0</v>
      </c>
      <c r="CN197" s="64" t="str">
        <f t="shared" si="12"/>
        <v>#REF!</v>
      </c>
      <c r="CO197" s="68" t="str">
        <f>'[1]DATA CONSOLIDADA 2018-2025 '!$CM197-Hoja1!$CG197</f>
        <v>#REF!</v>
      </c>
      <c r="CP197" s="70">
        <v>0.0</v>
      </c>
      <c r="CQ197" s="70">
        <v>0.0</v>
      </c>
      <c r="CR197" s="70">
        <v>0.0</v>
      </c>
      <c r="CS197" s="70">
        <v>0.0</v>
      </c>
      <c r="CT197" s="70">
        <v>0.0</v>
      </c>
      <c r="CU197" s="70">
        <v>0.0</v>
      </c>
      <c r="CV197" s="64">
        <v>0.0</v>
      </c>
      <c r="CW197" s="64">
        <v>0.0</v>
      </c>
      <c r="CX197" s="64">
        <v>0.0</v>
      </c>
      <c r="CY197" s="64">
        <v>0.0</v>
      </c>
      <c r="CZ197" s="64">
        <v>0.0</v>
      </c>
      <c r="DA197" s="64">
        <v>0.0</v>
      </c>
      <c r="DB197" s="64">
        <v>0.0</v>
      </c>
      <c r="DC197" s="72">
        <v>0.0</v>
      </c>
      <c r="DD197" s="72">
        <v>0.0</v>
      </c>
      <c r="DE197" s="72">
        <v>0.0</v>
      </c>
      <c r="DF197" s="72">
        <v>0.0</v>
      </c>
      <c r="DG197" s="72">
        <v>0.0</v>
      </c>
      <c r="DH197" s="72">
        <v>0.0</v>
      </c>
      <c r="DI197" s="73" t="s">
        <v>783</v>
      </c>
      <c r="DJ197" s="74" t="s">
        <v>779</v>
      </c>
      <c r="DK197" s="74" t="s">
        <v>138</v>
      </c>
      <c r="DL197" s="75"/>
      <c r="DM197" s="75"/>
      <c r="DN197" s="75"/>
      <c r="DO197" s="75"/>
      <c r="DP197" s="75"/>
      <c r="DQ197" s="75"/>
      <c r="DR197" s="75"/>
      <c r="DS197" s="75"/>
      <c r="DT197" s="75"/>
      <c r="DU197" s="75"/>
      <c r="DV197" s="75"/>
      <c r="DW197" s="75"/>
      <c r="DX197" s="75"/>
      <c r="DY197" s="75"/>
      <c r="DZ197" s="75"/>
      <c r="EA197" s="75"/>
      <c r="EB197" s="75"/>
      <c r="EC197" s="75"/>
      <c r="ED197" s="75"/>
      <c r="EE197" s="75"/>
    </row>
    <row r="198" ht="47.25" hidden="1" customHeight="1">
      <c r="A198" s="55" t="s">
        <v>784</v>
      </c>
      <c r="B198" s="55" t="s">
        <v>236</v>
      </c>
      <c r="C198" s="55" t="s">
        <v>237</v>
      </c>
      <c r="D198" s="55" t="s">
        <v>785</v>
      </c>
      <c r="E198" s="55" t="s">
        <v>786</v>
      </c>
      <c r="F198" s="55" t="s">
        <v>785</v>
      </c>
      <c r="G198" s="55" t="s">
        <v>787</v>
      </c>
      <c r="H198" s="55" t="s">
        <v>788</v>
      </c>
      <c r="I198" s="56">
        <v>1.0</v>
      </c>
      <c r="J198" s="56">
        <v>1.0</v>
      </c>
      <c r="K198" s="56">
        <v>1.0</v>
      </c>
      <c r="L198" s="56">
        <v>1.0</v>
      </c>
      <c r="M198" s="56">
        <v>1.0</v>
      </c>
      <c r="N198" s="56">
        <v>1.0</v>
      </c>
      <c r="O198" s="56"/>
      <c r="P198" s="56"/>
      <c r="Q198" s="56" t="s">
        <v>131</v>
      </c>
      <c r="R198" s="58" t="str">
        <f t="shared" si="1"/>
        <v>2018-2019-2020-2021-2022-2023</v>
      </c>
      <c r="S198" s="59" t="str">
        <f>SUM(Hoja1!$I198:$P198)</f>
        <v>6</v>
      </c>
      <c r="T198" s="59" t="str">
        <f>IF(OR(Hoja1!$J198=1,Hoja1!$K198=1,Hoja1!$L198=1,Hoja1!$M198=1,Hoja1!$N198=1,Hoja1!$O198=1,Hoja1!$P198=1),"SI","NO")</f>
        <v>SI</v>
      </c>
      <c r="U198" s="59" t="str">
        <f>IF(OR(Hoja1!$K198=1,Hoja1!$L198=1,Hoja1!$M198=1,Hoja1!$N198=1,Hoja1!$O198=1,Hoja1!$P198=1),"SI","NO")</f>
        <v>SI</v>
      </c>
      <c r="V198" s="60">
        <v>1000.0</v>
      </c>
      <c r="W198" s="61">
        <v>161.0</v>
      </c>
      <c r="X198" s="61">
        <v>36.0</v>
      </c>
      <c r="Y198" s="60">
        <v>197.0</v>
      </c>
      <c r="Z198" s="61">
        <v>159.0</v>
      </c>
      <c r="AA198" s="61">
        <v>38.0</v>
      </c>
      <c r="AB198" s="60">
        <v>197.0</v>
      </c>
      <c r="AC198" s="61">
        <v>162.0</v>
      </c>
      <c r="AD198" s="61">
        <v>39.0</v>
      </c>
      <c r="AE198" s="60">
        <v>201.0</v>
      </c>
      <c r="AF198" s="61">
        <v>162.0</v>
      </c>
      <c r="AG198" s="61">
        <v>39.0</v>
      </c>
      <c r="AH198" s="60">
        <v>201.0</v>
      </c>
      <c r="AI198" s="61">
        <v>162.0</v>
      </c>
      <c r="AJ198" s="61">
        <v>39.0</v>
      </c>
      <c r="AK198" s="60">
        <v>201.0</v>
      </c>
      <c r="AL198" s="61">
        <v>0.0</v>
      </c>
      <c r="AM198" s="61">
        <v>0.0</v>
      </c>
      <c r="AN198" s="60">
        <v>0.0</v>
      </c>
      <c r="AO198" s="62">
        <v>0.0</v>
      </c>
      <c r="AP198" s="62">
        <v>0.0</v>
      </c>
      <c r="AQ198" s="60">
        <v>0.0</v>
      </c>
      <c r="AR198" s="60" t="str">
        <f>IF(Hoja1!$AQ198&gt;0,Hoja1!$AQ198,IF(Hoja1!$AN198&gt;0,Hoja1!$AN198,IF(Hoja1!$AK198&gt;0,Hoja1!$AK198,IF(Hoja1!$AH198&gt;0,Hoja1!$AH198,IF(Hoja1!$AE198&gt;0,Hoja1!$AE198,IF(Hoja1!$AB198&gt;0,Hoja1!$AB198,IF(Hoja1!$Y198&gt;0,Hoja1!$Y198,IF(Hoja1!$V198&gt;0,Hoja1!$V198," ---"))))))))</f>
        <v>201</v>
      </c>
      <c r="AS198" s="63">
        <v>19.0</v>
      </c>
      <c r="AT198" s="63">
        <v>15.0</v>
      </c>
      <c r="AU198" s="63">
        <v>42.0</v>
      </c>
      <c r="AV198" s="63">
        <v>6.0</v>
      </c>
      <c r="AW198" s="63">
        <v>34.0</v>
      </c>
      <c r="AX198" s="63">
        <v>2.0</v>
      </c>
      <c r="AY198" s="63">
        <v>24.0</v>
      </c>
      <c r="AZ198" s="63">
        <v>3.0</v>
      </c>
      <c r="BA198" s="63">
        <v>0.0</v>
      </c>
      <c r="BB198" s="63">
        <v>0.0</v>
      </c>
      <c r="BC198" s="63">
        <v>0.0</v>
      </c>
      <c r="BD198" s="63">
        <v>0.0</v>
      </c>
      <c r="BE198" s="66">
        <v>189052.92</v>
      </c>
      <c r="BF198" s="65">
        <v>1186.61</v>
      </c>
      <c r="BG198" s="65">
        <v>390920.0</v>
      </c>
      <c r="BH198" s="66">
        <v>392106.61</v>
      </c>
      <c r="BI198" s="67" t="str">
        <f t="shared" si="59"/>
        <v>#REF!</v>
      </c>
      <c r="BJ198" s="68" t="str">
        <f t="shared" si="60"/>
        <v>#REF!</v>
      </c>
      <c r="BK198" s="65">
        <v>310677.76</v>
      </c>
      <c r="BL198" s="65">
        <v>0.0</v>
      </c>
      <c r="BM198" s="66">
        <v>310677.76</v>
      </c>
      <c r="BN198" s="67" t="str">
        <f t="shared" si="61"/>
        <v>#REF!</v>
      </c>
      <c r="BO198" s="68" t="str">
        <f t="shared" si="62"/>
        <v>#REF!</v>
      </c>
      <c r="BP198" s="65">
        <v>382611.06</v>
      </c>
      <c r="BQ198" s="65">
        <v>0.0</v>
      </c>
      <c r="BR198" s="66">
        <v>382611.06</v>
      </c>
      <c r="BS198" s="67" t="str">
        <f t="shared" si="63"/>
        <v>#REF!</v>
      </c>
      <c r="BT198" s="68" t="str">
        <f>'[1]DATA CONSOLIDADA 2018-2025 '!$BR198-Hoja1!$BO198</f>
        <v>#REF!</v>
      </c>
      <c r="BU198" s="65">
        <v>383500.0</v>
      </c>
      <c r="BV198" s="65">
        <v>0.0</v>
      </c>
      <c r="BW198" s="66">
        <v>383500.0</v>
      </c>
      <c r="BX198" s="67" t="str">
        <f t="shared" si="64"/>
        <v>#REF!</v>
      </c>
      <c r="BY198" s="68" t="str">
        <f t="shared" si="65"/>
        <v>#REF!</v>
      </c>
      <c r="BZ198" s="65">
        <v>402318.73</v>
      </c>
      <c r="CA198" s="65">
        <v>0.0</v>
      </c>
      <c r="CB198" s="66">
        <v>402318.73</v>
      </c>
      <c r="CC198" s="67" t="str">
        <f t="shared" si="66"/>
        <v>#REF!</v>
      </c>
      <c r="CD198" s="68" t="str">
        <f>'[1]DATA CONSOLIDADA 2018-2025 '!$CB198-Hoja1!$BW198</f>
        <v>#REF!</v>
      </c>
      <c r="CE198" s="70">
        <v>0.0</v>
      </c>
      <c r="CF198" s="70">
        <v>0.0</v>
      </c>
      <c r="CG198" s="71">
        <v>0.0</v>
      </c>
      <c r="CH198" s="67" t="str">
        <f t="shared" si="67"/>
        <v>#REF!</v>
      </c>
      <c r="CI198" s="68" t="str">
        <f>'[1]DATA CONSOLIDADA 2018-2025 '!$CG198-Hoja1!$CB198</f>
        <v>#REF!</v>
      </c>
      <c r="CJ198" s="64" t="str">
        <f t="shared" si="68"/>
        <v>#REF!</v>
      </c>
      <c r="CK198" s="64">
        <v>0.0</v>
      </c>
      <c r="CL198" s="64">
        <v>0.0</v>
      </c>
      <c r="CM198" s="64">
        <v>0.0</v>
      </c>
      <c r="CN198" s="64" t="str">
        <f t="shared" si="12"/>
        <v>#REF!</v>
      </c>
      <c r="CO198" s="68" t="str">
        <f>'[1]DATA CONSOLIDADA 2018-2025 '!$CM198-Hoja1!$CG198</f>
        <v>#REF!</v>
      </c>
      <c r="CP198" s="70">
        <v>0.0</v>
      </c>
      <c r="CQ198" s="70">
        <v>192115.0</v>
      </c>
      <c r="CR198" s="70">
        <v>0.0</v>
      </c>
      <c r="CS198" s="70">
        <v>210203.725</v>
      </c>
      <c r="CT198" s="70">
        <v>0.0</v>
      </c>
      <c r="CU198" s="70">
        <v>0.0</v>
      </c>
      <c r="CV198" s="64">
        <v>402318.725</v>
      </c>
      <c r="CW198" s="64">
        <v>0.0</v>
      </c>
      <c r="CX198" s="64">
        <v>0.0</v>
      </c>
      <c r="CY198" s="64">
        <v>0.0</v>
      </c>
      <c r="CZ198" s="64">
        <v>0.0</v>
      </c>
      <c r="DA198" s="64">
        <v>0.0</v>
      </c>
      <c r="DB198" s="64">
        <v>0.0</v>
      </c>
      <c r="DC198" s="72">
        <v>0.0</v>
      </c>
      <c r="DD198" s="72">
        <v>0.0</v>
      </c>
      <c r="DE198" s="72">
        <v>0.0</v>
      </c>
      <c r="DF198" s="72">
        <v>0.0</v>
      </c>
      <c r="DG198" s="72">
        <v>0.0</v>
      </c>
      <c r="DH198" s="72">
        <v>0.0</v>
      </c>
      <c r="DI198" s="73">
        <v>2.0600588355E10</v>
      </c>
      <c r="DJ198" s="74" t="s">
        <v>784</v>
      </c>
      <c r="DK198" s="74" t="s">
        <v>132</v>
      </c>
      <c r="DL198" s="75"/>
      <c r="DM198" s="75"/>
      <c r="DN198" s="75"/>
      <c r="DO198" s="75"/>
      <c r="DP198" s="75"/>
      <c r="DQ198" s="75"/>
      <c r="DR198" s="75"/>
      <c r="DS198" s="75"/>
      <c r="DT198" s="75"/>
      <c r="DU198" s="75"/>
      <c r="DV198" s="75"/>
      <c r="DW198" s="75"/>
      <c r="DX198" s="75"/>
      <c r="DY198" s="75"/>
      <c r="DZ198" s="75"/>
      <c r="EA198" s="75"/>
      <c r="EB198" s="75"/>
      <c r="EC198" s="75"/>
      <c r="ED198" s="75"/>
      <c r="EE198" s="75"/>
    </row>
    <row r="199" ht="47.25" hidden="1" customHeight="1">
      <c r="A199" s="55" t="s">
        <v>789</v>
      </c>
      <c r="B199" s="55" t="s">
        <v>236</v>
      </c>
      <c r="C199" s="55" t="s">
        <v>237</v>
      </c>
      <c r="D199" s="55" t="s">
        <v>785</v>
      </c>
      <c r="E199" s="55" t="s">
        <v>790</v>
      </c>
      <c r="F199" s="55" t="s">
        <v>785</v>
      </c>
      <c r="G199" s="55" t="s">
        <v>787</v>
      </c>
      <c r="H199" s="55" t="s">
        <v>791</v>
      </c>
      <c r="I199" s="56">
        <v>1.0</v>
      </c>
      <c r="J199" s="56">
        <v>1.0</v>
      </c>
      <c r="K199" s="56">
        <v>1.0</v>
      </c>
      <c r="L199" s="56">
        <v>1.0</v>
      </c>
      <c r="M199" s="56">
        <v>1.0</v>
      </c>
      <c r="N199" s="56">
        <v>1.0</v>
      </c>
      <c r="O199" s="56"/>
      <c r="P199" s="56"/>
      <c r="Q199" s="56" t="s">
        <v>131</v>
      </c>
      <c r="R199" s="58" t="str">
        <f t="shared" si="1"/>
        <v>2018-2019-2020-2021-2022-2023</v>
      </c>
      <c r="S199" s="59" t="str">
        <f>SUM(Hoja1!$I199:$P199)</f>
        <v>6</v>
      </c>
      <c r="T199" s="59" t="str">
        <f>IF(OR(Hoja1!$J199=1,Hoja1!$K199=1,Hoja1!$L199=1,Hoja1!$M199=1,Hoja1!$N199=1,Hoja1!$O199=1,Hoja1!$P199=1),"SI","NO")</f>
        <v>SI</v>
      </c>
      <c r="U199" s="59" t="str">
        <f>IF(OR(Hoja1!$K199=1,Hoja1!$L199=1,Hoja1!$M199=1,Hoja1!$N199=1,Hoja1!$O199=1,Hoja1!$P199=1),"SI","NO")</f>
        <v>SI</v>
      </c>
      <c r="V199" s="60">
        <v>73.0</v>
      </c>
      <c r="W199" s="61">
        <v>54.0</v>
      </c>
      <c r="X199" s="61">
        <v>29.0</v>
      </c>
      <c r="Y199" s="60">
        <v>83.0</v>
      </c>
      <c r="Z199" s="61">
        <v>53.0</v>
      </c>
      <c r="AA199" s="61">
        <v>29.0</v>
      </c>
      <c r="AB199" s="60">
        <v>82.0</v>
      </c>
      <c r="AC199" s="61">
        <v>57.0</v>
      </c>
      <c r="AD199" s="61">
        <v>27.0</v>
      </c>
      <c r="AE199" s="60">
        <v>84.0</v>
      </c>
      <c r="AF199" s="61">
        <v>57.0</v>
      </c>
      <c r="AG199" s="61">
        <v>27.0</v>
      </c>
      <c r="AH199" s="60">
        <v>84.0</v>
      </c>
      <c r="AI199" s="61">
        <v>65.0</v>
      </c>
      <c r="AJ199" s="61">
        <v>27.0</v>
      </c>
      <c r="AK199" s="60">
        <v>92.0</v>
      </c>
      <c r="AL199" s="61">
        <v>0.0</v>
      </c>
      <c r="AM199" s="61">
        <v>0.0</v>
      </c>
      <c r="AN199" s="60">
        <v>0.0</v>
      </c>
      <c r="AO199" s="62">
        <v>0.0</v>
      </c>
      <c r="AP199" s="62">
        <v>0.0</v>
      </c>
      <c r="AQ199" s="60">
        <v>0.0</v>
      </c>
      <c r="AR199" s="60" t="str">
        <f>IF(Hoja1!$AQ199&gt;0,Hoja1!$AQ199,IF(Hoja1!$AN199&gt;0,Hoja1!$AN199,IF(Hoja1!$AK199&gt;0,Hoja1!$AK199,IF(Hoja1!$AH199&gt;0,Hoja1!$AH199,IF(Hoja1!$AE199&gt;0,Hoja1!$AE199,IF(Hoja1!$AB199&gt;0,Hoja1!$AB199,IF(Hoja1!$Y199&gt;0,Hoja1!$Y199,IF(Hoja1!$V199&gt;0,Hoja1!$V199," ---"))))))))</f>
        <v>92</v>
      </c>
      <c r="AS199" s="63">
        <v>18.0</v>
      </c>
      <c r="AT199" s="63">
        <v>11.0</v>
      </c>
      <c r="AU199" s="63">
        <v>41.0</v>
      </c>
      <c r="AV199" s="63">
        <v>6.0</v>
      </c>
      <c r="AW199" s="63">
        <v>34.0</v>
      </c>
      <c r="AX199" s="63">
        <v>2.0</v>
      </c>
      <c r="AY199" s="63">
        <v>25.0</v>
      </c>
      <c r="AZ199" s="63">
        <v>3.0</v>
      </c>
      <c r="BA199" s="63">
        <v>0.0</v>
      </c>
      <c r="BB199" s="63">
        <v>0.0</v>
      </c>
      <c r="BC199" s="63">
        <v>0.0</v>
      </c>
      <c r="BD199" s="63">
        <v>0.0</v>
      </c>
      <c r="BE199" s="64">
        <v>0.0</v>
      </c>
      <c r="BF199" s="65">
        <v>150304.29</v>
      </c>
      <c r="BG199" s="65">
        <v>0.0</v>
      </c>
      <c r="BH199" s="66">
        <v>150304.29</v>
      </c>
      <c r="BI199" s="67" t="str">
        <f t="shared" si="59"/>
        <v>#REF!</v>
      </c>
      <c r="BJ199" s="68" t="str">
        <f t="shared" si="60"/>
        <v>#REF!</v>
      </c>
      <c r="BK199" s="65">
        <v>515547.12</v>
      </c>
      <c r="BL199" s="65">
        <v>0.0</v>
      </c>
      <c r="BM199" s="66">
        <v>515547.12</v>
      </c>
      <c r="BN199" s="67" t="str">
        <f t="shared" si="61"/>
        <v>#REF!</v>
      </c>
      <c r="BO199" s="68" t="str">
        <f t="shared" si="62"/>
        <v>#REF!</v>
      </c>
      <c r="BP199" s="65">
        <v>516000.0</v>
      </c>
      <c r="BQ199" s="65">
        <v>0.0</v>
      </c>
      <c r="BR199" s="66">
        <v>516000.0</v>
      </c>
      <c r="BS199" s="67" t="str">
        <f t="shared" si="63"/>
        <v>#REF!</v>
      </c>
      <c r="BT199" s="68" t="str">
        <f>'[1]DATA CONSOLIDADA 2018-2025 '!$BR199-Hoja1!$BO199</f>
        <v>#REF!</v>
      </c>
      <c r="BU199" s="65">
        <v>510000.0</v>
      </c>
      <c r="BV199" s="65">
        <v>0.0</v>
      </c>
      <c r="BW199" s="66">
        <v>510000.0</v>
      </c>
      <c r="BX199" s="67" t="str">
        <f t="shared" si="64"/>
        <v>#REF!</v>
      </c>
      <c r="BY199" s="68" t="str">
        <f t="shared" si="65"/>
        <v>#REF!</v>
      </c>
      <c r="BZ199" s="65">
        <v>653514.44</v>
      </c>
      <c r="CA199" s="65">
        <v>0.0</v>
      </c>
      <c r="CB199" s="66">
        <v>653514.44</v>
      </c>
      <c r="CC199" s="67" t="str">
        <f t="shared" si="66"/>
        <v>#REF!</v>
      </c>
      <c r="CD199" s="68" t="str">
        <f>'[1]DATA CONSOLIDADA 2018-2025 '!$CB199-Hoja1!$BW199</f>
        <v>#REF!</v>
      </c>
      <c r="CE199" s="70">
        <v>0.0</v>
      </c>
      <c r="CF199" s="70">
        <v>0.0</v>
      </c>
      <c r="CG199" s="71">
        <v>0.0</v>
      </c>
      <c r="CH199" s="67" t="str">
        <f t="shared" si="67"/>
        <v>#REF!</v>
      </c>
      <c r="CI199" s="68" t="str">
        <f>'[1]DATA CONSOLIDADA 2018-2025 '!$CG199-Hoja1!$CB199</f>
        <v>#REF!</v>
      </c>
      <c r="CJ199" s="64" t="str">
        <f t="shared" si="68"/>
        <v>#REF!</v>
      </c>
      <c r="CK199" s="64">
        <v>0.0</v>
      </c>
      <c r="CL199" s="64">
        <v>0.0</v>
      </c>
      <c r="CM199" s="64">
        <v>0.0</v>
      </c>
      <c r="CN199" s="64" t="str">
        <f t="shared" si="12"/>
        <v>#REF!</v>
      </c>
      <c r="CO199" s="68" t="str">
        <f>'[1]DATA CONSOLIDADA 2018-2025 '!$CM199-Hoja1!$CG199</f>
        <v>#REF!</v>
      </c>
      <c r="CP199" s="70">
        <v>0.0</v>
      </c>
      <c r="CQ199" s="70">
        <v>388050.0</v>
      </c>
      <c r="CR199" s="70">
        <v>0.0</v>
      </c>
      <c r="CS199" s="70">
        <v>265464.44155</v>
      </c>
      <c r="CT199" s="70">
        <v>0.0</v>
      </c>
      <c r="CU199" s="70">
        <v>0.0</v>
      </c>
      <c r="CV199" s="64">
        <v>653514.44155</v>
      </c>
      <c r="CW199" s="64">
        <v>0.0</v>
      </c>
      <c r="CX199" s="64">
        <v>0.0</v>
      </c>
      <c r="CY199" s="64">
        <v>0.0</v>
      </c>
      <c r="CZ199" s="64">
        <v>0.0</v>
      </c>
      <c r="DA199" s="64">
        <v>0.0</v>
      </c>
      <c r="DB199" s="64">
        <v>0.0</v>
      </c>
      <c r="DC199" s="72">
        <v>0.0</v>
      </c>
      <c r="DD199" s="72">
        <v>0.0</v>
      </c>
      <c r="DE199" s="72">
        <v>0.0</v>
      </c>
      <c r="DF199" s="72">
        <v>0.0</v>
      </c>
      <c r="DG199" s="72">
        <v>0.0</v>
      </c>
      <c r="DH199" s="72">
        <v>0.0</v>
      </c>
      <c r="DI199" s="73">
        <v>2.0601125715E10</v>
      </c>
      <c r="DJ199" s="74" t="s">
        <v>789</v>
      </c>
      <c r="DK199" s="74" t="s">
        <v>132</v>
      </c>
      <c r="DL199" s="75"/>
      <c r="DM199" s="75"/>
      <c r="DN199" s="75"/>
      <c r="DO199" s="75"/>
      <c r="DP199" s="75"/>
      <c r="DQ199" s="75"/>
      <c r="DR199" s="75"/>
      <c r="DS199" s="75"/>
      <c r="DT199" s="75"/>
      <c r="DU199" s="75"/>
      <c r="DV199" s="75"/>
      <c r="DW199" s="75"/>
      <c r="DX199" s="75"/>
      <c r="DY199" s="75"/>
      <c r="DZ199" s="75"/>
      <c r="EA199" s="75"/>
      <c r="EB199" s="75"/>
      <c r="EC199" s="75"/>
      <c r="ED199" s="75"/>
      <c r="EE199" s="75"/>
    </row>
    <row r="200" ht="47.25" hidden="1" customHeight="1">
      <c r="A200" s="55" t="s">
        <v>792</v>
      </c>
      <c r="B200" s="55" t="s">
        <v>196</v>
      </c>
      <c r="C200" s="55" t="s">
        <v>196</v>
      </c>
      <c r="D200" s="55" t="s">
        <v>785</v>
      </c>
      <c r="E200" s="55" t="s">
        <v>793</v>
      </c>
      <c r="F200" s="55" t="s">
        <v>785</v>
      </c>
      <c r="G200" s="55" t="s">
        <v>787</v>
      </c>
      <c r="H200" s="55" t="s">
        <v>794</v>
      </c>
      <c r="I200" s="56"/>
      <c r="J200" s="56">
        <v>1.0</v>
      </c>
      <c r="K200" s="56">
        <v>1.0</v>
      </c>
      <c r="L200" s="56">
        <v>1.0</v>
      </c>
      <c r="M200" s="56">
        <v>1.0</v>
      </c>
      <c r="N200" s="56">
        <v>1.0</v>
      </c>
      <c r="O200" s="56"/>
      <c r="P200" s="56"/>
      <c r="Q200" s="56" t="s">
        <v>131</v>
      </c>
      <c r="R200" s="58" t="str">
        <f t="shared" si="1"/>
        <v>2019-2020-2021-2022-2023</v>
      </c>
      <c r="S200" s="59" t="str">
        <f>SUM(Hoja1!$I200:$P200)</f>
        <v>5</v>
      </c>
      <c r="T200" s="59" t="str">
        <f>IF(OR(Hoja1!$J200=1,Hoja1!$K200=1,Hoja1!$L200=1,Hoja1!$M200=1,Hoja1!$N200=1,Hoja1!$O200=1,Hoja1!$P200=1),"SI","NO")</f>
        <v>SI</v>
      </c>
      <c r="U200" s="59" t="str">
        <f>IF(OR(Hoja1!$K200=1,Hoja1!$L200=1,Hoja1!$M200=1,Hoja1!$N200=1,Hoja1!$O200=1,Hoja1!$P200=1),"SI","NO")</f>
        <v>SI</v>
      </c>
      <c r="V200" s="60">
        <v>0.0</v>
      </c>
      <c r="W200" s="61">
        <v>88.0</v>
      </c>
      <c r="X200" s="61">
        <v>27.0</v>
      </c>
      <c r="Y200" s="60">
        <v>115.0</v>
      </c>
      <c r="Z200" s="61">
        <v>88.0</v>
      </c>
      <c r="AA200" s="61">
        <v>27.0</v>
      </c>
      <c r="AB200" s="60">
        <v>115.0</v>
      </c>
      <c r="AC200" s="61">
        <v>89.0</v>
      </c>
      <c r="AD200" s="61">
        <v>27.0</v>
      </c>
      <c r="AE200" s="60">
        <v>116.0</v>
      </c>
      <c r="AF200" s="61">
        <v>89.0</v>
      </c>
      <c r="AG200" s="61">
        <v>27.0</v>
      </c>
      <c r="AH200" s="60">
        <v>116.0</v>
      </c>
      <c r="AI200" s="61">
        <v>89.0</v>
      </c>
      <c r="AJ200" s="61">
        <v>27.0</v>
      </c>
      <c r="AK200" s="60">
        <v>116.0</v>
      </c>
      <c r="AL200" s="61">
        <v>0.0</v>
      </c>
      <c r="AM200" s="61">
        <v>0.0</v>
      </c>
      <c r="AN200" s="60">
        <v>0.0</v>
      </c>
      <c r="AO200" s="62">
        <v>0.0</v>
      </c>
      <c r="AP200" s="62">
        <v>0.0</v>
      </c>
      <c r="AQ200" s="60">
        <v>0.0</v>
      </c>
      <c r="AR200" s="60" t="str">
        <f>IF(Hoja1!$AQ200&gt;0,Hoja1!$AQ200,IF(Hoja1!$AN200&gt;0,Hoja1!$AN200,IF(Hoja1!$AK200&gt;0,Hoja1!$AK200,IF(Hoja1!$AH200&gt;0,Hoja1!$AH200,IF(Hoja1!$AE200&gt;0,Hoja1!$AE200,IF(Hoja1!$AB200&gt;0,Hoja1!$AB200,IF(Hoja1!$Y200&gt;0,Hoja1!$Y200,IF(Hoja1!$V200&gt;0,Hoja1!$V200," ---"))))))))</f>
        <v>116</v>
      </c>
      <c r="AS200" s="63">
        <v>16.0</v>
      </c>
      <c r="AT200" s="63">
        <v>9.0</v>
      </c>
      <c r="AU200" s="63">
        <v>42.0</v>
      </c>
      <c r="AV200" s="63">
        <v>6.0</v>
      </c>
      <c r="AW200" s="63">
        <v>34.0</v>
      </c>
      <c r="AX200" s="63">
        <v>2.0</v>
      </c>
      <c r="AY200" s="63">
        <v>24.0</v>
      </c>
      <c r="AZ200" s="63">
        <v>3.0</v>
      </c>
      <c r="BA200" s="63">
        <v>0.0</v>
      </c>
      <c r="BB200" s="63">
        <v>0.0</v>
      </c>
      <c r="BC200" s="63">
        <v>0.0</v>
      </c>
      <c r="BD200" s="63">
        <v>0.0</v>
      </c>
      <c r="BE200" s="64">
        <v>0.0</v>
      </c>
      <c r="BF200" s="65">
        <v>0.0</v>
      </c>
      <c r="BG200" s="65">
        <v>0.0</v>
      </c>
      <c r="BH200" s="66">
        <v>0.0</v>
      </c>
      <c r="BI200" s="67" t="str">
        <f t="shared" si="59"/>
        <v>#REF!</v>
      </c>
      <c r="BJ200" s="68" t="str">
        <f t="shared" si="60"/>
        <v>#REF!</v>
      </c>
      <c r="BK200" s="65">
        <v>0.0</v>
      </c>
      <c r="BL200" s="65">
        <v>0.0</v>
      </c>
      <c r="BM200" s="66">
        <v>0.0</v>
      </c>
      <c r="BN200" s="67" t="str">
        <f t="shared" si="61"/>
        <v>#REF!</v>
      </c>
      <c r="BO200" s="68" t="str">
        <f t="shared" si="62"/>
        <v>#REF!</v>
      </c>
      <c r="BP200" s="65">
        <v>0.0</v>
      </c>
      <c r="BQ200" s="65">
        <v>0.0</v>
      </c>
      <c r="BR200" s="66">
        <v>0.0</v>
      </c>
      <c r="BS200" s="67" t="str">
        <f t="shared" si="63"/>
        <v>#REF!</v>
      </c>
      <c r="BT200" s="68" t="str">
        <f>'[1]DATA CONSOLIDADA 2018-2025 '!$BR200-Hoja1!$BO200</f>
        <v>#REF!</v>
      </c>
      <c r="BU200" s="65">
        <v>0.0</v>
      </c>
      <c r="BV200" s="65">
        <v>0.0</v>
      </c>
      <c r="BW200" s="66">
        <v>0.0</v>
      </c>
      <c r="BX200" s="67" t="str">
        <f t="shared" si="64"/>
        <v>#REF!</v>
      </c>
      <c r="BY200" s="68" t="str">
        <f t="shared" si="65"/>
        <v>#REF!</v>
      </c>
      <c r="BZ200" s="65">
        <v>113750.0</v>
      </c>
      <c r="CA200" s="65">
        <v>0.0</v>
      </c>
      <c r="CB200" s="66">
        <v>113750.0</v>
      </c>
      <c r="CC200" s="67" t="str">
        <f t="shared" si="66"/>
        <v>#REF!</v>
      </c>
      <c r="CD200" s="68" t="str">
        <f>'[1]DATA CONSOLIDADA 2018-2025 '!$CB200-Hoja1!$BW200</f>
        <v>#REF!</v>
      </c>
      <c r="CE200" s="70">
        <v>0.0</v>
      </c>
      <c r="CF200" s="70">
        <v>0.0</v>
      </c>
      <c r="CG200" s="71">
        <v>0.0</v>
      </c>
      <c r="CH200" s="67" t="str">
        <f t="shared" si="67"/>
        <v>#REF!</v>
      </c>
      <c r="CI200" s="68" t="str">
        <f>'[1]DATA CONSOLIDADA 2018-2025 '!$CG200-Hoja1!$CB200</f>
        <v>#REF!</v>
      </c>
      <c r="CJ200" s="64" t="str">
        <f t="shared" si="68"/>
        <v>#REF!</v>
      </c>
      <c r="CK200" s="64">
        <v>0.0</v>
      </c>
      <c r="CL200" s="64">
        <v>0.0</v>
      </c>
      <c r="CM200" s="64">
        <v>0.0</v>
      </c>
      <c r="CN200" s="64" t="str">
        <f t="shared" si="12"/>
        <v>#REF!</v>
      </c>
      <c r="CO200" s="68" t="str">
        <f>'[1]DATA CONSOLIDADA 2018-2025 '!$CM200-Hoja1!$CG200</f>
        <v>#REF!</v>
      </c>
      <c r="CP200" s="70">
        <v>0.0</v>
      </c>
      <c r="CQ200" s="70">
        <v>113750.0</v>
      </c>
      <c r="CR200" s="70">
        <v>0.0</v>
      </c>
      <c r="CS200" s="70">
        <v>0.0</v>
      </c>
      <c r="CT200" s="70">
        <v>0.0</v>
      </c>
      <c r="CU200" s="70">
        <v>0.0</v>
      </c>
      <c r="CV200" s="64">
        <v>113750.0</v>
      </c>
      <c r="CW200" s="64">
        <v>0.0</v>
      </c>
      <c r="CX200" s="64">
        <v>0.0</v>
      </c>
      <c r="CY200" s="64">
        <v>0.0</v>
      </c>
      <c r="CZ200" s="64">
        <v>0.0</v>
      </c>
      <c r="DA200" s="64">
        <v>0.0</v>
      </c>
      <c r="DB200" s="64">
        <v>0.0</v>
      </c>
      <c r="DC200" s="72">
        <v>0.0</v>
      </c>
      <c r="DD200" s="72">
        <v>0.0</v>
      </c>
      <c r="DE200" s="72">
        <v>0.0</v>
      </c>
      <c r="DF200" s="72">
        <v>0.0</v>
      </c>
      <c r="DG200" s="72">
        <v>0.0</v>
      </c>
      <c r="DH200" s="72">
        <v>0.0</v>
      </c>
      <c r="DI200" s="73">
        <v>2.0600370619E10</v>
      </c>
      <c r="DJ200" s="74" t="s">
        <v>795</v>
      </c>
      <c r="DK200" s="74" t="s">
        <v>132</v>
      </c>
      <c r="DL200" s="75"/>
      <c r="DM200" s="75"/>
      <c r="DN200" s="75"/>
      <c r="DO200" s="75"/>
      <c r="DP200" s="75"/>
      <c r="DQ200" s="75"/>
      <c r="DR200" s="75"/>
      <c r="DS200" s="75"/>
      <c r="DT200" s="75"/>
      <c r="DU200" s="75"/>
      <c r="DV200" s="75"/>
      <c r="DW200" s="75"/>
      <c r="DX200" s="75"/>
      <c r="DY200" s="75"/>
      <c r="DZ200" s="75"/>
      <c r="EA200" s="75"/>
      <c r="EB200" s="75"/>
      <c r="EC200" s="75"/>
      <c r="ED200" s="75"/>
      <c r="EE200" s="75"/>
    </row>
    <row r="201" ht="47.25" hidden="1" customHeight="1">
      <c r="A201" s="55" t="s">
        <v>796</v>
      </c>
      <c r="B201" s="55" t="s">
        <v>236</v>
      </c>
      <c r="C201" s="55" t="s">
        <v>237</v>
      </c>
      <c r="D201" s="55" t="s">
        <v>785</v>
      </c>
      <c r="E201" s="55" t="s">
        <v>790</v>
      </c>
      <c r="F201" s="55" t="s">
        <v>785</v>
      </c>
      <c r="G201" s="55" t="s">
        <v>787</v>
      </c>
      <c r="H201" s="55" t="s">
        <v>791</v>
      </c>
      <c r="I201" s="56"/>
      <c r="J201" s="56">
        <v>1.0</v>
      </c>
      <c r="K201" s="56"/>
      <c r="L201" s="56"/>
      <c r="M201" s="56"/>
      <c r="N201" s="56"/>
      <c r="O201" s="56"/>
      <c r="P201" s="56"/>
      <c r="Q201" s="56" t="s">
        <v>131</v>
      </c>
      <c r="R201" s="58" t="str">
        <f t="shared" si="1"/>
        <v>2019</v>
      </c>
      <c r="S201" s="59" t="str">
        <f>SUM(Hoja1!$I201:$P201)</f>
        <v>1</v>
      </c>
      <c r="T201" s="59" t="str">
        <f>IF(OR(Hoja1!$J201=1,Hoja1!$K201=1,Hoja1!$L201=1,Hoja1!$M201=1,Hoja1!$N201=1,Hoja1!$O201=1,Hoja1!$P201=1),"SI","NO")</f>
        <v>SI</v>
      </c>
      <c r="U201" s="59" t="str">
        <f>IF(OR(Hoja1!$K201=1,Hoja1!$L201=1,Hoja1!$M201=1,Hoja1!$N201=1,Hoja1!$O201=1,Hoja1!$P201=1),"SI","NO")</f>
        <v>NO</v>
      </c>
      <c r="V201" s="60">
        <v>0.0</v>
      </c>
      <c r="W201" s="61">
        <v>77.0</v>
      </c>
      <c r="X201" s="61">
        <v>38.0</v>
      </c>
      <c r="Y201" s="60">
        <v>115.0</v>
      </c>
      <c r="Z201" s="61">
        <v>0.0</v>
      </c>
      <c r="AA201" s="61">
        <v>0.0</v>
      </c>
      <c r="AB201" s="60">
        <v>0.0</v>
      </c>
      <c r="AC201" s="61">
        <v>0.0</v>
      </c>
      <c r="AD201" s="61">
        <v>0.0</v>
      </c>
      <c r="AE201" s="60">
        <v>0.0</v>
      </c>
      <c r="AF201" s="61">
        <v>0.0</v>
      </c>
      <c r="AG201" s="61">
        <v>0.0</v>
      </c>
      <c r="AH201" s="60">
        <v>0.0</v>
      </c>
      <c r="AI201" s="61">
        <v>0.0</v>
      </c>
      <c r="AJ201" s="61">
        <v>0.0</v>
      </c>
      <c r="AK201" s="60">
        <v>0.0</v>
      </c>
      <c r="AL201" s="61">
        <v>0.0</v>
      </c>
      <c r="AM201" s="61">
        <v>0.0</v>
      </c>
      <c r="AN201" s="60">
        <v>0.0</v>
      </c>
      <c r="AO201" s="62">
        <v>0.0</v>
      </c>
      <c r="AP201" s="62">
        <v>0.0</v>
      </c>
      <c r="AQ201" s="60">
        <v>0.0</v>
      </c>
      <c r="AR201" s="60" t="str">
        <f>IF(Hoja1!$AQ201&gt;0,Hoja1!$AQ201,IF(Hoja1!$AN201&gt;0,Hoja1!$AN201,IF(Hoja1!$AK201&gt;0,Hoja1!$AK201,IF(Hoja1!$AH201&gt;0,Hoja1!$AH201,IF(Hoja1!$AE201&gt;0,Hoja1!$AE201,IF(Hoja1!$AB201&gt;0,Hoja1!$AB201,IF(Hoja1!$Y201&gt;0,Hoja1!$Y201,IF(Hoja1!$V201&gt;0,Hoja1!$V201," ---"))))))))</f>
        <v>115</v>
      </c>
      <c r="AS201" s="63">
        <v>0.0</v>
      </c>
      <c r="AT201" s="63">
        <v>0.0</v>
      </c>
      <c r="AU201" s="63">
        <v>0.0</v>
      </c>
      <c r="AV201" s="63">
        <v>0.0</v>
      </c>
      <c r="AW201" s="63">
        <v>0.0</v>
      </c>
      <c r="AX201" s="63">
        <v>0.0</v>
      </c>
      <c r="AY201" s="63">
        <v>0.0</v>
      </c>
      <c r="AZ201" s="63">
        <v>0.0</v>
      </c>
      <c r="BA201" s="63">
        <v>0.0</v>
      </c>
      <c r="BB201" s="63">
        <v>0.0</v>
      </c>
      <c r="BC201" s="63">
        <v>0.0</v>
      </c>
      <c r="BD201" s="63">
        <v>0.0</v>
      </c>
      <c r="BE201" s="64">
        <v>0.0</v>
      </c>
      <c r="BF201" s="65">
        <v>0.0</v>
      </c>
      <c r="BG201" s="65">
        <v>0.0</v>
      </c>
      <c r="BH201" s="66">
        <v>0.0</v>
      </c>
      <c r="BI201" s="67" t="str">
        <f t="shared" si="59"/>
        <v>#REF!</v>
      </c>
      <c r="BJ201" s="68" t="str">
        <f t="shared" si="60"/>
        <v>#REF!</v>
      </c>
      <c r="BK201" s="69">
        <v>0.0</v>
      </c>
      <c r="BL201" s="69">
        <v>0.0</v>
      </c>
      <c r="BM201" s="64">
        <v>0.0</v>
      </c>
      <c r="BN201" s="67" t="str">
        <f t="shared" si="61"/>
        <v>#REF!</v>
      </c>
      <c r="BO201" s="68" t="str">
        <f t="shared" si="62"/>
        <v>#REF!</v>
      </c>
      <c r="BP201" s="65">
        <v>0.0</v>
      </c>
      <c r="BQ201" s="65">
        <v>0.0</v>
      </c>
      <c r="BR201" s="66">
        <v>0.0</v>
      </c>
      <c r="BS201" s="67" t="str">
        <f t="shared" si="63"/>
        <v>#REF!</v>
      </c>
      <c r="BT201" s="68" t="str">
        <f>'[1]DATA CONSOLIDADA 2018-2025 '!$BR201-Hoja1!$BO201</f>
        <v>#REF!</v>
      </c>
      <c r="BU201" s="65">
        <v>0.0</v>
      </c>
      <c r="BV201" s="65">
        <v>0.0</v>
      </c>
      <c r="BW201" s="66">
        <v>0.0</v>
      </c>
      <c r="BX201" s="67" t="str">
        <f t="shared" si="64"/>
        <v>#REF!</v>
      </c>
      <c r="BY201" s="68" t="str">
        <f t="shared" si="65"/>
        <v>#REF!</v>
      </c>
      <c r="BZ201" s="65">
        <v>0.0</v>
      </c>
      <c r="CA201" s="65">
        <v>0.0</v>
      </c>
      <c r="CB201" s="66">
        <v>0.0</v>
      </c>
      <c r="CC201" s="67" t="str">
        <f t="shared" si="66"/>
        <v>#REF!</v>
      </c>
      <c r="CD201" s="68" t="str">
        <f>'[1]DATA CONSOLIDADA 2018-2025 '!$CB201-Hoja1!$BW201</f>
        <v>#REF!</v>
      </c>
      <c r="CE201" s="70">
        <v>0.0</v>
      </c>
      <c r="CF201" s="70">
        <v>0.0</v>
      </c>
      <c r="CG201" s="71">
        <v>0.0</v>
      </c>
      <c r="CH201" s="67" t="str">
        <f t="shared" si="67"/>
        <v>#REF!</v>
      </c>
      <c r="CI201" s="68" t="str">
        <f>'[1]DATA CONSOLIDADA 2018-2025 '!$CG201-Hoja1!$CB201</f>
        <v>#REF!</v>
      </c>
      <c r="CJ201" s="64" t="str">
        <f t="shared" si="68"/>
        <v>#REF!</v>
      </c>
      <c r="CK201" s="64">
        <v>0.0</v>
      </c>
      <c r="CL201" s="64">
        <v>0.0</v>
      </c>
      <c r="CM201" s="64">
        <v>0.0</v>
      </c>
      <c r="CN201" s="64" t="str">
        <f t="shared" si="12"/>
        <v>#REF!</v>
      </c>
      <c r="CO201" s="68" t="str">
        <f>'[1]DATA CONSOLIDADA 2018-2025 '!$CM201-Hoja1!$CG201</f>
        <v>#REF!</v>
      </c>
      <c r="CP201" s="70">
        <v>0.0</v>
      </c>
      <c r="CQ201" s="70">
        <v>0.0</v>
      </c>
      <c r="CR201" s="70">
        <v>0.0</v>
      </c>
      <c r="CS201" s="70">
        <v>0.0</v>
      </c>
      <c r="CT201" s="70">
        <v>0.0</v>
      </c>
      <c r="CU201" s="70">
        <v>0.0</v>
      </c>
      <c r="CV201" s="64">
        <v>0.0</v>
      </c>
      <c r="CW201" s="64">
        <v>0.0</v>
      </c>
      <c r="CX201" s="64">
        <v>0.0</v>
      </c>
      <c r="CY201" s="64">
        <v>0.0</v>
      </c>
      <c r="CZ201" s="64">
        <v>0.0</v>
      </c>
      <c r="DA201" s="64">
        <v>0.0</v>
      </c>
      <c r="DB201" s="64">
        <v>0.0</v>
      </c>
      <c r="DC201" s="72">
        <v>0.0</v>
      </c>
      <c r="DD201" s="72">
        <v>0.0</v>
      </c>
      <c r="DE201" s="72">
        <v>0.0</v>
      </c>
      <c r="DF201" s="72">
        <v>0.0</v>
      </c>
      <c r="DG201" s="72">
        <v>0.0</v>
      </c>
      <c r="DH201" s="72">
        <v>0.0</v>
      </c>
      <c r="DI201" s="73">
        <v>2.0600167384E10</v>
      </c>
      <c r="DJ201" s="74" t="s">
        <v>797</v>
      </c>
      <c r="DK201" s="74" t="s">
        <v>138</v>
      </c>
      <c r="DL201" s="75"/>
      <c r="DM201" s="75"/>
      <c r="DN201" s="75"/>
      <c r="DO201" s="75"/>
      <c r="DP201" s="75"/>
      <c r="DQ201" s="75"/>
      <c r="DR201" s="75"/>
      <c r="DS201" s="75"/>
      <c r="DT201" s="75"/>
      <c r="DU201" s="75"/>
      <c r="DV201" s="75"/>
      <c r="DW201" s="75"/>
      <c r="DX201" s="75"/>
      <c r="DY201" s="75"/>
      <c r="DZ201" s="75"/>
      <c r="EA201" s="75"/>
      <c r="EB201" s="75"/>
      <c r="EC201" s="75"/>
      <c r="ED201" s="75"/>
      <c r="EE201" s="75"/>
    </row>
    <row r="202" ht="47.25" hidden="1" customHeight="1">
      <c r="A202" s="55" t="s">
        <v>798</v>
      </c>
      <c r="B202" s="55" t="s">
        <v>287</v>
      </c>
      <c r="C202" s="55" t="s">
        <v>287</v>
      </c>
      <c r="D202" s="55" t="s">
        <v>785</v>
      </c>
      <c r="E202" s="55" t="s">
        <v>799</v>
      </c>
      <c r="F202" s="55" t="s">
        <v>785</v>
      </c>
      <c r="G202" s="55" t="s">
        <v>800</v>
      </c>
      <c r="H202" s="55" t="s">
        <v>801</v>
      </c>
      <c r="I202" s="56"/>
      <c r="J202" s="56"/>
      <c r="K202" s="56"/>
      <c r="L202" s="56">
        <v>1.0</v>
      </c>
      <c r="M202" s="56">
        <v>1.0</v>
      </c>
      <c r="N202" s="56">
        <v>1.0</v>
      </c>
      <c r="O202" s="56">
        <v>1.0</v>
      </c>
      <c r="P202" s="56"/>
      <c r="Q202" s="56" t="s">
        <v>131</v>
      </c>
      <c r="R202" s="58" t="str">
        <f t="shared" si="1"/>
        <v>2021-2022-2023-2024</v>
      </c>
      <c r="S202" s="59" t="str">
        <f>SUM(Hoja1!$I202:$P202)</f>
        <v>4</v>
      </c>
      <c r="T202" s="59" t="str">
        <f>IF(OR(Hoja1!$J202=1,Hoja1!$K202=1,Hoja1!$L202=1,Hoja1!$M202=1,Hoja1!$N202=1,Hoja1!$O202=1,Hoja1!$P202=1),"SI","NO")</f>
        <v>SI</v>
      </c>
      <c r="U202" s="59" t="str">
        <f>IF(OR(Hoja1!$K202=1,Hoja1!$L202=1,Hoja1!$M202=1,Hoja1!$N202=1,Hoja1!$O202=1,Hoja1!$P202=1),"SI","NO")</f>
        <v>SI</v>
      </c>
      <c r="V202" s="60">
        <v>0.0</v>
      </c>
      <c r="W202" s="61">
        <v>0.0</v>
      </c>
      <c r="X202" s="61">
        <v>0.0</v>
      </c>
      <c r="Y202" s="60">
        <v>0.0</v>
      </c>
      <c r="Z202" s="61">
        <v>0.0</v>
      </c>
      <c r="AA202" s="61">
        <v>0.0</v>
      </c>
      <c r="AB202" s="60">
        <v>0.0</v>
      </c>
      <c r="AC202" s="61">
        <v>13.0</v>
      </c>
      <c r="AD202" s="61">
        <v>11.0</v>
      </c>
      <c r="AE202" s="60">
        <v>24.0</v>
      </c>
      <c r="AF202" s="61">
        <v>13.0</v>
      </c>
      <c r="AG202" s="61">
        <v>11.0</v>
      </c>
      <c r="AH202" s="60">
        <v>24.0</v>
      </c>
      <c r="AI202" s="61">
        <v>162.0</v>
      </c>
      <c r="AJ202" s="61">
        <v>39.0</v>
      </c>
      <c r="AK202" s="60">
        <v>201.0</v>
      </c>
      <c r="AL202" s="61">
        <v>13.0</v>
      </c>
      <c r="AM202" s="61">
        <v>11.0</v>
      </c>
      <c r="AN202" s="60">
        <v>24.0</v>
      </c>
      <c r="AO202" s="62">
        <v>0.0</v>
      </c>
      <c r="AP202" s="62">
        <v>0.0</v>
      </c>
      <c r="AQ202" s="60">
        <v>0.0</v>
      </c>
      <c r="AR202" s="60" t="str">
        <f>IF(Hoja1!$AQ202&gt;0,Hoja1!$AQ202,IF(Hoja1!$AN202&gt;0,Hoja1!$AN202,IF(Hoja1!$AK202&gt;0,Hoja1!$AK202,IF(Hoja1!$AH202&gt;0,Hoja1!$AH202,IF(Hoja1!$AE202&gt;0,Hoja1!$AE202,IF(Hoja1!$AB202&gt;0,Hoja1!$AB202,IF(Hoja1!$Y202&gt;0,Hoja1!$Y202,IF(Hoja1!$V202&gt;0,Hoja1!$V202," ---"))))))))</f>
        <v>24</v>
      </c>
      <c r="AS202" s="63">
        <v>0.0</v>
      </c>
      <c r="AT202" s="63">
        <v>0.0</v>
      </c>
      <c r="AU202" s="63">
        <v>77.0</v>
      </c>
      <c r="AV202" s="63">
        <v>5.0</v>
      </c>
      <c r="AW202" s="63">
        <v>33.0</v>
      </c>
      <c r="AX202" s="63">
        <v>6.0</v>
      </c>
      <c r="AY202" s="63">
        <v>32.0</v>
      </c>
      <c r="AZ202" s="63">
        <v>5.0</v>
      </c>
      <c r="BA202" s="63">
        <v>8.0</v>
      </c>
      <c r="BB202" s="63">
        <v>2.0</v>
      </c>
      <c r="BC202" s="63">
        <v>0.0</v>
      </c>
      <c r="BD202" s="63">
        <v>0.0</v>
      </c>
      <c r="BE202" s="64">
        <v>0.0</v>
      </c>
      <c r="BF202" s="69">
        <v>0.0</v>
      </c>
      <c r="BG202" s="69">
        <v>0.0</v>
      </c>
      <c r="BH202" s="64">
        <v>0.0</v>
      </c>
      <c r="BI202" s="67" t="str">
        <f t="shared" si="59"/>
        <v>#REF!</v>
      </c>
      <c r="BJ202" s="68" t="str">
        <f t="shared" si="60"/>
        <v>#REF!</v>
      </c>
      <c r="BK202" s="69">
        <v>0.0</v>
      </c>
      <c r="BL202" s="69">
        <v>0.0</v>
      </c>
      <c r="BM202" s="64">
        <v>0.0</v>
      </c>
      <c r="BN202" s="67" t="str">
        <f t="shared" si="61"/>
        <v>#REF!</v>
      </c>
      <c r="BO202" s="68" t="str">
        <f t="shared" si="62"/>
        <v>#REF!</v>
      </c>
      <c r="BP202" s="65">
        <v>320797.0</v>
      </c>
      <c r="BQ202" s="65">
        <v>0.0</v>
      </c>
      <c r="BR202" s="66">
        <v>320797.0</v>
      </c>
      <c r="BS202" s="67" t="str">
        <f t="shared" si="63"/>
        <v>#REF!</v>
      </c>
      <c r="BT202" s="68" t="str">
        <f>'[1]DATA CONSOLIDADA 2018-2025 '!$BR202-Hoja1!$BO202</f>
        <v>#REF!</v>
      </c>
      <c r="BU202" s="65">
        <v>547939.0</v>
      </c>
      <c r="BV202" s="65">
        <v>0.0</v>
      </c>
      <c r="BW202" s="66">
        <v>547939.0</v>
      </c>
      <c r="BX202" s="67" t="str">
        <f t="shared" si="64"/>
        <v>#REF!</v>
      </c>
      <c r="BY202" s="68" t="str">
        <f t="shared" si="65"/>
        <v>#REF!</v>
      </c>
      <c r="BZ202" s="65">
        <v>508475.0</v>
      </c>
      <c r="CA202" s="65">
        <v>0.0</v>
      </c>
      <c r="CB202" s="66">
        <v>508475.0</v>
      </c>
      <c r="CC202" s="67" t="str">
        <f t="shared" si="66"/>
        <v>#REF!</v>
      </c>
      <c r="CD202" s="68" t="str">
        <f>'[1]DATA CONSOLIDADA 2018-2025 '!$CB202-Hoja1!$BW202</f>
        <v>#REF!</v>
      </c>
      <c r="CE202" s="70">
        <v>246770.0</v>
      </c>
      <c r="CF202" s="70">
        <v>0.0</v>
      </c>
      <c r="CG202" s="71">
        <v>246770.0</v>
      </c>
      <c r="CH202" s="67" t="str">
        <f t="shared" si="67"/>
        <v>#REF!</v>
      </c>
      <c r="CI202" s="68" t="str">
        <f>'[1]DATA CONSOLIDADA 2018-2025 '!$CG202-Hoja1!$CB202</f>
        <v>#REF!</v>
      </c>
      <c r="CJ202" s="64" t="str">
        <f t="shared" si="68"/>
        <v>#REF!</v>
      </c>
      <c r="CK202" s="64">
        <v>0.0</v>
      </c>
      <c r="CL202" s="64">
        <v>0.0</v>
      </c>
      <c r="CM202" s="64">
        <v>0.0</v>
      </c>
      <c r="CN202" s="64" t="str">
        <f t="shared" si="12"/>
        <v>#REF!</v>
      </c>
      <c r="CO202" s="68" t="str">
        <f>'[1]DATA CONSOLIDADA 2018-2025 '!$CM202-Hoja1!$CG202</f>
        <v>#REF!</v>
      </c>
      <c r="CP202" s="70">
        <v>0.0</v>
      </c>
      <c r="CQ202" s="70">
        <v>508475.0</v>
      </c>
      <c r="CR202" s="70">
        <v>0.0</v>
      </c>
      <c r="CS202" s="70">
        <v>0.0</v>
      </c>
      <c r="CT202" s="70">
        <v>0.0</v>
      </c>
      <c r="CU202" s="70">
        <v>0.0</v>
      </c>
      <c r="CV202" s="64">
        <v>508475.0</v>
      </c>
      <c r="CW202" s="64">
        <v>0.0</v>
      </c>
      <c r="CX202" s="64">
        <v>246770.0</v>
      </c>
      <c r="CY202" s="64">
        <v>0.0</v>
      </c>
      <c r="CZ202" s="64">
        <v>0.0</v>
      </c>
      <c r="DA202" s="64">
        <v>0.0</v>
      </c>
      <c r="DB202" s="64">
        <v>246770.0</v>
      </c>
      <c r="DC202" s="72">
        <v>0.0</v>
      </c>
      <c r="DD202" s="72">
        <v>0.0</v>
      </c>
      <c r="DE202" s="72">
        <v>0.0</v>
      </c>
      <c r="DF202" s="72">
        <v>0.0</v>
      </c>
      <c r="DG202" s="72">
        <v>0.0</v>
      </c>
      <c r="DH202" s="72">
        <v>0.0</v>
      </c>
      <c r="DI202" s="73">
        <v>2.0481929122E10</v>
      </c>
      <c r="DJ202" s="74" t="s">
        <v>802</v>
      </c>
      <c r="DK202" s="74" t="s">
        <v>138</v>
      </c>
      <c r="DL202" s="75"/>
      <c r="DM202" s="75"/>
      <c r="DN202" s="75"/>
      <c r="DO202" s="75"/>
      <c r="DP202" s="75"/>
      <c r="DQ202" s="75"/>
      <c r="DR202" s="75"/>
      <c r="DS202" s="75"/>
      <c r="DT202" s="75"/>
      <c r="DU202" s="75"/>
      <c r="DV202" s="75"/>
      <c r="DW202" s="75"/>
      <c r="DX202" s="75"/>
      <c r="DY202" s="75"/>
      <c r="DZ202" s="75"/>
      <c r="EA202" s="75"/>
      <c r="EB202" s="75"/>
      <c r="EC202" s="75"/>
      <c r="ED202" s="75"/>
      <c r="EE202" s="75"/>
    </row>
    <row r="203" ht="47.25" hidden="1" customHeight="1">
      <c r="A203" s="55" t="s">
        <v>803</v>
      </c>
      <c r="B203" s="55" t="s">
        <v>287</v>
      </c>
      <c r="C203" s="55" t="s">
        <v>287</v>
      </c>
      <c r="D203" s="55" t="s">
        <v>785</v>
      </c>
      <c r="E203" s="55" t="s">
        <v>799</v>
      </c>
      <c r="F203" s="55" t="s">
        <v>785</v>
      </c>
      <c r="G203" s="55" t="s">
        <v>800</v>
      </c>
      <c r="H203" s="55" t="s">
        <v>801</v>
      </c>
      <c r="I203" s="79"/>
      <c r="J203" s="79"/>
      <c r="K203" s="79"/>
      <c r="L203" s="79"/>
      <c r="M203" s="56">
        <v>1.0</v>
      </c>
      <c r="N203" s="56">
        <v>1.0</v>
      </c>
      <c r="O203" s="56"/>
      <c r="P203" s="56"/>
      <c r="Q203" s="56" t="s">
        <v>131</v>
      </c>
      <c r="R203" s="58" t="str">
        <f t="shared" si="1"/>
        <v>2022-2023</v>
      </c>
      <c r="S203" s="59" t="str">
        <f>SUM(Hoja1!$I203:$P203)</f>
        <v>2</v>
      </c>
      <c r="T203" s="59" t="str">
        <f>IF(OR(Hoja1!$J203=1,Hoja1!$K203=1,Hoja1!$L203=1,Hoja1!$M203=1,Hoja1!$N203=1,Hoja1!$O203=1,Hoja1!$P203=1),"SI","NO")</f>
        <v>SI</v>
      </c>
      <c r="U203" s="59" t="str">
        <f>IF(OR(Hoja1!$K203=1,Hoja1!$L203=1,Hoja1!$M203=1,Hoja1!$N203=1,Hoja1!$O203=1,Hoja1!$P203=1),"SI","NO")</f>
        <v>SI</v>
      </c>
      <c r="V203" s="60">
        <v>0.0</v>
      </c>
      <c r="W203" s="61">
        <v>0.0</v>
      </c>
      <c r="X203" s="61">
        <v>0.0</v>
      </c>
      <c r="Y203" s="60">
        <v>0.0</v>
      </c>
      <c r="Z203" s="61">
        <v>0.0</v>
      </c>
      <c r="AA203" s="61">
        <v>0.0</v>
      </c>
      <c r="AB203" s="60">
        <v>0.0</v>
      </c>
      <c r="AC203" s="61">
        <v>0.0</v>
      </c>
      <c r="AD203" s="61">
        <v>0.0</v>
      </c>
      <c r="AE203" s="60">
        <v>0.0</v>
      </c>
      <c r="AF203" s="61">
        <v>8.0</v>
      </c>
      <c r="AG203" s="61">
        <v>12.0</v>
      </c>
      <c r="AH203" s="60">
        <v>20.0</v>
      </c>
      <c r="AI203" s="61">
        <v>57.0</v>
      </c>
      <c r="AJ203" s="61">
        <v>27.0</v>
      </c>
      <c r="AK203" s="60">
        <v>84.0</v>
      </c>
      <c r="AL203" s="61">
        <v>0.0</v>
      </c>
      <c r="AM203" s="61">
        <v>0.0</v>
      </c>
      <c r="AN203" s="60">
        <v>0.0</v>
      </c>
      <c r="AO203" s="62">
        <v>0.0</v>
      </c>
      <c r="AP203" s="62">
        <v>0.0</v>
      </c>
      <c r="AQ203" s="60">
        <v>0.0</v>
      </c>
      <c r="AR203" s="60" t="str">
        <f>IF(Hoja1!$AQ203&gt;0,Hoja1!$AQ203,IF(Hoja1!$AN203&gt;0,Hoja1!$AN203,IF(Hoja1!$AK203&gt;0,Hoja1!$AK203,IF(Hoja1!$AH203&gt;0,Hoja1!$AH203,IF(Hoja1!$AE203&gt;0,Hoja1!$AE203,IF(Hoja1!$AB203&gt;0,Hoja1!$AB203,IF(Hoja1!$Y203&gt;0,Hoja1!$Y203,IF(Hoja1!$V203&gt;0,Hoja1!$V203," ---"))))))))</f>
        <v>84</v>
      </c>
      <c r="AS203" s="63">
        <v>0.0</v>
      </c>
      <c r="AT203" s="63">
        <v>0.0</v>
      </c>
      <c r="AU203" s="63">
        <v>0.0</v>
      </c>
      <c r="AV203" s="63">
        <v>0.0</v>
      </c>
      <c r="AW203" s="63">
        <v>26.0</v>
      </c>
      <c r="AX203" s="63">
        <v>5.0</v>
      </c>
      <c r="AY203" s="63">
        <v>38.0</v>
      </c>
      <c r="AZ203" s="63">
        <v>5.0</v>
      </c>
      <c r="BA203" s="63">
        <v>0.0</v>
      </c>
      <c r="BB203" s="63">
        <v>0.0</v>
      </c>
      <c r="BC203" s="63">
        <v>0.0</v>
      </c>
      <c r="BD203" s="63">
        <v>0.0</v>
      </c>
      <c r="BE203" s="66">
        <v>0.0</v>
      </c>
      <c r="BF203" s="65">
        <v>0.0</v>
      </c>
      <c r="BG203" s="65">
        <v>0.0</v>
      </c>
      <c r="BH203" s="66">
        <v>0.0</v>
      </c>
      <c r="BI203" s="67" t="str">
        <f t="shared" si="59"/>
        <v>#REF!</v>
      </c>
      <c r="BJ203" s="68" t="str">
        <f t="shared" si="60"/>
        <v>#REF!</v>
      </c>
      <c r="BK203" s="65">
        <v>0.0</v>
      </c>
      <c r="BL203" s="65">
        <v>0.0</v>
      </c>
      <c r="BM203" s="66">
        <v>0.0</v>
      </c>
      <c r="BN203" s="67" t="str">
        <f t="shared" si="61"/>
        <v>#REF!</v>
      </c>
      <c r="BO203" s="68" t="str">
        <f t="shared" si="62"/>
        <v>#REF!</v>
      </c>
      <c r="BP203" s="69">
        <v>0.0</v>
      </c>
      <c r="BQ203" s="69">
        <v>0.0</v>
      </c>
      <c r="BR203" s="64">
        <v>0.0</v>
      </c>
      <c r="BS203" s="67" t="str">
        <f t="shared" si="63"/>
        <v>#REF!</v>
      </c>
      <c r="BT203" s="68" t="str">
        <f>'[1]DATA CONSOLIDADA 2018-2025 '!$BR203-Hoja1!$BO203</f>
        <v>#REF!</v>
      </c>
      <c r="BU203" s="65">
        <v>368658.0</v>
      </c>
      <c r="BV203" s="65">
        <v>0.0</v>
      </c>
      <c r="BW203" s="66">
        <v>368658.0</v>
      </c>
      <c r="BX203" s="67" t="str">
        <f t="shared" si="64"/>
        <v>#REF!</v>
      </c>
      <c r="BY203" s="68" t="str">
        <f t="shared" si="65"/>
        <v>#REF!</v>
      </c>
      <c r="BZ203" s="65">
        <v>399027.0</v>
      </c>
      <c r="CA203" s="65">
        <v>0.0</v>
      </c>
      <c r="CB203" s="66">
        <v>399027.0</v>
      </c>
      <c r="CC203" s="67" t="str">
        <f t="shared" si="66"/>
        <v>#REF!</v>
      </c>
      <c r="CD203" s="68" t="str">
        <f>'[1]DATA CONSOLIDADA 2018-2025 '!$CB203-Hoja1!$BW203</f>
        <v>#REF!</v>
      </c>
      <c r="CE203" s="70">
        <v>0.0</v>
      </c>
      <c r="CF203" s="70">
        <v>0.0</v>
      </c>
      <c r="CG203" s="71">
        <v>0.0</v>
      </c>
      <c r="CH203" s="67" t="str">
        <f t="shared" si="67"/>
        <v>#REF!</v>
      </c>
      <c r="CI203" s="68" t="str">
        <f>'[1]DATA CONSOLIDADA 2018-2025 '!$CG203-Hoja1!$CB203</f>
        <v>#REF!</v>
      </c>
      <c r="CJ203" s="64" t="str">
        <f t="shared" si="68"/>
        <v>#REF!</v>
      </c>
      <c r="CK203" s="64">
        <v>0.0</v>
      </c>
      <c r="CL203" s="64">
        <v>0.0</v>
      </c>
      <c r="CM203" s="64">
        <v>0.0</v>
      </c>
      <c r="CN203" s="64" t="str">
        <f t="shared" si="12"/>
        <v>#REF!</v>
      </c>
      <c r="CO203" s="68" t="str">
        <f>'[1]DATA CONSOLIDADA 2018-2025 '!$CM203-Hoja1!$CG203</f>
        <v>#REF!</v>
      </c>
      <c r="CP203" s="70">
        <v>0.0</v>
      </c>
      <c r="CQ203" s="70">
        <v>399027.0</v>
      </c>
      <c r="CR203" s="70">
        <v>0.0</v>
      </c>
      <c r="CS203" s="70">
        <v>0.0</v>
      </c>
      <c r="CT203" s="70">
        <v>0.0</v>
      </c>
      <c r="CU203" s="70">
        <v>0.0</v>
      </c>
      <c r="CV203" s="64">
        <v>399027.0</v>
      </c>
      <c r="CW203" s="64">
        <v>0.0</v>
      </c>
      <c r="CX203" s="64">
        <v>0.0</v>
      </c>
      <c r="CY203" s="64">
        <v>0.0</v>
      </c>
      <c r="CZ203" s="64">
        <v>0.0</v>
      </c>
      <c r="DA203" s="64">
        <v>0.0</v>
      </c>
      <c r="DB203" s="64">
        <v>0.0</v>
      </c>
      <c r="DC203" s="72">
        <v>0.0</v>
      </c>
      <c r="DD203" s="72">
        <v>0.0</v>
      </c>
      <c r="DE203" s="72">
        <v>0.0</v>
      </c>
      <c r="DF203" s="72">
        <v>0.0</v>
      </c>
      <c r="DG203" s="72">
        <v>0.0</v>
      </c>
      <c r="DH203" s="72">
        <v>0.0</v>
      </c>
      <c r="DI203" s="73">
        <v>2.0600490347E10</v>
      </c>
      <c r="DJ203" s="74" t="s">
        <v>804</v>
      </c>
      <c r="DK203" s="74" t="s">
        <v>138</v>
      </c>
      <c r="DL203" s="75"/>
      <c r="DM203" s="75"/>
      <c r="DN203" s="75"/>
      <c r="DO203" s="75"/>
      <c r="DP203" s="75"/>
      <c r="DQ203" s="75"/>
      <c r="DR203" s="75"/>
      <c r="DS203" s="75"/>
      <c r="DT203" s="75"/>
      <c r="DU203" s="75"/>
      <c r="DV203" s="75"/>
      <c r="DW203" s="75"/>
      <c r="DX203" s="75"/>
      <c r="DY203" s="75"/>
      <c r="DZ203" s="75"/>
      <c r="EA203" s="75"/>
      <c r="EB203" s="75"/>
      <c r="EC203" s="75"/>
      <c r="ED203" s="75"/>
      <c r="EE203" s="75"/>
    </row>
    <row r="204" ht="47.25" hidden="1" customHeight="1">
      <c r="A204" s="55" t="s">
        <v>805</v>
      </c>
      <c r="B204" s="55" t="s">
        <v>806</v>
      </c>
      <c r="C204" s="55" t="s">
        <v>806</v>
      </c>
      <c r="D204" s="55" t="s">
        <v>807</v>
      </c>
      <c r="E204" s="55" t="s">
        <v>808</v>
      </c>
      <c r="F204" s="55" t="s">
        <v>807</v>
      </c>
      <c r="G204" s="55" t="s">
        <v>809</v>
      </c>
      <c r="H204" s="55" t="s">
        <v>810</v>
      </c>
      <c r="I204" s="56">
        <v>1.0</v>
      </c>
      <c r="J204" s="56"/>
      <c r="K204" s="56"/>
      <c r="L204" s="56"/>
      <c r="M204" s="56"/>
      <c r="N204" s="56"/>
      <c r="O204" s="56"/>
      <c r="P204" s="56"/>
      <c r="Q204" s="56" t="s">
        <v>131</v>
      </c>
      <c r="R204" s="58" t="str">
        <f t="shared" si="1"/>
        <v>2018</v>
      </c>
      <c r="S204" s="59" t="str">
        <f>SUM(Hoja1!$I204:$P204)</f>
        <v>1</v>
      </c>
      <c r="T204" s="59" t="str">
        <f>IF(OR(Hoja1!$J204=1,Hoja1!$K204=1,Hoja1!$L204=1,Hoja1!$M204=1,Hoja1!$N204=1,Hoja1!$O204=1,Hoja1!$P204=1),"SI","NO")</f>
        <v>NO</v>
      </c>
      <c r="U204" s="59" t="str">
        <f>IF(OR(Hoja1!$K204=1,Hoja1!$L204=1,Hoja1!$M204=1,Hoja1!$N204=1,Hoja1!$O204=1,Hoja1!$P204=1),"SI","NO")</f>
        <v>NO</v>
      </c>
      <c r="V204" s="60">
        <v>24.0</v>
      </c>
      <c r="W204" s="61">
        <v>0.0</v>
      </c>
      <c r="X204" s="61">
        <v>0.0</v>
      </c>
      <c r="Y204" s="60">
        <v>0.0</v>
      </c>
      <c r="Z204" s="61">
        <v>0.0</v>
      </c>
      <c r="AA204" s="61">
        <v>0.0</v>
      </c>
      <c r="AB204" s="60">
        <v>0.0</v>
      </c>
      <c r="AC204" s="61">
        <v>0.0</v>
      </c>
      <c r="AD204" s="61">
        <v>0.0</v>
      </c>
      <c r="AE204" s="60">
        <v>0.0</v>
      </c>
      <c r="AF204" s="61">
        <v>0.0</v>
      </c>
      <c r="AG204" s="61">
        <v>0.0</v>
      </c>
      <c r="AH204" s="60">
        <v>0.0</v>
      </c>
      <c r="AI204" s="61">
        <v>0.0</v>
      </c>
      <c r="AJ204" s="61">
        <v>0.0</v>
      </c>
      <c r="AK204" s="60">
        <v>0.0</v>
      </c>
      <c r="AL204" s="61">
        <v>0.0</v>
      </c>
      <c r="AM204" s="61">
        <v>0.0</v>
      </c>
      <c r="AN204" s="60">
        <v>0.0</v>
      </c>
      <c r="AO204" s="62">
        <v>0.0</v>
      </c>
      <c r="AP204" s="62">
        <v>0.0</v>
      </c>
      <c r="AQ204" s="60">
        <v>0.0</v>
      </c>
      <c r="AR204" s="60" t="str">
        <f>IF(Hoja1!$AQ204&gt;0,Hoja1!$AQ204,IF(Hoja1!$AN204&gt;0,Hoja1!$AN204,IF(Hoja1!$AK204&gt;0,Hoja1!$AK204,IF(Hoja1!$AH204&gt;0,Hoja1!$AH204,IF(Hoja1!$AE204&gt;0,Hoja1!$AE204,IF(Hoja1!$AB204&gt;0,Hoja1!$AB204,IF(Hoja1!$Y204&gt;0,Hoja1!$Y204,IF(Hoja1!$V204&gt;0,Hoja1!$V204," ---"))))))))</f>
        <v>24</v>
      </c>
      <c r="AS204" s="63">
        <v>0.0</v>
      </c>
      <c r="AT204" s="63">
        <v>0.0</v>
      </c>
      <c r="AU204" s="63">
        <v>0.0</v>
      </c>
      <c r="AV204" s="63">
        <v>0.0</v>
      </c>
      <c r="AW204" s="63">
        <v>0.0</v>
      </c>
      <c r="AX204" s="63">
        <v>0.0</v>
      </c>
      <c r="AY204" s="63">
        <v>0.0</v>
      </c>
      <c r="AZ204" s="63">
        <v>0.0</v>
      </c>
      <c r="BA204" s="63">
        <v>0.0</v>
      </c>
      <c r="BB204" s="63">
        <v>0.0</v>
      </c>
      <c r="BC204" s="63">
        <v>0.0</v>
      </c>
      <c r="BD204" s="63">
        <v>0.0</v>
      </c>
      <c r="BE204" s="64">
        <v>0.0</v>
      </c>
      <c r="BF204" s="69">
        <v>0.0</v>
      </c>
      <c r="BG204" s="69">
        <v>0.0</v>
      </c>
      <c r="BH204" s="64">
        <v>0.0</v>
      </c>
      <c r="BI204" s="67" t="str">
        <f t="shared" si="59"/>
        <v>#REF!</v>
      </c>
      <c r="BJ204" s="68" t="str">
        <f t="shared" si="60"/>
        <v>#REF!</v>
      </c>
      <c r="BK204" s="69">
        <v>0.0</v>
      </c>
      <c r="BL204" s="69">
        <v>0.0</v>
      </c>
      <c r="BM204" s="64">
        <v>0.0</v>
      </c>
      <c r="BN204" s="67" t="str">
        <f t="shared" si="61"/>
        <v>#REF!</v>
      </c>
      <c r="BO204" s="68" t="str">
        <f t="shared" si="62"/>
        <v>#REF!</v>
      </c>
      <c r="BP204" s="65">
        <v>0.0</v>
      </c>
      <c r="BQ204" s="65">
        <v>0.0</v>
      </c>
      <c r="BR204" s="66">
        <v>0.0</v>
      </c>
      <c r="BS204" s="67" t="str">
        <f t="shared" si="63"/>
        <v>#REF!</v>
      </c>
      <c r="BT204" s="68" t="str">
        <f>'[1]DATA CONSOLIDADA 2018-2025 '!$BR204-Hoja1!$BO204</f>
        <v>#REF!</v>
      </c>
      <c r="BU204" s="65">
        <v>0.0</v>
      </c>
      <c r="BV204" s="65">
        <v>0.0</v>
      </c>
      <c r="BW204" s="66">
        <v>0.0</v>
      </c>
      <c r="BX204" s="67" t="str">
        <f t="shared" si="64"/>
        <v>#REF!</v>
      </c>
      <c r="BY204" s="68" t="str">
        <f t="shared" si="65"/>
        <v>#REF!</v>
      </c>
      <c r="BZ204" s="65">
        <v>0.0</v>
      </c>
      <c r="CA204" s="65">
        <v>0.0</v>
      </c>
      <c r="CB204" s="66">
        <v>0.0</v>
      </c>
      <c r="CC204" s="67" t="str">
        <f t="shared" si="66"/>
        <v>#REF!</v>
      </c>
      <c r="CD204" s="68" t="str">
        <f>'[1]DATA CONSOLIDADA 2018-2025 '!$CB204-Hoja1!$BW204</f>
        <v>#REF!</v>
      </c>
      <c r="CE204" s="70">
        <v>0.0</v>
      </c>
      <c r="CF204" s="70">
        <v>0.0</v>
      </c>
      <c r="CG204" s="71">
        <v>0.0</v>
      </c>
      <c r="CH204" s="67" t="str">
        <f t="shared" si="67"/>
        <v>#REF!</v>
      </c>
      <c r="CI204" s="68" t="str">
        <f>'[1]DATA CONSOLIDADA 2018-2025 '!$CG204-Hoja1!$CB204</f>
        <v>#REF!</v>
      </c>
      <c r="CJ204" s="64" t="str">
        <f t="shared" si="68"/>
        <v>#REF!</v>
      </c>
      <c r="CK204" s="64">
        <v>0.0</v>
      </c>
      <c r="CL204" s="64">
        <v>0.0</v>
      </c>
      <c r="CM204" s="64">
        <v>0.0</v>
      </c>
      <c r="CN204" s="64" t="str">
        <f t="shared" si="12"/>
        <v>#REF!</v>
      </c>
      <c r="CO204" s="68" t="str">
        <f>'[1]DATA CONSOLIDADA 2018-2025 '!$CM204-Hoja1!$CG204</f>
        <v>#REF!</v>
      </c>
      <c r="CP204" s="70">
        <v>0.0</v>
      </c>
      <c r="CQ204" s="70">
        <v>0.0</v>
      </c>
      <c r="CR204" s="70">
        <v>0.0</v>
      </c>
      <c r="CS204" s="70">
        <v>0.0</v>
      </c>
      <c r="CT204" s="70">
        <v>0.0</v>
      </c>
      <c r="CU204" s="70">
        <v>0.0</v>
      </c>
      <c r="CV204" s="64">
        <v>0.0</v>
      </c>
      <c r="CW204" s="64">
        <v>0.0</v>
      </c>
      <c r="CX204" s="64">
        <v>0.0</v>
      </c>
      <c r="CY204" s="64">
        <v>0.0</v>
      </c>
      <c r="CZ204" s="64">
        <v>0.0</v>
      </c>
      <c r="DA204" s="64">
        <v>0.0</v>
      </c>
      <c r="DB204" s="64">
        <v>0.0</v>
      </c>
      <c r="DC204" s="72">
        <v>0.0</v>
      </c>
      <c r="DD204" s="72">
        <v>0.0</v>
      </c>
      <c r="DE204" s="72">
        <v>0.0</v>
      </c>
      <c r="DF204" s="72">
        <v>0.0</v>
      </c>
      <c r="DG204" s="72">
        <v>0.0</v>
      </c>
      <c r="DH204" s="72">
        <v>0.0</v>
      </c>
      <c r="DI204" s="73">
        <v>2.060044454E10</v>
      </c>
      <c r="DJ204" s="74" t="s">
        <v>811</v>
      </c>
      <c r="DK204" s="74" t="s">
        <v>138</v>
      </c>
      <c r="DL204" s="75"/>
      <c r="DM204" s="75"/>
      <c r="DN204" s="75"/>
      <c r="DO204" s="75"/>
      <c r="DP204" s="75"/>
      <c r="DQ204" s="75"/>
      <c r="DR204" s="75"/>
      <c r="DS204" s="75"/>
      <c r="DT204" s="75"/>
      <c r="DU204" s="75"/>
      <c r="DV204" s="75"/>
      <c r="DW204" s="75"/>
      <c r="DX204" s="75"/>
      <c r="DY204" s="75"/>
      <c r="DZ204" s="75"/>
      <c r="EA204" s="75"/>
      <c r="EB204" s="75"/>
      <c r="EC204" s="75"/>
      <c r="ED204" s="75"/>
      <c r="EE204" s="75"/>
    </row>
    <row r="205" ht="47.25" hidden="1" customHeight="1">
      <c r="A205" s="55" t="s">
        <v>812</v>
      </c>
      <c r="B205" s="55" t="s">
        <v>813</v>
      </c>
      <c r="C205" s="55" t="s">
        <v>813</v>
      </c>
      <c r="D205" s="55" t="s">
        <v>807</v>
      </c>
      <c r="E205" s="55" t="s">
        <v>814</v>
      </c>
      <c r="F205" s="55" t="s">
        <v>807</v>
      </c>
      <c r="G205" s="55" t="s">
        <v>809</v>
      </c>
      <c r="H205" s="55" t="s">
        <v>809</v>
      </c>
      <c r="I205" s="56"/>
      <c r="J205" s="56">
        <v>1.0</v>
      </c>
      <c r="K205" s="56">
        <v>1.0</v>
      </c>
      <c r="L205" s="56"/>
      <c r="M205" s="56"/>
      <c r="N205" s="56"/>
      <c r="O205" s="56"/>
      <c r="P205" s="56"/>
      <c r="Q205" s="56" t="s">
        <v>131</v>
      </c>
      <c r="R205" s="58" t="str">
        <f t="shared" si="1"/>
        <v>2019-2020</v>
      </c>
      <c r="S205" s="59" t="str">
        <f>SUM(Hoja1!$I205:$P205)</f>
        <v>2</v>
      </c>
      <c r="T205" s="59" t="str">
        <f>IF(OR(Hoja1!$J205=1,Hoja1!$K205=1,Hoja1!$L205=1,Hoja1!$M205=1,Hoja1!$N205=1,Hoja1!$O205=1,Hoja1!$P205=1),"SI","NO")</f>
        <v>SI</v>
      </c>
      <c r="U205" s="59" t="str">
        <f>IF(OR(Hoja1!$K205=1,Hoja1!$L205=1,Hoja1!$M205=1,Hoja1!$N205=1,Hoja1!$O205=1,Hoja1!$P205=1),"SI","NO")</f>
        <v>SI</v>
      </c>
      <c r="V205" s="60">
        <v>0.0</v>
      </c>
      <c r="W205" s="61">
        <v>25.0</v>
      </c>
      <c r="X205" s="61">
        <v>5.0</v>
      </c>
      <c r="Y205" s="60">
        <v>30.0</v>
      </c>
      <c r="Z205" s="61">
        <v>27.0</v>
      </c>
      <c r="AA205" s="61">
        <v>3.0</v>
      </c>
      <c r="AB205" s="60">
        <v>30.0</v>
      </c>
      <c r="AC205" s="61">
        <v>0.0</v>
      </c>
      <c r="AD205" s="61">
        <v>0.0</v>
      </c>
      <c r="AE205" s="60">
        <v>0.0</v>
      </c>
      <c r="AF205" s="61">
        <v>0.0</v>
      </c>
      <c r="AG205" s="61">
        <v>0.0</v>
      </c>
      <c r="AH205" s="60">
        <v>0.0</v>
      </c>
      <c r="AI205" s="61">
        <v>0.0</v>
      </c>
      <c r="AJ205" s="61">
        <v>0.0</v>
      </c>
      <c r="AK205" s="60">
        <v>0.0</v>
      </c>
      <c r="AL205" s="61">
        <v>0.0</v>
      </c>
      <c r="AM205" s="61">
        <v>0.0</v>
      </c>
      <c r="AN205" s="60">
        <v>0.0</v>
      </c>
      <c r="AO205" s="62">
        <v>0.0</v>
      </c>
      <c r="AP205" s="62">
        <v>0.0</v>
      </c>
      <c r="AQ205" s="60">
        <v>0.0</v>
      </c>
      <c r="AR205" s="60" t="str">
        <f>IF(Hoja1!$AQ205&gt;0,Hoja1!$AQ205,IF(Hoja1!$AN205&gt;0,Hoja1!$AN205,IF(Hoja1!$AK205&gt;0,Hoja1!$AK205,IF(Hoja1!$AH205&gt;0,Hoja1!$AH205,IF(Hoja1!$AE205&gt;0,Hoja1!$AE205,IF(Hoja1!$AB205&gt;0,Hoja1!$AB205,IF(Hoja1!$Y205&gt;0,Hoja1!$Y205,IF(Hoja1!$V205&gt;0,Hoja1!$V205," ---"))))))))</f>
        <v>30</v>
      </c>
      <c r="AS205" s="63">
        <v>0.0</v>
      </c>
      <c r="AT205" s="63">
        <v>0.0</v>
      </c>
      <c r="AU205" s="63">
        <v>0.0</v>
      </c>
      <c r="AV205" s="63">
        <v>0.0</v>
      </c>
      <c r="AW205" s="63">
        <v>0.0</v>
      </c>
      <c r="AX205" s="63">
        <v>0.0</v>
      </c>
      <c r="AY205" s="63">
        <v>0.0</v>
      </c>
      <c r="AZ205" s="63">
        <v>0.0</v>
      </c>
      <c r="BA205" s="63">
        <v>0.0</v>
      </c>
      <c r="BB205" s="63">
        <v>0.0</v>
      </c>
      <c r="BC205" s="63">
        <v>0.0</v>
      </c>
      <c r="BD205" s="63">
        <v>0.0</v>
      </c>
      <c r="BE205" s="64">
        <v>0.0</v>
      </c>
      <c r="BF205" s="65">
        <v>0.0</v>
      </c>
      <c r="BG205" s="65">
        <v>0.0</v>
      </c>
      <c r="BH205" s="66">
        <v>0.0</v>
      </c>
      <c r="BI205" s="67" t="str">
        <f t="shared" si="59"/>
        <v>#REF!</v>
      </c>
      <c r="BJ205" s="68" t="str">
        <f t="shared" si="60"/>
        <v>#REF!</v>
      </c>
      <c r="BK205" s="65">
        <v>0.0</v>
      </c>
      <c r="BL205" s="65">
        <v>0.0</v>
      </c>
      <c r="BM205" s="66">
        <v>0.0</v>
      </c>
      <c r="BN205" s="67" t="str">
        <f t="shared" si="61"/>
        <v>#REF!</v>
      </c>
      <c r="BO205" s="68" t="str">
        <f t="shared" si="62"/>
        <v>#REF!</v>
      </c>
      <c r="BP205" s="65">
        <v>0.0</v>
      </c>
      <c r="BQ205" s="65">
        <v>0.0</v>
      </c>
      <c r="BR205" s="66">
        <v>0.0</v>
      </c>
      <c r="BS205" s="67" t="str">
        <f t="shared" si="63"/>
        <v>#REF!</v>
      </c>
      <c r="BT205" s="68" t="str">
        <f>'[1]DATA CONSOLIDADA 2018-2025 '!$BR205-Hoja1!$BO205</f>
        <v>#REF!</v>
      </c>
      <c r="BU205" s="65">
        <v>0.0</v>
      </c>
      <c r="BV205" s="65">
        <v>0.0</v>
      </c>
      <c r="BW205" s="66">
        <v>0.0</v>
      </c>
      <c r="BX205" s="67" t="str">
        <f t="shared" si="64"/>
        <v>#REF!</v>
      </c>
      <c r="BY205" s="68" t="str">
        <f t="shared" si="65"/>
        <v>#REF!</v>
      </c>
      <c r="BZ205" s="65">
        <v>0.0</v>
      </c>
      <c r="CA205" s="65">
        <v>0.0</v>
      </c>
      <c r="CB205" s="66">
        <v>0.0</v>
      </c>
      <c r="CC205" s="67" t="str">
        <f t="shared" si="66"/>
        <v>#REF!</v>
      </c>
      <c r="CD205" s="68" t="str">
        <f>'[1]DATA CONSOLIDADA 2018-2025 '!$CB205-Hoja1!$BW205</f>
        <v>#REF!</v>
      </c>
      <c r="CE205" s="70">
        <v>0.0</v>
      </c>
      <c r="CF205" s="70">
        <v>0.0</v>
      </c>
      <c r="CG205" s="71">
        <v>0.0</v>
      </c>
      <c r="CH205" s="67" t="str">
        <f t="shared" si="67"/>
        <v>#REF!</v>
      </c>
      <c r="CI205" s="68" t="str">
        <f>'[1]DATA CONSOLIDADA 2018-2025 '!$CG205-Hoja1!$CB205</f>
        <v>#REF!</v>
      </c>
      <c r="CJ205" s="64" t="str">
        <f t="shared" si="68"/>
        <v>#REF!</v>
      </c>
      <c r="CK205" s="64">
        <v>0.0</v>
      </c>
      <c r="CL205" s="64">
        <v>0.0</v>
      </c>
      <c r="CM205" s="64">
        <v>0.0</v>
      </c>
      <c r="CN205" s="64" t="str">
        <f t="shared" si="12"/>
        <v>#REF!</v>
      </c>
      <c r="CO205" s="68" t="str">
        <f>'[1]DATA CONSOLIDADA 2018-2025 '!$CM205-Hoja1!$CG205</f>
        <v>#REF!</v>
      </c>
      <c r="CP205" s="70">
        <v>0.0</v>
      </c>
      <c r="CQ205" s="70">
        <v>0.0</v>
      </c>
      <c r="CR205" s="70">
        <v>0.0</v>
      </c>
      <c r="CS205" s="70">
        <v>0.0</v>
      </c>
      <c r="CT205" s="70">
        <v>0.0</v>
      </c>
      <c r="CU205" s="70">
        <v>0.0</v>
      </c>
      <c r="CV205" s="64">
        <v>0.0</v>
      </c>
      <c r="CW205" s="64">
        <v>0.0</v>
      </c>
      <c r="CX205" s="64">
        <v>0.0</v>
      </c>
      <c r="CY205" s="64">
        <v>0.0</v>
      </c>
      <c r="CZ205" s="64">
        <v>0.0</v>
      </c>
      <c r="DA205" s="64">
        <v>0.0</v>
      </c>
      <c r="DB205" s="64">
        <v>0.0</v>
      </c>
      <c r="DC205" s="72">
        <v>0.0</v>
      </c>
      <c r="DD205" s="72">
        <v>0.0</v>
      </c>
      <c r="DE205" s="72">
        <v>0.0</v>
      </c>
      <c r="DF205" s="72">
        <v>0.0</v>
      </c>
      <c r="DG205" s="72">
        <v>0.0</v>
      </c>
      <c r="DH205" s="72">
        <v>0.0</v>
      </c>
      <c r="DI205" s="73">
        <v>2.0601209811E10</v>
      </c>
      <c r="DJ205" s="74" t="s">
        <v>815</v>
      </c>
      <c r="DK205" s="74" t="s">
        <v>138</v>
      </c>
      <c r="DL205" s="75"/>
      <c r="DM205" s="75"/>
      <c r="DN205" s="75"/>
      <c r="DO205" s="75"/>
      <c r="DP205" s="75"/>
      <c r="DQ205" s="75"/>
      <c r="DR205" s="75"/>
      <c r="DS205" s="75"/>
      <c r="DT205" s="75"/>
      <c r="DU205" s="75"/>
      <c r="DV205" s="75"/>
      <c r="DW205" s="75"/>
      <c r="DX205" s="75"/>
      <c r="DY205" s="75"/>
      <c r="DZ205" s="75"/>
      <c r="EA205" s="75"/>
      <c r="EB205" s="75"/>
      <c r="EC205" s="75"/>
      <c r="ED205" s="75"/>
      <c r="EE205" s="75"/>
    </row>
    <row r="206" ht="47.25" hidden="1" customHeight="1">
      <c r="A206" s="55" t="s">
        <v>816</v>
      </c>
      <c r="B206" s="55" t="s">
        <v>813</v>
      </c>
      <c r="C206" s="55" t="s">
        <v>813</v>
      </c>
      <c r="D206" s="55" t="s">
        <v>807</v>
      </c>
      <c r="E206" s="55" t="s">
        <v>814</v>
      </c>
      <c r="F206" s="55" t="s">
        <v>807</v>
      </c>
      <c r="G206" s="55" t="s">
        <v>809</v>
      </c>
      <c r="H206" s="55" t="s">
        <v>809</v>
      </c>
      <c r="I206" s="56">
        <v>1.0</v>
      </c>
      <c r="J206" s="56"/>
      <c r="K206" s="56"/>
      <c r="L206" s="56"/>
      <c r="M206" s="56"/>
      <c r="N206" s="56"/>
      <c r="O206" s="56"/>
      <c r="P206" s="56"/>
      <c r="Q206" s="56" t="s">
        <v>131</v>
      </c>
      <c r="R206" s="58" t="str">
        <f t="shared" si="1"/>
        <v>2018</v>
      </c>
      <c r="S206" s="59" t="str">
        <f>SUM(Hoja1!$I206:$P206)</f>
        <v>1</v>
      </c>
      <c r="T206" s="59" t="str">
        <f>IF(OR(Hoja1!$J206=1,Hoja1!$K206=1,Hoja1!$L206=1,Hoja1!$M206=1,Hoja1!$N206=1,Hoja1!$O206=1,Hoja1!$P206=1),"SI","NO")</f>
        <v>NO</v>
      </c>
      <c r="U206" s="59" t="str">
        <f>IF(OR(Hoja1!$K206=1,Hoja1!$L206=1,Hoja1!$M206=1,Hoja1!$N206=1,Hoja1!$O206=1,Hoja1!$P206=1),"SI","NO")</f>
        <v>NO</v>
      </c>
      <c r="V206" s="60">
        <v>30.0</v>
      </c>
      <c r="W206" s="61">
        <v>0.0</v>
      </c>
      <c r="X206" s="61">
        <v>0.0</v>
      </c>
      <c r="Y206" s="60">
        <v>0.0</v>
      </c>
      <c r="Z206" s="61">
        <v>0.0</v>
      </c>
      <c r="AA206" s="61">
        <v>0.0</v>
      </c>
      <c r="AB206" s="60">
        <v>0.0</v>
      </c>
      <c r="AC206" s="61">
        <v>0.0</v>
      </c>
      <c r="AD206" s="61">
        <v>0.0</v>
      </c>
      <c r="AE206" s="60">
        <v>0.0</v>
      </c>
      <c r="AF206" s="61">
        <v>0.0</v>
      </c>
      <c r="AG206" s="61">
        <v>0.0</v>
      </c>
      <c r="AH206" s="60">
        <v>0.0</v>
      </c>
      <c r="AI206" s="61">
        <v>0.0</v>
      </c>
      <c r="AJ206" s="61">
        <v>0.0</v>
      </c>
      <c r="AK206" s="60">
        <v>0.0</v>
      </c>
      <c r="AL206" s="61">
        <v>0.0</v>
      </c>
      <c r="AM206" s="61">
        <v>0.0</v>
      </c>
      <c r="AN206" s="60">
        <v>0.0</v>
      </c>
      <c r="AO206" s="62">
        <v>0.0</v>
      </c>
      <c r="AP206" s="62">
        <v>0.0</v>
      </c>
      <c r="AQ206" s="60">
        <v>0.0</v>
      </c>
      <c r="AR206" s="60" t="str">
        <f>IF(Hoja1!$AQ206&gt;0,Hoja1!$AQ206,IF(Hoja1!$AN206&gt;0,Hoja1!$AN206,IF(Hoja1!$AK206&gt;0,Hoja1!$AK206,IF(Hoja1!$AH206&gt;0,Hoja1!$AH206,IF(Hoja1!$AE206&gt;0,Hoja1!$AE206,IF(Hoja1!$AB206&gt;0,Hoja1!$AB206,IF(Hoja1!$Y206&gt;0,Hoja1!$Y206,IF(Hoja1!$V206&gt;0,Hoja1!$V206," ---"))))))))</f>
        <v>30</v>
      </c>
      <c r="AS206" s="63">
        <v>0.0</v>
      </c>
      <c r="AT206" s="63">
        <v>0.0</v>
      </c>
      <c r="AU206" s="63">
        <v>0.0</v>
      </c>
      <c r="AV206" s="63">
        <v>0.0</v>
      </c>
      <c r="AW206" s="63">
        <v>0.0</v>
      </c>
      <c r="AX206" s="63">
        <v>0.0</v>
      </c>
      <c r="AY206" s="63">
        <v>0.0</v>
      </c>
      <c r="AZ206" s="63">
        <v>0.0</v>
      </c>
      <c r="BA206" s="63">
        <v>0.0</v>
      </c>
      <c r="BB206" s="63">
        <v>0.0</v>
      </c>
      <c r="BC206" s="63">
        <v>0.0</v>
      </c>
      <c r="BD206" s="63">
        <v>0.0</v>
      </c>
      <c r="BE206" s="64">
        <v>0.0</v>
      </c>
      <c r="BF206" s="65">
        <v>0.0</v>
      </c>
      <c r="BG206" s="65">
        <v>0.0</v>
      </c>
      <c r="BH206" s="66">
        <v>0.0</v>
      </c>
      <c r="BI206" s="67" t="str">
        <f t="shared" si="59"/>
        <v>#REF!</v>
      </c>
      <c r="BJ206" s="68" t="str">
        <f t="shared" si="60"/>
        <v>#REF!</v>
      </c>
      <c r="BK206" s="65">
        <v>0.0</v>
      </c>
      <c r="BL206" s="65">
        <v>0.0</v>
      </c>
      <c r="BM206" s="66">
        <v>0.0</v>
      </c>
      <c r="BN206" s="67" t="str">
        <f t="shared" si="61"/>
        <v>#REF!</v>
      </c>
      <c r="BO206" s="68" t="str">
        <f t="shared" si="62"/>
        <v>#REF!</v>
      </c>
      <c r="BP206" s="65">
        <v>0.0</v>
      </c>
      <c r="BQ206" s="65">
        <v>0.0</v>
      </c>
      <c r="BR206" s="66">
        <v>0.0</v>
      </c>
      <c r="BS206" s="67" t="str">
        <f t="shared" si="63"/>
        <v>#REF!</v>
      </c>
      <c r="BT206" s="68" t="str">
        <f>'[1]DATA CONSOLIDADA 2018-2025 '!$BR206-Hoja1!$BO206</f>
        <v>#REF!</v>
      </c>
      <c r="BU206" s="65">
        <v>0.0</v>
      </c>
      <c r="BV206" s="65">
        <v>0.0</v>
      </c>
      <c r="BW206" s="66">
        <v>0.0</v>
      </c>
      <c r="BX206" s="67" t="str">
        <f t="shared" si="64"/>
        <v>#REF!</v>
      </c>
      <c r="BY206" s="68" t="str">
        <f t="shared" si="65"/>
        <v>#REF!</v>
      </c>
      <c r="BZ206" s="65">
        <v>0.0</v>
      </c>
      <c r="CA206" s="65">
        <v>0.0</v>
      </c>
      <c r="CB206" s="66">
        <v>0.0</v>
      </c>
      <c r="CC206" s="67" t="str">
        <f t="shared" si="66"/>
        <v>#REF!</v>
      </c>
      <c r="CD206" s="68" t="str">
        <f>'[1]DATA CONSOLIDADA 2018-2025 '!$CB206-Hoja1!$BW206</f>
        <v>#REF!</v>
      </c>
      <c r="CE206" s="70">
        <v>0.0</v>
      </c>
      <c r="CF206" s="70">
        <v>0.0</v>
      </c>
      <c r="CG206" s="71">
        <v>0.0</v>
      </c>
      <c r="CH206" s="67" t="str">
        <f t="shared" si="67"/>
        <v>#REF!</v>
      </c>
      <c r="CI206" s="68" t="str">
        <f>'[1]DATA CONSOLIDADA 2018-2025 '!$CG206-Hoja1!$CB206</f>
        <v>#REF!</v>
      </c>
      <c r="CJ206" s="64" t="str">
        <f t="shared" si="68"/>
        <v>#REF!</v>
      </c>
      <c r="CK206" s="64">
        <v>0.0</v>
      </c>
      <c r="CL206" s="64">
        <v>0.0</v>
      </c>
      <c r="CM206" s="64">
        <v>0.0</v>
      </c>
      <c r="CN206" s="64" t="str">
        <f t="shared" si="12"/>
        <v>#REF!</v>
      </c>
      <c r="CO206" s="68" t="str">
        <f>'[1]DATA CONSOLIDADA 2018-2025 '!$CM206-Hoja1!$CG206</f>
        <v>#REF!</v>
      </c>
      <c r="CP206" s="70">
        <v>0.0</v>
      </c>
      <c r="CQ206" s="70">
        <v>0.0</v>
      </c>
      <c r="CR206" s="70">
        <v>0.0</v>
      </c>
      <c r="CS206" s="70">
        <v>0.0</v>
      </c>
      <c r="CT206" s="70">
        <v>0.0</v>
      </c>
      <c r="CU206" s="70">
        <v>0.0</v>
      </c>
      <c r="CV206" s="64">
        <v>0.0</v>
      </c>
      <c r="CW206" s="64">
        <v>0.0</v>
      </c>
      <c r="CX206" s="64">
        <v>0.0</v>
      </c>
      <c r="CY206" s="64">
        <v>0.0</v>
      </c>
      <c r="CZ206" s="64">
        <v>0.0</v>
      </c>
      <c r="DA206" s="64">
        <v>0.0</v>
      </c>
      <c r="DB206" s="64">
        <v>0.0</v>
      </c>
      <c r="DC206" s="72">
        <v>0.0</v>
      </c>
      <c r="DD206" s="72">
        <v>0.0</v>
      </c>
      <c r="DE206" s="72">
        <v>0.0</v>
      </c>
      <c r="DF206" s="72">
        <v>0.0</v>
      </c>
      <c r="DG206" s="72">
        <v>0.0</v>
      </c>
      <c r="DH206" s="72">
        <v>0.0</v>
      </c>
      <c r="DI206" s="73">
        <v>2.0521131218E10</v>
      </c>
      <c r="DJ206" s="74" t="s">
        <v>817</v>
      </c>
      <c r="DK206" s="74" t="s">
        <v>138</v>
      </c>
      <c r="DL206" s="75"/>
      <c r="DM206" s="75"/>
      <c r="DN206" s="75"/>
      <c r="DO206" s="75"/>
      <c r="DP206" s="75"/>
      <c r="DQ206" s="75"/>
      <c r="DR206" s="75"/>
      <c r="DS206" s="75"/>
      <c r="DT206" s="75"/>
      <c r="DU206" s="75"/>
      <c r="DV206" s="75"/>
      <c r="DW206" s="75"/>
      <c r="DX206" s="75"/>
      <c r="DY206" s="75"/>
      <c r="DZ206" s="75"/>
      <c r="EA206" s="75"/>
      <c r="EB206" s="75"/>
      <c r="EC206" s="75"/>
      <c r="ED206" s="75"/>
      <c r="EE206" s="75"/>
    </row>
    <row r="207" ht="47.25" hidden="1" customHeight="1">
      <c r="A207" s="55" t="s">
        <v>818</v>
      </c>
      <c r="B207" s="55" t="s">
        <v>819</v>
      </c>
      <c r="C207" s="55" t="s">
        <v>819</v>
      </c>
      <c r="D207" s="55" t="s">
        <v>607</v>
      </c>
      <c r="E207" s="55" t="s">
        <v>820</v>
      </c>
      <c r="F207" s="55" t="s">
        <v>607</v>
      </c>
      <c r="G207" s="55" t="s">
        <v>821</v>
      </c>
      <c r="H207" s="55" t="s">
        <v>822</v>
      </c>
      <c r="I207" s="56">
        <v>1.0</v>
      </c>
      <c r="J207" s="56">
        <v>1.0</v>
      </c>
      <c r="K207" s="56">
        <v>1.0</v>
      </c>
      <c r="L207" s="56">
        <v>1.0</v>
      </c>
      <c r="M207" s="56">
        <v>1.0</v>
      </c>
      <c r="N207" s="56"/>
      <c r="O207" s="56"/>
      <c r="P207" s="56"/>
      <c r="Q207" s="56" t="s">
        <v>131</v>
      </c>
      <c r="R207" s="58" t="str">
        <f t="shared" si="1"/>
        <v>2018-2019-2020-2021-2022</v>
      </c>
      <c r="S207" s="59" t="str">
        <f>SUM(Hoja1!$I207:$P207)</f>
        <v>5</v>
      </c>
      <c r="T207" s="59" t="str">
        <f>IF(OR(Hoja1!$J207=1,Hoja1!$K207=1,Hoja1!$L207=1,Hoja1!$M207=1,Hoja1!$N207=1,Hoja1!$O207=1,Hoja1!$P207=1),"SI","NO")</f>
        <v>SI</v>
      </c>
      <c r="U207" s="59" t="str">
        <f>IF(OR(Hoja1!$K207=1,Hoja1!$L207=1,Hoja1!$M207=1,Hoja1!$N207=1,Hoja1!$O207=1,Hoja1!$P207=1),"SI","NO")</f>
        <v>SI</v>
      </c>
      <c r="V207" s="60">
        <v>86.0</v>
      </c>
      <c r="W207" s="61">
        <v>69.0</v>
      </c>
      <c r="X207" s="61">
        <v>13.0</v>
      </c>
      <c r="Y207" s="60">
        <v>82.0</v>
      </c>
      <c r="Z207" s="61">
        <v>69.0</v>
      </c>
      <c r="AA207" s="61">
        <v>13.0</v>
      </c>
      <c r="AB207" s="60">
        <v>82.0</v>
      </c>
      <c r="AC207" s="61">
        <v>69.0</v>
      </c>
      <c r="AD207" s="61">
        <v>13.0</v>
      </c>
      <c r="AE207" s="60">
        <v>82.0</v>
      </c>
      <c r="AF207" s="61">
        <v>69.0</v>
      </c>
      <c r="AG207" s="61">
        <v>13.0</v>
      </c>
      <c r="AH207" s="60">
        <v>82.0</v>
      </c>
      <c r="AI207" s="61">
        <v>0.0</v>
      </c>
      <c r="AJ207" s="61">
        <v>0.0</v>
      </c>
      <c r="AK207" s="60">
        <v>0.0</v>
      </c>
      <c r="AL207" s="61">
        <v>0.0</v>
      </c>
      <c r="AM207" s="61">
        <v>0.0</v>
      </c>
      <c r="AN207" s="60">
        <v>0.0</v>
      </c>
      <c r="AO207" s="62">
        <v>0.0</v>
      </c>
      <c r="AP207" s="62">
        <v>0.0</v>
      </c>
      <c r="AQ207" s="60">
        <v>0.0</v>
      </c>
      <c r="AR207" s="60" t="str">
        <f>IF(Hoja1!$AQ207&gt;0,Hoja1!$AQ207,IF(Hoja1!$AN207&gt;0,Hoja1!$AN207,IF(Hoja1!$AK207&gt;0,Hoja1!$AK207,IF(Hoja1!$AH207&gt;0,Hoja1!$AH207,IF(Hoja1!$AE207&gt;0,Hoja1!$AE207,IF(Hoja1!$AB207&gt;0,Hoja1!$AB207,IF(Hoja1!$Y207&gt;0,Hoja1!$Y207,IF(Hoja1!$V207&gt;0,Hoja1!$V207," ---"))))))))</f>
        <v>82</v>
      </c>
      <c r="AS207" s="63">
        <v>0.0</v>
      </c>
      <c r="AT207" s="63">
        <v>0.0</v>
      </c>
      <c r="AU207" s="63">
        <v>20.0</v>
      </c>
      <c r="AV207" s="63">
        <v>0.0</v>
      </c>
      <c r="AW207" s="63">
        <v>14.0</v>
      </c>
      <c r="AX207" s="63">
        <v>1.0</v>
      </c>
      <c r="AY207" s="63">
        <v>0.0</v>
      </c>
      <c r="AZ207" s="63">
        <v>0.0</v>
      </c>
      <c r="BA207" s="63">
        <v>0.0</v>
      </c>
      <c r="BB207" s="63">
        <v>0.0</v>
      </c>
      <c r="BC207" s="63">
        <v>0.0</v>
      </c>
      <c r="BD207" s="63">
        <v>0.0</v>
      </c>
      <c r="BE207" s="64">
        <v>0.0</v>
      </c>
      <c r="BF207" s="65">
        <v>9437.5</v>
      </c>
      <c r="BG207" s="65">
        <v>0.0</v>
      </c>
      <c r="BH207" s="66">
        <v>9437.5</v>
      </c>
      <c r="BI207" s="67" t="str">
        <f t="shared" si="59"/>
        <v>#REF!</v>
      </c>
      <c r="BJ207" s="68" t="str">
        <f t="shared" si="60"/>
        <v>#REF!</v>
      </c>
      <c r="BK207" s="65">
        <v>20984.0</v>
      </c>
      <c r="BL207" s="65">
        <v>0.0</v>
      </c>
      <c r="BM207" s="66">
        <v>20984.0</v>
      </c>
      <c r="BN207" s="67" t="str">
        <f t="shared" si="61"/>
        <v>#REF!</v>
      </c>
      <c r="BO207" s="68" t="str">
        <f t="shared" si="62"/>
        <v>#REF!</v>
      </c>
      <c r="BP207" s="65">
        <v>89252.5</v>
      </c>
      <c r="BQ207" s="65">
        <v>0.0</v>
      </c>
      <c r="BR207" s="66">
        <v>89252.5</v>
      </c>
      <c r="BS207" s="67" t="str">
        <f t="shared" si="63"/>
        <v>#REF!</v>
      </c>
      <c r="BT207" s="68" t="str">
        <f>'[1]DATA CONSOLIDADA 2018-2025 '!$BR207-Hoja1!$BO207</f>
        <v>#REF!</v>
      </c>
      <c r="BU207" s="65">
        <v>18600.0</v>
      </c>
      <c r="BV207" s="65">
        <v>0.0</v>
      </c>
      <c r="BW207" s="66">
        <v>18600.0</v>
      </c>
      <c r="BX207" s="67" t="str">
        <f t="shared" si="64"/>
        <v>#REF!</v>
      </c>
      <c r="BY207" s="68" t="str">
        <f t="shared" si="65"/>
        <v>#REF!</v>
      </c>
      <c r="BZ207" s="65">
        <v>0.0</v>
      </c>
      <c r="CA207" s="65">
        <v>0.0</v>
      </c>
      <c r="CB207" s="66">
        <v>0.0</v>
      </c>
      <c r="CC207" s="67" t="str">
        <f t="shared" si="66"/>
        <v>#REF!</v>
      </c>
      <c r="CD207" s="68" t="str">
        <f>'[1]DATA CONSOLIDADA 2018-2025 '!$CB207-Hoja1!$BW207</f>
        <v>#REF!</v>
      </c>
      <c r="CE207" s="70">
        <v>0.0</v>
      </c>
      <c r="CF207" s="70">
        <v>0.0</v>
      </c>
      <c r="CG207" s="71">
        <v>0.0</v>
      </c>
      <c r="CH207" s="67" t="str">
        <f t="shared" si="67"/>
        <v>#REF!</v>
      </c>
      <c r="CI207" s="68" t="str">
        <f>'[1]DATA CONSOLIDADA 2018-2025 '!$CG207-Hoja1!$CB207</f>
        <v>#REF!</v>
      </c>
      <c r="CJ207" s="64" t="str">
        <f t="shared" si="68"/>
        <v>#REF!</v>
      </c>
      <c r="CK207" s="64">
        <v>0.0</v>
      </c>
      <c r="CL207" s="64">
        <v>0.0</v>
      </c>
      <c r="CM207" s="64">
        <v>0.0</v>
      </c>
      <c r="CN207" s="64" t="str">
        <f t="shared" si="12"/>
        <v>#REF!</v>
      </c>
      <c r="CO207" s="68" t="str">
        <f>'[1]DATA CONSOLIDADA 2018-2025 '!$CM207-Hoja1!$CG207</f>
        <v>#REF!</v>
      </c>
      <c r="CP207" s="70">
        <v>0.0</v>
      </c>
      <c r="CQ207" s="70">
        <v>0.0</v>
      </c>
      <c r="CR207" s="70">
        <v>0.0</v>
      </c>
      <c r="CS207" s="70">
        <v>0.0</v>
      </c>
      <c r="CT207" s="70">
        <v>0.0</v>
      </c>
      <c r="CU207" s="70">
        <v>0.0</v>
      </c>
      <c r="CV207" s="64">
        <v>0.0</v>
      </c>
      <c r="CW207" s="64">
        <v>0.0</v>
      </c>
      <c r="CX207" s="64">
        <v>0.0</v>
      </c>
      <c r="CY207" s="64">
        <v>0.0</v>
      </c>
      <c r="CZ207" s="64">
        <v>0.0</v>
      </c>
      <c r="DA207" s="64">
        <v>0.0</v>
      </c>
      <c r="DB207" s="64">
        <v>0.0</v>
      </c>
      <c r="DC207" s="72">
        <v>0.0</v>
      </c>
      <c r="DD207" s="72">
        <v>0.0</v>
      </c>
      <c r="DE207" s="72">
        <v>0.0</v>
      </c>
      <c r="DF207" s="72">
        <v>0.0</v>
      </c>
      <c r="DG207" s="72">
        <v>0.0</v>
      </c>
      <c r="DH207" s="72">
        <v>0.0</v>
      </c>
      <c r="DI207" s="73">
        <v>2.0528270434E10</v>
      </c>
      <c r="DJ207" s="74" t="s">
        <v>823</v>
      </c>
      <c r="DK207" s="74" t="s">
        <v>138</v>
      </c>
      <c r="DL207" s="75"/>
      <c r="DM207" s="75"/>
      <c r="DN207" s="75"/>
      <c r="DO207" s="75"/>
      <c r="DP207" s="75"/>
      <c r="DQ207" s="75"/>
      <c r="DR207" s="75"/>
      <c r="DS207" s="75"/>
      <c r="DT207" s="75"/>
      <c r="DU207" s="75"/>
      <c r="DV207" s="75"/>
      <c r="DW207" s="75"/>
      <c r="DX207" s="75"/>
      <c r="DY207" s="75"/>
      <c r="DZ207" s="75"/>
      <c r="EA207" s="75"/>
      <c r="EB207" s="75"/>
      <c r="EC207" s="75"/>
      <c r="ED207" s="75"/>
      <c r="EE207" s="75"/>
    </row>
    <row r="208" ht="47.25" customHeight="1">
      <c r="A208" s="55" t="s">
        <v>824</v>
      </c>
      <c r="B208" s="55" t="s">
        <v>146</v>
      </c>
      <c r="C208" s="55" t="s">
        <v>146</v>
      </c>
      <c r="D208" s="55" t="s">
        <v>607</v>
      </c>
      <c r="E208" s="55" t="s">
        <v>825</v>
      </c>
      <c r="F208" s="55" t="s">
        <v>607</v>
      </c>
      <c r="G208" s="55" t="s">
        <v>821</v>
      </c>
      <c r="H208" s="55" t="s">
        <v>826</v>
      </c>
      <c r="I208" s="56">
        <v>1.0</v>
      </c>
      <c r="J208" s="56">
        <v>1.0</v>
      </c>
      <c r="K208" s="56"/>
      <c r="L208" s="56"/>
      <c r="M208" s="56"/>
      <c r="N208" s="56"/>
      <c r="O208" s="56"/>
      <c r="P208" s="56"/>
      <c r="Q208" s="56" t="s">
        <v>131</v>
      </c>
      <c r="R208" s="58" t="str">
        <f t="shared" si="1"/>
        <v>2018-2019</v>
      </c>
      <c r="S208" s="59" t="str">
        <f>SUM(Hoja1!$I208:$P208)</f>
        <v>2</v>
      </c>
      <c r="T208" s="59" t="str">
        <f>IF(OR(Hoja1!$J208=1,Hoja1!$K208=1,Hoja1!$L208=1,Hoja1!$M208=1,Hoja1!$N208=1,Hoja1!$O208=1,Hoja1!$P208=1),"SI","NO")</f>
        <v>SI</v>
      </c>
      <c r="U208" s="59" t="str">
        <f>IF(OR(Hoja1!$K208=1,Hoja1!$L208=1,Hoja1!$M208=1,Hoja1!$N208=1,Hoja1!$O208=1,Hoja1!$P208=1),"SI","NO")</f>
        <v>NO</v>
      </c>
      <c r="V208" s="60">
        <v>50.0</v>
      </c>
      <c r="W208" s="61">
        <v>43.0</v>
      </c>
      <c r="X208" s="61">
        <v>7.0</v>
      </c>
      <c r="Y208" s="60">
        <v>50.0</v>
      </c>
      <c r="Z208" s="61">
        <v>0.0</v>
      </c>
      <c r="AA208" s="61">
        <v>0.0</v>
      </c>
      <c r="AB208" s="60">
        <v>0.0</v>
      </c>
      <c r="AC208" s="61">
        <v>0.0</v>
      </c>
      <c r="AD208" s="61">
        <v>0.0</v>
      </c>
      <c r="AE208" s="60">
        <v>0.0</v>
      </c>
      <c r="AF208" s="61">
        <v>0.0</v>
      </c>
      <c r="AG208" s="61">
        <v>0.0</v>
      </c>
      <c r="AH208" s="60">
        <v>0.0</v>
      </c>
      <c r="AI208" s="61">
        <v>0.0</v>
      </c>
      <c r="AJ208" s="61">
        <v>0.0</v>
      </c>
      <c r="AK208" s="60">
        <v>0.0</v>
      </c>
      <c r="AL208" s="61">
        <v>0.0</v>
      </c>
      <c r="AM208" s="61">
        <v>0.0</v>
      </c>
      <c r="AN208" s="60">
        <v>0.0</v>
      </c>
      <c r="AO208" s="62">
        <v>0.0</v>
      </c>
      <c r="AP208" s="62">
        <v>0.0</v>
      </c>
      <c r="AQ208" s="60">
        <v>0.0</v>
      </c>
      <c r="AR208" s="60" t="str">
        <f>IF(Hoja1!$AQ208&gt;0,Hoja1!$AQ208,IF(Hoja1!$AN208&gt;0,Hoja1!$AN208,IF(Hoja1!$AK208&gt;0,Hoja1!$AK208,IF(Hoja1!$AH208&gt;0,Hoja1!$AH208,IF(Hoja1!$AE208&gt;0,Hoja1!$AE208,IF(Hoja1!$AB208&gt;0,Hoja1!$AB208,IF(Hoja1!$Y208&gt;0,Hoja1!$Y208,IF(Hoja1!$V208&gt;0,Hoja1!$V208," ---"))))))))</f>
        <v>50</v>
      </c>
      <c r="AS208" s="63">
        <v>0.0</v>
      </c>
      <c r="AT208" s="63">
        <v>0.0</v>
      </c>
      <c r="AU208" s="63">
        <v>0.0</v>
      </c>
      <c r="AV208" s="63">
        <v>0.0</v>
      </c>
      <c r="AW208" s="63">
        <v>0.0</v>
      </c>
      <c r="AX208" s="63">
        <v>0.0</v>
      </c>
      <c r="AY208" s="63">
        <v>0.0</v>
      </c>
      <c r="AZ208" s="63">
        <v>0.0</v>
      </c>
      <c r="BA208" s="63">
        <v>0.0</v>
      </c>
      <c r="BB208" s="63">
        <v>0.0</v>
      </c>
      <c r="BC208" s="63">
        <v>0.0</v>
      </c>
      <c r="BD208" s="63">
        <v>0.0</v>
      </c>
      <c r="BE208" s="64">
        <v>0.0</v>
      </c>
      <c r="BF208" s="65">
        <v>0.0</v>
      </c>
      <c r="BG208" s="65">
        <v>0.0</v>
      </c>
      <c r="BH208" s="66">
        <v>0.0</v>
      </c>
      <c r="BI208" s="67" t="str">
        <f t="shared" si="59"/>
        <v>#REF!</v>
      </c>
      <c r="BJ208" s="68" t="str">
        <f t="shared" si="60"/>
        <v>#REF!</v>
      </c>
      <c r="BK208" s="65">
        <v>0.0</v>
      </c>
      <c r="BL208" s="65">
        <v>0.0</v>
      </c>
      <c r="BM208" s="66">
        <v>0.0</v>
      </c>
      <c r="BN208" s="67" t="str">
        <f t="shared" si="61"/>
        <v>#REF!</v>
      </c>
      <c r="BO208" s="68" t="str">
        <f t="shared" si="62"/>
        <v>#REF!</v>
      </c>
      <c r="BP208" s="65">
        <v>0.0</v>
      </c>
      <c r="BQ208" s="65">
        <v>0.0</v>
      </c>
      <c r="BR208" s="66">
        <v>0.0</v>
      </c>
      <c r="BS208" s="67" t="str">
        <f t="shared" si="63"/>
        <v>#REF!</v>
      </c>
      <c r="BT208" s="68" t="str">
        <f>'[1]DATA CONSOLIDADA 2018-2025 '!$BR208-Hoja1!$BO208</f>
        <v>#REF!</v>
      </c>
      <c r="BU208" s="65">
        <v>0.0</v>
      </c>
      <c r="BV208" s="65">
        <v>0.0</v>
      </c>
      <c r="BW208" s="66">
        <v>0.0</v>
      </c>
      <c r="BX208" s="67" t="str">
        <f t="shared" si="64"/>
        <v>#REF!</v>
      </c>
      <c r="BY208" s="68" t="str">
        <f t="shared" si="65"/>
        <v>#REF!</v>
      </c>
      <c r="BZ208" s="65">
        <v>0.0</v>
      </c>
      <c r="CA208" s="65">
        <v>0.0</v>
      </c>
      <c r="CB208" s="66">
        <v>0.0</v>
      </c>
      <c r="CC208" s="67" t="str">
        <f t="shared" si="66"/>
        <v>#REF!</v>
      </c>
      <c r="CD208" s="68" t="str">
        <f>'[1]DATA CONSOLIDADA 2018-2025 '!$CB208-Hoja1!$BW208</f>
        <v>#REF!</v>
      </c>
      <c r="CE208" s="70">
        <v>0.0</v>
      </c>
      <c r="CF208" s="70">
        <v>0.0</v>
      </c>
      <c r="CG208" s="71">
        <v>0.0</v>
      </c>
      <c r="CH208" s="67" t="str">
        <f t="shared" si="67"/>
        <v>#REF!</v>
      </c>
      <c r="CI208" s="68" t="str">
        <f>'[1]DATA CONSOLIDADA 2018-2025 '!$CG208-Hoja1!$CB208</f>
        <v>#REF!</v>
      </c>
      <c r="CJ208" s="64" t="str">
        <f t="shared" si="68"/>
        <v>#REF!</v>
      </c>
      <c r="CK208" s="64">
        <v>0.0</v>
      </c>
      <c r="CL208" s="64">
        <v>0.0</v>
      </c>
      <c r="CM208" s="64">
        <v>0.0</v>
      </c>
      <c r="CN208" s="64" t="str">
        <f t="shared" si="12"/>
        <v>#REF!</v>
      </c>
      <c r="CO208" s="68" t="str">
        <f>'[1]DATA CONSOLIDADA 2018-2025 '!$CM208-Hoja1!$CG208</f>
        <v>#REF!</v>
      </c>
      <c r="CP208" s="70">
        <v>0.0</v>
      </c>
      <c r="CQ208" s="70">
        <v>0.0</v>
      </c>
      <c r="CR208" s="70">
        <v>0.0</v>
      </c>
      <c r="CS208" s="70">
        <v>0.0</v>
      </c>
      <c r="CT208" s="70">
        <v>0.0</v>
      </c>
      <c r="CU208" s="70">
        <v>0.0</v>
      </c>
      <c r="CV208" s="64">
        <v>0.0</v>
      </c>
      <c r="CW208" s="64">
        <v>0.0</v>
      </c>
      <c r="CX208" s="64">
        <v>0.0</v>
      </c>
      <c r="CY208" s="64">
        <v>0.0</v>
      </c>
      <c r="CZ208" s="64">
        <v>0.0</v>
      </c>
      <c r="DA208" s="64">
        <v>0.0</v>
      </c>
      <c r="DB208" s="64">
        <v>0.0</v>
      </c>
      <c r="DC208" s="72">
        <v>0.0</v>
      </c>
      <c r="DD208" s="72">
        <v>0.0</v>
      </c>
      <c r="DE208" s="72">
        <v>0.0</v>
      </c>
      <c r="DF208" s="72">
        <v>0.0</v>
      </c>
      <c r="DG208" s="72">
        <v>0.0</v>
      </c>
      <c r="DH208" s="72">
        <v>0.0</v>
      </c>
      <c r="DI208" s="73">
        <v>2.0600029887E10</v>
      </c>
      <c r="DJ208" s="74" t="s">
        <v>824</v>
      </c>
      <c r="DK208" s="74" t="s">
        <v>132</v>
      </c>
      <c r="DL208" s="75"/>
      <c r="DM208" s="75"/>
      <c r="DN208" s="75"/>
      <c r="DO208" s="75"/>
      <c r="DP208" s="75"/>
      <c r="DQ208" s="75"/>
      <c r="DR208" s="75"/>
      <c r="DS208" s="75"/>
      <c r="DT208" s="75"/>
      <c r="DU208" s="75"/>
      <c r="DV208" s="75"/>
      <c r="DW208" s="75"/>
      <c r="DX208" s="75"/>
      <c r="DY208" s="75"/>
      <c r="DZ208" s="75"/>
      <c r="EA208" s="75"/>
      <c r="EB208" s="75"/>
      <c r="EC208" s="75"/>
      <c r="ED208" s="75"/>
      <c r="EE208" s="75"/>
    </row>
    <row r="209" ht="47.25" hidden="1" customHeight="1">
      <c r="A209" s="55" t="s">
        <v>827</v>
      </c>
      <c r="B209" s="55" t="s">
        <v>828</v>
      </c>
      <c r="C209" s="55" t="s">
        <v>828</v>
      </c>
      <c r="D209" s="55" t="s">
        <v>607</v>
      </c>
      <c r="E209" s="55" t="s">
        <v>829</v>
      </c>
      <c r="F209" s="55" t="s">
        <v>607</v>
      </c>
      <c r="G209" s="55" t="s">
        <v>607</v>
      </c>
      <c r="H209" s="55" t="s">
        <v>830</v>
      </c>
      <c r="I209" s="56">
        <v>1.0</v>
      </c>
      <c r="J209" s="56">
        <v>1.0</v>
      </c>
      <c r="K209" s="56">
        <v>1.0</v>
      </c>
      <c r="L209" s="56">
        <v>1.0</v>
      </c>
      <c r="M209" s="56">
        <v>1.0</v>
      </c>
      <c r="N209" s="56">
        <v>1.0</v>
      </c>
      <c r="O209" s="56"/>
      <c r="P209" s="56"/>
      <c r="Q209" s="56" t="s">
        <v>131</v>
      </c>
      <c r="R209" s="58" t="str">
        <f t="shared" si="1"/>
        <v>2018-2019-2020-2021-2022-2023</v>
      </c>
      <c r="S209" s="59" t="str">
        <f>SUM(Hoja1!$I209:$P209)</f>
        <v>6</v>
      </c>
      <c r="T209" s="59" t="str">
        <f>IF(OR(Hoja1!$J209=1,Hoja1!$K209=1,Hoja1!$L209=1,Hoja1!$M209=1,Hoja1!$N209=1,Hoja1!$O209=1,Hoja1!$P209=1),"SI","NO")</f>
        <v>SI</v>
      </c>
      <c r="U209" s="59" t="str">
        <f>IF(OR(Hoja1!$K209=1,Hoja1!$L209=1,Hoja1!$M209=1,Hoja1!$N209=1,Hoja1!$O209=1,Hoja1!$P209=1),"SI","NO")</f>
        <v>SI</v>
      </c>
      <c r="V209" s="60">
        <v>7.0</v>
      </c>
      <c r="W209" s="61">
        <v>4.0</v>
      </c>
      <c r="X209" s="61">
        <v>4.0</v>
      </c>
      <c r="Y209" s="60">
        <v>8.0</v>
      </c>
      <c r="Z209" s="61">
        <v>4.0</v>
      </c>
      <c r="AA209" s="61">
        <v>4.0</v>
      </c>
      <c r="AB209" s="60">
        <v>8.0</v>
      </c>
      <c r="AC209" s="61">
        <v>4.0</v>
      </c>
      <c r="AD209" s="61">
        <v>4.0</v>
      </c>
      <c r="AE209" s="60">
        <v>8.0</v>
      </c>
      <c r="AF209" s="61">
        <v>4.0</v>
      </c>
      <c r="AG209" s="61">
        <v>4.0</v>
      </c>
      <c r="AH209" s="60">
        <v>8.0</v>
      </c>
      <c r="AI209" s="61">
        <v>4.0</v>
      </c>
      <c r="AJ209" s="61">
        <v>4.0</v>
      </c>
      <c r="AK209" s="60">
        <v>8.0</v>
      </c>
      <c r="AL209" s="61">
        <v>0.0</v>
      </c>
      <c r="AM209" s="61">
        <v>0.0</v>
      </c>
      <c r="AN209" s="60">
        <v>0.0</v>
      </c>
      <c r="AO209" s="62">
        <v>0.0</v>
      </c>
      <c r="AP209" s="62">
        <v>0.0</v>
      </c>
      <c r="AQ209" s="60">
        <v>0.0</v>
      </c>
      <c r="AR209" s="60" t="str">
        <f>IF(Hoja1!$AQ209&gt;0,Hoja1!$AQ209,IF(Hoja1!$AN209&gt;0,Hoja1!$AN209,IF(Hoja1!$AK209&gt;0,Hoja1!$AK209,IF(Hoja1!$AH209&gt;0,Hoja1!$AH209,IF(Hoja1!$AE209&gt;0,Hoja1!$AE209,IF(Hoja1!$AB209&gt;0,Hoja1!$AB209,IF(Hoja1!$Y209&gt;0,Hoja1!$Y209,IF(Hoja1!$V209&gt;0,Hoja1!$V209," ---"))))))))</f>
        <v>8</v>
      </c>
      <c r="AS209" s="63">
        <v>0.0</v>
      </c>
      <c r="AT209" s="63">
        <v>0.0</v>
      </c>
      <c r="AU209" s="63">
        <v>20.0</v>
      </c>
      <c r="AV209" s="63">
        <v>0.0</v>
      </c>
      <c r="AW209" s="63">
        <v>14.0</v>
      </c>
      <c r="AX209" s="63">
        <v>2.0</v>
      </c>
      <c r="AY209" s="63">
        <v>16.0</v>
      </c>
      <c r="AZ209" s="63">
        <v>4.0</v>
      </c>
      <c r="BA209" s="63">
        <v>0.0</v>
      </c>
      <c r="BB209" s="63">
        <v>0.0</v>
      </c>
      <c r="BC209" s="63">
        <v>0.0</v>
      </c>
      <c r="BD209" s="63">
        <v>0.0</v>
      </c>
      <c r="BE209" s="64">
        <v>0.0</v>
      </c>
      <c r="BF209" s="65">
        <v>510.0</v>
      </c>
      <c r="BG209" s="65">
        <v>0.0</v>
      </c>
      <c r="BH209" s="66">
        <v>510.0</v>
      </c>
      <c r="BI209" s="67" t="str">
        <f t="shared" si="59"/>
        <v>#REF!</v>
      </c>
      <c r="BJ209" s="68" t="str">
        <f t="shared" si="60"/>
        <v>#REF!</v>
      </c>
      <c r="BK209" s="65">
        <v>75704.45</v>
      </c>
      <c r="BL209" s="65">
        <v>0.0</v>
      </c>
      <c r="BM209" s="66">
        <v>75704.45</v>
      </c>
      <c r="BN209" s="67" t="str">
        <f t="shared" si="61"/>
        <v>#REF!</v>
      </c>
      <c r="BO209" s="68" t="str">
        <f t="shared" si="62"/>
        <v>#REF!</v>
      </c>
      <c r="BP209" s="65">
        <v>176069.29</v>
      </c>
      <c r="BQ209" s="65">
        <v>0.0</v>
      </c>
      <c r="BR209" s="66">
        <v>176069.29</v>
      </c>
      <c r="BS209" s="67" t="str">
        <f t="shared" si="63"/>
        <v>#REF!</v>
      </c>
      <c r="BT209" s="68" t="str">
        <f>'[1]DATA CONSOLIDADA 2018-2025 '!$BR209-Hoja1!$BO209</f>
        <v>#REF!</v>
      </c>
      <c r="BU209" s="65">
        <v>11190.0</v>
      </c>
      <c r="BV209" s="65">
        <v>0.0</v>
      </c>
      <c r="BW209" s="66">
        <v>11190.0</v>
      </c>
      <c r="BX209" s="67" t="str">
        <f t="shared" si="64"/>
        <v>#REF!</v>
      </c>
      <c r="BY209" s="68" t="str">
        <f t="shared" si="65"/>
        <v>#REF!</v>
      </c>
      <c r="BZ209" s="65">
        <v>21553.6</v>
      </c>
      <c r="CA209" s="65">
        <v>0.0</v>
      </c>
      <c r="CB209" s="66">
        <v>21553.6</v>
      </c>
      <c r="CC209" s="67" t="str">
        <f t="shared" si="66"/>
        <v>#REF!</v>
      </c>
      <c r="CD209" s="68" t="str">
        <f>'[1]DATA CONSOLIDADA 2018-2025 '!$CB209-Hoja1!$BW209</f>
        <v>#REF!</v>
      </c>
      <c r="CE209" s="70">
        <v>0.0</v>
      </c>
      <c r="CF209" s="70">
        <v>0.0</v>
      </c>
      <c r="CG209" s="71">
        <v>0.0</v>
      </c>
      <c r="CH209" s="67" t="str">
        <f t="shared" si="67"/>
        <v>#REF!</v>
      </c>
      <c r="CI209" s="68" t="str">
        <f>'[1]DATA CONSOLIDADA 2018-2025 '!$CG209-Hoja1!$CB209</f>
        <v>#REF!</v>
      </c>
      <c r="CJ209" s="64" t="str">
        <f t="shared" si="68"/>
        <v>#REF!</v>
      </c>
      <c r="CK209" s="64">
        <v>0.0</v>
      </c>
      <c r="CL209" s="64">
        <v>0.0</v>
      </c>
      <c r="CM209" s="64">
        <v>0.0</v>
      </c>
      <c r="CN209" s="64" t="str">
        <f t="shared" si="12"/>
        <v>#REF!</v>
      </c>
      <c r="CO209" s="68" t="str">
        <f>'[1]DATA CONSOLIDADA 2018-2025 '!$CM209-Hoja1!$CG209</f>
        <v>#REF!</v>
      </c>
      <c r="CP209" s="70">
        <v>212.4</v>
      </c>
      <c r="CQ209" s="70">
        <v>6158.995400000001</v>
      </c>
      <c r="CR209" s="70">
        <v>0.0</v>
      </c>
      <c r="CS209" s="70">
        <v>15182.2</v>
      </c>
      <c r="CT209" s="70">
        <v>0.0</v>
      </c>
      <c r="CU209" s="70">
        <v>0.0</v>
      </c>
      <c r="CV209" s="64">
        <v>21553.595400000002</v>
      </c>
      <c r="CW209" s="64">
        <v>0.0</v>
      </c>
      <c r="CX209" s="64">
        <v>0.0</v>
      </c>
      <c r="CY209" s="64">
        <v>0.0</v>
      </c>
      <c r="CZ209" s="64">
        <v>0.0</v>
      </c>
      <c r="DA209" s="64">
        <v>0.0</v>
      </c>
      <c r="DB209" s="64">
        <v>0.0</v>
      </c>
      <c r="DC209" s="72">
        <v>0.0</v>
      </c>
      <c r="DD209" s="72">
        <v>0.0</v>
      </c>
      <c r="DE209" s="72">
        <v>0.0</v>
      </c>
      <c r="DF209" s="72">
        <v>0.0</v>
      </c>
      <c r="DG209" s="72">
        <v>0.0</v>
      </c>
      <c r="DH209" s="72">
        <v>0.0</v>
      </c>
      <c r="DI209" s="73">
        <v>2.0602227244E10</v>
      </c>
      <c r="DJ209" s="74" t="s">
        <v>827</v>
      </c>
      <c r="DK209" s="74" t="s">
        <v>138</v>
      </c>
      <c r="DL209" s="75"/>
      <c r="DM209" s="75"/>
      <c r="DN209" s="75"/>
      <c r="DO209" s="75"/>
      <c r="DP209" s="75"/>
      <c r="DQ209" s="75"/>
      <c r="DR209" s="75"/>
      <c r="DS209" s="75"/>
      <c r="DT209" s="75"/>
      <c r="DU209" s="75"/>
      <c r="DV209" s="75"/>
      <c r="DW209" s="75"/>
      <c r="DX209" s="75"/>
      <c r="DY209" s="75"/>
      <c r="DZ209" s="75"/>
      <c r="EA209" s="75"/>
      <c r="EB209" s="75"/>
      <c r="EC209" s="75"/>
      <c r="ED209" s="75"/>
      <c r="EE209" s="75"/>
    </row>
    <row r="210" ht="47.25" hidden="1" customHeight="1">
      <c r="A210" s="55" t="s">
        <v>831</v>
      </c>
      <c r="B210" s="55" t="s">
        <v>828</v>
      </c>
      <c r="C210" s="55" t="s">
        <v>828</v>
      </c>
      <c r="D210" s="55" t="s">
        <v>607</v>
      </c>
      <c r="E210" s="55" t="s">
        <v>832</v>
      </c>
      <c r="F210" s="55" t="s">
        <v>607</v>
      </c>
      <c r="G210" s="55" t="s">
        <v>607</v>
      </c>
      <c r="H210" s="55" t="s">
        <v>833</v>
      </c>
      <c r="I210" s="56">
        <v>1.0</v>
      </c>
      <c r="J210" s="56">
        <v>1.0</v>
      </c>
      <c r="K210" s="56">
        <v>1.0</v>
      </c>
      <c r="L210" s="56">
        <v>1.0</v>
      </c>
      <c r="M210" s="56">
        <v>1.0</v>
      </c>
      <c r="N210" s="56"/>
      <c r="O210" s="56"/>
      <c r="P210" s="56"/>
      <c r="Q210" s="56" t="s">
        <v>131</v>
      </c>
      <c r="R210" s="58" t="str">
        <f t="shared" si="1"/>
        <v>2018-2019-2020-2021-2022</v>
      </c>
      <c r="S210" s="59" t="str">
        <f>SUM(Hoja1!$I210:$P210)</f>
        <v>5</v>
      </c>
      <c r="T210" s="59" t="str">
        <f>IF(OR(Hoja1!$J210=1,Hoja1!$K210=1,Hoja1!$L210=1,Hoja1!$M210=1,Hoja1!$N210=1,Hoja1!$O210=1,Hoja1!$P210=1),"SI","NO")</f>
        <v>SI</v>
      </c>
      <c r="U210" s="59" t="str">
        <f>IF(OR(Hoja1!$K210=1,Hoja1!$L210=1,Hoja1!$M210=1,Hoja1!$N210=1,Hoja1!$O210=1,Hoja1!$P210=1),"SI","NO")</f>
        <v>SI</v>
      </c>
      <c r="V210" s="60">
        <v>28.0</v>
      </c>
      <c r="W210" s="61">
        <v>26.0</v>
      </c>
      <c r="X210" s="61">
        <v>1.0</v>
      </c>
      <c r="Y210" s="60">
        <v>27.0</v>
      </c>
      <c r="Z210" s="61">
        <v>26.0</v>
      </c>
      <c r="AA210" s="61">
        <v>1.0</v>
      </c>
      <c r="AB210" s="60">
        <v>27.0</v>
      </c>
      <c r="AC210" s="61">
        <v>29.0</v>
      </c>
      <c r="AD210" s="61">
        <v>1.0</v>
      </c>
      <c r="AE210" s="60">
        <v>30.0</v>
      </c>
      <c r="AF210" s="61">
        <v>29.0</v>
      </c>
      <c r="AG210" s="61">
        <v>1.0</v>
      </c>
      <c r="AH210" s="60">
        <v>30.0</v>
      </c>
      <c r="AI210" s="61">
        <v>0.0</v>
      </c>
      <c r="AJ210" s="61">
        <v>0.0</v>
      </c>
      <c r="AK210" s="60">
        <v>0.0</v>
      </c>
      <c r="AL210" s="61">
        <v>0.0</v>
      </c>
      <c r="AM210" s="61">
        <v>0.0</v>
      </c>
      <c r="AN210" s="60">
        <v>0.0</v>
      </c>
      <c r="AO210" s="62">
        <v>0.0</v>
      </c>
      <c r="AP210" s="62">
        <v>0.0</v>
      </c>
      <c r="AQ210" s="60">
        <v>0.0</v>
      </c>
      <c r="AR210" s="60" t="str">
        <f>IF(Hoja1!$AQ210&gt;0,Hoja1!$AQ210,IF(Hoja1!$AN210&gt;0,Hoja1!$AN210,IF(Hoja1!$AK210&gt;0,Hoja1!$AK210,IF(Hoja1!$AH210&gt;0,Hoja1!$AH210,IF(Hoja1!$AE210&gt;0,Hoja1!$AE210,IF(Hoja1!$AB210&gt;0,Hoja1!$AB210,IF(Hoja1!$Y210&gt;0,Hoja1!$Y210,IF(Hoja1!$V210&gt;0,Hoja1!$V210," ---"))))))))</f>
        <v>30</v>
      </c>
      <c r="AS210" s="63">
        <v>0.0</v>
      </c>
      <c r="AT210" s="63">
        <v>0.0</v>
      </c>
      <c r="AU210" s="63">
        <v>18.0</v>
      </c>
      <c r="AV210" s="63">
        <v>0.0</v>
      </c>
      <c r="AW210" s="63">
        <v>14.0</v>
      </c>
      <c r="AX210" s="63">
        <v>3.0</v>
      </c>
      <c r="AY210" s="63">
        <v>0.0</v>
      </c>
      <c r="AZ210" s="63">
        <v>0.0</v>
      </c>
      <c r="BA210" s="63">
        <v>0.0</v>
      </c>
      <c r="BB210" s="63">
        <v>0.0</v>
      </c>
      <c r="BC210" s="63">
        <v>0.0</v>
      </c>
      <c r="BD210" s="63">
        <v>0.0</v>
      </c>
      <c r="BE210" s="64">
        <v>0.0</v>
      </c>
      <c r="BF210" s="65">
        <v>8523.76</v>
      </c>
      <c r="BG210" s="65">
        <v>0.0</v>
      </c>
      <c r="BH210" s="66">
        <v>8523.76</v>
      </c>
      <c r="BI210" s="67" t="str">
        <f t="shared" si="59"/>
        <v>#REF!</v>
      </c>
      <c r="BJ210" s="68" t="str">
        <f t="shared" si="60"/>
        <v>#REF!</v>
      </c>
      <c r="BK210" s="65">
        <v>27100.0</v>
      </c>
      <c r="BL210" s="65">
        <v>0.0</v>
      </c>
      <c r="BM210" s="66">
        <v>27100.0</v>
      </c>
      <c r="BN210" s="67" t="str">
        <f t="shared" si="61"/>
        <v>#REF!</v>
      </c>
      <c r="BO210" s="68" t="str">
        <f t="shared" si="62"/>
        <v>#REF!</v>
      </c>
      <c r="BP210" s="65">
        <v>60000.0</v>
      </c>
      <c r="BQ210" s="65">
        <v>0.0</v>
      </c>
      <c r="BR210" s="66">
        <v>60000.0</v>
      </c>
      <c r="BS210" s="67" t="str">
        <f t="shared" si="63"/>
        <v>#REF!</v>
      </c>
      <c r="BT210" s="68" t="str">
        <f>'[1]DATA CONSOLIDADA 2018-2025 '!$BR210-Hoja1!$BO210</f>
        <v>#REF!</v>
      </c>
      <c r="BU210" s="65">
        <v>318336.0</v>
      </c>
      <c r="BV210" s="65">
        <v>0.0</v>
      </c>
      <c r="BW210" s="66">
        <v>318336.0</v>
      </c>
      <c r="BX210" s="67" t="str">
        <f t="shared" si="64"/>
        <v>#REF!</v>
      </c>
      <c r="BY210" s="68" t="str">
        <f t="shared" si="65"/>
        <v>#REF!</v>
      </c>
      <c r="BZ210" s="65">
        <v>0.0</v>
      </c>
      <c r="CA210" s="65">
        <v>0.0</v>
      </c>
      <c r="CB210" s="66">
        <v>0.0</v>
      </c>
      <c r="CC210" s="67" t="str">
        <f t="shared" si="66"/>
        <v>#REF!</v>
      </c>
      <c r="CD210" s="68" t="str">
        <f>'[1]DATA CONSOLIDADA 2018-2025 '!$CB210-Hoja1!$BW210</f>
        <v>#REF!</v>
      </c>
      <c r="CE210" s="70">
        <v>0.0</v>
      </c>
      <c r="CF210" s="70">
        <v>0.0</v>
      </c>
      <c r="CG210" s="71">
        <v>0.0</v>
      </c>
      <c r="CH210" s="67" t="str">
        <f t="shared" si="67"/>
        <v>#REF!</v>
      </c>
      <c r="CI210" s="68" t="str">
        <f>'[1]DATA CONSOLIDADA 2018-2025 '!$CG210-Hoja1!$CB210</f>
        <v>#REF!</v>
      </c>
      <c r="CJ210" s="64" t="str">
        <f t="shared" si="68"/>
        <v>#REF!</v>
      </c>
      <c r="CK210" s="64">
        <v>0.0</v>
      </c>
      <c r="CL210" s="64">
        <v>0.0</v>
      </c>
      <c r="CM210" s="64">
        <v>0.0</v>
      </c>
      <c r="CN210" s="64" t="str">
        <f t="shared" si="12"/>
        <v>#REF!</v>
      </c>
      <c r="CO210" s="68" t="str">
        <f>'[1]DATA CONSOLIDADA 2018-2025 '!$CM210-Hoja1!$CG210</f>
        <v>#REF!</v>
      </c>
      <c r="CP210" s="70">
        <v>0.0</v>
      </c>
      <c r="CQ210" s="70">
        <v>0.0</v>
      </c>
      <c r="CR210" s="70">
        <v>0.0</v>
      </c>
      <c r="CS210" s="70">
        <v>0.0</v>
      </c>
      <c r="CT210" s="70">
        <v>0.0</v>
      </c>
      <c r="CU210" s="70">
        <v>0.0</v>
      </c>
      <c r="CV210" s="64">
        <v>0.0</v>
      </c>
      <c r="CW210" s="64">
        <v>0.0</v>
      </c>
      <c r="CX210" s="64">
        <v>0.0</v>
      </c>
      <c r="CY210" s="64">
        <v>0.0</v>
      </c>
      <c r="CZ210" s="64">
        <v>0.0</v>
      </c>
      <c r="DA210" s="64">
        <v>0.0</v>
      </c>
      <c r="DB210" s="64">
        <v>0.0</v>
      </c>
      <c r="DC210" s="72">
        <v>0.0</v>
      </c>
      <c r="DD210" s="72">
        <v>0.0</v>
      </c>
      <c r="DE210" s="72">
        <v>0.0</v>
      </c>
      <c r="DF210" s="72">
        <v>0.0</v>
      </c>
      <c r="DG210" s="72">
        <v>0.0</v>
      </c>
      <c r="DH210" s="72">
        <v>0.0</v>
      </c>
      <c r="DI210" s="73">
        <v>2.0567261523E10</v>
      </c>
      <c r="DJ210" s="74" t="s">
        <v>834</v>
      </c>
      <c r="DK210" s="74" t="s">
        <v>138</v>
      </c>
      <c r="DL210" s="75"/>
      <c r="DM210" s="75"/>
      <c r="DN210" s="75"/>
      <c r="DO210" s="75"/>
      <c r="DP210" s="75"/>
      <c r="DQ210" s="75"/>
      <c r="DR210" s="75"/>
      <c r="DS210" s="75"/>
      <c r="DT210" s="75"/>
      <c r="DU210" s="75"/>
      <c r="DV210" s="75"/>
      <c r="DW210" s="75"/>
      <c r="DX210" s="75"/>
      <c r="DY210" s="75"/>
      <c r="DZ210" s="75"/>
      <c r="EA210" s="75"/>
      <c r="EB210" s="75"/>
      <c r="EC210" s="75"/>
      <c r="ED210" s="75"/>
      <c r="EE210" s="75"/>
    </row>
    <row r="211" ht="47.25" customHeight="1">
      <c r="A211" s="55" t="s">
        <v>835</v>
      </c>
      <c r="B211" s="55" t="s">
        <v>146</v>
      </c>
      <c r="C211" s="55" t="s">
        <v>146</v>
      </c>
      <c r="D211" s="55" t="s">
        <v>607</v>
      </c>
      <c r="E211" s="55" t="s">
        <v>836</v>
      </c>
      <c r="F211" s="55" t="s">
        <v>607</v>
      </c>
      <c r="G211" s="55" t="s">
        <v>609</v>
      </c>
      <c r="H211" s="55" t="s">
        <v>837</v>
      </c>
      <c r="I211" s="56"/>
      <c r="J211" s="56">
        <v>1.0</v>
      </c>
      <c r="K211" s="56">
        <v>1.0</v>
      </c>
      <c r="L211" s="56"/>
      <c r="M211" s="56"/>
      <c r="N211" s="56"/>
      <c r="O211" s="56"/>
      <c r="P211" s="56"/>
      <c r="Q211" s="56" t="s">
        <v>131</v>
      </c>
      <c r="R211" s="58" t="str">
        <f t="shared" si="1"/>
        <v>2019-2020</v>
      </c>
      <c r="S211" s="59" t="str">
        <f>SUM(Hoja1!$I211:$P211)</f>
        <v>2</v>
      </c>
      <c r="T211" s="59" t="str">
        <f>IF(OR(Hoja1!$J211=1,Hoja1!$K211=1,Hoja1!$L211=1,Hoja1!$M211=1,Hoja1!$N211=1,Hoja1!$O211=1,Hoja1!$P211=1),"SI","NO")</f>
        <v>SI</v>
      </c>
      <c r="U211" s="59" t="str">
        <f>IF(OR(Hoja1!$K211=1,Hoja1!$L211=1,Hoja1!$M211=1,Hoja1!$N211=1,Hoja1!$O211=1,Hoja1!$P211=1),"SI","NO")</f>
        <v>SI</v>
      </c>
      <c r="V211" s="60">
        <v>0.0</v>
      </c>
      <c r="W211" s="61">
        <v>27.0</v>
      </c>
      <c r="X211" s="61">
        <v>6.0</v>
      </c>
      <c r="Y211" s="60">
        <v>33.0</v>
      </c>
      <c r="Z211" s="61">
        <v>37.0</v>
      </c>
      <c r="AA211" s="61">
        <v>5.0</v>
      </c>
      <c r="AB211" s="60">
        <v>42.0</v>
      </c>
      <c r="AC211" s="61">
        <v>0.0</v>
      </c>
      <c r="AD211" s="61">
        <v>0.0</v>
      </c>
      <c r="AE211" s="60">
        <v>0.0</v>
      </c>
      <c r="AF211" s="61">
        <v>0.0</v>
      </c>
      <c r="AG211" s="61">
        <v>0.0</v>
      </c>
      <c r="AH211" s="60">
        <v>0.0</v>
      </c>
      <c r="AI211" s="61">
        <v>0.0</v>
      </c>
      <c r="AJ211" s="61">
        <v>0.0</v>
      </c>
      <c r="AK211" s="60">
        <v>0.0</v>
      </c>
      <c r="AL211" s="61">
        <v>0.0</v>
      </c>
      <c r="AM211" s="61">
        <v>0.0</v>
      </c>
      <c r="AN211" s="60">
        <v>0.0</v>
      </c>
      <c r="AO211" s="62">
        <v>0.0</v>
      </c>
      <c r="AP211" s="62">
        <v>0.0</v>
      </c>
      <c r="AQ211" s="60">
        <v>0.0</v>
      </c>
      <c r="AR211" s="60" t="str">
        <f>IF(Hoja1!$AQ211&gt;0,Hoja1!$AQ211,IF(Hoja1!$AN211&gt;0,Hoja1!$AN211,IF(Hoja1!$AK211&gt;0,Hoja1!$AK211,IF(Hoja1!$AH211&gt;0,Hoja1!$AH211,IF(Hoja1!$AE211&gt;0,Hoja1!$AE211,IF(Hoja1!$AB211&gt;0,Hoja1!$AB211,IF(Hoja1!$Y211&gt;0,Hoja1!$Y211,IF(Hoja1!$V211&gt;0,Hoja1!$V211," ---"))))))))</f>
        <v>42</v>
      </c>
      <c r="AS211" s="63">
        <v>0.0</v>
      </c>
      <c r="AT211" s="63">
        <v>0.0</v>
      </c>
      <c r="AU211" s="63">
        <v>0.0</v>
      </c>
      <c r="AV211" s="63">
        <v>0.0</v>
      </c>
      <c r="AW211" s="63">
        <v>0.0</v>
      </c>
      <c r="AX211" s="63">
        <v>0.0</v>
      </c>
      <c r="AY211" s="63">
        <v>0.0</v>
      </c>
      <c r="AZ211" s="63">
        <v>0.0</v>
      </c>
      <c r="BA211" s="63">
        <v>0.0</v>
      </c>
      <c r="BB211" s="63">
        <v>0.0</v>
      </c>
      <c r="BC211" s="63">
        <v>0.0</v>
      </c>
      <c r="BD211" s="63">
        <v>0.0</v>
      </c>
      <c r="BE211" s="66">
        <v>0.0</v>
      </c>
      <c r="BF211" s="65">
        <v>0.0</v>
      </c>
      <c r="BG211" s="65">
        <v>0.0</v>
      </c>
      <c r="BH211" s="66">
        <v>0.0</v>
      </c>
      <c r="BI211" s="67" t="str">
        <f t="shared" si="59"/>
        <v>#REF!</v>
      </c>
      <c r="BJ211" s="68" t="str">
        <f t="shared" si="60"/>
        <v>#REF!</v>
      </c>
      <c r="BK211" s="65">
        <v>191.0</v>
      </c>
      <c r="BL211" s="65">
        <v>0.0</v>
      </c>
      <c r="BM211" s="66">
        <v>191.0</v>
      </c>
      <c r="BN211" s="67" t="str">
        <f t="shared" si="61"/>
        <v>#REF!</v>
      </c>
      <c r="BO211" s="68" t="str">
        <f t="shared" si="62"/>
        <v>#REF!</v>
      </c>
      <c r="BP211" s="65">
        <v>0.0</v>
      </c>
      <c r="BQ211" s="65">
        <v>0.0</v>
      </c>
      <c r="BR211" s="66">
        <v>0.0</v>
      </c>
      <c r="BS211" s="67" t="str">
        <f t="shared" si="63"/>
        <v>#REF!</v>
      </c>
      <c r="BT211" s="68" t="str">
        <f>'[1]DATA CONSOLIDADA 2018-2025 '!$BR211-Hoja1!$BO211</f>
        <v>#REF!</v>
      </c>
      <c r="BU211" s="65">
        <v>0.0</v>
      </c>
      <c r="BV211" s="65">
        <v>0.0</v>
      </c>
      <c r="BW211" s="66">
        <v>0.0</v>
      </c>
      <c r="BX211" s="67" t="str">
        <f t="shared" si="64"/>
        <v>#REF!</v>
      </c>
      <c r="BY211" s="68" t="str">
        <f t="shared" si="65"/>
        <v>#REF!</v>
      </c>
      <c r="BZ211" s="65">
        <v>0.0</v>
      </c>
      <c r="CA211" s="65">
        <v>0.0</v>
      </c>
      <c r="CB211" s="66">
        <v>0.0</v>
      </c>
      <c r="CC211" s="67" t="str">
        <f t="shared" si="66"/>
        <v>#REF!</v>
      </c>
      <c r="CD211" s="68" t="str">
        <f>'[1]DATA CONSOLIDADA 2018-2025 '!$CB211-Hoja1!$BW211</f>
        <v>#REF!</v>
      </c>
      <c r="CE211" s="70">
        <v>0.0</v>
      </c>
      <c r="CF211" s="70">
        <v>0.0</v>
      </c>
      <c r="CG211" s="71">
        <v>0.0</v>
      </c>
      <c r="CH211" s="67" t="str">
        <f t="shared" si="67"/>
        <v>#REF!</v>
      </c>
      <c r="CI211" s="68" t="str">
        <f>'[1]DATA CONSOLIDADA 2018-2025 '!$CG211-Hoja1!$CB211</f>
        <v>#REF!</v>
      </c>
      <c r="CJ211" s="64" t="str">
        <f t="shared" si="68"/>
        <v>#REF!</v>
      </c>
      <c r="CK211" s="64">
        <v>0.0</v>
      </c>
      <c r="CL211" s="64">
        <v>0.0</v>
      </c>
      <c r="CM211" s="64">
        <v>0.0</v>
      </c>
      <c r="CN211" s="64" t="str">
        <f t="shared" si="12"/>
        <v>#REF!</v>
      </c>
      <c r="CO211" s="68" t="str">
        <f>'[1]DATA CONSOLIDADA 2018-2025 '!$CM211-Hoja1!$CG211</f>
        <v>#REF!</v>
      </c>
      <c r="CP211" s="70">
        <v>0.0</v>
      </c>
      <c r="CQ211" s="70">
        <v>0.0</v>
      </c>
      <c r="CR211" s="70">
        <v>0.0</v>
      </c>
      <c r="CS211" s="70">
        <v>0.0</v>
      </c>
      <c r="CT211" s="70">
        <v>0.0</v>
      </c>
      <c r="CU211" s="70">
        <v>0.0</v>
      </c>
      <c r="CV211" s="64">
        <v>0.0</v>
      </c>
      <c r="CW211" s="64">
        <v>0.0</v>
      </c>
      <c r="CX211" s="64">
        <v>0.0</v>
      </c>
      <c r="CY211" s="64">
        <v>0.0</v>
      </c>
      <c r="CZ211" s="64">
        <v>0.0</v>
      </c>
      <c r="DA211" s="64">
        <v>0.0</v>
      </c>
      <c r="DB211" s="64">
        <v>0.0</v>
      </c>
      <c r="DC211" s="72">
        <v>0.0</v>
      </c>
      <c r="DD211" s="72">
        <v>0.0</v>
      </c>
      <c r="DE211" s="72">
        <v>0.0</v>
      </c>
      <c r="DF211" s="72">
        <v>0.0</v>
      </c>
      <c r="DG211" s="72">
        <v>0.0</v>
      </c>
      <c r="DH211" s="72">
        <v>0.0</v>
      </c>
      <c r="DI211" s="73">
        <v>2.0603526423E10</v>
      </c>
      <c r="DJ211" s="74" t="s">
        <v>838</v>
      </c>
      <c r="DK211" s="74" t="s">
        <v>132</v>
      </c>
      <c r="DL211" s="75"/>
      <c r="DM211" s="75"/>
      <c r="DN211" s="75"/>
      <c r="DO211" s="75"/>
      <c r="DP211" s="75"/>
      <c r="DQ211" s="75"/>
      <c r="DR211" s="75"/>
      <c r="DS211" s="75"/>
      <c r="DT211" s="75"/>
      <c r="DU211" s="75"/>
      <c r="DV211" s="75"/>
      <c r="DW211" s="75"/>
      <c r="DX211" s="75"/>
      <c r="DY211" s="75"/>
      <c r="DZ211" s="75"/>
      <c r="EA211" s="75"/>
      <c r="EB211" s="75"/>
      <c r="EC211" s="75"/>
      <c r="ED211" s="75"/>
      <c r="EE211" s="75"/>
    </row>
    <row r="212" ht="47.25" customHeight="1">
      <c r="A212" s="55" t="s">
        <v>824</v>
      </c>
      <c r="B212" s="55" t="s">
        <v>146</v>
      </c>
      <c r="C212" s="55" t="s">
        <v>146</v>
      </c>
      <c r="D212" s="55" t="s">
        <v>607</v>
      </c>
      <c r="E212" s="55" t="s">
        <v>839</v>
      </c>
      <c r="F212" s="55" t="s">
        <v>607</v>
      </c>
      <c r="G212" s="55" t="s">
        <v>840</v>
      </c>
      <c r="H212" s="55" t="s">
        <v>841</v>
      </c>
      <c r="I212" s="56"/>
      <c r="J212" s="56"/>
      <c r="K212" s="56"/>
      <c r="L212" s="56">
        <v>1.0</v>
      </c>
      <c r="M212" s="56"/>
      <c r="N212" s="56"/>
      <c r="O212" s="56"/>
      <c r="P212" s="56"/>
      <c r="Q212" s="56" t="s">
        <v>131</v>
      </c>
      <c r="R212" s="58" t="str">
        <f t="shared" si="1"/>
        <v>2021</v>
      </c>
      <c r="S212" s="59" t="str">
        <f>SUM(Hoja1!$I212:$P212)</f>
        <v>1</v>
      </c>
      <c r="T212" s="59" t="str">
        <f>IF(OR(Hoja1!$J212=1,Hoja1!$K212=1,Hoja1!$L212=1,Hoja1!$M212=1,Hoja1!$N212=1,Hoja1!$O212=1,Hoja1!$P212=1),"SI","NO")</f>
        <v>SI</v>
      </c>
      <c r="U212" s="59" t="str">
        <f>IF(OR(Hoja1!$K212=1,Hoja1!$L212=1,Hoja1!$M212=1,Hoja1!$N212=1,Hoja1!$O212=1,Hoja1!$P212=1),"SI","NO")</f>
        <v>SI</v>
      </c>
      <c r="V212" s="60">
        <v>0.0</v>
      </c>
      <c r="W212" s="61">
        <v>0.0</v>
      </c>
      <c r="X212" s="61">
        <v>0.0</v>
      </c>
      <c r="Y212" s="60">
        <v>0.0</v>
      </c>
      <c r="Z212" s="61">
        <v>0.0</v>
      </c>
      <c r="AA212" s="61">
        <v>0.0</v>
      </c>
      <c r="AB212" s="60">
        <v>0.0</v>
      </c>
      <c r="AC212" s="61">
        <v>42.0</v>
      </c>
      <c r="AD212" s="61">
        <v>6.0</v>
      </c>
      <c r="AE212" s="60">
        <v>48.0</v>
      </c>
      <c r="AF212" s="61">
        <v>0.0</v>
      </c>
      <c r="AG212" s="61">
        <v>0.0</v>
      </c>
      <c r="AH212" s="60">
        <v>0.0</v>
      </c>
      <c r="AI212" s="61">
        <v>0.0</v>
      </c>
      <c r="AJ212" s="61">
        <v>0.0</v>
      </c>
      <c r="AK212" s="60">
        <v>0.0</v>
      </c>
      <c r="AL212" s="61">
        <v>0.0</v>
      </c>
      <c r="AM212" s="61">
        <v>0.0</v>
      </c>
      <c r="AN212" s="60">
        <v>0.0</v>
      </c>
      <c r="AO212" s="62">
        <v>0.0</v>
      </c>
      <c r="AP212" s="62">
        <v>0.0</v>
      </c>
      <c r="AQ212" s="60">
        <v>0.0</v>
      </c>
      <c r="AR212" s="60" t="str">
        <f>IF(Hoja1!$AQ212&gt;0,Hoja1!$AQ212,IF(Hoja1!$AN212&gt;0,Hoja1!$AN212,IF(Hoja1!$AK212&gt;0,Hoja1!$AK212,IF(Hoja1!$AH212&gt;0,Hoja1!$AH212,IF(Hoja1!$AE212&gt;0,Hoja1!$AE212,IF(Hoja1!$AB212&gt;0,Hoja1!$AB212,IF(Hoja1!$Y212&gt;0,Hoja1!$Y212,IF(Hoja1!$V212&gt;0,Hoja1!$V212," ---"))))))))</f>
        <v>48</v>
      </c>
      <c r="AS212" s="63">
        <v>0.0</v>
      </c>
      <c r="AT212" s="63">
        <v>0.0</v>
      </c>
      <c r="AU212" s="63">
        <v>12.0</v>
      </c>
      <c r="AV212" s="63">
        <v>4.0</v>
      </c>
      <c r="AW212" s="63">
        <v>0.0</v>
      </c>
      <c r="AX212" s="63">
        <v>0.0</v>
      </c>
      <c r="AY212" s="63">
        <v>0.0</v>
      </c>
      <c r="AZ212" s="63">
        <v>0.0</v>
      </c>
      <c r="BA212" s="63">
        <v>0.0</v>
      </c>
      <c r="BB212" s="63">
        <v>0.0</v>
      </c>
      <c r="BC212" s="63">
        <v>0.0</v>
      </c>
      <c r="BD212" s="63">
        <v>0.0</v>
      </c>
      <c r="BE212" s="64">
        <v>0.0</v>
      </c>
      <c r="BF212" s="69">
        <v>0.0</v>
      </c>
      <c r="BG212" s="69">
        <v>0.0</v>
      </c>
      <c r="BH212" s="64">
        <v>0.0</v>
      </c>
      <c r="BI212" s="67" t="str">
        <f t="shared" si="59"/>
        <v>#REF!</v>
      </c>
      <c r="BJ212" s="68" t="str">
        <f t="shared" si="60"/>
        <v>#REF!</v>
      </c>
      <c r="BK212" s="69">
        <v>0.0</v>
      </c>
      <c r="BL212" s="69">
        <v>0.0</v>
      </c>
      <c r="BM212" s="64">
        <v>0.0</v>
      </c>
      <c r="BN212" s="67" t="str">
        <f t="shared" si="61"/>
        <v>#REF!</v>
      </c>
      <c r="BO212" s="68" t="str">
        <f t="shared" si="62"/>
        <v>#REF!</v>
      </c>
      <c r="BP212" s="65">
        <v>93038.38</v>
      </c>
      <c r="BQ212" s="65">
        <v>0.0</v>
      </c>
      <c r="BR212" s="66">
        <v>93038.38</v>
      </c>
      <c r="BS212" s="67" t="str">
        <f t="shared" si="63"/>
        <v>#REF!</v>
      </c>
      <c r="BT212" s="68" t="str">
        <f>'[1]DATA CONSOLIDADA 2018-2025 '!$BR212-Hoja1!$BO212</f>
        <v>#REF!</v>
      </c>
      <c r="BU212" s="65">
        <v>0.0</v>
      </c>
      <c r="BV212" s="65">
        <v>0.0</v>
      </c>
      <c r="BW212" s="66">
        <v>0.0</v>
      </c>
      <c r="BX212" s="67" t="str">
        <f t="shared" si="64"/>
        <v>#REF!</v>
      </c>
      <c r="BY212" s="68" t="str">
        <f t="shared" si="65"/>
        <v>#REF!</v>
      </c>
      <c r="BZ212" s="65">
        <v>0.0</v>
      </c>
      <c r="CA212" s="65">
        <v>0.0</v>
      </c>
      <c r="CB212" s="66">
        <v>0.0</v>
      </c>
      <c r="CC212" s="67" t="str">
        <f t="shared" si="66"/>
        <v>#REF!</v>
      </c>
      <c r="CD212" s="68" t="str">
        <f>'[1]DATA CONSOLIDADA 2018-2025 '!$CB212-Hoja1!$BW212</f>
        <v>#REF!</v>
      </c>
      <c r="CE212" s="70">
        <v>0.0</v>
      </c>
      <c r="CF212" s="70">
        <v>0.0</v>
      </c>
      <c r="CG212" s="71">
        <v>0.0</v>
      </c>
      <c r="CH212" s="67" t="str">
        <f t="shared" si="67"/>
        <v>#REF!</v>
      </c>
      <c r="CI212" s="68" t="str">
        <f>'[1]DATA CONSOLIDADA 2018-2025 '!$CG212-Hoja1!$CB212</f>
        <v>#REF!</v>
      </c>
      <c r="CJ212" s="64" t="str">
        <f t="shared" si="68"/>
        <v>#REF!</v>
      </c>
      <c r="CK212" s="64">
        <v>0.0</v>
      </c>
      <c r="CL212" s="64">
        <v>0.0</v>
      </c>
      <c r="CM212" s="64">
        <v>0.0</v>
      </c>
      <c r="CN212" s="64" t="str">
        <f t="shared" si="12"/>
        <v>#REF!</v>
      </c>
      <c r="CO212" s="68" t="str">
        <f>'[1]DATA CONSOLIDADA 2018-2025 '!$CM212-Hoja1!$CG212</f>
        <v>#REF!</v>
      </c>
      <c r="CP212" s="70">
        <v>0.0</v>
      </c>
      <c r="CQ212" s="70">
        <v>0.0</v>
      </c>
      <c r="CR212" s="70">
        <v>0.0</v>
      </c>
      <c r="CS212" s="70">
        <v>0.0</v>
      </c>
      <c r="CT212" s="70">
        <v>0.0</v>
      </c>
      <c r="CU212" s="70">
        <v>0.0</v>
      </c>
      <c r="CV212" s="64">
        <v>0.0</v>
      </c>
      <c r="CW212" s="64">
        <v>0.0</v>
      </c>
      <c r="CX212" s="64">
        <v>0.0</v>
      </c>
      <c r="CY212" s="64">
        <v>0.0</v>
      </c>
      <c r="CZ212" s="64">
        <v>0.0</v>
      </c>
      <c r="DA212" s="64">
        <v>0.0</v>
      </c>
      <c r="DB212" s="64">
        <v>0.0</v>
      </c>
      <c r="DC212" s="72">
        <v>0.0</v>
      </c>
      <c r="DD212" s="72">
        <v>0.0</v>
      </c>
      <c r="DE212" s="72">
        <v>0.0</v>
      </c>
      <c r="DF212" s="72">
        <v>0.0</v>
      </c>
      <c r="DG212" s="72">
        <v>0.0</v>
      </c>
      <c r="DH212" s="72">
        <v>0.0</v>
      </c>
      <c r="DI212" s="73" t="s">
        <v>842</v>
      </c>
      <c r="DJ212" s="74" t="s">
        <v>824</v>
      </c>
      <c r="DK212" s="74" t="s">
        <v>132</v>
      </c>
      <c r="DL212" s="75"/>
      <c r="DM212" s="75"/>
      <c r="DN212" s="75"/>
      <c r="DO212" s="75"/>
      <c r="DP212" s="75"/>
      <c r="DQ212" s="75"/>
      <c r="DR212" s="75"/>
      <c r="DS212" s="75"/>
      <c r="DT212" s="75"/>
      <c r="DU212" s="75"/>
      <c r="DV212" s="75"/>
      <c r="DW212" s="75"/>
      <c r="DX212" s="75"/>
      <c r="DY212" s="75"/>
      <c r="DZ212" s="75"/>
      <c r="EA212" s="75"/>
      <c r="EB212" s="75"/>
      <c r="EC212" s="75"/>
      <c r="ED212" s="75"/>
      <c r="EE212" s="75"/>
    </row>
    <row r="213" ht="47.25" hidden="1" customHeight="1">
      <c r="A213" s="80" t="s">
        <v>843</v>
      </c>
      <c r="B213" s="55" t="s">
        <v>621</v>
      </c>
      <c r="C213" s="55" t="s">
        <v>621</v>
      </c>
      <c r="D213" s="55" t="s">
        <v>607</v>
      </c>
      <c r="E213" s="55" t="s">
        <v>832</v>
      </c>
      <c r="F213" s="55" t="s">
        <v>607</v>
      </c>
      <c r="G213" s="55" t="s">
        <v>607</v>
      </c>
      <c r="H213" s="55" t="s">
        <v>833</v>
      </c>
      <c r="I213" s="56"/>
      <c r="J213" s="56"/>
      <c r="K213" s="56"/>
      <c r="L213" s="56">
        <v>1.0</v>
      </c>
      <c r="M213" s="56"/>
      <c r="N213" s="56"/>
      <c r="O213" s="56"/>
      <c r="P213" s="56"/>
      <c r="Q213" s="56" t="s">
        <v>131</v>
      </c>
      <c r="R213" s="58" t="str">
        <f t="shared" si="1"/>
        <v>2021</v>
      </c>
      <c r="S213" s="59" t="str">
        <f>SUM(Hoja1!$I213:$P213)</f>
        <v>1</v>
      </c>
      <c r="T213" s="59" t="str">
        <f>IF(OR(Hoja1!$J213=1,Hoja1!$K213=1,Hoja1!$L213=1,Hoja1!$M213=1,Hoja1!$N213=1,Hoja1!$O213=1,Hoja1!$P213=1),"SI","NO")</f>
        <v>SI</v>
      </c>
      <c r="U213" s="59" t="str">
        <f>IF(OR(Hoja1!$K213=1,Hoja1!$L213=1,Hoja1!$M213=1,Hoja1!$N213=1,Hoja1!$O213=1,Hoja1!$P213=1),"SI","NO")</f>
        <v>SI</v>
      </c>
      <c r="V213" s="60">
        <v>0.0</v>
      </c>
      <c r="W213" s="61">
        <v>0.0</v>
      </c>
      <c r="X213" s="61">
        <v>0.0</v>
      </c>
      <c r="Y213" s="60">
        <v>0.0</v>
      </c>
      <c r="Z213" s="61">
        <v>0.0</v>
      </c>
      <c r="AA213" s="61">
        <v>0.0</v>
      </c>
      <c r="AB213" s="60">
        <v>0.0</v>
      </c>
      <c r="AC213" s="61">
        <v>20.0</v>
      </c>
      <c r="AD213" s="61">
        <v>20.0</v>
      </c>
      <c r="AE213" s="60">
        <v>40.0</v>
      </c>
      <c r="AF213" s="61">
        <v>0.0</v>
      </c>
      <c r="AG213" s="61">
        <v>0.0</v>
      </c>
      <c r="AH213" s="60">
        <v>0.0</v>
      </c>
      <c r="AI213" s="61">
        <v>0.0</v>
      </c>
      <c r="AJ213" s="61">
        <v>0.0</v>
      </c>
      <c r="AK213" s="60">
        <v>0.0</v>
      </c>
      <c r="AL213" s="61">
        <v>0.0</v>
      </c>
      <c r="AM213" s="61">
        <v>0.0</v>
      </c>
      <c r="AN213" s="60">
        <v>0.0</v>
      </c>
      <c r="AO213" s="62">
        <v>0.0</v>
      </c>
      <c r="AP213" s="62">
        <v>0.0</v>
      </c>
      <c r="AQ213" s="60">
        <v>0.0</v>
      </c>
      <c r="AR213" s="60" t="str">
        <f>IF(Hoja1!$AQ213&gt;0,Hoja1!$AQ213,IF(Hoja1!$AN213&gt;0,Hoja1!$AN213,IF(Hoja1!$AK213&gt;0,Hoja1!$AK213,IF(Hoja1!$AH213&gt;0,Hoja1!$AH213,IF(Hoja1!$AE213&gt;0,Hoja1!$AE213,IF(Hoja1!$AB213&gt;0,Hoja1!$AB213,IF(Hoja1!$Y213&gt;0,Hoja1!$Y213,IF(Hoja1!$V213&gt;0,Hoja1!$V213," ---"))))))))</f>
        <v>40</v>
      </c>
      <c r="AS213" s="63">
        <v>0.0</v>
      </c>
      <c r="AT213" s="63">
        <v>0.0</v>
      </c>
      <c r="AU213" s="63">
        <v>0.0</v>
      </c>
      <c r="AV213" s="63">
        <v>0.0</v>
      </c>
      <c r="AW213" s="63">
        <v>0.0</v>
      </c>
      <c r="AX213" s="63">
        <v>0.0</v>
      </c>
      <c r="AY213" s="63">
        <v>0.0</v>
      </c>
      <c r="AZ213" s="63">
        <v>0.0</v>
      </c>
      <c r="BA213" s="63">
        <v>0.0</v>
      </c>
      <c r="BB213" s="63">
        <v>0.0</v>
      </c>
      <c r="BC213" s="63">
        <v>0.0</v>
      </c>
      <c r="BD213" s="63">
        <v>0.0</v>
      </c>
      <c r="BE213" s="66">
        <v>0.0</v>
      </c>
      <c r="BF213" s="65">
        <v>0.0</v>
      </c>
      <c r="BG213" s="65">
        <v>0.0</v>
      </c>
      <c r="BH213" s="66">
        <v>0.0</v>
      </c>
      <c r="BI213" s="67" t="str">
        <f t="shared" si="59"/>
        <v>#REF!</v>
      </c>
      <c r="BJ213" s="68" t="str">
        <f t="shared" si="60"/>
        <v>#REF!</v>
      </c>
      <c r="BK213" s="65">
        <v>0.0</v>
      </c>
      <c r="BL213" s="65">
        <v>0.0</v>
      </c>
      <c r="BM213" s="64">
        <v>0.0</v>
      </c>
      <c r="BN213" s="67" t="str">
        <f t="shared" si="61"/>
        <v>#REF!</v>
      </c>
      <c r="BO213" s="68" t="str">
        <f t="shared" si="62"/>
        <v>#REF!</v>
      </c>
      <c r="BP213" s="65">
        <v>0.0</v>
      </c>
      <c r="BQ213" s="65">
        <v>0.0</v>
      </c>
      <c r="BR213" s="66">
        <v>0.0</v>
      </c>
      <c r="BS213" s="67" t="str">
        <f t="shared" si="63"/>
        <v>#REF!</v>
      </c>
      <c r="BT213" s="68" t="str">
        <f>'[1]DATA CONSOLIDADA 2018-2025 '!$BR213-Hoja1!$BO213</f>
        <v>#REF!</v>
      </c>
      <c r="BU213" s="65">
        <v>0.0</v>
      </c>
      <c r="BV213" s="65">
        <v>0.0</v>
      </c>
      <c r="BW213" s="66">
        <v>0.0</v>
      </c>
      <c r="BX213" s="67" t="str">
        <f t="shared" si="64"/>
        <v>#REF!</v>
      </c>
      <c r="BY213" s="68" t="str">
        <f t="shared" si="65"/>
        <v>#REF!</v>
      </c>
      <c r="BZ213" s="65">
        <v>0.0</v>
      </c>
      <c r="CA213" s="65">
        <v>0.0</v>
      </c>
      <c r="CB213" s="66">
        <v>0.0</v>
      </c>
      <c r="CC213" s="67" t="str">
        <f t="shared" si="66"/>
        <v>#REF!</v>
      </c>
      <c r="CD213" s="68" t="str">
        <f>'[1]DATA CONSOLIDADA 2018-2025 '!$CB213-Hoja1!$BW213</f>
        <v>#REF!</v>
      </c>
      <c r="CE213" s="70">
        <v>0.0</v>
      </c>
      <c r="CF213" s="70">
        <v>0.0</v>
      </c>
      <c r="CG213" s="71">
        <v>0.0</v>
      </c>
      <c r="CH213" s="67" t="str">
        <f t="shared" si="67"/>
        <v>#REF!</v>
      </c>
      <c r="CI213" s="68" t="str">
        <f>'[1]DATA CONSOLIDADA 2018-2025 '!$CG213-Hoja1!$CB213</f>
        <v>#REF!</v>
      </c>
      <c r="CJ213" s="64" t="str">
        <f t="shared" si="68"/>
        <v>#REF!</v>
      </c>
      <c r="CK213" s="64">
        <v>0.0</v>
      </c>
      <c r="CL213" s="64">
        <v>0.0</v>
      </c>
      <c r="CM213" s="64">
        <v>0.0</v>
      </c>
      <c r="CN213" s="64" t="str">
        <f t="shared" si="12"/>
        <v>#REF!</v>
      </c>
      <c r="CO213" s="68" t="str">
        <f>'[1]DATA CONSOLIDADA 2018-2025 '!$CM213-Hoja1!$CG213</f>
        <v>#REF!</v>
      </c>
      <c r="CP213" s="70">
        <v>0.0</v>
      </c>
      <c r="CQ213" s="70">
        <v>0.0</v>
      </c>
      <c r="CR213" s="70">
        <v>0.0</v>
      </c>
      <c r="CS213" s="70">
        <v>0.0</v>
      </c>
      <c r="CT213" s="70">
        <v>0.0</v>
      </c>
      <c r="CU213" s="70">
        <v>0.0</v>
      </c>
      <c r="CV213" s="64">
        <v>0.0</v>
      </c>
      <c r="CW213" s="64">
        <v>0.0</v>
      </c>
      <c r="CX213" s="64">
        <v>0.0</v>
      </c>
      <c r="CY213" s="64">
        <v>0.0</v>
      </c>
      <c r="CZ213" s="64">
        <v>0.0</v>
      </c>
      <c r="DA213" s="64">
        <v>0.0</v>
      </c>
      <c r="DB213" s="64">
        <v>0.0</v>
      </c>
      <c r="DC213" s="72">
        <v>0.0</v>
      </c>
      <c r="DD213" s="72">
        <v>0.0</v>
      </c>
      <c r="DE213" s="72">
        <v>0.0</v>
      </c>
      <c r="DF213" s="72">
        <v>0.0</v>
      </c>
      <c r="DG213" s="72">
        <v>0.0</v>
      </c>
      <c r="DH213" s="72">
        <v>0.0</v>
      </c>
      <c r="DI213" s="73">
        <v>2.0608311387E10</v>
      </c>
      <c r="DJ213" s="74" t="s">
        <v>843</v>
      </c>
      <c r="DK213" s="74" t="s">
        <v>138</v>
      </c>
      <c r="DL213" s="75"/>
      <c r="DM213" s="75"/>
      <c r="DN213" s="75"/>
      <c r="DO213" s="75"/>
      <c r="DP213" s="75"/>
      <c r="DQ213" s="75"/>
      <c r="DR213" s="75"/>
      <c r="DS213" s="75"/>
      <c r="DT213" s="75"/>
      <c r="DU213" s="75"/>
      <c r="DV213" s="75"/>
      <c r="DW213" s="75"/>
      <c r="DX213" s="75"/>
      <c r="DY213" s="75"/>
      <c r="DZ213" s="75"/>
      <c r="EA213" s="75"/>
      <c r="EB213" s="75"/>
      <c r="EC213" s="75"/>
      <c r="ED213" s="75"/>
      <c r="EE213" s="75"/>
    </row>
    <row r="214" ht="47.25" hidden="1" customHeight="1">
      <c r="A214" s="55" t="s">
        <v>844</v>
      </c>
      <c r="B214" s="55" t="s">
        <v>845</v>
      </c>
      <c r="C214" s="55" t="s">
        <v>845</v>
      </c>
      <c r="D214" s="55" t="s">
        <v>846</v>
      </c>
      <c r="E214" s="55" t="s">
        <v>847</v>
      </c>
      <c r="F214" s="55" t="s">
        <v>846</v>
      </c>
      <c r="G214" s="55" t="s">
        <v>848</v>
      </c>
      <c r="H214" s="55" t="s">
        <v>849</v>
      </c>
      <c r="I214" s="56">
        <v>1.0</v>
      </c>
      <c r="J214" s="56"/>
      <c r="K214" s="56"/>
      <c r="L214" s="56"/>
      <c r="M214" s="56"/>
      <c r="N214" s="56"/>
      <c r="O214" s="56"/>
      <c r="P214" s="56"/>
      <c r="Q214" s="56" t="s">
        <v>131</v>
      </c>
      <c r="R214" s="58" t="str">
        <f t="shared" si="1"/>
        <v>2018</v>
      </c>
      <c r="S214" s="59" t="str">
        <f>SUM(Hoja1!$I214:$P214)</f>
        <v>1</v>
      </c>
      <c r="T214" s="59" t="str">
        <f>IF(OR(Hoja1!$J214=1,Hoja1!$K214=1,Hoja1!$L214=1,Hoja1!$M214=1,Hoja1!$N214=1,Hoja1!$O214=1,Hoja1!$P214=1),"SI","NO")</f>
        <v>NO</v>
      </c>
      <c r="U214" s="59" t="str">
        <f>IF(OR(Hoja1!$K214=1,Hoja1!$L214=1,Hoja1!$M214=1,Hoja1!$N214=1,Hoja1!$O214=1,Hoja1!$P214=1),"SI","NO")</f>
        <v>NO</v>
      </c>
      <c r="V214" s="60">
        <v>33.0</v>
      </c>
      <c r="W214" s="61">
        <v>0.0</v>
      </c>
      <c r="X214" s="61">
        <v>0.0</v>
      </c>
      <c r="Y214" s="60">
        <v>0.0</v>
      </c>
      <c r="Z214" s="61">
        <v>0.0</v>
      </c>
      <c r="AA214" s="61">
        <v>0.0</v>
      </c>
      <c r="AB214" s="60">
        <v>0.0</v>
      </c>
      <c r="AC214" s="61">
        <v>0.0</v>
      </c>
      <c r="AD214" s="61">
        <v>0.0</v>
      </c>
      <c r="AE214" s="60">
        <v>0.0</v>
      </c>
      <c r="AF214" s="61">
        <v>0.0</v>
      </c>
      <c r="AG214" s="61">
        <v>0.0</v>
      </c>
      <c r="AH214" s="60">
        <v>0.0</v>
      </c>
      <c r="AI214" s="61">
        <v>0.0</v>
      </c>
      <c r="AJ214" s="61">
        <v>0.0</v>
      </c>
      <c r="AK214" s="60">
        <v>0.0</v>
      </c>
      <c r="AL214" s="61">
        <v>0.0</v>
      </c>
      <c r="AM214" s="61">
        <v>0.0</v>
      </c>
      <c r="AN214" s="60">
        <v>0.0</v>
      </c>
      <c r="AO214" s="62">
        <v>0.0</v>
      </c>
      <c r="AP214" s="62">
        <v>0.0</v>
      </c>
      <c r="AQ214" s="60">
        <v>0.0</v>
      </c>
      <c r="AR214" s="60" t="str">
        <f>IF(Hoja1!$AQ214&gt;0,Hoja1!$AQ214,IF(Hoja1!$AN214&gt;0,Hoja1!$AN214,IF(Hoja1!$AK214&gt;0,Hoja1!$AK214,IF(Hoja1!$AH214&gt;0,Hoja1!$AH214,IF(Hoja1!$AE214&gt;0,Hoja1!$AE214,IF(Hoja1!$AB214&gt;0,Hoja1!$AB214,IF(Hoja1!$Y214&gt;0,Hoja1!$Y214,IF(Hoja1!$V214&gt;0,Hoja1!$V214," ---"))))))))</f>
        <v>33</v>
      </c>
      <c r="AS214" s="63">
        <v>0.0</v>
      </c>
      <c r="AT214" s="63">
        <v>0.0</v>
      </c>
      <c r="AU214" s="63">
        <v>0.0</v>
      </c>
      <c r="AV214" s="63">
        <v>0.0</v>
      </c>
      <c r="AW214" s="63">
        <v>0.0</v>
      </c>
      <c r="AX214" s="63">
        <v>0.0</v>
      </c>
      <c r="AY214" s="63">
        <v>0.0</v>
      </c>
      <c r="AZ214" s="63">
        <v>0.0</v>
      </c>
      <c r="BA214" s="63">
        <v>0.0</v>
      </c>
      <c r="BB214" s="63">
        <v>0.0</v>
      </c>
      <c r="BC214" s="63">
        <v>0.0</v>
      </c>
      <c r="BD214" s="63">
        <v>0.0</v>
      </c>
      <c r="BE214" s="64">
        <v>0.0</v>
      </c>
      <c r="BF214" s="65">
        <v>0.0</v>
      </c>
      <c r="BG214" s="65">
        <v>0.0</v>
      </c>
      <c r="BH214" s="66">
        <v>0.0</v>
      </c>
      <c r="BI214" s="67" t="str">
        <f t="shared" si="59"/>
        <v>#REF!</v>
      </c>
      <c r="BJ214" s="68" t="str">
        <f t="shared" si="60"/>
        <v>#REF!</v>
      </c>
      <c r="BK214" s="65">
        <v>0.0</v>
      </c>
      <c r="BL214" s="65">
        <v>0.0</v>
      </c>
      <c r="BM214" s="66">
        <v>0.0</v>
      </c>
      <c r="BN214" s="67" t="str">
        <f t="shared" si="61"/>
        <v>#REF!</v>
      </c>
      <c r="BO214" s="68" t="str">
        <f t="shared" si="62"/>
        <v>#REF!</v>
      </c>
      <c r="BP214" s="65">
        <v>0.0</v>
      </c>
      <c r="BQ214" s="65">
        <v>0.0</v>
      </c>
      <c r="BR214" s="66">
        <v>0.0</v>
      </c>
      <c r="BS214" s="67" t="str">
        <f t="shared" si="63"/>
        <v>#REF!</v>
      </c>
      <c r="BT214" s="68" t="str">
        <f>'[1]DATA CONSOLIDADA 2018-2025 '!$BR214-Hoja1!$BO214</f>
        <v>#REF!</v>
      </c>
      <c r="BU214" s="65">
        <v>0.0</v>
      </c>
      <c r="BV214" s="65">
        <v>0.0</v>
      </c>
      <c r="BW214" s="66">
        <v>0.0</v>
      </c>
      <c r="BX214" s="67" t="str">
        <f t="shared" si="64"/>
        <v>#REF!</v>
      </c>
      <c r="BY214" s="68" t="str">
        <f t="shared" si="65"/>
        <v>#REF!</v>
      </c>
      <c r="BZ214" s="65">
        <v>0.0</v>
      </c>
      <c r="CA214" s="65">
        <v>0.0</v>
      </c>
      <c r="CB214" s="66">
        <v>0.0</v>
      </c>
      <c r="CC214" s="67" t="str">
        <f t="shared" si="66"/>
        <v>#REF!</v>
      </c>
      <c r="CD214" s="68" t="str">
        <f>'[1]DATA CONSOLIDADA 2018-2025 '!$CB214-Hoja1!$BW214</f>
        <v>#REF!</v>
      </c>
      <c r="CE214" s="70">
        <v>0.0</v>
      </c>
      <c r="CF214" s="70">
        <v>0.0</v>
      </c>
      <c r="CG214" s="71">
        <v>0.0</v>
      </c>
      <c r="CH214" s="67" t="str">
        <f t="shared" si="67"/>
        <v>#REF!</v>
      </c>
      <c r="CI214" s="68" t="str">
        <f>'[1]DATA CONSOLIDADA 2018-2025 '!$CG214-Hoja1!$CB214</f>
        <v>#REF!</v>
      </c>
      <c r="CJ214" s="64" t="str">
        <f t="shared" si="68"/>
        <v>#REF!</v>
      </c>
      <c r="CK214" s="64">
        <v>0.0</v>
      </c>
      <c r="CL214" s="64">
        <v>0.0</v>
      </c>
      <c r="CM214" s="64">
        <v>0.0</v>
      </c>
      <c r="CN214" s="64" t="str">
        <f t="shared" si="12"/>
        <v>#REF!</v>
      </c>
      <c r="CO214" s="68" t="str">
        <f>'[1]DATA CONSOLIDADA 2018-2025 '!$CM214-Hoja1!$CG214</f>
        <v>#REF!</v>
      </c>
      <c r="CP214" s="70">
        <v>0.0</v>
      </c>
      <c r="CQ214" s="70">
        <v>0.0</v>
      </c>
      <c r="CR214" s="70">
        <v>0.0</v>
      </c>
      <c r="CS214" s="70">
        <v>0.0</v>
      </c>
      <c r="CT214" s="70">
        <v>0.0</v>
      </c>
      <c r="CU214" s="70">
        <v>0.0</v>
      </c>
      <c r="CV214" s="64">
        <v>0.0</v>
      </c>
      <c r="CW214" s="64">
        <v>0.0</v>
      </c>
      <c r="CX214" s="64">
        <v>0.0</v>
      </c>
      <c r="CY214" s="64">
        <v>0.0</v>
      </c>
      <c r="CZ214" s="64">
        <v>0.0</v>
      </c>
      <c r="DA214" s="64">
        <v>0.0</v>
      </c>
      <c r="DB214" s="64">
        <v>0.0</v>
      </c>
      <c r="DC214" s="72">
        <v>0.0</v>
      </c>
      <c r="DD214" s="72">
        <v>0.0</v>
      </c>
      <c r="DE214" s="72">
        <v>0.0</v>
      </c>
      <c r="DF214" s="72">
        <v>0.0</v>
      </c>
      <c r="DG214" s="72">
        <v>0.0</v>
      </c>
      <c r="DH214" s="72">
        <v>0.0</v>
      </c>
      <c r="DI214" s="73">
        <v>2.0542827298E10</v>
      </c>
      <c r="DJ214" s="74" t="s">
        <v>850</v>
      </c>
      <c r="DK214" s="74" t="s">
        <v>138</v>
      </c>
      <c r="DL214" s="75"/>
      <c r="DM214" s="75"/>
      <c r="DN214" s="75"/>
      <c r="DO214" s="75"/>
      <c r="DP214" s="75"/>
      <c r="DQ214" s="75"/>
      <c r="DR214" s="75"/>
      <c r="DS214" s="75"/>
      <c r="DT214" s="75"/>
      <c r="DU214" s="75"/>
      <c r="DV214" s="75"/>
      <c r="DW214" s="75"/>
      <c r="DX214" s="75"/>
      <c r="DY214" s="75"/>
      <c r="DZ214" s="75"/>
      <c r="EA214" s="75"/>
      <c r="EB214" s="75"/>
      <c r="EC214" s="75"/>
      <c r="ED214" s="75"/>
      <c r="EE214" s="75"/>
    </row>
    <row r="215" ht="47.25" customHeight="1">
      <c r="A215" s="55" t="s">
        <v>851</v>
      </c>
      <c r="B215" s="55" t="s">
        <v>146</v>
      </c>
      <c r="C215" s="55" t="s">
        <v>146</v>
      </c>
      <c r="D215" s="55" t="s">
        <v>434</v>
      </c>
      <c r="E215" s="55" t="s">
        <v>852</v>
      </c>
      <c r="F215" s="55" t="s">
        <v>434</v>
      </c>
      <c r="G215" s="55" t="s">
        <v>435</v>
      </c>
      <c r="H215" s="55" t="s">
        <v>853</v>
      </c>
      <c r="I215" s="56"/>
      <c r="J215" s="56"/>
      <c r="K215" s="56"/>
      <c r="L215" s="56"/>
      <c r="M215" s="56"/>
      <c r="N215" s="56"/>
      <c r="O215" s="56">
        <v>1.0</v>
      </c>
      <c r="P215" s="56">
        <v>1.0</v>
      </c>
      <c r="Q215" s="56" t="s">
        <v>131</v>
      </c>
      <c r="R215" s="58" t="str">
        <f t="shared" si="1"/>
        <v>2024 - 2025</v>
      </c>
      <c r="S215" s="59" t="str">
        <f>SUM(Hoja1!$I215:$P215)</f>
        <v>2</v>
      </c>
      <c r="T215" s="59" t="str">
        <f>IF(OR(Hoja1!$J215=1,Hoja1!$K215=1,Hoja1!$L215=1,Hoja1!$M215=1,Hoja1!$N215=1,Hoja1!$O215=1,Hoja1!$P215=1),"SI","NO")</f>
        <v>SI</v>
      </c>
      <c r="U215" s="59" t="str">
        <f>IF(OR(Hoja1!$K215=1,Hoja1!$L215=1,Hoja1!$M215=1,Hoja1!$N215=1,Hoja1!$O215=1,Hoja1!$P215=1),"SI","NO")</f>
        <v>SI</v>
      </c>
      <c r="V215" s="60">
        <v>0.0</v>
      </c>
      <c r="W215" s="61">
        <v>0.0</v>
      </c>
      <c r="X215" s="61">
        <v>0.0</v>
      </c>
      <c r="Y215" s="60">
        <v>0.0</v>
      </c>
      <c r="Z215" s="61">
        <v>0.0</v>
      </c>
      <c r="AA215" s="61">
        <v>0.0</v>
      </c>
      <c r="AB215" s="60">
        <v>0.0</v>
      </c>
      <c r="AC215" s="61">
        <v>0.0</v>
      </c>
      <c r="AD215" s="61">
        <v>0.0</v>
      </c>
      <c r="AE215" s="60">
        <v>0.0</v>
      </c>
      <c r="AF215" s="61">
        <v>0.0</v>
      </c>
      <c r="AG215" s="61">
        <v>0.0</v>
      </c>
      <c r="AH215" s="60">
        <v>0.0</v>
      </c>
      <c r="AI215" s="61">
        <v>0.0</v>
      </c>
      <c r="AJ215" s="61">
        <v>0.0</v>
      </c>
      <c r="AK215" s="60">
        <v>0.0</v>
      </c>
      <c r="AL215" s="61">
        <v>110.0</v>
      </c>
      <c r="AM215" s="61">
        <v>40.0</v>
      </c>
      <c r="AN215" s="60">
        <v>150.0</v>
      </c>
      <c r="AO215" s="62">
        <v>106.0</v>
      </c>
      <c r="AP215" s="62">
        <v>42.0</v>
      </c>
      <c r="AQ215" s="60">
        <v>148.0</v>
      </c>
      <c r="AR215" s="60" t="str">
        <f>IF(Hoja1!$AQ215&gt;0,Hoja1!$AQ215,IF(Hoja1!$AN215&gt;0,Hoja1!$AN215,IF(Hoja1!$AK215&gt;0,Hoja1!$AK215,IF(Hoja1!$AH215&gt;0,Hoja1!$AH215,IF(Hoja1!$AE215&gt;0,Hoja1!$AE215,IF(Hoja1!$AB215&gt;0,Hoja1!$AB215,IF(Hoja1!$Y215&gt;0,Hoja1!$Y215,IF(Hoja1!$V215&gt;0,Hoja1!$V215," ---"))))))))</f>
        <v>148</v>
      </c>
      <c r="AS215" s="63">
        <v>0.0</v>
      </c>
      <c r="AT215" s="63">
        <v>0.0</v>
      </c>
      <c r="AU215" s="63">
        <v>0.0</v>
      </c>
      <c r="AV215" s="63">
        <v>0.0</v>
      </c>
      <c r="AW215" s="63">
        <v>0.0</v>
      </c>
      <c r="AX215" s="63">
        <v>0.0</v>
      </c>
      <c r="AY215" s="63">
        <v>0.0</v>
      </c>
      <c r="AZ215" s="63">
        <v>0.0</v>
      </c>
      <c r="BA215" s="63">
        <v>29.0</v>
      </c>
      <c r="BB215" s="63">
        <v>6.0</v>
      </c>
      <c r="BC215" s="63">
        <v>30.0</v>
      </c>
      <c r="BD215" s="63">
        <v>4.0</v>
      </c>
      <c r="BE215" s="64">
        <v>0.0</v>
      </c>
      <c r="BF215" s="69">
        <v>0.0</v>
      </c>
      <c r="BG215" s="69">
        <v>0.0</v>
      </c>
      <c r="BH215" s="64">
        <v>0.0</v>
      </c>
      <c r="BI215" s="67" t="str">
        <f>IF('[1]DATA CONSOLIDADA 2018-2025 '!$BH432&gt;'[1]DATA CONSOLIDADA 2018-2025 '!$AN432,"Incremento",IF('[1]DATA CONSOLIDADA 2018-2025 '!$AN432='[1]DATA CONSOLIDADA 2018-2025 '!$BH432,"Sin incremento",IF('[1]DATA CONSOLIDADA 2018-2025 '!$BH432&lt;'[1]DATA CONSOLIDADA 2018-2025 '!$AN432,"Disminución"," ---")))</f>
        <v>#REF!</v>
      </c>
      <c r="BJ215" s="68" t="str">
        <f>'[1]DATA CONSOLIDADA 2018-2025 '!$BH432-'[1]DATA CONSOLIDADA 2018-2025 '!$BE432</f>
        <v>#REF!</v>
      </c>
      <c r="BK215" s="69">
        <v>0.0</v>
      </c>
      <c r="BL215" s="69">
        <v>0.0</v>
      </c>
      <c r="BM215" s="64">
        <v>0.0</v>
      </c>
      <c r="BN215" s="67" t="str">
        <f>IF('[1]DATA CONSOLIDADA 2018-2025 '!$BM432&gt;'[1]DATA CONSOLIDADA 2018-2025 '!$BH432,"Incremento",IF('[1]DATA CONSOLIDADA 2018-2025 '!$BH432='[1]DATA CONSOLIDADA 2018-2025 '!$BM432,"Sin incremento",IF('[1]DATA CONSOLIDADA 2018-2025 '!$BM432&lt;'[1]DATA CONSOLIDADA 2018-2025 '!$BH432,"Disminución"," ---")))</f>
        <v>#REF!</v>
      </c>
      <c r="BO215" s="68" t="str">
        <f>'[1]DATA CONSOLIDADA 2018-2025 '!$BM432-'[1]DATA CONSOLIDADA 2018-2025 '!$BH432</f>
        <v>#REF!</v>
      </c>
      <c r="BP215" s="65">
        <v>0.0</v>
      </c>
      <c r="BQ215" s="65">
        <v>0.0</v>
      </c>
      <c r="BR215" s="66">
        <v>0.0</v>
      </c>
      <c r="BS215" s="67" t="str">
        <f>IF('[1]DATA CONSOLIDADA 2018-2025 '!$BR432&gt;'[1]DATA CONSOLIDADA 2018-2025 '!$BM432,"Incremento",IF('[1]DATA CONSOLIDADA 2018-2025 '!$BM432='[1]DATA CONSOLIDADA 2018-2025 '!$BR432,"Sin incremento",IF('[1]DATA CONSOLIDADA 2018-2025 '!$BR432&lt;'[1]DATA CONSOLIDADA 2018-2025 '!$BM432,"Disminución"," ---")))</f>
        <v>#REF!</v>
      </c>
      <c r="BT215" s="68" t="str">
        <f>'[1]DATA CONSOLIDADA 2018-2025 '!$BR215-Hoja1!$BO215</f>
        <v>#REF!</v>
      </c>
      <c r="BU215" s="69">
        <v>0.0</v>
      </c>
      <c r="BV215" s="65">
        <v>0.0</v>
      </c>
      <c r="BW215" s="66">
        <v>0.0</v>
      </c>
      <c r="BX215" s="67" t="str">
        <f>IF('[1]DATA CONSOLIDADA 2018-2025 '!$BW432&gt;'[1]DATA CONSOLIDADA 2018-2025 '!$BR432,"Incremento",IF('[1]DATA CONSOLIDADA 2018-2025 '!$BR432='[1]DATA CONSOLIDADA 2018-2025 '!$BW432,"Sin incremento",IF('[1]DATA CONSOLIDADA 2018-2025 '!$BW432&lt;'[1]DATA CONSOLIDADA 2018-2025 '!$BR432,"Disminución"," ---")))</f>
        <v>#REF!</v>
      </c>
      <c r="BY215" s="68" t="str">
        <f>'[1]DATA CONSOLIDADA 2018-2025 '!$BW432-'[1]DATA CONSOLIDADA 2018-2025 '!$BR432</f>
        <v>#REF!</v>
      </c>
      <c r="BZ215" s="65">
        <v>0.0</v>
      </c>
      <c r="CA215" s="65">
        <v>0.0</v>
      </c>
      <c r="CB215" s="66">
        <v>0.0</v>
      </c>
      <c r="CC215" s="67" t="str">
        <f>IF('[1]DATA CONSOLIDADA 2018-2025 '!$CB432&gt;'[1]DATA CONSOLIDADA 2018-2025 '!$BW432,"Incremento",IF('[1]DATA CONSOLIDADA 2018-2025 '!$BW432='[1]DATA CONSOLIDADA 2018-2025 '!$CB432,"Sin incremento",IF('[1]DATA CONSOLIDADA 2018-2025 '!$CB432&lt;'[1]DATA CONSOLIDADA 2018-2025 '!$BW432,"Disminución"," ---")))</f>
        <v>#REF!</v>
      </c>
      <c r="CD215" s="68" t="str">
        <f>'[1]DATA CONSOLIDADA 2018-2025 '!$CB215-Hoja1!$BW215</f>
        <v>#REF!</v>
      </c>
      <c r="CE215" s="70">
        <v>240000.0</v>
      </c>
      <c r="CF215" s="70">
        <v>0.0</v>
      </c>
      <c r="CG215" s="71">
        <v>240000.0</v>
      </c>
      <c r="CH215" s="67" t="str">
        <f>IF('[1]DATA CONSOLIDADA 2018-2025 '!$CG432&gt;'[1]DATA CONSOLIDADA 2018-2025 '!$CB432,"Incremento",IF('[1]DATA CONSOLIDADA 2018-2025 '!$CB432='[1]DATA CONSOLIDADA 2018-2025 '!$CG432,"Sin incremento",IF('[1]DATA CONSOLIDADA 2018-2025 '!$CG432&lt;'[1]DATA CONSOLIDADA 2018-2025 '!$CB432,"Disminución"," ---")))</f>
        <v>#REF!</v>
      </c>
      <c r="CI215" s="68" t="str">
        <f>'[1]DATA CONSOLIDADA 2018-2025 '!$CG215-Hoja1!$CB215</f>
        <v>#REF!</v>
      </c>
      <c r="CJ215" s="64" t="str">
        <f t="shared" si="68"/>
        <v>#REF!</v>
      </c>
      <c r="CK215" s="64">
        <v>93750.0</v>
      </c>
      <c r="CL215" s="64">
        <v>0.0</v>
      </c>
      <c r="CM215" s="64">
        <v>93750.0</v>
      </c>
      <c r="CN215" s="64" t="str">
        <f t="shared" si="12"/>
        <v>#REF!</v>
      </c>
      <c r="CO215" s="68" t="str">
        <f>'[1]DATA CONSOLIDADA 2018-2025 '!$CM215-Hoja1!$CG215</f>
        <v>#REF!</v>
      </c>
      <c r="CP215" s="70">
        <v>0.0</v>
      </c>
      <c r="CQ215" s="70">
        <v>0.0</v>
      </c>
      <c r="CR215" s="70">
        <v>0.0</v>
      </c>
      <c r="CS215" s="70">
        <v>0.0</v>
      </c>
      <c r="CT215" s="70">
        <v>0.0</v>
      </c>
      <c r="CU215" s="70">
        <v>0.0</v>
      </c>
      <c r="CV215" s="64">
        <v>0.0</v>
      </c>
      <c r="CW215" s="64">
        <v>0.0</v>
      </c>
      <c r="CX215" s="64">
        <v>240000.0</v>
      </c>
      <c r="CY215" s="64">
        <v>0.0</v>
      </c>
      <c r="CZ215" s="64">
        <v>0.0</v>
      </c>
      <c r="DA215" s="64">
        <v>0.0</v>
      </c>
      <c r="DB215" s="64">
        <v>240000.0</v>
      </c>
      <c r="DC215" s="72">
        <v>0.0</v>
      </c>
      <c r="DD215" s="72">
        <v>0.0</v>
      </c>
      <c r="DE215" s="72">
        <v>93750.0</v>
      </c>
      <c r="DF215" s="72">
        <v>0.0</v>
      </c>
      <c r="DG215" s="72">
        <v>0.0</v>
      </c>
      <c r="DH215" s="72">
        <v>93750.0</v>
      </c>
      <c r="DI215" s="73">
        <v>2.06042156E10</v>
      </c>
      <c r="DJ215" s="74" t="s">
        <v>851</v>
      </c>
      <c r="DK215" s="74" t="s">
        <v>138</v>
      </c>
      <c r="DL215" s="77"/>
      <c r="DM215" s="77"/>
      <c r="DN215" s="77"/>
      <c r="DO215" s="77"/>
      <c r="DP215" s="77"/>
      <c r="DQ215" s="77"/>
      <c r="DR215" s="77"/>
      <c r="DS215" s="77"/>
      <c r="DT215" s="77"/>
      <c r="DU215" s="77"/>
      <c r="DV215" s="77"/>
      <c r="DW215" s="77"/>
      <c r="DX215" s="77"/>
      <c r="DY215" s="77"/>
      <c r="DZ215" s="77"/>
      <c r="EA215" s="77"/>
      <c r="EB215" s="77"/>
      <c r="EC215" s="77"/>
      <c r="ED215" s="77"/>
      <c r="EE215" s="77"/>
    </row>
    <row r="216" ht="47.25" hidden="1" customHeight="1">
      <c r="A216" s="55" t="s">
        <v>854</v>
      </c>
      <c r="B216" s="55" t="s">
        <v>855</v>
      </c>
      <c r="C216" s="55" t="s">
        <v>855</v>
      </c>
      <c r="D216" s="55" t="s">
        <v>846</v>
      </c>
      <c r="E216" s="55" t="s">
        <v>856</v>
      </c>
      <c r="F216" s="55" t="s">
        <v>846</v>
      </c>
      <c r="G216" s="55" t="s">
        <v>848</v>
      </c>
      <c r="H216" s="55" t="s">
        <v>848</v>
      </c>
      <c r="I216" s="56"/>
      <c r="J216" s="56">
        <v>1.0</v>
      </c>
      <c r="K216" s="56">
        <v>1.0</v>
      </c>
      <c r="L216" s="56">
        <v>1.0</v>
      </c>
      <c r="M216" s="56">
        <v>1.0</v>
      </c>
      <c r="N216" s="56">
        <v>1.0</v>
      </c>
      <c r="O216" s="56"/>
      <c r="P216" s="56"/>
      <c r="Q216" s="56" t="s">
        <v>131</v>
      </c>
      <c r="R216" s="58" t="str">
        <f t="shared" si="1"/>
        <v>2019-2020-2021-2022-2023</v>
      </c>
      <c r="S216" s="59" t="str">
        <f>SUM(Hoja1!$I216:$P216)</f>
        <v>5</v>
      </c>
      <c r="T216" s="59" t="str">
        <f>IF(OR(Hoja1!$J216=1,Hoja1!$K216=1,Hoja1!$L216=1,Hoja1!$M216=1,Hoja1!$N216=1,Hoja1!$O216=1,Hoja1!$P216=1),"SI","NO")</f>
        <v>SI</v>
      </c>
      <c r="U216" s="59" t="str">
        <f>IF(OR(Hoja1!$K216=1,Hoja1!$L216=1,Hoja1!$M216=1,Hoja1!$N216=1,Hoja1!$O216=1,Hoja1!$P216=1),"SI","NO")</f>
        <v>SI</v>
      </c>
      <c r="V216" s="60">
        <v>0.0</v>
      </c>
      <c r="W216" s="61">
        <v>9.0</v>
      </c>
      <c r="X216" s="61">
        <v>15.0</v>
      </c>
      <c r="Y216" s="60">
        <v>24.0</v>
      </c>
      <c r="Z216" s="61">
        <v>9.0</v>
      </c>
      <c r="AA216" s="61">
        <v>15.0</v>
      </c>
      <c r="AB216" s="60">
        <v>24.0</v>
      </c>
      <c r="AC216" s="61">
        <v>13.0</v>
      </c>
      <c r="AD216" s="61">
        <v>16.0</v>
      </c>
      <c r="AE216" s="60">
        <v>29.0</v>
      </c>
      <c r="AF216" s="61">
        <v>13.0</v>
      </c>
      <c r="AG216" s="61">
        <v>16.0</v>
      </c>
      <c r="AH216" s="60">
        <v>29.0</v>
      </c>
      <c r="AI216" s="61">
        <v>13.0</v>
      </c>
      <c r="AJ216" s="61">
        <v>16.0</v>
      </c>
      <c r="AK216" s="60">
        <v>29.0</v>
      </c>
      <c r="AL216" s="61">
        <v>0.0</v>
      </c>
      <c r="AM216" s="61">
        <v>0.0</v>
      </c>
      <c r="AN216" s="60">
        <v>0.0</v>
      </c>
      <c r="AO216" s="62">
        <v>0.0</v>
      </c>
      <c r="AP216" s="62">
        <v>0.0</v>
      </c>
      <c r="AQ216" s="60">
        <v>0.0</v>
      </c>
      <c r="AR216" s="60" t="str">
        <f>IF(Hoja1!$AQ216&gt;0,Hoja1!$AQ216,IF(Hoja1!$AN216&gt;0,Hoja1!$AN216,IF(Hoja1!$AK216&gt;0,Hoja1!$AK216,IF(Hoja1!$AH216&gt;0,Hoja1!$AH216,IF(Hoja1!$AE216&gt;0,Hoja1!$AE216,IF(Hoja1!$AB216&gt;0,Hoja1!$AB216,IF(Hoja1!$Y216&gt;0,Hoja1!$Y216,IF(Hoja1!$V216&gt;0,Hoja1!$V216," ---"))))))))</f>
        <v>29</v>
      </c>
      <c r="AS216" s="63">
        <v>0.0</v>
      </c>
      <c r="AT216" s="63">
        <v>0.0</v>
      </c>
      <c r="AU216" s="63">
        <v>31.0</v>
      </c>
      <c r="AV216" s="63">
        <v>10.0</v>
      </c>
      <c r="AW216" s="63">
        <v>53.0</v>
      </c>
      <c r="AX216" s="63">
        <v>10.0</v>
      </c>
      <c r="AY216" s="63">
        <v>33.0</v>
      </c>
      <c r="AZ216" s="63">
        <v>1.0</v>
      </c>
      <c r="BA216" s="63">
        <v>0.0</v>
      </c>
      <c r="BB216" s="63">
        <v>0.0</v>
      </c>
      <c r="BC216" s="63">
        <v>0.0</v>
      </c>
      <c r="BD216" s="63">
        <v>0.0</v>
      </c>
      <c r="BE216" s="66">
        <v>0.0</v>
      </c>
      <c r="BF216" s="65">
        <v>0.0</v>
      </c>
      <c r="BG216" s="65">
        <v>428800.0</v>
      </c>
      <c r="BH216" s="66">
        <v>428800.0</v>
      </c>
      <c r="BI216" s="67" t="str">
        <f t="shared" ref="BI216:BI266" si="69">IF('[1]DATA CONSOLIDADA 2018-2025 '!$BH216&gt;'[1]DATA CONSOLIDADA 2018-2025 '!$AN216,"Incremento",IF('[1]DATA CONSOLIDADA 2018-2025 '!$AN216='[1]DATA CONSOLIDADA 2018-2025 '!$BH216,"Sin incremento",IF('[1]DATA CONSOLIDADA 2018-2025 '!$BH216&lt;'[1]DATA CONSOLIDADA 2018-2025 '!$AN216,"Disminución"," ---")))</f>
        <v>#REF!</v>
      </c>
      <c r="BJ216" s="68" t="str">
        <f t="shared" ref="BJ216:BJ266" si="70">'[1]DATA CONSOLIDADA 2018-2025 '!$BH216-'[1]DATA CONSOLIDADA 2018-2025 '!$BE216</f>
        <v>#REF!</v>
      </c>
      <c r="BK216" s="65">
        <v>0.0</v>
      </c>
      <c r="BL216" s="65">
        <v>364320.0</v>
      </c>
      <c r="BM216" s="66">
        <v>364320.0</v>
      </c>
      <c r="BN216" s="67" t="str">
        <f t="shared" ref="BN216:BN266" si="71">IF('[1]DATA CONSOLIDADA 2018-2025 '!$BM216&gt;'[1]DATA CONSOLIDADA 2018-2025 '!$BH216,"Incremento",IF('[1]DATA CONSOLIDADA 2018-2025 '!$BH216='[1]DATA CONSOLIDADA 2018-2025 '!$BM216,"Sin incremento",IF('[1]DATA CONSOLIDADA 2018-2025 '!$BM216&lt;'[1]DATA CONSOLIDADA 2018-2025 '!$BH216,"Disminución"," ---")))</f>
        <v>#REF!</v>
      </c>
      <c r="BO216" s="68" t="str">
        <f t="shared" ref="BO216:BO266" si="72">'[1]DATA CONSOLIDADA 2018-2025 '!$BM216-'[1]DATA CONSOLIDADA 2018-2025 '!$BH216</f>
        <v>#REF!</v>
      </c>
      <c r="BP216" s="65">
        <v>551881.5</v>
      </c>
      <c r="BQ216" s="65">
        <v>1507330.0</v>
      </c>
      <c r="BR216" s="66">
        <v>2059211.5</v>
      </c>
      <c r="BS216" s="67" t="str">
        <f t="shared" ref="BS216:BS266" si="73">IF('[1]DATA CONSOLIDADA 2018-2025 '!$BR216&gt;'[1]DATA CONSOLIDADA 2018-2025 '!$BM216,"Incremento",IF('[1]DATA CONSOLIDADA 2018-2025 '!$BM216='[1]DATA CONSOLIDADA 2018-2025 '!$BR216,"Sin incremento",IF('[1]DATA CONSOLIDADA 2018-2025 '!$BR216&lt;'[1]DATA CONSOLIDADA 2018-2025 '!$BM216,"Disminución"," ---")))</f>
        <v>#REF!</v>
      </c>
      <c r="BT216" s="68" t="str">
        <f>'[1]DATA CONSOLIDADA 2018-2025 '!$BR216-Hoja1!$BO216</f>
        <v>#REF!</v>
      </c>
      <c r="BU216" s="65">
        <v>623284.93</v>
      </c>
      <c r="BV216" s="65">
        <v>2917045.12</v>
      </c>
      <c r="BW216" s="66">
        <v>3540330.0500000003</v>
      </c>
      <c r="BX216" s="67" t="str">
        <f t="shared" ref="BX216:BX266" si="74">IF('[1]DATA CONSOLIDADA 2018-2025 '!$BW216&gt;'[1]DATA CONSOLIDADA 2018-2025 '!$BR216,"Incremento",IF('[1]DATA CONSOLIDADA 2018-2025 '!$BR216='[1]DATA CONSOLIDADA 2018-2025 '!$BW216,"Sin incremento",IF('[1]DATA CONSOLIDADA 2018-2025 '!$BW216&lt;'[1]DATA CONSOLIDADA 2018-2025 '!$BR216,"Disminución"," ---")))</f>
        <v>#REF!</v>
      </c>
      <c r="BY216" s="68" t="str">
        <f t="shared" ref="BY216:BY266" si="75">'[1]DATA CONSOLIDADA 2018-2025 '!$BW216-'[1]DATA CONSOLIDADA 2018-2025 '!$BR216</f>
        <v>#REF!</v>
      </c>
      <c r="BZ216" s="65">
        <v>989109.97</v>
      </c>
      <c r="CA216" s="65">
        <v>173573.4</v>
      </c>
      <c r="CB216" s="66">
        <v>1162683.37</v>
      </c>
      <c r="CC216" s="67" t="str">
        <f t="shared" ref="CC216:CC266" si="76">IF('[1]DATA CONSOLIDADA 2018-2025 '!$CB216&gt;'[1]DATA CONSOLIDADA 2018-2025 '!$BW216,"Incremento",IF('[1]DATA CONSOLIDADA 2018-2025 '!$BW216='[1]DATA CONSOLIDADA 2018-2025 '!$CB216,"Sin incremento",IF('[1]DATA CONSOLIDADA 2018-2025 '!$CB216&lt;'[1]DATA CONSOLIDADA 2018-2025 '!$BW216,"Disminución"," ---")))</f>
        <v>#REF!</v>
      </c>
      <c r="CD216" s="68" t="str">
        <f>'[1]DATA CONSOLIDADA 2018-2025 '!$CB216-Hoja1!$BW216</f>
        <v>#REF!</v>
      </c>
      <c r="CE216" s="70">
        <v>0.0</v>
      </c>
      <c r="CF216" s="70">
        <v>0.0</v>
      </c>
      <c r="CG216" s="71">
        <v>0.0</v>
      </c>
      <c r="CH216" s="67" t="str">
        <f t="shared" ref="CH216:CH266" si="77">IF('[1]DATA CONSOLIDADA 2018-2025 '!$CG216&gt;'[1]DATA CONSOLIDADA 2018-2025 '!$CB216,"Incremento",IF('[1]DATA CONSOLIDADA 2018-2025 '!$CB216='[1]DATA CONSOLIDADA 2018-2025 '!$CG216,"Sin incremento",IF('[1]DATA CONSOLIDADA 2018-2025 '!$CG216&lt;'[1]DATA CONSOLIDADA 2018-2025 '!$CB216,"Disminución"," ---")))</f>
        <v>#REF!</v>
      </c>
      <c r="CI216" s="68" t="str">
        <f>'[1]DATA CONSOLIDADA 2018-2025 '!$CG216-Hoja1!$CB216</f>
        <v>#REF!</v>
      </c>
      <c r="CJ216" s="64" t="str">
        <f t="shared" si="68"/>
        <v>#REF!</v>
      </c>
      <c r="CK216" s="64">
        <v>0.0</v>
      </c>
      <c r="CL216" s="64">
        <v>0.0</v>
      </c>
      <c r="CM216" s="64">
        <v>0.0</v>
      </c>
      <c r="CN216" s="64" t="str">
        <f t="shared" si="12"/>
        <v>#REF!</v>
      </c>
      <c r="CO216" s="68" t="str">
        <f>'[1]DATA CONSOLIDADA 2018-2025 '!$CM216-Hoja1!$CG216</f>
        <v>#REF!</v>
      </c>
      <c r="CP216" s="70">
        <v>0.0</v>
      </c>
      <c r="CQ216" s="70">
        <v>0.0</v>
      </c>
      <c r="CR216" s="70">
        <v>0.0</v>
      </c>
      <c r="CS216" s="70">
        <v>1162683.3692464</v>
      </c>
      <c r="CT216" s="70">
        <v>0.0</v>
      </c>
      <c r="CU216" s="70">
        <v>0.0</v>
      </c>
      <c r="CV216" s="64">
        <v>1162683.3692464</v>
      </c>
      <c r="CW216" s="64">
        <v>0.0</v>
      </c>
      <c r="CX216" s="64">
        <v>0.0</v>
      </c>
      <c r="CY216" s="64">
        <v>0.0</v>
      </c>
      <c r="CZ216" s="64">
        <v>0.0</v>
      </c>
      <c r="DA216" s="64">
        <v>0.0</v>
      </c>
      <c r="DB216" s="64">
        <v>0.0</v>
      </c>
      <c r="DC216" s="72">
        <v>0.0</v>
      </c>
      <c r="DD216" s="72">
        <v>0.0</v>
      </c>
      <c r="DE216" s="72">
        <v>0.0</v>
      </c>
      <c r="DF216" s="72">
        <v>0.0</v>
      </c>
      <c r="DG216" s="72">
        <v>0.0</v>
      </c>
      <c r="DH216" s="72">
        <v>0.0</v>
      </c>
      <c r="DI216" s="73">
        <v>2.0527491232E10</v>
      </c>
      <c r="DJ216" s="74" t="s">
        <v>857</v>
      </c>
      <c r="DK216" s="74" t="s">
        <v>138</v>
      </c>
      <c r="DL216" s="75"/>
      <c r="DM216" s="75"/>
      <c r="DN216" s="75"/>
      <c r="DO216" s="75"/>
      <c r="DP216" s="75"/>
      <c r="DQ216" s="75"/>
      <c r="DR216" s="75"/>
      <c r="DS216" s="75"/>
      <c r="DT216" s="75"/>
      <c r="DU216" s="75"/>
      <c r="DV216" s="75"/>
      <c r="DW216" s="75"/>
      <c r="DX216" s="75"/>
      <c r="DY216" s="75"/>
      <c r="DZ216" s="75"/>
      <c r="EA216" s="75"/>
      <c r="EB216" s="75"/>
      <c r="EC216" s="75"/>
      <c r="ED216" s="75"/>
      <c r="EE216" s="75"/>
    </row>
    <row r="217" ht="47.25" customHeight="1">
      <c r="A217" s="55" t="s">
        <v>858</v>
      </c>
      <c r="B217" s="55" t="s">
        <v>146</v>
      </c>
      <c r="C217" s="55" t="s">
        <v>146</v>
      </c>
      <c r="D217" s="55" t="s">
        <v>846</v>
      </c>
      <c r="E217" s="55" t="s">
        <v>856</v>
      </c>
      <c r="F217" s="55" t="s">
        <v>846</v>
      </c>
      <c r="G217" s="55" t="s">
        <v>848</v>
      </c>
      <c r="H217" s="55" t="s">
        <v>848</v>
      </c>
      <c r="I217" s="56">
        <v>1.0</v>
      </c>
      <c r="J217" s="56">
        <v>1.0</v>
      </c>
      <c r="K217" s="56">
        <v>1.0</v>
      </c>
      <c r="L217" s="56">
        <v>1.0</v>
      </c>
      <c r="M217" s="56">
        <v>1.0</v>
      </c>
      <c r="N217" s="56">
        <v>1.0</v>
      </c>
      <c r="O217" s="56"/>
      <c r="P217" s="56"/>
      <c r="Q217" s="56" t="s">
        <v>131</v>
      </c>
      <c r="R217" s="58" t="str">
        <f t="shared" si="1"/>
        <v>2018-2019-2020-2021-2022-2023</v>
      </c>
      <c r="S217" s="59" t="str">
        <f>SUM(Hoja1!$I217:$P217)</f>
        <v>6</v>
      </c>
      <c r="T217" s="59" t="str">
        <f>IF(OR(Hoja1!$J217=1,Hoja1!$K217=1,Hoja1!$L217=1,Hoja1!$M217=1,Hoja1!$N217=1,Hoja1!$O217=1,Hoja1!$P217=1),"SI","NO")</f>
        <v>SI</v>
      </c>
      <c r="U217" s="59" t="str">
        <f>IF(OR(Hoja1!$K217=1,Hoja1!$L217=1,Hoja1!$M217=1,Hoja1!$N217=1,Hoja1!$O217=1,Hoja1!$P217=1),"SI","NO")</f>
        <v>SI</v>
      </c>
      <c r="V217" s="60">
        <v>82.0</v>
      </c>
      <c r="W217" s="61">
        <v>82.0</v>
      </c>
      <c r="X217" s="61">
        <v>30.0</v>
      </c>
      <c r="Y217" s="60">
        <v>112.0</v>
      </c>
      <c r="Z217" s="61">
        <v>89.0</v>
      </c>
      <c r="AA217" s="61">
        <v>31.0</v>
      </c>
      <c r="AB217" s="60">
        <v>120.0</v>
      </c>
      <c r="AC217" s="61">
        <v>83.0</v>
      </c>
      <c r="AD217" s="61">
        <v>26.0</v>
      </c>
      <c r="AE217" s="60">
        <v>109.0</v>
      </c>
      <c r="AF217" s="61">
        <v>83.0</v>
      </c>
      <c r="AG217" s="61">
        <v>26.0</v>
      </c>
      <c r="AH217" s="60">
        <v>109.0</v>
      </c>
      <c r="AI217" s="61">
        <v>83.0</v>
      </c>
      <c r="AJ217" s="61">
        <v>26.0</v>
      </c>
      <c r="AK217" s="60">
        <v>109.0</v>
      </c>
      <c r="AL217" s="61">
        <v>0.0</v>
      </c>
      <c r="AM217" s="61">
        <v>0.0</v>
      </c>
      <c r="AN217" s="60">
        <v>0.0</v>
      </c>
      <c r="AO217" s="62">
        <v>0.0</v>
      </c>
      <c r="AP217" s="62">
        <v>0.0</v>
      </c>
      <c r="AQ217" s="60">
        <v>0.0</v>
      </c>
      <c r="AR217" s="60" t="str">
        <f>IF(Hoja1!$AQ217&gt;0,Hoja1!$AQ217,IF(Hoja1!$AN217&gt;0,Hoja1!$AN217,IF(Hoja1!$AK217&gt;0,Hoja1!$AK217,IF(Hoja1!$AH217&gt;0,Hoja1!$AH217,IF(Hoja1!$AE217&gt;0,Hoja1!$AE217,IF(Hoja1!$AB217&gt;0,Hoja1!$AB217,IF(Hoja1!$Y217&gt;0,Hoja1!$Y217,IF(Hoja1!$V217&gt;0,Hoja1!$V217," ---"))))))))</f>
        <v>109</v>
      </c>
      <c r="AS217" s="63">
        <v>0.0</v>
      </c>
      <c r="AT217" s="63">
        <v>2.0</v>
      </c>
      <c r="AU217" s="63">
        <v>26.0</v>
      </c>
      <c r="AV217" s="63">
        <v>4.0</v>
      </c>
      <c r="AW217" s="63">
        <v>32.0</v>
      </c>
      <c r="AX217" s="63">
        <v>7.0</v>
      </c>
      <c r="AY217" s="63">
        <v>28.0</v>
      </c>
      <c r="AZ217" s="63">
        <v>2.0</v>
      </c>
      <c r="BA217" s="63">
        <v>0.0</v>
      </c>
      <c r="BB217" s="63">
        <v>0.0</v>
      </c>
      <c r="BC217" s="63">
        <v>0.0</v>
      </c>
      <c r="BD217" s="63">
        <v>0.0</v>
      </c>
      <c r="BE217" s="64">
        <v>0.0</v>
      </c>
      <c r="BF217" s="65">
        <v>705164.84</v>
      </c>
      <c r="BG217" s="65">
        <v>0.0</v>
      </c>
      <c r="BH217" s="66">
        <v>705164.84</v>
      </c>
      <c r="BI217" s="67" t="str">
        <f t="shared" si="69"/>
        <v>#REF!</v>
      </c>
      <c r="BJ217" s="68" t="str">
        <f t="shared" si="70"/>
        <v>#REF!</v>
      </c>
      <c r="BK217" s="65">
        <v>296046.14</v>
      </c>
      <c r="BL217" s="65">
        <v>0.0</v>
      </c>
      <c r="BM217" s="66">
        <v>296046.14</v>
      </c>
      <c r="BN217" s="67" t="str">
        <f t="shared" si="71"/>
        <v>#REF!</v>
      </c>
      <c r="BO217" s="68" t="str">
        <f t="shared" si="72"/>
        <v>#REF!</v>
      </c>
      <c r="BP217" s="81">
        <v>758866.61</v>
      </c>
      <c r="BQ217" s="81">
        <v>0.0</v>
      </c>
      <c r="BR217" s="66">
        <v>758866.61</v>
      </c>
      <c r="BS217" s="67" t="str">
        <f t="shared" si="73"/>
        <v>#REF!</v>
      </c>
      <c r="BT217" s="68" t="str">
        <f>'[1]DATA CONSOLIDADA 2018-2025 '!$BR217-Hoja1!$BO217</f>
        <v>#REF!</v>
      </c>
      <c r="BU217" s="65">
        <v>469170.51</v>
      </c>
      <c r="BV217" s="65">
        <v>0.0</v>
      </c>
      <c r="BW217" s="66">
        <v>469170.51</v>
      </c>
      <c r="BX217" s="67" t="str">
        <f t="shared" si="74"/>
        <v>#REF!</v>
      </c>
      <c r="BY217" s="68" t="str">
        <f t="shared" si="75"/>
        <v>#REF!</v>
      </c>
      <c r="BZ217" s="65">
        <v>836337.97</v>
      </c>
      <c r="CA217" s="65">
        <v>0.0</v>
      </c>
      <c r="CB217" s="66">
        <v>836337.97</v>
      </c>
      <c r="CC217" s="67" t="str">
        <f t="shared" si="76"/>
        <v>#REF!</v>
      </c>
      <c r="CD217" s="68" t="str">
        <f>'[1]DATA CONSOLIDADA 2018-2025 '!$CB217-Hoja1!$BW217</f>
        <v>#REF!</v>
      </c>
      <c r="CE217" s="70">
        <v>0.0</v>
      </c>
      <c r="CF217" s="70">
        <v>0.0</v>
      </c>
      <c r="CG217" s="71">
        <v>0.0</v>
      </c>
      <c r="CH217" s="67" t="str">
        <f t="shared" si="77"/>
        <v>#REF!</v>
      </c>
      <c r="CI217" s="68" t="str">
        <f>'[1]DATA CONSOLIDADA 2018-2025 '!$CG217-Hoja1!$CB217</f>
        <v>#REF!</v>
      </c>
      <c r="CJ217" s="64" t="str">
        <f t="shared" si="68"/>
        <v>#REF!</v>
      </c>
      <c r="CK217" s="64">
        <v>0.0</v>
      </c>
      <c r="CL217" s="64">
        <v>0.0</v>
      </c>
      <c r="CM217" s="64">
        <v>0.0</v>
      </c>
      <c r="CN217" s="64" t="str">
        <f t="shared" si="12"/>
        <v>#REF!</v>
      </c>
      <c r="CO217" s="68" t="str">
        <f>'[1]DATA CONSOLIDADA 2018-2025 '!$CM217-Hoja1!$CG217</f>
        <v>#REF!</v>
      </c>
      <c r="CP217" s="70">
        <v>0.0</v>
      </c>
      <c r="CQ217" s="70">
        <v>0.0</v>
      </c>
      <c r="CR217" s="70">
        <v>0.0</v>
      </c>
      <c r="CS217" s="70">
        <v>836337.965</v>
      </c>
      <c r="CT217" s="70">
        <v>0.0</v>
      </c>
      <c r="CU217" s="70">
        <v>0.0</v>
      </c>
      <c r="CV217" s="64">
        <v>836337.965</v>
      </c>
      <c r="CW217" s="64">
        <v>0.0</v>
      </c>
      <c r="CX217" s="64">
        <v>0.0</v>
      </c>
      <c r="CY217" s="64">
        <v>0.0</v>
      </c>
      <c r="CZ217" s="64">
        <v>0.0</v>
      </c>
      <c r="DA217" s="64">
        <v>0.0</v>
      </c>
      <c r="DB217" s="64">
        <v>0.0</v>
      </c>
      <c r="DC217" s="72">
        <v>0.0</v>
      </c>
      <c r="DD217" s="72">
        <v>0.0</v>
      </c>
      <c r="DE217" s="72">
        <v>0.0</v>
      </c>
      <c r="DF217" s="72">
        <v>0.0</v>
      </c>
      <c r="DG217" s="72">
        <v>0.0</v>
      </c>
      <c r="DH217" s="72">
        <v>0.0</v>
      </c>
      <c r="DI217" s="73">
        <v>2.0600874919E10</v>
      </c>
      <c r="DJ217" s="74" t="s">
        <v>859</v>
      </c>
      <c r="DK217" s="74" t="s">
        <v>132</v>
      </c>
      <c r="DL217" s="75"/>
      <c r="DM217" s="75"/>
      <c r="DN217" s="75"/>
      <c r="DO217" s="75"/>
      <c r="DP217" s="75"/>
      <c r="DQ217" s="75"/>
      <c r="DR217" s="75"/>
      <c r="DS217" s="75"/>
      <c r="DT217" s="75"/>
      <c r="DU217" s="75"/>
      <c r="DV217" s="75"/>
      <c r="DW217" s="75"/>
      <c r="DX217" s="75"/>
      <c r="DY217" s="75"/>
      <c r="DZ217" s="75"/>
      <c r="EA217" s="75"/>
      <c r="EB217" s="75"/>
      <c r="EC217" s="75"/>
      <c r="ED217" s="75"/>
      <c r="EE217" s="75"/>
    </row>
    <row r="218" ht="47.25" customHeight="1">
      <c r="A218" s="55" t="s">
        <v>860</v>
      </c>
      <c r="B218" s="55" t="s">
        <v>146</v>
      </c>
      <c r="C218" s="55" t="s">
        <v>146</v>
      </c>
      <c r="D218" s="55" t="s">
        <v>846</v>
      </c>
      <c r="E218" s="55" t="s">
        <v>856</v>
      </c>
      <c r="F218" s="55" t="s">
        <v>846</v>
      </c>
      <c r="G218" s="55" t="s">
        <v>848</v>
      </c>
      <c r="H218" s="55" t="s">
        <v>848</v>
      </c>
      <c r="I218" s="56">
        <v>1.0</v>
      </c>
      <c r="J218" s="56">
        <v>1.0</v>
      </c>
      <c r="K218" s="56">
        <v>1.0</v>
      </c>
      <c r="L218" s="56"/>
      <c r="M218" s="56"/>
      <c r="N218" s="56">
        <v>1.0</v>
      </c>
      <c r="O218" s="56">
        <v>1.0</v>
      </c>
      <c r="P218" s="56"/>
      <c r="Q218" s="56" t="s">
        <v>131</v>
      </c>
      <c r="R218" s="58" t="str">
        <f t="shared" si="1"/>
        <v>2018-2019-2020-2023-2024</v>
      </c>
      <c r="S218" s="59" t="str">
        <f>SUM(Hoja1!$I218:$P218)</f>
        <v>5</v>
      </c>
      <c r="T218" s="59" t="str">
        <f>IF(OR(Hoja1!$J218=1,Hoja1!$K218=1,Hoja1!$L218=1,Hoja1!$M218=1,Hoja1!$N218=1,Hoja1!$O218=1,Hoja1!$P218=1),"SI","NO")</f>
        <v>SI</v>
      </c>
      <c r="U218" s="59" t="str">
        <f>IF(OR(Hoja1!$K218=1,Hoja1!$L218=1,Hoja1!$M218=1,Hoja1!$N218=1,Hoja1!$O218=1,Hoja1!$P218=1),"SI","NO")</f>
        <v>SI</v>
      </c>
      <c r="V218" s="60">
        <v>257.0</v>
      </c>
      <c r="W218" s="61">
        <v>183.0</v>
      </c>
      <c r="X218" s="61">
        <v>74.0</v>
      </c>
      <c r="Y218" s="60">
        <v>257.0</v>
      </c>
      <c r="Z218" s="61">
        <v>183.0</v>
      </c>
      <c r="AA218" s="61">
        <v>74.0</v>
      </c>
      <c r="AB218" s="60">
        <v>257.0</v>
      </c>
      <c r="AC218" s="61">
        <v>0.0</v>
      </c>
      <c r="AD218" s="61">
        <v>0.0</v>
      </c>
      <c r="AE218" s="60">
        <v>0.0</v>
      </c>
      <c r="AF218" s="61">
        <v>0.0</v>
      </c>
      <c r="AG218" s="61">
        <v>0.0</v>
      </c>
      <c r="AH218" s="60">
        <v>0.0</v>
      </c>
      <c r="AI218" s="61">
        <v>130.0</v>
      </c>
      <c r="AJ218" s="61">
        <v>46.0</v>
      </c>
      <c r="AK218" s="60">
        <v>176.0</v>
      </c>
      <c r="AL218" s="61">
        <v>179.0</v>
      </c>
      <c r="AM218" s="61">
        <v>73.0</v>
      </c>
      <c r="AN218" s="60">
        <v>252.0</v>
      </c>
      <c r="AO218" s="62">
        <v>0.0</v>
      </c>
      <c r="AP218" s="62">
        <v>0.0</v>
      </c>
      <c r="AQ218" s="60">
        <v>0.0</v>
      </c>
      <c r="AR218" s="60" t="str">
        <f>IF(Hoja1!$AQ218&gt;0,Hoja1!$AQ218,IF(Hoja1!$AN218&gt;0,Hoja1!$AN218,IF(Hoja1!$AK218&gt;0,Hoja1!$AK218,IF(Hoja1!$AH218&gt;0,Hoja1!$AH218,IF(Hoja1!$AE218&gt;0,Hoja1!$AE218,IF(Hoja1!$AB218&gt;0,Hoja1!$AB218,IF(Hoja1!$Y218&gt;0,Hoja1!$Y218,IF(Hoja1!$V218&gt;0,Hoja1!$V218," ---"))))))))</f>
        <v>252</v>
      </c>
      <c r="AS218" s="63">
        <v>0.0</v>
      </c>
      <c r="AT218" s="63">
        <v>0.0</v>
      </c>
      <c r="AU218" s="63">
        <v>0.0</v>
      </c>
      <c r="AV218" s="63">
        <v>0.0</v>
      </c>
      <c r="AW218" s="63">
        <v>0.0</v>
      </c>
      <c r="AX218" s="63">
        <v>0.0</v>
      </c>
      <c r="AY218" s="63">
        <v>28.0</v>
      </c>
      <c r="AZ218" s="63">
        <v>3.0</v>
      </c>
      <c r="BA218" s="63">
        <v>40.0</v>
      </c>
      <c r="BB218" s="63">
        <v>0.0</v>
      </c>
      <c r="BC218" s="63">
        <v>0.0</v>
      </c>
      <c r="BD218" s="63">
        <v>0.0</v>
      </c>
      <c r="BE218" s="64">
        <v>0.0</v>
      </c>
      <c r="BF218" s="65">
        <v>0.0</v>
      </c>
      <c r="BG218" s="65">
        <v>460103.37</v>
      </c>
      <c r="BH218" s="66">
        <v>460103.37</v>
      </c>
      <c r="BI218" s="67" t="str">
        <f t="shared" si="69"/>
        <v>#REF!</v>
      </c>
      <c r="BJ218" s="68" t="str">
        <f t="shared" si="70"/>
        <v>#REF!</v>
      </c>
      <c r="BK218" s="65">
        <v>218.0</v>
      </c>
      <c r="BL218" s="65">
        <v>463766.74</v>
      </c>
      <c r="BM218" s="66">
        <v>463984.74</v>
      </c>
      <c r="BN218" s="67" t="str">
        <f t="shared" si="71"/>
        <v>#REF!</v>
      </c>
      <c r="BO218" s="68" t="str">
        <f t="shared" si="72"/>
        <v>#REF!</v>
      </c>
      <c r="BP218" s="65">
        <v>0.0</v>
      </c>
      <c r="BQ218" s="65">
        <v>0.0</v>
      </c>
      <c r="BR218" s="66">
        <v>0.0</v>
      </c>
      <c r="BS218" s="67" t="str">
        <f t="shared" si="73"/>
        <v>#REF!</v>
      </c>
      <c r="BT218" s="68" t="str">
        <f>'[1]DATA CONSOLIDADA 2018-2025 '!$BR218-Hoja1!$BO218</f>
        <v>#REF!</v>
      </c>
      <c r="BU218" s="65">
        <v>0.0</v>
      </c>
      <c r="BV218" s="65">
        <v>0.0</v>
      </c>
      <c r="BW218" s="66">
        <v>0.0</v>
      </c>
      <c r="BX218" s="67" t="str">
        <f t="shared" si="74"/>
        <v>#REF!</v>
      </c>
      <c r="BY218" s="68" t="str">
        <f t="shared" si="75"/>
        <v>#REF!</v>
      </c>
      <c r="BZ218" s="65">
        <v>0.0</v>
      </c>
      <c r="CA218" s="65">
        <v>1019579.64</v>
      </c>
      <c r="CB218" s="66">
        <v>1019579.64</v>
      </c>
      <c r="CC218" s="67" t="str">
        <f t="shared" si="76"/>
        <v>#REF!</v>
      </c>
      <c r="CD218" s="68" t="str">
        <f>'[1]DATA CONSOLIDADA 2018-2025 '!$CB218-Hoja1!$BW218</f>
        <v>#REF!</v>
      </c>
      <c r="CE218" s="70">
        <v>785336.65</v>
      </c>
      <c r="CF218" s="70">
        <v>0.0</v>
      </c>
      <c r="CG218" s="71">
        <v>785336.65</v>
      </c>
      <c r="CH218" s="67" t="str">
        <f t="shared" si="77"/>
        <v>#REF!</v>
      </c>
      <c r="CI218" s="68" t="str">
        <f>'[1]DATA CONSOLIDADA 2018-2025 '!$CG218-Hoja1!$CB218</f>
        <v>#REF!</v>
      </c>
      <c r="CJ218" s="64" t="str">
        <f t="shared" si="68"/>
        <v>#REF!</v>
      </c>
      <c r="CK218" s="64">
        <v>0.0</v>
      </c>
      <c r="CL218" s="64">
        <v>0.0</v>
      </c>
      <c r="CM218" s="64">
        <v>0.0</v>
      </c>
      <c r="CN218" s="64" t="str">
        <f t="shared" si="12"/>
        <v>#REF!</v>
      </c>
      <c r="CO218" s="68" t="str">
        <f>'[1]DATA CONSOLIDADA 2018-2025 '!$CM218-Hoja1!$CG218</f>
        <v>#REF!</v>
      </c>
      <c r="CP218" s="70">
        <v>0.0</v>
      </c>
      <c r="CQ218" s="70">
        <v>0.0</v>
      </c>
      <c r="CR218" s="70">
        <v>0.0</v>
      </c>
      <c r="CS218" s="70">
        <v>1019579.6399999999</v>
      </c>
      <c r="CT218" s="70">
        <v>0.0</v>
      </c>
      <c r="CU218" s="70">
        <v>0.0</v>
      </c>
      <c r="CV218" s="64">
        <v>1019579.6399999999</v>
      </c>
      <c r="CW218" s="64">
        <v>0.0</v>
      </c>
      <c r="CX218" s="64">
        <v>0.0</v>
      </c>
      <c r="CY218" s="64">
        <v>785336.65</v>
      </c>
      <c r="CZ218" s="64">
        <v>0.0</v>
      </c>
      <c r="DA218" s="64">
        <v>0.0</v>
      </c>
      <c r="DB218" s="64">
        <v>785336.65</v>
      </c>
      <c r="DC218" s="72">
        <v>0.0</v>
      </c>
      <c r="DD218" s="72">
        <v>0.0</v>
      </c>
      <c r="DE218" s="72">
        <v>0.0</v>
      </c>
      <c r="DF218" s="72">
        <v>0.0</v>
      </c>
      <c r="DG218" s="72">
        <v>0.0</v>
      </c>
      <c r="DH218" s="72">
        <v>0.0</v>
      </c>
      <c r="DI218" s="73">
        <v>2.0600146689E10</v>
      </c>
      <c r="DJ218" s="74" t="s">
        <v>861</v>
      </c>
      <c r="DK218" s="74" t="s">
        <v>132</v>
      </c>
      <c r="DL218" s="75"/>
      <c r="DM218" s="75"/>
      <c r="DN218" s="75"/>
      <c r="DO218" s="75"/>
      <c r="DP218" s="75"/>
      <c r="DQ218" s="75"/>
      <c r="DR218" s="75"/>
      <c r="DS218" s="75"/>
      <c r="DT218" s="75"/>
      <c r="DU218" s="75"/>
      <c r="DV218" s="75"/>
      <c r="DW218" s="75"/>
      <c r="DX218" s="75"/>
      <c r="DY218" s="75"/>
      <c r="DZ218" s="75"/>
      <c r="EA218" s="75"/>
      <c r="EB218" s="75"/>
      <c r="EC218" s="75"/>
      <c r="ED218" s="75"/>
      <c r="EE218" s="75"/>
    </row>
    <row r="219" ht="47.25" customHeight="1">
      <c r="A219" s="55" t="s">
        <v>862</v>
      </c>
      <c r="B219" s="55" t="s">
        <v>146</v>
      </c>
      <c r="C219" s="55" t="s">
        <v>146</v>
      </c>
      <c r="D219" s="55" t="s">
        <v>846</v>
      </c>
      <c r="E219" s="55" t="s">
        <v>847</v>
      </c>
      <c r="F219" s="55" t="s">
        <v>846</v>
      </c>
      <c r="G219" s="55" t="s">
        <v>848</v>
      </c>
      <c r="H219" s="55" t="s">
        <v>849</v>
      </c>
      <c r="I219" s="56">
        <v>1.0</v>
      </c>
      <c r="J219" s="56">
        <v>1.0</v>
      </c>
      <c r="K219" s="56">
        <v>1.0</v>
      </c>
      <c r="L219" s="56">
        <v>1.0</v>
      </c>
      <c r="M219" s="56">
        <v>1.0</v>
      </c>
      <c r="N219" s="56">
        <v>1.0</v>
      </c>
      <c r="O219" s="56"/>
      <c r="P219" s="56"/>
      <c r="Q219" s="56" t="s">
        <v>131</v>
      </c>
      <c r="R219" s="58" t="str">
        <f t="shared" si="1"/>
        <v>2018-2019-2020-2021-2022-2023</v>
      </c>
      <c r="S219" s="59" t="str">
        <f>SUM(Hoja1!$I219:$P219)</f>
        <v>6</v>
      </c>
      <c r="T219" s="59" t="str">
        <f>IF(OR(Hoja1!$J219=1,Hoja1!$K219=1,Hoja1!$L219=1,Hoja1!$M219=1,Hoja1!$N219=1,Hoja1!$O219=1,Hoja1!$P219=1),"SI","NO")</f>
        <v>SI</v>
      </c>
      <c r="U219" s="59" t="str">
        <f>IF(OR(Hoja1!$K219=1,Hoja1!$L219=1,Hoja1!$M219=1,Hoja1!$N219=1,Hoja1!$O219=1,Hoja1!$P219=1),"SI","NO")</f>
        <v>SI</v>
      </c>
      <c r="V219" s="60">
        <v>65.0</v>
      </c>
      <c r="W219" s="61">
        <v>43.0</v>
      </c>
      <c r="X219" s="61">
        <v>18.0</v>
      </c>
      <c r="Y219" s="60">
        <v>61.0</v>
      </c>
      <c r="Z219" s="61">
        <v>43.0</v>
      </c>
      <c r="AA219" s="61">
        <v>18.0</v>
      </c>
      <c r="AB219" s="60">
        <v>61.0</v>
      </c>
      <c r="AC219" s="61">
        <v>50.0</v>
      </c>
      <c r="AD219" s="61">
        <v>18.0</v>
      </c>
      <c r="AE219" s="60">
        <v>68.0</v>
      </c>
      <c r="AF219" s="61">
        <v>50.0</v>
      </c>
      <c r="AG219" s="61">
        <v>18.0</v>
      </c>
      <c r="AH219" s="60">
        <v>68.0</v>
      </c>
      <c r="AI219" s="61">
        <v>50.0</v>
      </c>
      <c r="AJ219" s="61">
        <v>18.0</v>
      </c>
      <c r="AK219" s="60">
        <v>68.0</v>
      </c>
      <c r="AL219" s="61">
        <v>0.0</v>
      </c>
      <c r="AM219" s="61">
        <v>0.0</v>
      </c>
      <c r="AN219" s="60">
        <v>0.0</v>
      </c>
      <c r="AO219" s="62">
        <v>0.0</v>
      </c>
      <c r="AP219" s="62">
        <v>0.0</v>
      </c>
      <c r="AQ219" s="60">
        <v>0.0</v>
      </c>
      <c r="AR219" s="60" t="str">
        <f>IF(Hoja1!$AQ219&gt;0,Hoja1!$AQ219,IF(Hoja1!$AN219&gt;0,Hoja1!$AN219,IF(Hoja1!$AK219&gt;0,Hoja1!$AK219,IF(Hoja1!$AH219&gt;0,Hoja1!$AH219,IF(Hoja1!$AE219&gt;0,Hoja1!$AE219,IF(Hoja1!$AB219&gt;0,Hoja1!$AB219,IF(Hoja1!$Y219&gt;0,Hoja1!$Y219,IF(Hoja1!$V219&gt;0,Hoja1!$V219," ---"))))))))</f>
        <v>68</v>
      </c>
      <c r="AS219" s="63">
        <v>0.0</v>
      </c>
      <c r="AT219" s="63">
        <v>2.0</v>
      </c>
      <c r="AU219" s="63">
        <v>26.0</v>
      </c>
      <c r="AV219" s="63">
        <v>4.0</v>
      </c>
      <c r="AW219" s="63">
        <v>35.0</v>
      </c>
      <c r="AX219" s="63">
        <v>7.0</v>
      </c>
      <c r="AY219" s="63">
        <v>27.0</v>
      </c>
      <c r="AZ219" s="63">
        <v>4.0</v>
      </c>
      <c r="BA219" s="63">
        <v>0.0</v>
      </c>
      <c r="BB219" s="63">
        <v>0.0</v>
      </c>
      <c r="BC219" s="63">
        <v>0.0</v>
      </c>
      <c r="BD219" s="63">
        <v>0.0</v>
      </c>
      <c r="BE219" s="64">
        <v>0.0</v>
      </c>
      <c r="BF219" s="65">
        <v>115188.44</v>
      </c>
      <c r="BG219" s="65">
        <v>45436.05</v>
      </c>
      <c r="BH219" s="66">
        <v>160624.49</v>
      </c>
      <c r="BI219" s="67" t="str">
        <f t="shared" si="69"/>
        <v>#REF!</v>
      </c>
      <c r="BJ219" s="68" t="str">
        <f t="shared" si="70"/>
        <v>#REF!</v>
      </c>
      <c r="BK219" s="65">
        <v>166540.0</v>
      </c>
      <c r="BL219" s="65">
        <v>59872.12</v>
      </c>
      <c r="BM219" s="66">
        <v>226412.12</v>
      </c>
      <c r="BN219" s="67" t="str">
        <f t="shared" si="71"/>
        <v>#REF!</v>
      </c>
      <c r="BO219" s="68" t="str">
        <f t="shared" si="72"/>
        <v>#REF!</v>
      </c>
      <c r="BP219" s="65">
        <v>247137.51</v>
      </c>
      <c r="BQ219" s="65">
        <v>31035.18</v>
      </c>
      <c r="BR219" s="66">
        <v>278172.69</v>
      </c>
      <c r="BS219" s="67" t="str">
        <f t="shared" si="73"/>
        <v>#REF!</v>
      </c>
      <c r="BT219" s="68" t="str">
        <f>'[1]DATA CONSOLIDADA 2018-2025 '!$BR219-Hoja1!$BO219</f>
        <v>#REF!</v>
      </c>
      <c r="BU219" s="65">
        <v>673426.5</v>
      </c>
      <c r="BV219" s="65">
        <v>0.0</v>
      </c>
      <c r="BW219" s="66">
        <v>673426.5</v>
      </c>
      <c r="BX219" s="67" t="str">
        <f t="shared" si="74"/>
        <v>#REF!</v>
      </c>
      <c r="BY219" s="68" t="str">
        <f t="shared" si="75"/>
        <v>#REF!</v>
      </c>
      <c r="BZ219" s="65">
        <v>1879212.05</v>
      </c>
      <c r="CA219" s="65">
        <v>0.0</v>
      </c>
      <c r="CB219" s="66">
        <v>1879212.05</v>
      </c>
      <c r="CC219" s="67" t="str">
        <f t="shared" si="76"/>
        <v>#REF!</v>
      </c>
      <c r="CD219" s="68" t="str">
        <f>'[1]DATA CONSOLIDADA 2018-2025 '!$CB219-Hoja1!$BW219</f>
        <v>#REF!</v>
      </c>
      <c r="CE219" s="70">
        <v>0.0</v>
      </c>
      <c r="CF219" s="70">
        <v>0.0</v>
      </c>
      <c r="CG219" s="71">
        <v>0.0</v>
      </c>
      <c r="CH219" s="67" t="str">
        <f t="shared" si="77"/>
        <v>#REF!</v>
      </c>
      <c r="CI219" s="68" t="str">
        <f>'[1]DATA CONSOLIDADA 2018-2025 '!$CG219-Hoja1!$CB219</f>
        <v>#REF!</v>
      </c>
      <c r="CJ219" s="64" t="str">
        <f t="shared" si="68"/>
        <v>#REF!</v>
      </c>
      <c r="CK219" s="64">
        <v>0.0</v>
      </c>
      <c r="CL219" s="64">
        <v>0.0</v>
      </c>
      <c r="CM219" s="64">
        <v>0.0</v>
      </c>
      <c r="CN219" s="64" t="str">
        <f t="shared" si="12"/>
        <v>#REF!</v>
      </c>
      <c r="CO219" s="68" t="str">
        <f>'[1]DATA CONSOLIDADA 2018-2025 '!$CM219-Hoja1!$CG219</f>
        <v>#REF!</v>
      </c>
      <c r="CP219" s="70">
        <v>148.5</v>
      </c>
      <c r="CQ219" s="70">
        <v>0.0</v>
      </c>
      <c r="CR219" s="70">
        <v>0.0</v>
      </c>
      <c r="CS219" s="70">
        <v>1879063.5500500007</v>
      </c>
      <c r="CT219" s="70">
        <v>0.0</v>
      </c>
      <c r="CU219" s="70">
        <v>0.0</v>
      </c>
      <c r="CV219" s="64">
        <v>1879212.0500500007</v>
      </c>
      <c r="CW219" s="64">
        <v>0.0</v>
      </c>
      <c r="CX219" s="64">
        <v>0.0</v>
      </c>
      <c r="CY219" s="64">
        <v>0.0</v>
      </c>
      <c r="CZ219" s="64">
        <v>0.0</v>
      </c>
      <c r="DA219" s="64">
        <v>0.0</v>
      </c>
      <c r="DB219" s="64">
        <v>0.0</v>
      </c>
      <c r="DC219" s="72">
        <v>0.0</v>
      </c>
      <c r="DD219" s="72">
        <v>0.0</v>
      </c>
      <c r="DE219" s="72">
        <v>0.0</v>
      </c>
      <c r="DF219" s="72">
        <v>0.0</v>
      </c>
      <c r="DG219" s="72">
        <v>0.0</v>
      </c>
      <c r="DH219" s="72">
        <v>0.0</v>
      </c>
      <c r="DI219" s="73">
        <v>2.0542825163E10</v>
      </c>
      <c r="DJ219" s="74" t="s">
        <v>862</v>
      </c>
      <c r="DK219" s="74" t="s">
        <v>132</v>
      </c>
      <c r="DL219" s="75"/>
      <c r="DM219" s="75"/>
      <c r="DN219" s="75"/>
      <c r="DO219" s="75"/>
      <c r="DP219" s="75"/>
      <c r="DQ219" s="75"/>
      <c r="DR219" s="75"/>
      <c r="DS219" s="75"/>
      <c r="DT219" s="75"/>
      <c r="DU219" s="75"/>
      <c r="DV219" s="75"/>
      <c r="DW219" s="75"/>
      <c r="DX219" s="75"/>
      <c r="DY219" s="75"/>
      <c r="DZ219" s="75"/>
      <c r="EA219" s="75"/>
      <c r="EB219" s="75"/>
      <c r="EC219" s="75"/>
      <c r="ED219" s="75"/>
      <c r="EE219" s="75"/>
    </row>
    <row r="220" ht="47.25" hidden="1" customHeight="1">
      <c r="A220" s="55" t="s">
        <v>863</v>
      </c>
      <c r="B220" s="55" t="s">
        <v>491</v>
      </c>
      <c r="C220" s="55" t="s">
        <v>491</v>
      </c>
      <c r="D220" s="55" t="s">
        <v>846</v>
      </c>
      <c r="E220" s="55" t="s">
        <v>856</v>
      </c>
      <c r="F220" s="55" t="s">
        <v>846</v>
      </c>
      <c r="G220" s="55" t="s">
        <v>848</v>
      </c>
      <c r="H220" s="55" t="s">
        <v>848</v>
      </c>
      <c r="I220" s="56">
        <v>1.0</v>
      </c>
      <c r="J220" s="56">
        <v>1.0</v>
      </c>
      <c r="K220" s="56"/>
      <c r="L220" s="56"/>
      <c r="M220" s="56"/>
      <c r="N220" s="56"/>
      <c r="O220" s="56"/>
      <c r="P220" s="56"/>
      <c r="Q220" s="56" t="s">
        <v>131</v>
      </c>
      <c r="R220" s="58" t="str">
        <f t="shared" si="1"/>
        <v>2018-2019</v>
      </c>
      <c r="S220" s="59" t="str">
        <f>SUM(Hoja1!$I220:$P220)</f>
        <v>2</v>
      </c>
      <c r="T220" s="59" t="str">
        <f>IF(OR(Hoja1!$J220=1,Hoja1!$K220=1,Hoja1!$L220=1,Hoja1!$M220=1,Hoja1!$N220=1,Hoja1!$O220=1,Hoja1!$P220=1),"SI","NO")</f>
        <v>SI</v>
      </c>
      <c r="U220" s="59" t="str">
        <f>IF(OR(Hoja1!$K220=1,Hoja1!$L220=1,Hoja1!$M220=1,Hoja1!$N220=1,Hoja1!$O220=1,Hoja1!$P220=1),"SI","NO")</f>
        <v>NO</v>
      </c>
      <c r="V220" s="60">
        <v>82.0</v>
      </c>
      <c r="W220" s="61">
        <v>0.0</v>
      </c>
      <c r="X220" s="61">
        <v>0.0</v>
      </c>
      <c r="Y220" s="60">
        <v>0.0</v>
      </c>
      <c r="Z220" s="61">
        <v>0.0</v>
      </c>
      <c r="AA220" s="61">
        <v>0.0</v>
      </c>
      <c r="AB220" s="60">
        <v>0.0</v>
      </c>
      <c r="AC220" s="61">
        <v>0.0</v>
      </c>
      <c r="AD220" s="61">
        <v>0.0</v>
      </c>
      <c r="AE220" s="60">
        <v>0.0</v>
      </c>
      <c r="AF220" s="61">
        <v>0.0</v>
      </c>
      <c r="AG220" s="61">
        <v>0.0</v>
      </c>
      <c r="AH220" s="60">
        <v>0.0</v>
      </c>
      <c r="AI220" s="61">
        <v>0.0</v>
      </c>
      <c r="AJ220" s="61">
        <v>0.0</v>
      </c>
      <c r="AK220" s="60">
        <v>0.0</v>
      </c>
      <c r="AL220" s="61">
        <v>0.0</v>
      </c>
      <c r="AM220" s="61">
        <v>0.0</v>
      </c>
      <c r="AN220" s="60">
        <v>0.0</v>
      </c>
      <c r="AO220" s="62">
        <v>0.0</v>
      </c>
      <c r="AP220" s="62">
        <v>0.0</v>
      </c>
      <c r="AQ220" s="60">
        <v>0.0</v>
      </c>
      <c r="AR220" s="60" t="str">
        <f>IF(Hoja1!$AQ220&gt;0,Hoja1!$AQ220,IF(Hoja1!$AN220&gt;0,Hoja1!$AN220,IF(Hoja1!$AK220&gt;0,Hoja1!$AK220,IF(Hoja1!$AH220&gt;0,Hoja1!$AH220,IF(Hoja1!$AE220&gt;0,Hoja1!$AE220,IF(Hoja1!$AB220&gt;0,Hoja1!$AB220,IF(Hoja1!$Y220&gt;0,Hoja1!$Y220,IF(Hoja1!$V220&gt;0,Hoja1!$V220," ---"))))))))</f>
        <v>82</v>
      </c>
      <c r="AS220" s="63">
        <v>0.0</v>
      </c>
      <c r="AT220" s="63">
        <v>0.0</v>
      </c>
      <c r="AU220" s="63">
        <v>0.0</v>
      </c>
      <c r="AV220" s="63">
        <v>0.0</v>
      </c>
      <c r="AW220" s="63">
        <v>0.0</v>
      </c>
      <c r="AX220" s="63">
        <v>0.0</v>
      </c>
      <c r="AY220" s="63">
        <v>0.0</v>
      </c>
      <c r="AZ220" s="63">
        <v>0.0</v>
      </c>
      <c r="BA220" s="63">
        <v>0.0</v>
      </c>
      <c r="BB220" s="63">
        <v>0.0</v>
      </c>
      <c r="BC220" s="63">
        <v>0.0</v>
      </c>
      <c r="BD220" s="63">
        <v>0.0</v>
      </c>
      <c r="BE220" s="64">
        <v>0.0</v>
      </c>
      <c r="BF220" s="65">
        <v>0.0</v>
      </c>
      <c r="BG220" s="65">
        <v>0.0</v>
      </c>
      <c r="BH220" s="66">
        <v>0.0</v>
      </c>
      <c r="BI220" s="67" t="str">
        <f t="shared" si="69"/>
        <v>#REF!</v>
      </c>
      <c r="BJ220" s="68" t="str">
        <f t="shared" si="70"/>
        <v>#REF!</v>
      </c>
      <c r="BK220" s="65">
        <v>0.0</v>
      </c>
      <c r="BL220" s="65">
        <v>0.0</v>
      </c>
      <c r="BM220" s="66">
        <v>0.0</v>
      </c>
      <c r="BN220" s="67" t="str">
        <f t="shared" si="71"/>
        <v>#REF!</v>
      </c>
      <c r="BO220" s="68" t="str">
        <f t="shared" si="72"/>
        <v>#REF!</v>
      </c>
      <c r="BP220" s="65">
        <v>0.0</v>
      </c>
      <c r="BQ220" s="65">
        <v>0.0</v>
      </c>
      <c r="BR220" s="66">
        <v>0.0</v>
      </c>
      <c r="BS220" s="67" t="str">
        <f t="shared" si="73"/>
        <v>#REF!</v>
      </c>
      <c r="BT220" s="68" t="str">
        <f>'[1]DATA CONSOLIDADA 2018-2025 '!$BR220-Hoja1!$BO220</f>
        <v>#REF!</v>
      </c>
      <c r="BU220" s="65">
        <v>0.0</v>
      </c>
      <c r="BV220" s="65">
        <v>0.0</v>
      </c>
      <c r="BW220" s="66">
        <v>0.0</v>
      </c>
      <c r="BX220" s="67" t="str">
        <f t="shared" si="74"/>
        <v>#REF!</v>
      </c>
      <c r="BY220" s="68" t="str">
        <f t="shared" si="75"/>
        <v>#REF!</v>
      </c>
      <c r="BZ220" s="65">
        <v>0.0</v>
      </c>
      <c r="CA220" s="65">
        <v>0.0</v>
      </c>
      <c r="CB220" s="66">
        <v>0.0</v>
      </c>
      <c r="CC220" s="67" t="str">
        <f t="shared" si="76"/>
        <v>#REF!</v>
      </c>
      <c r="CD220" s="68" t="str">
        <f>'[1]DATA CONSOLIDADA 2018-2025 '!$CB220-Hoja1!$BW220</f>
        <v>#REF!</v>
      </c>
      <c r="CE220" s="70">
        <v>0.0</v>
      </c>
      <c r="CF220" s="70">
        <v>0.0</v>
      </c>
      <c r="CG220" s="71">
        <v>0.0</v>
      </c>
      <c r="CH220" s="67" t="str">
        <f t="shared" si="77"/>
        <v>#REF!</v>
      </c>
      <c r="CI220" s="68" t="str">
        <f>'[1]DATA CONSOLIDADA 2018-2025 '!$CG220-Hoja1!$CB220</f>
        <v>#REF!</v>
      </c>
      <c r="CJ220" s="64" t="str">
        <f t="shared" si="68"/>
        <v>#REF!</v>
      </c>
      <c r="CK220" s="64">
        <v>0.0</v>
      </c>
      <c r="CL220" s="64">
        <v>0.0</v>
      </c>
      <c r="CM220" s="64">
        <v>0.0</v>
      </c>
      <c r="CN220" s="64" t="str">
        <f t="shared" si="12"/>
        <v>#REF!</v>
      </c>
      <c r="CO220" s="68" t="str">
        <f>'[1]DATA CONSOLIDADA 2018-2025 '!$CM220-Hoja1!$CG220</f>
        <v>#REF!</v>
      </c>
      <c r="CP220" s="70">
        <v>0.0</v>
      </c>
      <c r="CQ220" s="70">
        <v>0.0</v>
      </c>
      <c r="CR220" s="70">
        <v>0.0</v>
      </c>
      <c r="CS220" s="70">
        <v>0.0</v>
      </c>
      <c r="CT220" s="70">
        <v>0.0</v>
      </c>
      <c r="CU220" s="70">
        <v>0.0</v>
      </c>
      <c r="CV220" s="64">
        <v>0.0</v>
      </c>
      <c r="CW220" s="64">
        <v>0.0</v>
      </c>
      <c r="CX220" s="64">
        <v>0.0</v>
      </c>
      <c r="CY220" s="64">
        <v>0.0</v>
      </c>
      <c r="CZ220" s="64">
        <v>0.0</v>
      </c>
      <c r="DA220" s="64">
        <v>0.0</v>
      </c>
      <c r="DB220" s="64">
        <v>0.0</v>
      </c>
      <c r="DC220" s="72">
        <v>0.0</v>
      </c>
      <c r="DD220" s="72">
        <v>0.0</v>
      </c>
      <c r="DE220" s="72">
        <v>0.0</v>
      </c>
      <c r="DF220" s="72">
        <v>0.0</v>
      </c>
      <c r="DG220" s="72">
        <v>0.0</v>
      </c>
      <c r="DH220" s="72">
        <v>0.0</v>
      </c>
      <c r="DI220" s="73">
        <v>2.0600874919E10</v>
      </c>
      <c r="DJ220" s="74" t="s">
        <v>859</v>
      </c>
      <c r="DK220" s="74" t="s">
        <v>132</v>
      </c>
      <c r="DL220" s="75"/>
      <c r="DM220" s="75"/>
      <c r="DN220" s="75"/>
      <c r="DO220" s="75"/>
      <c r="DP220" s="75"/>
      <c r="DQ220" s="75"/>
      <c r="DR220" s="75"/>
      <c r="DS220" s="75"/>
      <c r="DT220" s="75"/>
      <c r="DU220" s="75"/>
      <c r="DV220" s="75"/>
      <c r="DW220" s="75"/>
      <c r="DX220" s="75"/>
      <c r="DY220" s="75"/>
      <c r="DZ220" s="75"/>
      <c r="EA220" s="75"/>
      <c r="EB220" s="75"/>
      <c r="EC220" s="75"/>
      <c r="ED220" s="75"/>
      <c r="EE220" s="75"/>
    </row>
    <row r="221" ht="47.25" hidden="1" customHeight="1">
      <c r="A221" s="55" t="s">
        <v>864</v>
      </c>
      <c r="B221" s="55" t="s">
        <v>855</v>
      </c>
      <c r="C221" s="55" t="s">
        <v>855</v>
      </c>
      <c r="D221" s="55" t="s">
        <v>846</v>
      </c>
      <c r="E221" s="55" t="s">
        <v>856</v>
      </c>
      <c r="F221" s="55" t="s">
        <v>846</v>
      </c>
      <c r="G221" s="55" t="s">
        <v>848</v>
      </c>
      <c r="H221" s="55" t="s">
        <v>848</v>
      </c>
      <c r="I221" s="56">
        <v>1.0</v>
      </c>
      <c r="J221" s="56">
        <v>1.0</v>
      </c>
      <c r="K221" s="56">
        <v>1.0</v>
      </c>
      <c r="L221" s="56">
        <v>1.0</v>
      </c>
      <c r="M221" s="56">
        <v>1.0</v>
      </c>
      <c r="N221" s="56">
        <v>1.0</v>
      </c>
      <c r="O221" s="56"/>
      <c r="P221" s="56"/>
      <c r="Q221" s="56" t="s">
        <v>131</v>
      </c>
      <c r="R221" s="58" t="str">
        <f t="shared" si="1"/>
        <v>2018-2019-2020-2021-2022-2023</v>
      </c>
      <c r="S221" s="59" t="str">
        <f>SUM(Hoja1!$I221:$P221)</f>
        <v>6</v>
      </c>
      <c r="T221" s="59" t="str">
        <f>IF(OR(Hoja1!$J221=1,Hoja1!$K221=1,Hoja1!$L221=1,Hoja1!$M221=1,Hoja1!$N221=1,Hoja1!$O221=1,Hoja1!$P221=1),"SI","NO")</f>
        <v>SI</v>
      </c>
      <c r="U221" s="59" t="str">
        <f>IF(OR(Hoja1!$K221=1,Hoja1!$L221=1,Hoja1!$M221=1,Hoja1!$N221=1,Hoja1!$O221=1,Hoja1!$P221=1),"SI","NO")</f>
        <v>SI</v>
      </c>
      <c r="V221" s="60">
        <v>264.0</v>
      </c>
      <c r="W221" s="61">
        <v>19.0</v>
      </c>
      <c r="X221" s="61">
        <v>18.0</v>
      </c>
      <c r="Y221" s="60">
        <v>37.0</v>
      </c>
      <c r="Z221" s="61">
        <v>18.0</v>
      </c>
      <c r="AA221" s="61">
        <v>18.0</v>
      </c>
      <c r="AB221" s="60">
        <v>36.0</v>
      </c>
      <c r="AC221" s="61">
        <v>28.0</v>
      </c>
      <c r="AD221" s="61">
        <v>18.0</v>
      </c>
      <c r="AE221" s="60">
        <v>46.0</v>
      </c>
      <c r="AF221" s="61">
        <v>28.0</v>
      </c>
      <c r="AG221" s="61">
        <v>18.0</v>
      </c>
      <c r="AH221" s="60">
        <v>46.0</v>
      </c>
      <c r="AI221" s="61">
        <v>28.0</v>
      </c>
      <c r="AJ221" s="61">
        <v>18.0</v>
      </c>
      <c r="AK221" s="60">
        <v>46.0</v>
      </c>
      <c r="AL221" s="61">
        <v>0.0</v>
      </c>
      <c r="AM221" s="61">
        <v>0.0</v>
      </c>
      <c r="AN221" s="60">
        <v>0.0</v>
      </c>
      <c r="AO221" s="62">
        <v>0.0</v>
      </c>
      <c r="AP221" s="62">
        <v>0.0</v>
      </c>
      <c r="AQ221" s="60">
        <v>0.0</v>
      </c>
      <c r="AR221" s="60" t="str">
        <f>IF(Hoja1!$AQ221&gt;0,Hoja1!$AQ221,IF(Hoja1!$AN221&gt;0,Hoja1!$AN221,IF(Hoja1!$AK221&gt;0,Hoja1!$AK221,IF(Hoja1!$AH221&gt;0,Hoja1!$AH221,IF(Hoja1!$AE221&gt;0,Hoja1!$AE221,IF(Hoja1!$AB221&gt;0,Hoja1!$AB221,IF(Hoja1!$Y221&gt;0,Hoja1!$Y221,IF(Hoja1!$V221&gt;0,Hoja1!$V221," ---"))))))))</f>
        <v>46</v>
      </c>
      <c r="AS221" s="63">
        <v>0.0</v>
      </c>
      <c r="AT221" s="63">
        <v>1.0</v>
      </c>
      <c r="AU221" s="63">
        <v>56.0</v>
      </c>
      <c r="AV221" s="63">
        <v>8.0</v>
      </c>
      <c r="AW221" s="63">
        <v>59.0</v>
      </c>
      <c r="AX221" s="63">
        <v>9.0</v>
      </c>
      <c r="AY221" s="63">
        <v>48.0</v>
      </c>
      <c r="AZ221" s="63">
        <v>0.0</v>
      </c>
      <c r="BA221" s="63">
        <v>0.0</v>
      </c>
      <c r="BB221" s="63">
        <v>0.0</v>
      </c>
      <c r="BC221" s="63">
        <v>0.0</v>
      </c>
      <c r="BD221" s="63">
        <v>0.0</v>
      </c>
      <c r="BE221" s="66">
        <v>49980.0</v>
      </c>
      <c r="BF221" s="65">
        <v>418880.0</v>
      </c>
      <c r="BG221" s="65">
        <v>1061280.0</v>
      </c>
      <c r="BH221" s="66">
        <v>1480160.0</v>
      </c>
      <c r="BI221" s="67" t="str">
        <f t="shared" si="69"/>
        <v>#REF!</v>
      </c>
      <c r="BJ221" s="68" t="str">
        <f t="shared" si="70"/>
        <v>#REF!</v>
      </c>
      <c r="BK221" s="65">
        <v>0.0</v>
      </c>
      <c r="BL221" s="65">
        <v>0.0</v>
      </c>
      <c r="BM221" s="66">
        <v>0.0</v>
      </c>
      <c r="BN221" s="67" t="str">
        <f t="shared" si="71"/>
        <v>#REF!</v>
      </c>
      <c r="BO221" s="68" t="str">
        <f t="shared" si="72"/>
        <v>#REF!</v>
      </c>
      <c r="BP221" s="65">
        <v>0.0</v>
      </c>
      <c r="BQ221" s="65">
        <v>0.0</v>
      </c>
      <c r="BR221" s="66">
        <v>0.0</v>
      </c>
      <c r="BS221" s="67" t="str">
        <f t="shared" si="73"/>
        <v>#REF!</v>
      </c>
      <c r="BT221" s="68" t="str">
        <f>'[1]DATA CONSOLIDADA 2018-2025 '!$BR221-Hoja1!$BO221</f>
        <v>#REF!</v>
      </c>
      <c r="BU221" s="65">
        <v>524176.0</v>
      </c>
      <c r="BV221" s="65">
        <v>0.0</v>
      </c>
      <c r="BW221" s="66">
        <v>524176.0</v>
      </c>
      <c r="BX221" s="67" t="str">
        <f t="shared" si="74"/>
        <v>#REF!</v>
      </c>
      <c r="BY221" s="68" t="str">
        <f t="shared" si="75"/>
        <v>#REF!</v>
      </c>
      <c r="BZ221" s="65">
        <v>442215.65</v>
      </c>
      <c r="CA221" s="65">
        <v>0.0</v>
      </c>
      <c r="CB221" s="66">
        <v>442215.65</v>
      </c>
      <c r="CC221" s="67" t="str">
        <f t="shared" si="76"/>
        <v>#REF!</v>
      </c>
      <c r="CD221" s="68" t="str">
        <f>'[1]DATA CONSOLIDADA 2018-2025 '!$CB221-Hoja1!$BW221</f>
        <v>#REF!</v>
      </c>
      <c r="CE221" s="70">
        <v>0.0</v>
      </c>
      <c r="CF221" s="70">
        <v>0.0</v>
      </c>
      <c r="CG221" s="71">
        <v>0.0</v>
      </c>
      <c r="CH221" s="67" t="str">
        <f t="shared" si="77"/>
        <v>#REF!</v>
      </c>
      <c r="CI221" s="68" t="str">
        <f>'[1]DATA CONSOLIDADA 2018-2025 '!$CG221-Hoja1!$CB221</f>
        <v>#REF!</v>
      </c>
      <c r="CJ221" s="64" t="str">
        <f t="shared" si="68"/>
        <v>#REF!</v>
      </c>
      <c r="CK221" s="64">
        <v>0.0</v>
      </c>
      <c r="CL221" s="64">
        <v>0.0</v>
      </c>
      <c r="CM221" s="64">
        <v>0.0</v>
      </c>
      <c r="CN221" s="64" t="str">
        <f t="shared" si="12"/>
        <v>#REF!</v>
      </c>
      <c r="CO221" s="68" t="str">
        <f>'[1]DATA CONSOLIDADA 2018-2025 '!$CM221-Hoja1!$CG221</f>
        <v>#REF!</v>
      </c>
      <c r="CP221" s="70">
        <v>2015.45</v>
      </c>
      <c r="CQ221" s="70">
        <v>0.0</v>
      </c>
      <c r="CR221" s="70">
        <v>0.0</v>
      </c>
      <c r="CS221" s="70">
        <v>440200.2</v>
      </c>
      <c r="CT221" s="70">
        <v>0.0</v>
      </c>
      <c r="CU221" s="70">
        <v>0.0</v>
      </c>
      <c r="CV221" s="64">
        <v>442215.65</v>
      </c>
      <c r="CW221" s="64">
        <v>0.0</v>
      </c>
      <c r="CX221" s="64">
        <v>0.0</v>
      </c>
      <c r="CY221" s="64">
        <v>0.0</v>
      </c>
      <c r="CZ221" s="64">
        <v>0.0</v>
      </c>
      <c r="DA221" s="64">
        <v>0.0</v>
      </c>
      <c r="DB221" s="64">
        <v>0.0</v>
      </c>
      <c r="DC221" s="72">
        <v>0.0</v>
      </c>
      <c r="DD221" s="72">
        <v>0.0</v>
      </c>
      <c r="DE221" s="72">
        <v>0.0</v>
      </c>
      <c r="DF221" s="72">
        <v>0.0</v>
      </c>
      <c r="DG221" s="72">
        <v>0.0</v>
      </c>
      <c r="DH221" s="72">
        <v>0.0</v>
      </c>
      <c r="DI221" s="73">
        <v>2.0450638791E10</v>
      </c>
      <c r="DJ221" s="74" t="s">
        <v>865</v>
      </c>
      <c r="DK221" s="74" t="s">
        <v>138</v>
      </c>
      <c r="DL221" s="75"/>
      <c r="DM221" s="75"/>
      <c r="DN221" s="75"/>
      <c r="DO221" s="75"/>
      <c r="DP221" s="75"/>
      <c r="DQ221" s="75"/>
      <c r="DR221" s="75"/>
      <c r="DS221" s="75"/>
      <c r="DT221" s="75"/>
      <c r="DU221" s="75"/>
      <c r="DV221" s="75"/>
      <c r="DW221" s="75"/>
      <c r="DX221" s="75"/>
      <c r="DY221" s="75"/>
      <c r="DZ221" s="75"/>
      <c r="EA221" s="75"/>
      <c r="EB221" s="75"/>
      <c r="EC221" s="75"/>
      <c r="ED221" s="75"/>
      <c r="EE221" s="75"/>
    </row>
    <row r="222" ht="47.25" hidden="1" customHeight="1">
      <c r="A222" s="55" t="s">
        <v>866</v>
      </c>
      <c r="B222" s="55" t="s">
        <v>855</v>
      </c>
      <c r="C222" s="55" t="s">
        <v>855</v>
      </c>
      <c r="D222" s="55" t="s">
        <v>846</v>
      </c>
      <c r="E222" s="55" t="s">
        <v>856</v>
      </c>
      <c r="F222" s="55" t="s">
        <v>846</v>
      </c>
      <c r="G222" s="55" t="s">
        <v>848</v>
      </c>
      <c r="H222" s="55" t="s">
        <v>848</v>
      </c>
      <c r="I222" s="56"/>
      <c r="J222" s="56">
        <v>1.0</v>
      </c>
      <c r="K222" s="56"/>
      <c r="L222" s="56"/>
      <c r="M222" s="56"/>
      <c r="N222" s="56"/>
      <c r="O222" s="56"/>
      <c r="P222" s="56"/>
      <c r="Q222" s="56" t="s">
        <v>131</v>
      </c>
      <c r="R222" s="58" t="str">
        <f t="shared" si="1"/>
        <v>2019</v>
      </c>
      <c r="S222" s="59" t="str">
        <f>SUM(Hoja1!$I222:$P222)</f>
        <v>1</v>
      </c>
      <c r="T222" s="59" t="str">
        <f>IF(OR(Hoja1!$J222=1,Hoja1!$K222=1,Hoja1!$L222=1,Hoja1!$M222=1,Hoja1!$N222=1,Hoja1!$O222=1,Hoja1!$P222=1),"SI","NO")</f>
        <v>SI</v>
      </c>
      <c r="U222" s="59" t="str">
        <f>IF(OR(Hoja1!$K222=1,Hoja1!$L222=1,Hoja1!$M222=1,Hoja1!$N222=1,Hoja1!$O222=1,Hoja1!$P222=1),"SI","NO")</f>
        <v>NO</v>
      </c>
      <c r="V222" s="60">
        <v>0.0</v>
      </c>
      <c r="W222" s="61">
        <v>14.0</v>
      </c>
      <c r="X222" s="61">
        <v>7.0</v>
      </c>
      <c r="Y222" s="60">
        <v>21.0</v>
      </c>
      <c r="Z222" s="61">
        <v>0.0</v>
      </c>
      <c r="AA222" s="61">
        <v>0.0</v>
      </c>
      <c r="AB222" s="60">
        <v>0.0</v>
      </c>
      <c r="AC222" s="61">
        <v>0.0</v>
      </c>
      <c r="AD222" s="61">
        <v>0.0</v>
      </c>
      <c r="AE222" s="60">
        <v>0.0</v>
      </c>
      <c r="AF222" s="61">
        <v>0.0</v>
      </c>
      <c r="AG222" s="61">
        <v>0.0</v>
      </c>
      <c r="AH222" s="60">
        <v>0.0</v>
      </c>
      <c r="AI222" s="61">
        <v>0.0</v>
      </c>
      <c r="AJ222" s="61">
        <v>0.0</v>
      </c>
      <c r="AK222" s="60">
        <v>0.0</v>
      </c>
      <c r="AL222" s="61">
        <v>0.0</v>
      </c>
      <c r="AM222" s="61">
        <v>0.0</v>
      </c>
      <c r="AN222" s="60">
        <v>0.0</v>
      </c>
      <c r="AO222" s="62">
        <v>0.0</v>
      </c>
      <c r="AP222" s="62">
        <v>0.0</v>
      </c>
      <c r="AQ222" s="60">
        <v>0.0</v>
      </c>
      <c r="AR222" s="60" t="str">
        <f>IF(Hoja1!$AQ222&gt;0,Hoja1!$AQ222,IF(Hoja1!$AN222&gt;0,Hoja1!$AN222,IF(Hoja1!$AK222&gt;0,Hoja1!$AK222,IF(Hoja1!$AH222&gt;0,Hoja1!$AH222,IF(Hoja1!$AE222&gt;0,Hoja1!$AE222,IF(Hoja1!$AB222&gt;0,Hoja1!$AB222,IF(Hoja1!$Y222&gt;0,Hoja1!$Y222,IF(Hoja1!$V222&gt;0,Hoja1!$V222," ---"))))))))</f>
        <v>21</v>
      </c>
      <c r="AS222" s="63">
        <v>0.0</v>
      </c>
      <c r="AT222" s="63">
        <v>0.0</v>
      </c>
      <c r="AU222" s="63">
        <v>0.0</v>
      </c>
      <c r="AV222" s="63">
        <v>0.0</v>
      </c>
      <c r="AW222" s="63">
        <v>0.0</v>
      </c>
      <c r="AX222" s="63">
        <v>0.0</v>
      </c>
      <c r="AY222" s="63">
        <v>0.0</v>
      </c>
      <c r="AZ222" s="63">
        <v>0.0</v>
      </c>
      <c r="BA222" s="63">
        <v>0.0</v>
      </c>
      <c r="BB222" s="63">
        <v>0.0</v>
      </c>
      <c r="BC222" s="63">
        <v>0.0</v>
      </c>
      <c r="BD222" s="63">
        <v>0.0</v>
      </c>
      <c r="BE222" s="66">
        <v>0.0</v>
      </c>
      <c r="BF222" s="65">
        <v>0.0</v>
      </c>
      <c r="BG222" s="65">
        <v>0.0</v>
      </c>
      <c r="BH222" s="66">
        <v>0.0</v>
      </c>
      <c r="BI222" s="67" t="str">
        <f t="shared" si="69"/>
        <v>#REF!</v>
      </c>
      <c r="BJ222" s="68" t="str">
        <f t="shared" si="70"/>
        <v>#REF!</v>
      </c>
      <c r="BK222" s="65">
        <v>0.0</v>
      </c>
      <c r="BL222" s="65">
        <v>0.0</v>
      </c>
      <c r="BM222" s="66">
        <v>0.0</v>
      </c>
      <c r="BN222" s="67" t="str">
        <f t="shared" si="71"/>
        <v>#REF!</v>
      </c>
      <c r="BO222" s="68" t="str">
        <f t="shared" si="72"/>
        <v>#REF!</v>
      </c>
      <c r="BP222" s="65">
        <v>0.0</v>
      </c>
      <c r="BQ222" s="65">
        <v>0.0</v>
      </c>
      <c r="BR222" s="66">
        <v>0.0</v>
      </c>
      <c r="BS222" s="67" t="str">
        <f t="shared" si="73"/>
        <v>#REF!</v>
      </c>
      <c r="BT222" s="68" t="str">
        <f>'[1]DATA CONSOLIDADA 2018-2025 '!$BR222-Hoja1!$BO222</f>
        <v>#REF!</v>
      </c>
      <c r="BU222" s="65">
        <v>0.0</v>
      </c>
      <c r="BV222" s="65">
        <v>0.0</v>
      </c>
      <c r="BW222" s="66">
        <v>0.0</v>
      </c>
      <c r="BX222" s="67" t="str">
        <f t="shared" si="74"/>
        <v>#REF!</v>
      </c>
      <c r="BY222" s="68" t="str">
        <f t="shared" si="75"/>
        <v>#REF!</v>
      </c>
      <c r="BZ222" s="65">
        <v>0.0</v>
      </c>
      <c r="CA222" s="65">
        <v>0.0</v>
      </c>
      <c r="CB222" s="66">
        <v>0.0</v>
      </c>
      <c r="CC222" s="67" t="str">
        <f t="shared" si="76"/>
        <v>#REF!</v>
      </c>
      <c r="CD222" s="68" t="str">
        <f>'[1]DATA CONSOLIDADA 2018-2025 '!$CB222-Hoja1!$BW222</f>
        <v>#REF!</v>
      </c>
      <c r="CE222" s="70">
        <v>0.0</v>
      </c>
      <c r="CF222" s="70">
        <v>0.0</v>
      </c>
      <c r="CG222" s="71">
        <v>0.0</v>
      </c>
      <c r="CH222" s="67" t="str">
        <f t="shared" si="77"/>
        <v>#REF!</v>
      </c>
      <c r="CI222" s="68" t="str">
        <f>'[1]DATA CONSOLIDADA 2018-2025 '!$CG222-Hoja1!$CB222</f>
        <v>#REF!</v>
      </c>
      <c r="CJ222" s="64" t="str">
        <f t="shared" si="68"/>
        <v>#REF!</v>
      </c>
      <c r="CK222" s="64">
        <v>0.0</v>
      </c>
      <c r="CL222" s="64">
        <v>0.0</v>
      </c>
      <c r="CM222" s="64">
        <v>0.0</v>
      </c>
      <c r="CN222" s="64" t="str">
        <f t="shared" si="12"/>
        <v>#REF!</v>
      </c>
      <c r="CO222" s="68" t="str">
        <f>'[1]DATA CONSOLIDADA 2018-2025 '!$CM222-Hoja1!$CG222</f>
        <v>#REF!</v>
      </c>
      <c r="CP222" s="70">
        <v>0.0</v>
      </c>
      <c r="CQ222" s="70">
        <v>0.0</v>
      </c>
      <c r="CR222" s="70">
        <v>0.0</v>
      </c>
      <c r="CS222" s="70">
        <v>0.0</v>
      </c>
      <c r="CT222" s="70">
        <v>0.0</v>
      </c>
      <c r="CU222" s="70">
        <v>0.0</v>
      </c>
      <c r="CV222" s="64">
        <v>0.0</v>
      </c>
      <c r="CW222" s="64">
        <v>0.0</v>
      </c>
      <c r="CX222" s="64">
        <v>0.0</v>
      </c>
      <c r="CY222" s="64">
        <v>0.0</v>
      </c>
      <c r="CZ222" s="64">
        <v>0.0</v>
      </c>
      <c r="DA222" s="64">
        <v>0.0</v>
      </c>
      <c r="DB222" s="64">
        <v>0.0</v>
      </c>
      <c r="DC222" s="72">
        <v>0.0</v>
      </c>
      <c r="DD222" s="72">
        <v>0.0</v>
      </c>
      <c r="DE222" s="72">
        <v>0.0</v>
      </c>
      <c r="DF222" s="72">
        <v>0.0</v>
      </c>
      <c r="DG222" s="72">
        <v>0.0</v>
      </c>
      <c r="DH222" s="72">
        <v>0.0</v>
      </c>
      <c r="DI222" s="73">
        <v>2.0542817225E10</v>
      </c>
      <c r="DJ222" s="74" t="s">
        <v>866</v>
      </c>
      <c r="DK222" s="74" t="s">
        <v>138</v>
      </c>
      <c r="DL222" s="75"/>
      <c r="DM222" s="75"/>
      <c r="DN222" s="75"/>
      <c r="DO222" s="75"/>
      <c r="DP222" s="75"/>
      <c r="DQ222" s="75"/>
      <c r="DR222" s="75"/>
      <c r="DS222" s="75"/>
      <c r="DT222" s="75"/>
      <c r="DU222" s="75"/>
      <c r="DV222" s="75"/>
      <c r="DW222" s="75"/>
      <c r="DX222" s="75"/>
      <c r="DY222" s="75"/>
      <c r="DZ222" s="75"/>
      <c r="EA222" s="75"/>
      <c r="EB222" s="75"/>
      <c r="EC222" s="75"/>
      <c r="ED222" s="75"/>
      <c r="EE222" s="75"/>
    </row>
    <row r="223" ht="47.25" hidden="1" customHeight="1">
      <c r="A223" s="55" t="s">
        <v>867</v>
      </c>
      <c r="B223" s="55" t="s">
        <v>855</v>
      </c>
      <c r="C223" s="55" t="s">
        <v>855</v>
      </c>
      <c r="D223" s="55" t="s">
        <v>846</v>
      </c>
      <c r="E223" s="55" t="s">
        <v>856</v>
      </c>
      <c r="F223" s="55" t="s">
        <v>846</v>
      </c>
      <c r="G223" s="55" t="s">
        <v>848</v>
      </c>
      <c r="H223" s="55" t="s">
        <v>848</v>
      </c>
      <c r="I223" s="56"/>
      <c r="J223" s="56">
        <v>1.0</v>
      </c>
      <c r="K223" s="56">
        <v>1.0</v>
      </c>
      <c r="L223" s="56">
        <v>1.0</v>
      </c>
      <c r="M223" s="56">
        <v>1.0</v>
      </c>
      <c r="N223" s="56">
        <v>1.0</v>
      </c>
      <c r="O223" s="56"/>
      <c r="P223" s="56"/>
      <c r="Q223" s="56" t="s">
        <v>131</v>
      </c>
      <c r="R223" s="58" t="str">
        <f t="shared" si="1"/>
        <v>2019-2020-2021-2022-2023</v>
      </c>
      <c r="S223" s="59" t="str">
        <f>SUM(Hoja1!$I223:$P223)</f>
        <v>5</v>
      </c>
      <c r="T223" s="59" t="str">
        <f>IF(OR(Hoja1!$J223=1,Hoja1!$K223=1,Hoja1!$L223=1,Hoja1!$M223=1,Hoja1!$N223=1,Hoja1!$O223=1,Hoja1!$P223=1),"SI","NO")</f>
        <v>SI</v>
      </c>
      <c r="U223" s="59" t="str">
        <f>IF(OR(Hoja1!$K223=1,Hoja1!$L223=1,Hoja1!$M223=1,Hoja1!$N223=1,Hoja1!$O223=1,Hoja1!$P223=1),"SI","NO")</f>
        <v>SI</v>
      </c>
      <c r="V223" s="60">
        <v>0.0</v>
      </c>
      <c r="W223" s="61">
        <v>140.0</v>
      </c>
      <c r="X223" s="61">
        <v>25.0</v>
      </c>
      <c r="Y223" s="60">
        <v>165.0</v>
      </c>
      <c r="Z223" s="61">
        <v>156.0</v>
      </c>
      <c r="AA223" s="61">
        <v>29.0</v>
      </c>
      <c r="AB223" s="60">
        <v>185.0</v>
      </c>
      <c r="AC223" s="61">
        <v>128.0</v>
      </c>
      <c r="AD223" s="61">
        <v>17.0</v>
      </c>
      <c r="AE223" s="60">
        <v>145.0</v>
      </c>
      <c r="AF223" s="61">
        <v>128.0</v>
      </c>
      <c r="AG223" s="61">
        <v>17.0</v>
      </c>
      <c r="AH223" s="60">
        <v>145.0</v>
      </c>
      <c r="AI223" s="61">
        <v>128.0</v>
      </c>
      <c r="AJ223" s="61">
        <v>17.0</v>
      </c>
      <c r="AK223" s="60">
        <v>145.0</v>
      </c>
      <c r="AL223" s="61">
        <v>0.0</v>
      </c>
      <c r="AM223" s="61">
        <v>0.0</v>
      </c>
      <c r="AN223" s="60">
        <v>0.0</v>
      </c>
      <c r="AO223" s="62">
        <v>0.0</v>
      </c>
      <c r="AP223" s="62">
        <v>0.0</v>
      </c>
      <c r="AQ223" s="60">
        <v>0.0</v>
      </c>
      <c r="AR223" s="60" t="str">
        <f>IF(Hoja1!$AQ223&gt;0,Hoja1!$AQ223,IF(Hoja1!$AN223&gt;0,Hoja1!$AN223,IF(Hoja1!$AK223&gt;0,Hoja1!$AK223,IF(Hoja1!$AH223&gt;0,Hoja1!$AH223,IF(Hoja1!$AE223&gt;0,Hoja1!$AE223,IF(Hoja1!$AB223&gt;0,Hoja1!$AB223,IF(Hoja1!$Y223&gt;0,Hoja1!$Y223,IF(Hoja1!$V223&gt;0,Hoja1!$V223," ---"))))))))</f>
        <v>145</v>
      </c>
      <c r="AS223" s="63">
        <v>0.0</v>
      </c>
      <c r="AT223" s="63">
        <v>1.0</v>
      </c>
      <c r="AU223" s="63">
        <v>71.0</v>
      </c>
      <c r="AV223" s="63">
        <v>11.0</v>
      </c>
      <c r="AW223" s="63">
        <v>57.0</v>
      </c>
      <c r="AX223" s="63">
        <v>9.0</v>
      </c>
      <c r="AY223" s="63">
        <v>55.0</v>
      </c>
      <c r="AZ223" s="63">
        <v>0.0</v>
      </c>
      <c r="BA223" s="63">
        <v>0.0</v>
      </c>
      <c r="BB223" s="63">
        <v>0.0</v>
      </c>
      <c r="BC223" s="63">
        <v>0.0</v>
      </c>
      <c r="BD223" s="63">
        <v>0.0</v>
      </c>
      <c r="BE223" s="66">
        <v>0.0</v>
      </c>
      <c r="BF223" s="65">
        <v>0.0</v>
      </c>
      <c r="BG223" s="65">
        <v>0.0</v>
      </c>
      <c r="BH223" s="66">
        <v>0.0</v>
      </c>
      <c r="BI223" s="67" t="str">
        <f t="shared" si="69"/>
        <v>#REF!</v>
      </c>
      <c r="BJ223" s="68" t="str">
        <f t="shared" si="70"/>
        <v>#REF!</v>
      </c>
      <c r="BK223" s="65">
        <v>0.0</v>
      </c>
      <c r="BL223" s="65">
        <v>1790048.37</v>
      </c>
      <c r="BM223" s="66">
        <v>1790048.37</v>
      </c>
      <c r="BN223" s="67" t="str">
        <f t="shared" si="71"/>
        <v>#REF!</v>
      </c>
      <c r="BO223" s="68" t="str">
        <f t="shared" si="72"/>
        <v>#REF!</v>
      </c>
      <c r="BP223" s="65">
        <v>800.0</v>
      </c>
      <c r="BQ223" s="65">
        <v>2316513.76</v>
      </c>
      <c r="BR223" s="66">
        <v>2317313.76</v>
      </c>
      <c r="BS223" s="67" t="str">
        <f t="shared" si="73"/>
        <v>#REF!</v>
      </c>
      <c r="BT223" s="68" t="str">
        <f>'[1]DATA CONSOLIDADA 2018-2025 '!$BR223-Hoja1!$BO223</f>
        <v>#REF!</v>
      </c>
      <c r="BU223" s="65">
        <v>470230.44</v>
      </c>
      <c r="BV223" s="65">
        <v>1708854.4</v>
      </c>
      <c r="BW223" s="66">
        <v>2179084.84</v>
      </c>
      <c r="BX223" s="67" t="str">
        <f t="shared" si="74"/>
        <v>#REF!</v>
      </c>
      <c r="BY223" s="68" t="str">
        <f t="shared" si="75"/>
        <v>#REF!</v>
      </c>
      <c r="BZ223" s="65">
        <v>335545.0</v>
      </c>
      <c r="CA223" s="65">
        <v>0.0</v>
      </c>
      <c r="CB223" s="66">
        <v>335545.0</v>
      </c>
      <c r="CC223" s="67" t="str">
        <f t="shared" si="76"/>
        <v>#REF!</v>
      </c>
      <c r="CD223" s="68" t="str">
        <f>'[1]DATA CONSOLIDADA 2018-2025 '!$CB223-Hoja1!$BW223</f>
        <v>#REF!</v>
      </c>
      <c r="CE223" s="70">
        <v>0.0</v>
      </c>
      <c r="CF223" s="70">
        <v>0.0</v>
      </c>
      <c r="CG223" s="71">
        <v>0.0</v>
      </c>
      <c r="CH223" s="67" t="str">
        <f t="shared" si="77"/>
        <v>#REF!</v>
      </c>
      <c r="CI223" s="68" t="str">
        <f>'[1]DATA CONSOLIDADA 2018-2025 '!$CG223-Hoja1!$CB223</f>
        <v>#REF!</v>
      </c>
      <c r="CJ223" s="64" t="str">
        <f t="shared" si="68"/>
        <v>#REF!</v>
      </c>
      <c r="CK223" s="64">
        <v>0.0</v>
      </c>
      <c r="CL223" s="64">
        <v>0.0</v>
      </c>
      <c r="CM223" s="64">
        <v>0.0</v>
      </c>
      <c r="CN223" s="64" t="str">
        <f t="shared" si="12"/>
        <v>#REF!</v>
      </c>
      <c r="CO223" s="68" t="str">
        <f>'[1]DATA CONSOLIDADA 2018-2025 '!$CM223-Hoja1!$CG223</f>
        <v>#REF!</v>
      </c>
      <c r="CP223" s="70">
        <v>0.0</v>
      </c>
      <c r="CQ223" s="70">
        <v>0.0</v>
      </c>
      <c r="CR223" s="70">
        <v>0.0</v>
      </c>
      <c r="CS223" s="70">
        <v>335545.0</v>
      </c>
      <c r="CT223" s="70">
        <v>0.0</v>
      </c>
      <c r="CU223" s="70">
        <v>0.0</v>
      </c>
      <c r="CV223" s="64">
        <v>335545.0</v>
      </c>
      <c r="CW223" s="64">
        <v>0.0</v>
      </c>
      <c r="CX223" s="64">
        <v>0.0</v>
      </c>
      <c r="CY223" s="64">
        <v>0.0</v>
      </c>
      <c r="CZ223" s="64">
        <v>0.0</v>
      </c>
      <c r="DA223" s="64">
        <v>0.0</v>
      </c>
      <c r="DB223" s="64">
        <v>0.0</v>
      </c>
      <c r="DC223" s="72">
        <v>0.0</v>
      </c>
      <c r="DD223" s="72">
        <v>0.0</v>
      </c>
      <c r="DE223" s="72">
        <v>0.0</v>
      </c>
      <c r="DF223" s="72">
        <v>0.0</v>
      </c>
      <c r="DG223" s="72">
        <v>0.0</v>
      </c>
      <c r="DH223" s="72">
        <v>0.0</v>
      </c>
      <c r="DI223" s="73">
        <v>2.0489969221E10</v>
      </c>
      <c r="DJ223" s="74" t="s">
        <v>868</v>
      </c>
      <c r="DK223" s="74" t="s">
        <v>138</v>
      </c>
      <c r="DL223" s="75"/>
      <c r="DM223" s="75"/>
      <c r="DN223" s="75"/>
      <c r="DO223" s="75"/>
      <c r="DP223" s="75"/>
      <c r="DQ223" s="75"/>
      <c r="DR223" s="75"/>
      <c r="DS223" s="75"/>
      <c r="DT223" s="75"/>
      <c r="DU223" s="75"/>
      <c r="DV223" s="75"/>
      <c r="DW223" s="75"/>
      <c r="DX223" s="75"/>
      <c r="DY223" s="75"/>
      <c r="DZ223" s="75"/>
      <c r="EA223" s="75"/>
      <c r="EB223" s="75"/>
      <c r="EC223" s="75"/>
      <c r="ED223" s="75"/>
      <c r="EE223" s="75"/>
    </row>
    <row r="224" ht="47.25" hidden="1" customHeight="1">
      <c r="A224" s="55" t="s">
        <v>869</v>
      </c>
      <c r="B224" s="55" t="s">
        <v>828</v>
      </c>
      <c r="C224" s="55" t="s">
        <v>828</v>
      </c>
      <c r="D224" s="55" t="s">
        <v>846</v>
      </c>
      <c r="E224" s="55" t="s">
        <v>856</v>
      </c>
      <c r="F224" s="55" t="s">
        <v>846</v>
      </c>
      <c r="G224" s="55" t="s">
        <v>848</v>
      </c>
      <c r="H224" s="55" t="s">
        <v>848</v>
      </c>
      <c r="I224" s="56"/>
      <c r="J224" s="56">
        <v>1.0</v>
      </c>
      <c r="K224" s="56"/>
      <c r="L224" s="56"/>
      <c r="M224" s="56"/>
      <c r="N224" s="56"/>
      <c r="O224" s="56"/>
      <c r="P224" s="56"/>
      <c r="Q224" s="56" t="s">
        <v>131</v>
      </c>
      <c r="R224" s="58" t="str">
        <f t="shared" si="1"/>
        <v>2019</v>
      </c>
      <c r="S224" s="59" t="str">
        <f>SUM(Hoja1!$I224:$P224)</f>
        <v>1</v>
      </c>
      <c r="T224" s="59" t="str">
        <f>IF(OR(Hoja1!$J224=1,Hoja1!$K224=1,Hoja1!$L224=1,Hoja1!$M224=1,Hoja1!$N224=1,Hoja1!$O224=1,Hoja1!$P224=1),"SI","NO")</f>
        <v>SI</v>
      </c>
      <c r="U224" s="59" t="str">
        <f>IF(OR(Hoja1!$K224=1,Hoja1!$L224=1,Hoja1!$M224=1,Hoja1!$N224=1,Hoja1!$O224=1,Hoja1!$P224=1),"SI","NO")</f>
        <v>NO</v>
      </c>
      <c r="V224" s="60">
        <v>0.0</v>
      </c>
      <c r="W224" s="61">
        <v>0.0</v>
      </c>
      <c r="X224" s="61">
        <v>0.0</v>
      </c>
      <c r="Y224" s="60">
        <v>0.0</v>
      </c>
      <c r="Z224" s="61">
        <v>0.0</v>
      </c>
      <c r="AA224" s="61">
        <v>0.0</v>
      </c>
      <c r="AB224" s="60">
        <v>0.0</v>
      </c>
      <c r="AC224" s="61">
        <v>0.0</v>
      </c>
      <c r="AD224" s="61">
        <v>0.0</v>
      </c>
      <c r="AE224" s="60">
        <v>0.0</v>
      </c>
      <c r="AF224" s="61">
        <v>0.0</v>
      </c>
      <c r="AG224" s="61">
        <v>0.0</v>
      </c>
      <c r="AH224" s="60">
        <v>0.0</v>
      </c>
      <c r="AI224" s="61">
        <v>0.0</v>
      </c>
      <c r="AJ224" s="61">
        <v>0.0</v>
      </c>
      <c r="AK224" s="60">
        <v>0.0</v>
      </c>
      <c r="AL224" s="61">
        <v>0.0</v>
      </c>
      <c r="AM224" s="61">
        <v>0.0</v>
      </c>
      <c r="AN224" s="60">
        <v>0.0</v>
      </c>
      <c r="AO224" s="62">
        <v>0.0</v>
      </c>
      <c r="AP224" s="62">
        <v>0.0</v>
      </c>
      <c r="AQ224" s="60">
        <v>0.0</v>
      </c>
      <c r="AR224" s="60" t="str">
        <f>IF(Hoja1!$AQ224&gt;0,Hoja1!$AQ224,IF(Hoja1!$AN224&gt;0,Hoja1!$AN224,IF(Hoja1!$AK224&gt;0,Hoja1!$AK224,IF(Hoja1!$AH224&gt;0,Hoja1!$AH224,IF(Hoja1!$AE224&gt;0,Hoja1!$AE224,IF(Hoja1!$AB224&gt;0,Hoja1!$AB224,IF(Hoja1!$Y224&gt;0,Hoja1!$Y224,IF(Hoja1!$V224&gt;0,Hoja1!$V224," ---"))))))))</f>
        <v> ---</v>
      </c>
      <c r="AS224" s="63">
        <v>0.0</v>
      </c>
      <c r="AT224" s="63">
        <v>0.0</v>
      </c>
      <c r="AU224" s="63">
        <v>0.0</v>
      </c>
      <c r="AV224" s="63">
        <v>0.0</v>
      </c>
      <c r="AW224" s="63">
        <v>0.0</v>
      </c>
      <c r="AX224" s="63">
        <v>0.0</v>
      </c>
      <c r="AY224" s="63">
        <v>0.0</v>
      </c>
      <c r="AZ224" s="63">
        <v>0.0</v>
      </c>
      <c r="BA224" s="63">
        <v>0.0</v>
      </c>
      <c r="BB224" s="63">
        <v>0.0</v>
      </c>
      <c r="BC224" s="63">
        <v>0.0</v>
      </c>
      <c r="BD224" s="63">
        <v>0.0</v>
      </c>
      <c r="BE224" s="66">
        <v>0.0</v>
      </c>
      <c r="BF224" s="65">
        <v>0.0</v>
      </c>
      <c r="BG224" s="65">
        <v>0.0</v>
      </c>
      <c r="BH224" s="66">
        <v>0.0</v>
      </c>
      <c r="BI224" s="67" t="str">
        <f t="shared" si="69"/>
        <v>#REF!</v>
      </c>
      <c r="BJ224" s="68" t="str">
        <f t="shared" si="70"/>
        <v>#REF!</v>
      </c>
      <c r="BK224" s="65">
        <v>0.0</v>
      </c>
      <c r="BL224" s="65">
        <v>0.0</v>
      </c>
      <c r="BM224" s="66">
        <v>0.0</v>
      </c>
      <c r="BN224" s="67" t="str">
        <f t="shared" si="71"/>
        <v>#REF!</v>
      </c>
      <c r="BO224" s="68" t="str">
        <f t="shared" si="72"/>
        <v>#REF!</v>
      </c>
      <c r="BP224" s="65">
        <v>0.0</v>
      </c>
      <c r="BQ224" s="65">
        <v>0.0</v>
      </c>
      <c r="BR224" s="66">
        <v>0.0</v>
      </c>
      <c r="BS224" s="67" t="str">
        <f t="shared" si="73"/>
        <v>#REF!</v>
      </c>
      <c r="BT224" s="68" t="str">
        <f>'[1]DATA CONSOLIDADA 2018-2025 '!$BR224-Hoja1!$BO224</f>
        <v>#REF!</v>
      </c>
      <c r="BU224" s="65">
        <v>0.0</v>
      </c>
      <c r="BV224" s="65">
        <v>0.0</v>
      </c>
      <c r="BW224" s="66">
        <v>0.0</v>
      </c>
      <c r="BX224" s="67" t="str">
        <f t="shared" si="74"/>
        <v>#REF!</v>
      </c>
      <c r="BY224" s="68" t="str">
        <f t="shared" si="75"/>
        <v>#REF!</v>
      </c>
      <c r="BZ224" s="65">
        <v>0.0</v>
      </c>
      <c r="CA224" s="65">
        <v>0.0</v>
      </c>
      <c r="CB224" s="66">
        <v>0.0</v>
      </c>
      <c r="CC224" s="67" t="str">
        <f t="shared" si="76"/>
        <v>#REF!</v>
      </c>
      <c r="CD224" s="68" t="str">
        <f>'[1]DATA CONSOLIDADA 2018-2025 '!$CB224-Hoja1!$BW224</f>
        <v>#REF!</v>
      </c>
      <c r="CE224" s="70">
        <v>0.0</v>
      </c>
      <c r="CF224" s="70">
        <v>0.0</v>
      </c>
      <c r="CG224" s="71">
        <v>0.0</v>
      </c>
      <c r="CH224" s="67" t="str">
        <f t="shared" si="77"/>
        <v>#REF!</v>
      </c>
      <c r="CI224" s="68" t="str">
        <f>'[1]DATA CONSOLIDADA 2018-2025 '!$CG224-Hoja1!$CB224</f>
        <v>#REF!</v>
      </c>
      <c r="CJ224" s="64" t="str">
        <f t="shared" si="68"/>
        <v>#REF!</v>
      </c>
      <c r="CK224" s="64">
        <v>0.0</v>
      </c>
      <c r="CL224" s="64">
        <v>0.0</v>
      </c>
      <c r="CM224" s="64">
        <v>0.0</v>
      </c>
      <c r="CN224" s="64" t="str">
        <f t="shared" si="12"/>
        <v>#REF!</v>
      </c>
      <c r="CO224" s="68" t="str">
        <f>'[1]DATA CONSOLIDADA 2018-2025 '!$CM224-Hoja1!$CG224</f>
        <v>#REF!</v>
      </c>
      <c r="CP224" s="70">
        <v>0.0</v>
      </c>
      <c r="CQ224" s="70">
        <v>0.0</v>
      </c>
      <c r="CR224" s="70">
        <v>0.0</v>
      </c>
      <c r="CS224" s="70">
        <v>0.0</v>
      </c>
      <c r="CT224" s="70">
        <v>0.0</v>
      </c>
      <c r="CU224" s="70">
        <v>0.0</v>
      </c>
      <c r="CV224" s="64">
        <v>0.0</v>
      </c>
      <c r="CW224" s="64">
        <v>0.0</v>
      </c>
      <c r="CX224" s="64">
        <v>0.0</v>
      </c>
      <c r="CY224" s="64">
        <v>0.0</v>
      </c>
      <c r="CZ224" s="64">
        <v>0.0</v>
      </c>
      <c r="DA224" s="64">
        <v>0.0</v>
      </c>
      <c r="DB224" s="64">
        <v>0.0</v>
      </c>
      <c r="DC224" s="72">
        <v>0.0</v>
      </c>
      <c r="DD224" s="72">
        <v>0.0</v>
      </c>
      <c r="DE224" s="72">
        <v>0.0</v>
      </c>
      <c r="DF224" s="72">
        <v>0.0</v>
      </c>
      <c r="DG224" s="72">
        <v>0.0</v>
      </c>
      <c r="DH224" s="72">
        <v>0.0</v>
      </c>
      <c r="DI224" s="73">
        <v>2.0527644675E10</v>
      </c>
      <c r="DJ224" s="74" t="s">
        <v>869</v>
      </c>
      <c r="DK224" s="74" t="s">
        <v>138</v>
      </c>
      <c r="DL224" s="75"/>
      <c r="DM224" s="75"/>
      <c r="DN224" s="75"/>
      <c r="DO224" s="75"/>
      <c r="DP224" s="75"/>
      <c r="DQ224" s="75"/>
      <c r="DR224" s="75"/>
      <c r="DS224" s="75"/>
      <c r="DT224" s="75"/>
      <c r="DU224" s="75"/>
      <c r="DV224" s="75"/>
      <c r="DW224" s="75"/>
      <c r="DX224" s="75"/>
      <c r="DY224" s="75"/>
      <c r="DZ224" s="75"/>
      <c r="EA224" s="75"/>
      <c r="EB224" s="75"/>
      <c r="EC224" s="75"/>
      <c r="ED224" s="75"/>
      <c r="EE224" s="75"/>
    </row>
    <row r="225" ht="47.25" hidden="1" customHeight="1">
      <c r="A225" s="55" t="s">
        <v>870</v>
      </c>
      <c r="B225" s="55" t="s">
        <v>828</v>
      </c>
      <c r="C225" s="55" t="s">
        <v>828</v>
      </c>
      <c r="D225" s="55" t="s">
        <v>846</v>
      </c>
      <c r="E225" s="55" t="s">
        <v>856</v>
      </c>
      <c r="F225" s="55" t="s">
        <v>846</v>
      </c>
      <c r="G225" s="55" t="s">
        <v>848</v>
      </c>
      <c r="H225" s="55" t="s">
        <v>848</v>
      </c>
      <c r="I225" s="56"/>
      <c r="J225" s="56">
        <v>1.0</v>
      </c>
      <c r="K225" s="56"/>
      <c r="L225" s="56"/>
      <c r="M225" s="56"/>
      <c r="N225" s="56"/>
      <c r="O225" s="56"/>
      <c r="P225" s="56"/>
      <c r="Q225" s="56" t="s">
        <v>131</v>
      </c>
      <c r="R225" s="58" t="str">
        <f t="shared" si="1"/>
        <v>2019</v>
      </c>
      <c r="S225" s="59" t="str">
        <f>SUM(Hoja1!$I225:$P225)</f>
        <v>1</v>
      </c>
      <c r="T225" s="59" t="str">
        <f>IF(OR(Hoja1!$J225=1,Hoja1!$K225=1,Hoja1!$L225=1,Hoja1!$M225=1,Hoja1!$N225=1,Hoja1!$O225=1,Hoja1!$P225=1),"SI","NO")</f>
        <v>SI</v>
      </c>
      <c r="U225" s="59" t="str">
        <f>IF(OR(Hoja1!$K225=1,Hoja1!$L225=1,Hoja1!$M225=1,Hoja1!$N225=1,Hoja1!$O225=1,Hoja1!$P225=1),"SI","NO")</f>
        <v>NO</v>
      </c>
      <c r="V225" s="60">
        <v>0.0</v>
      </c>
      <c r="W225" s="61">
        <v>0.0</v>
      </c>
      <c r="X225" s="61">
        <v>0.0</v>
      </c>
      <c r="Y225" s="60">
        <v>0.0</v>
      </c>
      <c r="Z225" s="61">
        <v>0.0</v>
      </c>
      <c r="AA225" s="61">
        <v>0.0</v>
      </c>
      <c r="AB225" s="60">
        <v>0.0</v>
      </c>
      <c r="AC225" s="61">
        <v>0.0</v>
      </c>
      <c r="AD225" s="61">
        <v>0.0</v>
      </c>
      <c r="AE225" s="60">
        <v>0.0</v>
      </c>
      <c r="AF225" s="61">
        <v>0.0</v>
      </c>
      <c r="AG225" s="61">
        <v>0.0</v>
      </c>
      <c r="AH225" s="60">
        <v>0.0</v>
      </c>
      <c r="AI225" s="61">
        <v>0.0</v>
      </c>
      <c r="AJ225" s="61">
        <v>0.0</v>
      </c>
      <c r="AK225" s="60">
        <v>0.0</v>
      </c>
      <c r="AL225" s="61">
        <v>0.0</v>
      </c>
      <c r="AM225" s="61">
        <v>0.0</v>
      </c>
      <c r="AN225" s="60">
        <v>0.0</v>
      </c>
      <c r="AO225" s="62">
        <v>0.0</v>
      </c>
      <c r="AP225" s="62">
        <v>0.0</v>
      </c>
      <c r="AQ225" s="60">
        <v>0.0</v>
      </c>
      <c r="AR225" s="60" t="str">
        <f>IF(Hoja1!$AQ225&gt;0,Hoja1!$AQ225,IF(Hoja1!$AN225&gt;0,Hoja1!$AN225,IF(Hoja1!$AK225&gt;0,Hoja1!$AK225,IF(Hoja1!$AH225&gt;0,Hoja1!$AH225,IF(Hoja1!$AE225&gt;0,Hoja1!$AE225,IF(Hoja1!$AB225&gt;0,Hoja1!$AB225,IF(Hoja1!$Y225&gt;0,Hoja1!$Y225,IF(Hoja1!$V225&gt;0,Hoja1!$V225," ---"))))))))</f>
        <v> ---</v>
      </c>
      <c r="AS225" s="63">
        <v>0.0</v>
      </c>
      <c r="AT225" s="63">
        <v>0.0</v>
      </c>
      <c r="AU225" s="63">
        <v>0.0</v>
      </c>
      <c r="AV225" s="63">
        <v>0.0</v>
      </c>
      <c r="AW225" s="63">
        <v>0.0</v>
      </c>
      <c r="AX225" s="63">
        <v>0.0</v>
      </c>
      <c r="AY225" s="63">
        <v>0.0</v>
      </c>
      <c r="AZ225" s="63">
        <v>0.0</v>
      </c>
      <c r="BA225" s="63">
        <v>0.0</v>
      </c>
      <c r="BB225" s="63">
        <v>0.0</v>
      </c>
      <c r="BC225" s="63">
        <v>0.0</v>
      </c>
      <c r="BD225" s="63">
        <v>0.0</v>
      </c>
      <c r="BE225" s="66">
        <v>0.0</v>
      </c>
      <c r="BF225" s="65">
        <v>0.0</v>
      </c>
      <c r="BG225" s="65">
        <v>0.0</v>
      </c>
      <c r="BH225" s="66">
        <v>0.0</v>
      </c>
      <c r="BI225" s="67" t="str">
        <f t="shared" si="69"/>
        <v>#REF!</v>
      </c>
      <c r="BJ225" s="68" t="str">
        <f t="shared" si="70"/>
        <v>#REF!</v>
      </c>
      <c r="BK225" s="65">
        <v>0.0</v>
      </c>
      <c r="BL225" s="65">
        <v>0.0</v>
      </c>
      <c r="BM225" s="66">
        <v>0.0</v>
      </c>
      <c r="BN225" s="67" t="str">
        <f t="shared" si="71"/>
        <v>#REF!</v>
      </c>
      <c r="BO225" s="68" t="str">
        <f t="shared" si="72"/>
        <v>#REF!</v>
      </c>
      <c r="BP225" s="76">
        <v>0.0</v>
      </c>
      <c r="BQ225" s="76">
        <v>0.0</v>
      </c>
      <c r="BR225" s="66">
        <v>0.0</v>
      </c>
      <c r="BS225" s="67" t="str">
        <f t="shared" si="73"/>
        <v>#REF!</v>
      </c>
      <c r="BT225" s="68" t="str">
        <f>'[1]DATA CONSOLIDADA 2018-2025 '!$BR225-Hoja1!$BO225</f>
        <v>#REF!</v>
      </c>
      <c r="BU225" s="65">
        <v>0.0</v>
      </c>
      <c r="BV225" s="65">
        <v>0.0</v>
      </c>
      <c r="BW225" s="66">
        <v>0.0</v>
      </c>
      <c r="BX225" s="67" t="str">
        <f t="shared" si="74"/>
        <v>#REF!</v>
      </c>
      <c r="BY225" s="68" t="str">
        <f t="shared" si="75"/>
        <v>#REF!</v>
      </c>
      <c r="BZ225" s="65">
        <v>0.0</v>
      </c>
      <c r="CA225" s="65">
        <v>0.0</v>
      </c>
      <c r="CB225" s="66">
        <v>0.0</v>
      </c>
      <c r="CC225" s="67" t="str">
        <f t="shared" si="76"/>
        <v>#REF!</v>
      </c>
      <c r="CD225" s="68" t="str">
        <f>'[1]DATA CONSOLIDADA 2018-2025 '!$CB225-Hoja1!$BW225</f>
        <v>#REF!</v>
      </c>
      <c r="CE225" s="70">
        <v>0.0</v>
      </c>
      <c r="CF225" s="70">
        <v>0.0</v>
      </c>
      <c r="CG225" s="71">
        <v>0.0</v>
      </c>
      <c r="CH225" s="67" t="str">
        <f t="shared" si="77"/>
        <v>#REF!</v>
      </c>
      <c r="CI225" s="68" t="str">
        <f>'[1]DATA CONSOLIDADA 2018-2025 '!$CG225-Hoja1!$CB225</f>
        <v>#REF!</v>
      </c>
      <c r="CJ225" s="64" t="str">
        <f t="shared" si="68"/>
        <v>#REF!</v>
      </c>
      <c r="CK225" s="64">
        <v>0.0</v>
      </c>
      <c r="CL225" s="64">
        <v>0.0</v>
      </c>
      <c r="CM225" s="64">
        <v>0.0</v>
      </c>
      <c r="CN225" s="64" t="str">
        <f t="shared" si="12"/>
        <v>#REF!</v>
      </c>
      <c r="CO225" s="68" t="str">
        <f>'[1]DATA CONSOLIDADA 2018-2025 '!$CM225-Hoja1!$CG225</f>
        <v>#REF!</v>
      </c>
      <c r="CP225" s="70">
        <v>0.0</v>
      </c>
      <c r="CQ225" s="70">
        <v>0.0</v>
      </c>
      <c r="CR225" s="70">
        <v>0.0</v>
      </c>
      <c r="CS225" s="70">
        <v>0.0</v>
      </c>
      <c r="CT225" s="70">
        <v>0.0</v>
      </c>
      <c r="CU225" s="70">
        <v>0.0</v>
      </c>
      <c r="CV225" s="64">
        <v>0.0</v>
      </c>
      <c r="CW225" s="64">
        <v>0.0</v>
      </c>
      <c r="CX225" s="64">
        <v>0.0</v>
      </c>
      <c r="CY225" s="64">
        <v>0.0</v>
      </c>
      <c r="CZ225" s="64">
        <v>0.0</v>
      </c>
      <c r="DA225" s="64">
        <v>0.0</v>
      </c>
      <c r="DB225" s="64">
        <v>0.0</v>
      </c>
      <c r="DC225" s="72">
        <v>0.0</v>
      </c>
      <c r="DD225" s="72">
        <v>0.0</v>
      </c>
      <c r="DE225" s="72">
        <v>0.0</v>
      </c>
      <c r="DF225" s="72">
        <v>0.0</v>
      </c>
      <c r="DG225" s="72">
        <v>0.0</v>
      </c>
      <c r="DH225" s="72">
        <v>0.0</v>
      </c>
      <c r="DI225" s="73">
        <v>2.0287980672E10</v>
      </c>
      <c r="DJ225" s="74" t="s">
        <v>870</v>
      </c>
      <c r="DK225" s="74" t="s">
        <v>523</v>
      </c>
      <c r="DL225" s="75"/>
      <c r="DM225" s="75"/>
      <c r="DN225" s="75"/>
      <c r="DO225" s="75"/>
      <c r="DP225" s="75"/>
      <c r="DQ225" s="75"/>
      <c r="DR225" s="75"/>
      <c r="DS225" s="75"/>
      <c r="DT225" s="75"/>
      <c r="DU225" s="75"/>
      <c r="DV225" s="75"/>
      <c r="DW225" s="75"/>
      <c r="DX225" s="75"/>
      <c r="DY225" s="75"/>
      <c r="DZ225" s="75"/>
      <c r="EA225" s="75"/>
      <c r="EB225" s="75"/>
      <c r="EC225" s="75"/>
      <c r="ED225" s="75"/>
      <c r="EE225" s="75"/>
    </row>
    <row r="226" ht="47.25" hidden="1" customHeight="1">
      <c r="A226" s="55" t="s">
        <v>871</v>
      </c>
      <c r="B226" s="55" t="s">
        <v>845</v>
      </c>
      <c r="C226" s="55" t="s">
        <v>845</v>
      </c>
      <c r="D226" s="55" t="s">
        <v>846</v>
      </c>
      <c r="E226" s="55" t="s">
        <v>856</v>
      </c>
      <c r="F226" s="55" t="s">
        <v>846</v>
      </c>
      <c r="G226" s="55" t="s">
        <v>848</v>
      </c>
      <c r="H226" s="55" t="s">
        <v>848</v>
      </c>
      <c r="I226" s="56"/>
      <c r="J226" s="56">
        <v>1.0</v>
      </c>
      <c r="K226" s="56"/>
      <c r="L226" s="56">
        <v>1.0</v>
      </c>
      <c r="M226" s="56">
        <v>1.0</v>
      </c>
      <c r="N226" s="56">
        <v>1.0</v>
      </c>
      <c r="O226" s="56">
        <v>1.0</v>
      </c>
      <c r="P226" s="56"/>
      <c r="Q226" s="56" t="s">
        <v>131</v>
      </c>
      <c r="R226" s="58" t="str">
        <f t="shared" si="1"/>
        <v>2019-2021-2022-2023-2024</v>
      </c>
      <c r="S226" s="59" t="str">
        <f>SUM(Hoja1!$I226:$P226)</f>
        <v>5</v>
      </c>
      <c r="T226" s="59" t="str">
        <f>IF(OR(Hoja1!$J226=1,Hoja1!$K226=1,Hoja1!$L226=1,Hoja1!$M226=1,Hoja1!$N226=1,Hoja1!$O226=1,Hoja1!$P226=1),"SI","NO")</f>
        <v>SI</v>
      </c>
      <c r="U226" s="59" t="str">
        <f>IF(OR(Hoja1!$K226=1,Hoja1!$L226=1,Hoja1!$M226=1,Hoja1!$N226=1,Hoja1!$O226=1,Hoja1!$P226=1),"SI","NO")</f>
        <v>SI</v>
      </c>
      <c r="V226" s="60">
        <v>0.0</v>
      </c>
      <c r="W226" s="61">
        <v>0.0</v>
      </c>
      <c r="X226" s="61">
        <v>0.0</v>
      </c>
      <c r="Y226" s="60">
        <v>0.0</v>
      </c>
      <c r="Z226" s="61">
        <v>0.0</v>
      </c>
      <c r="AA226" s="61">
        <v>0.0</v>
      </c>
      <c r="AB226" s="60">
        <v>0.0</v>
      </c>
      <c r="AC226" s="61">
        <v>18.0</v>
      </c>
      <c r="AD226" s="61">
        <v>1.0</v>
      </c>
      <c r="AE226" s="60">
        <v>19.0</v>
      </c>
      <c r="AF226" s="61">
        <v>18.0</v>
      </c>
      <c r="AG226" s="61">
        <v>1.0</v>
      </c>
      <c r="AH226" s="60">
        <v>19.0</v>
      </c>
      <c r="AI226" s="61">
        <v>18.0</v>
      </c>
      <c r="AJ226" s="61">
        <v>1.0</v>
      </c>
      <c r="AK226" s="60">
        <v>19.0</v>
      </c>
      <c r="AL226" s="61">
        <v>18.0</v>
      </c>
      <c r="AM226" s="61">
        <v>1.0</v>
      </c>
      <c r="AN226" s="60">
        <v>19.0</v>
      </c>
      <c r="AO226" s="62">
        <v>0.0</v>
      </c>
      <c r="AP226" s="62">
        <v>0.0</v>
      </c>
      <c r="AQ226" s="60">
        <v>0.0</v>
      </c>
      <c r="AR226" s="60" t="str">
        <f>IF(Hoja1!$AQ226&gt;0,Hoja1!$AQ226,IF(Hoja1!$AN226&gt;0,Hoja1!$AN226,IF(Hoja1!$AK226&gt;0,Hoja1!$AK226,IF(Hoja1!$AH226&gt;0,Hoja1!$AH226,IF(Hoja1!$AE226&gt;0,Hoja1!$AE226,IF(Hoja1!$AB226&gt;0,Hoja1!$AB226,IF(Hoja1!$Y226&gt;0,Hoja1!$Y226,IF(Hoja1!$V226&gt;0,Hoja1!$V226," ---"))))))))</f>
        <v>19</v>
      </c>
      <c r="AS226" s="63">
        <v>0.0</v>
      </c>
      <c r="AT226" s="63">
        <v>0.0</v>
      </c>
      <c r="AU226" s="63">
        <v>20.0</v>
      </c>
      <c r="AV226" s="63">
        <v>4.0</v>
      </c>
      <c r="AW226" s="63">
        <v>35.0</v>
      </c>
      <c r="AX226" s="63">
        <v>7.0</v>
      </c>
      <c r="AY226" s="63">
        <v>31.0</v>
      </c>
      <c r="AZ226" s="63">
        <v>3.0</v>
      </c>
      <c r="BA226" s="63">
        <v>33.0</v>
      </c>
      <c r="BB226" s="63">
        <v>0.0</v>
      </c>
      <c r="BC226" s="63">
        <v>0.0</v>
      </c>
      <c r="BD226" s="63">
        <v>0.0</v>
      </c>
      <c r="BE226" s="66">
        <v>0.0</v>
      </c>
      <c r="BF226" s="65">
        <v>0.0</v>
      </c>
      <c r="BG226" s="65">
        <v>0.0</v>
      </c>
      <c r="BH226" s="66">
        <v>0.0</v>
      </c>
      <c r="BI226" s="67" t="str">
        <f t="shared" si="69"/>
        <v>#REF!</v>
      </c>
      <c r="BJ226" s="68" t="str">
        <f t="shared" si="70"/>
        <v>#REF!</v>
      </c>
      <c r="BK226" s="65">
        <v>0.0</v>
      </c>
      <c r="BL226" s="65">
        <v>0.0</v>
      </c>
      <c r="BM226" s="66">
        <v>0.0</v>
      </c>
      <c r="BN226" s="67" t="str">
        <f t="shared" si="71"/>
        <v>#REF!</v>
      </c>
      <c r="BO226" s="68" t="str">
        <f t="shared" si="72"/>
        <v>#REF!</v>
      </c>
      <c r="BP226" s="76">
        <v>230999.52</v>
      </c>
      <c r="BQ226" s="76">
        <v>0.0</v>
      </c>
      <c r="BR226" s="66">
        <v>230999.52</v>
      </c>
      <c r="BS226" s="67" t="str">
        <f t="shared" si="73"/>
        <v>#REF!</v>
      </c>
      <c r="BT226" s="68" t="str">
        <f>'[1]DATA CONSOLIDADA 2018-2025 '!$BR226-Hoja1!$BO226</f>
        <v>#REF!</v>
      </c>
      <c r="BU226" s="65">
        <v>69595.0</v>
      </c>
      <c r="BV226" s="65">
        <v>0.0</v>
      </c>
      <c r="BW226" s="66">
        <v>69595.0</v>
      </c>
      <c r="BX226" s="67" t="str">
        <f t="shared" si="74"/>
        <v>#REF!</v>
      </c>
      <c r="BY226" s="68" t="str">
        <f t="shared" si="75"/>
        <v>#REF!</v>
      </c>
      <c r="BZ226" s="65">
        <v>114900.0</v>
      </c>
      <c r="CA226" s="65">
        <v>0.0</v>
      </c>
      <c r="CB226" s="66">
        <v>114900.0</v>
      </c>
      <c r="CC226" s="67" t="str">
        <f t="shared" si="76"/>
        <v>#REF!</v>
      </c>
      <c r="CD226" s="68" t="str">
        <f>'[1]DATA CONSOLIDADA 2018-2025 '!$CB226-Hoja1!$BW226</f>
        <v>#REF!</v>
      </c>
      <c r="CE226" s="70">
        <v>40090.0</v>
      </c>
      <c r="CF226" s="70">
        <v>0.0</v>
      </c>
      <c r="CG226" s="71">
        <v>40090.0</v>
      </c>
      <c r="CH226" s="67" t="str">
        <f t="shared" si="77"/>
        <v>#REF!</v>
      </c>
      <c r="CI226" s="68" t="str">
        <f>'[1]DATA CONSOLIDADA 2018-2025 '!$CG226-Hoja1!$CB226</f>
        <v>#REF!</v>
      </c>
      <c r="CJ226" s="64" t="str">
        <f t="shared" si="68"/>
        <v>#REF!</v>
      </c>
      <c r="CK226" s="64">
        <v>0.0</v>
      </c>
      <c r="CL226" s="64">
        <v>0.0</v>
      </c>
      <c r="CM226" s="64">
        <v>0.0</v>
      </c>
      <c r="CN226" s="64" t="str">
        <f t="shared" si="12"/>
        <v>#REF!</v>
      </c>
      <c r="CO226" s="68" t="str">
        <f>'[1]DATA CONSOLIDADA 2018-2025 '!$CM226-Hoja1!$CG226</f>
        <v>#REF!</v>
      </c>
      <c r="CP226" s="70">
        <v>0.0</v>
      </c>
      <c r="CQ226" s="70">
        <v>67400.0</v>
      </c>
      <c r="CR226" s="70">
        <v>0.0</v>
      </c>
      <c r="CS226" s="70">
        <v>47500.0</v>
      </c>
      <c r="CT226" s="70">
        <v>0.0</v>
      </c>
      <c r="CU226" s="70">
        <v>0.0</v>
      </c>
      <c r="CV226" s="64">
        <v>114900.0</v>
      </c>
      <c r="CW226" s="64">
        <v>0.0</v>
      </c>
      <c r="CX226" s="64">
        <v>38418.0</v>
      </c>
      <c r="CY226" s="64">
        <v>1672.0</v>
      </c>
      <c r="CZ226" s="64">
        <v>0.0</v>
      </c>
      <c r="DA226" s="64">
        <v>0.0</v>
      </c>
      <c r="DB226" s="64">
        <v>40090.0</v>
      </c>
      <c r="DC226" s="72">
        <v>0.0</v>
      </c>
      <c r="DD226" s="72">
        <v>0.0</v>
      </c>
      <c r="DE226" s="72">
        <v>0.0</v>
      </c>
      <c r="DF226" s="72">
        <v>0.0</v>
      </c>
      <c r="DG226" s="72">
        <v>0.0</v>
      </c>
      <c r="DH226" s="72">
        <v>0.0</v>
      </c>
      <c r="DI226" s="73">
        <v>2.0542827298E10</v>
      </c>
      <c r="DJ226" s="74" t="s">
        <v>850</v>
      </c>
      <c r="DK226" s="74" t="s">
        <v>138</v>
      </c>
      <c r="DL226" s="75"/>
      <c r="DM226" s="75"/>
      <c r="DN226" s="75"/>
      <c r="DO226" s="75"/>
      <c r="DP226" s="75"/>
      <c r="DQ226" s="75"/>
      <c r="DR226" s="75"/>
      <c r="DS226" s="75"/>
      <c r="DT226" s="75"/>
      <c r="DU226" s="75"/>
      <c r="DV226" s="75"/>
      <c r="DW226" s="75"/>
      <c r="DX226" s="75"/>
      <c r="DY226" s="75"/>
      <c r="DZ226" s="75"/>
      <c r="EA226" s="75"/>
      <c r="EB226" s="75"/>
      <c r="EC226" s="75"/>
      <c r="ED226" s="75"/>
      <c r="EE226" s="75"/>
    </row>
    <row r="227" ht="47.25" hidden="1" customHeight="1">
      <c r="A227" s="55" t="s">
        <v>870</v>
      </c>
      <c r="B227" s="55" t="s">
        <v>855</v>
      </c>
      <c r="C227" s="55" t="s">
        <v>855</v>
      </c>
      <c r="D227" s="55" t="s">
        <v>846</v>
      </c>
      <c r="E227" s="55" t="s">
        <v>856</v>
      </c>
      <c r="F227" s="55" t="s">
        <v>846</v>
      </c>
      <c r="G227" s="55" t="s">
        <v>848</v>
      </c>
      <c r="H227" s="55" t="s">
        <v>848</v>
      </c>
      <c r="I227" s="56"/>
      <c r="J227" s="56">
        <v>1.0</v>
      </c>
      <c r="K227" s="56"/>
      <c r="L227" s="56"/>
      <c r="M227" s="56"/>
      <c r="N227" s="56"/>
      <c r="O227" s="56"/>
      <c r="P227" s="56"/>
      <c r="Q227" s="56" t="s">
        <v>131</v>
      </c>
      <c r="R227" s="58" t="str">
        <f t="shared" si="1"/>
        <v>2019</v>
      </c>
      <c r="S227" s="59" t="str">
        <f>SUM(Hoja1!$I227:$P227)</f>
        <v>1</v>
      </c>
      <c r="T227" s="59" t="str">
        <f>IF(OR(Hoja1!$J227=1,Hoja1!$K227=1,Hoja1!$L227=1,Hoja1!$M227=1,Hoja1!$N227=1,Hoja1!$O227=1,Hoja1!$P227=1),"SI","NO")</f>
        <v>SI</v>
      </c>
      <c r="U227" s="59" t="str">
        <f>IF(OR(Hoja1!$K227=1,Hoja1!$L227=1,Hoja1!$M227=1,Hoja1!$N227=1,Hoja1!$O227=1,Hoja1!$P227=1),"SI","NO")</f>
        <v>NO</v>
      </c>
      <c r="V227" s="60">
        <v>0.0</v>
      </c>
      <c r="W227" s="61">
        <v>4.0</v>
      </c>
      <c r="X227" s="61">
        <v>5.0</v>
      </c>
      <c r="Y227" s="60">
        <v>9.0</v>
      </c>
      <c r="Z227" s="61">
        <v>0.0</v>
      </c>
      <c r="AA227" s="61">
        <v>0.0</v>
      </c>
      <c r="AB227" s="60">
        <v>0.0</v>
      </c>
      <c r="AC227" s="61">
        <v>0.0</v>
      </c>
      <c r="AD227" s="61">
        <v>0.0</v>
      </c>
      <c r="AE227" s="60">
        <v>0.0</v>
      </c>
      <c r="AF227" s="61">
        <v>0.0</v>
      </c>
      <c r="AG227" s="61">
        <v>0.0</v>
      </c>
      <c r="AH227" s="60">
        <v>0.0</v>
      </c>
      <c r="AI227" s="61">
        <v>0.0</v>
      </c>
      <c r="AJ227" s="61">
        <v>0.0</v>
      </c>
      <c r="AK227" s="60">
        <v>0.0</v>
      </c>
      <c r="AL227" s="61">
        <v>0.0</v>
      </c>
      <c r="AM227" s="61">
        <v>0.0</v>
      </c>
      <c r="AN227" s="60">
        <v>0.0</v>
      </c>
      <c r="AO227" s="62">
        <v>0.0</v>
      </c>
      <c r="AP227" s="62">
        <v>0.0</v>
      </c>
      <c r="AQ227" s="60">
        <v>0.0</v>
      </c>
      <c r="AR227" s="60" t="str">
        <f>IF(Hoja1!$AQ227&gt;0,Hoja1!$AQ227,IF(Hoja1!$AN227&gt;0,Hoja1!$AN227,IF(Hoja1!$AK227&gt;0,Hoja1!$AK227,IF(Hoja1!$AH227&gt;0,Hoja1!$AH227,IF(Hoja1!$AE227&gt;0,Hoja1!$AE227,IF(Hoja1!$AB227&gt;0,Hoja1!$AB227,IF(Hoja1!$Y227&gt;0,Hoja1!$Y227,IF(Hoja1!$V227&gt;0,Hoja1!$V227," ---"))))))))</f>
        <v>9</v>
      </c>
      <c r="AS227" s="63">
        <v>0.0</v>
      </c>
      <c r="AT227" s="63">
        <v>0.0</v>
      </c>
      <c r="AU227" s="63">
        <v>0.0</v>
      </c>
      <c r="AV227" s="63">
        <v>0.0</v>
      </c>
      <c r="AW227" s="63">
        <v>0.0</v>
      </c>
      <c r="AX227" s="63">
        <v>0.0</v>
      </c>
      <c r="AY227" s="63">
        <v>0.0</v>
      </c>
      <c r="AZ227" s="63">
        <v>0.0</v>
      </c>
      <c r="BA227" s="63">
        <v>0.0</v>
      </c>
      <c r="BB227" s="63">
        <v>0.0</v>
      </c>
      <c r="BC227" s="63">
        <v>0.0</v>
      </c>
      <c r="BD227" s="63">
        <v>0.0</v>
      </c>
      <c r="BE227" s="66">
        <v>0.0</v>
      </c>
      <c r="BF227" s="65">
        <v>0.0</v>
      </c>
      <c r="BG227" s="65">
        <v>0.0</v>
      </c>
      <c r="BH227" s="66">
        <v>0.0</v>
      </c>
      <c r="BI227" s="67" t="str">
        <f t="shared" si="69"/>
        <v>#REF!</v>
      </c>
      <c r="BJ227" s="68" t="str">
        <f t="shared" si="70"/>
        <v>#REF!</v>
      </c>
      <c r="BK227" s="65">
        <v>0.0</v>
      </c>
      <c r="BL227" s="65">
        <v>0.0</v>
      </c>
      <c r="BM227" s="66">
        <v>0.0</v>
      </c>
      <c r="BN227" s="67" t="str">
        <f t="shared" si="71"/>
        <v>#REF!</v>
      </c>
      <c r="BO227" s="68" t="str">
        <f t="shared" si="72"/>
        <v>#REF!</v>
      </c>
      <c r="BP227" s="76">
        <v>0.0</v>
      </c>
      <c r="BQ227" s="76">
        <v>0.0</v>
      </c>
      <c r="BR227" s="66">
        <v>0.0</v>
      </c>
      <c r="BS227" s="67" t="str">
        <f t="shared" si="73"/>
        <v>#REF!</v>
      </c>
      <c r="BT227" s="68" t="str">
        <f>'[1]DATA CONSOLIDADA 2018-2025 '!$BR227-Hoja1!$BO227</f>
        <v>#REF!</v>
      </c>
      <c r="BU227" s="65">
        <v>0.0</v>
      </c>
      <c r="BV227" s="65">
        <v>0.0</v>
      </c>
      <c r="BW227" s="66">
        <v>0.0</v>
      </c>
      <c r="BX227" s="67" t="str">
        <f t="shared" si="74"/>
        <v>#REF!</v>
      </c>
      <c r="BY227" s="68" t="str">
        <f t="shared" si="75"/>
        <v>#REF!</v>
      </c>
      <c r="BZ227" s="65">
        <v>0.0</v>
      </c>
      <c r="CA227" s="65">
        <v>0.0</v>
      </c>
      <c r="CB227" s="66">
        <v>0.0</v>
      </c>
      <c r="CC227" s="67" t="str">
        <f t="shared" si="76"/>
        <v>#REF!</v>
      </c>
      <c r="CD227" s="68" t="str">
        <f>'[1]DATA CONSOLIDADA 2018-2025 '!$CB227-Hoja1!$BW227</f>
        <v>#REF!</v>
      </c>
      <c r="CE227" s="70">
        <v>0.0</v>
      </c>
      <c r="CF227" s="70">
        <v>0.0</v>
      </c>
      <c r="CG227" s="71">
        <v>0.0</v>
      </c>
      <c r="CH227" s="67" t="str">
        <f t="shared" si="77"/>
        <v>#REF!</v>
      </c>
      <c r="CI227" s="68" t="str">
        <f>'[1]DATA CONSOLIDADA 2018-2025 '!$CG227-Hoja1!$CB227</f>
        <v>#REF!</v>
      </c>
      <c r="CJ227" s="64" t="str">
        <f t="shared" si="68"/>
        <v>#REF!</v>
      </c>
      <c r="CK227" s="64">
        <v>0.0</v>
      </c>
      <c r="CL227" s="64">
        <v>0.0</v>
      </c>
      <c r="CM227" s="64">
        <v>0.0</v>
      </c>
      <c r="CN227" s="64" t="str">
        <f t="shared" si="12"/>
        <v>#REF!</v>
      </c>
      <c r="CO227" s="68" t="str">
        <f>'[1]DATA CONSOLIDADA 2018-2025 '!$CM227-Hoja1!$CG227</f>
        <v>#REF!</v>
      </c>
      <c r="CP227" s="70">
        <v>0.0</v>
      </c>
      <c r="CQ227" s="70">
        <v>0.0</v>
      </c>
      <c r="CR227" s="70">
        <v>0.0</v>
      </c>
      <c r="CS227" s="70">
        <v>0.0</v>
      </c>
      <c r="CT227" s="70">
        <v>0.0</v>
      </c>
      <c r="CU227" s="70">
        <v>0.0</v>
      </c>
      <c r="CV227" s="64">
        <v>0.0</v>
      </c>
      <c r="CW227" s="64">
        <v>0.0</v>
      </c>
      <c r="CX227" s="64">
        <v>0.0</v>
      </c>
      <c r="CY227" s="64">
        <v>0.0</v>
      </c>
      <c r="CZ227" s="64">
        <v>0.0</v>
      </c>
      <c r="DA227" s="64">
        <v>0.0</v>
      </c>
      <c r="DB227" s="64">
        <v>0.0</v>
      </c>
      <c r="DC227" s="72">
        <v>0.0</v>
      </c>
      <c r="DD227" s="72">
        <v>0.0</v>
      </c>
      <c r="DE227" s="72">
        <v>0.0</v>
      </c>
      <c r="DF227" s="72">
        <v>0.0</v>
      </c>
      <c r="DG227" s="72">
        <v>0.0</v>
      </c>
      <c r="DH227" s="72">
        <v>0.0</v>
      </c>
      <c r="DI227" s="73">
        <v>2.0287980672E10</v>
      </c>
      <c r="DJ227" s="74" t="s">
        <v>870</v>
      </c>
      <c r="DK227" s="74" t="s">
        <v>523</v>
      </c>
      <c r="DL227" s="75"/>
      <c r="DM227" s="75"/>
      <c r="DN227" s="75"/>
      <c r="DO227" s="75"/>
      <c r="DP227" s="75"/>
      <c r="DQ227" s="75"/>
      <c r="DR227" s="75"/>
      <c r="DS227" s="75"/>
      <c r="DT227" s="75"/>
      <c r="DU227" s="75"/>
      <c r="DV227" s="75"/>
      <c r="DW227" s="75"/>
      <c r="DX227" s="75"/>
      <c r="DY227" s="75"/>
      <c r="DZ227" s="75"/>
      <c r="EA227" s="75"/>
      <c r="EB227" s="75"/>
      <c r="EC227" s="75"/>
      <c r="ED227" s="75"/>
      <c r="EE227" s="75"/>
    </row>
    <row r="228" ht="47.25" hidden="1" customHeight="1">
      <c r="A228" s="55" t="s">
        <v>857</v>
      </c>
      <c r="B228" s="55" t="s">
        <v>855</v>
      </c>
      <c r="C228" s="55" t="s">
        <v>855</v>
      </c>
      <c r="D228" s="55" t="s">
        <v>846</v>
      </c>
      <c r="E228" s="55" t="s">
        <v>856</v>
      </c>
      <c r="F228" s="55" t="s">
        <v>846</v>
      </c>
      <c r="G228" s="55" t="s">
        <v>848</v>
      </c>
      <c r="H228" s="55" t="s">
        <v>848</v>
      </c>
      <c r="I228" s="56"/>
      <c r="J228" s="56">
        <v>1.0</v>
      </c>
      <c r="K228" s="56"/>
      <c r="L228" s="56"/>
      <c r="M228" s="56"/>
      <c r="N228" s="56"/>
      <c r="O228" s="56"/>
      <c r="P228" s="56"/>
      <c r="Q228" s="56" t="s">
        <v>131</v>
      </c>
      <c r="R228" s="58" t="str">
        <f t="shared" si="1"/>
        <v>2019</v>
      </c>
      <c r="S228" s="59" t="str">
        <f>SUM(Hoja1!$I228:$P228)</f>
        <v>1</v>
      </c>
      <c r="T228" s="59" t="str">
        <f>IF(OR(Hoja1!$J228=1,Hoja1!$K228=1,Hoja1!$L228=1,Hoja1!$M228=1,Hoja1!$N228=1,Hoja1!$O228=1,Hoja1!$P228=1),"SI","NO")</f>
        <v>SI</v>
      </c>
      <c r="U228" s="59" t="str">
        <f>IF(OR(Hoja1!$K228=1,Hoja1!$L228=1,Hoja1!$M228=1,Hoja1!$N228=1,Hoja1!$O228=1,Hoja1!$P228=1),"SI","NO")</f>
        <v>NO</v>
      </c>
      <c r="V228" s="60">
        <v>0.0</v>
      </c>
      <c r="W228" s="61">
        <v>0.0</v>
      </c>
      <c r="X228" s="61">
        <v>0.0</v>
      </c>
      <c r="Y228" s="60">
        <v>0.0</v>
      </c>
      <c r="Z228" s="61">
        <v>0.0</v>
      </c>
      <c r="AA228" s="61">
        <v>0.0</v>
      </c>
      <c r="AB228" s="60">
        <v>0.0</v>
      </c>
      <c r="AC228" s="61">
        <v>0.0</v>
      </c>
      <c r="AD228" s="61">
        <v>0.0</v>
      </c>
      <c r="AE228" s="60">
        <v>0.0</v>
      </c>
      <c r="AF228" s="61">
        <v>0.0</v>
      </c>
      <c r="AG228" s="61">
        <v>0.0</v>
      </c>
      <c r="AH228" s="60">
        <v>0.0</v>
      </c>
      <c r="AI228" s="61">
        <v>0.0</v>
      </c>
      <c r="AJ228" s="61">
        <v>0.0</v>
      </c>
      <c r="AK228" s="60">
        <v>0.0</v>
      </c>
      <c r="AL228" s="61">
        <v>0.0</v>
      </c>
      <c r="AM228" s="61">
        <v>0.0</v>
      </c>
      <c r="AN228" s="60">
        <v>0.0</v>
      </c>
      <c r="AO228" s="62">
        <v>0.0</v>
      </c>
      <c r="AP228" s="62">
        <v>0.0</v>
      </c>
      <c r="AQ228" s="60">
        <v>0.0</v>
      </c>
      <c r="AR228" s="60" t="str">
        <f>IF(Hoja1!$AQ228&gt;0,Hoja1!$AQ228,IF(Hoja1!$AN228&gt;0,Hoja1!$AN228,IF(Hoja1!$AK228&gt;0,Hoja1!$AK228,IF(Hoja1!$AH228&gt;0,Hoja1!$AH228,IF(Hoja1!$AE228&gt;0,Hoja1!$AE228,IF(Hoja1!$AB228&gt;0,Hoja1!$AB228,IF(Hoja1!$Y228&gt;0,Hoja1!$Y228,IF(Hoja1!$V228&gt;0,Hoja1!$V228," ---"))))))))</f>
        <v> ---</v>
      </c>
      <c r="AS228" s="63">
        <v>0.0</v>
      </c>
      <c r="AT228" s="63">
        <v>0.0</v>
      </c>
      <c r="AU228" s="63">
        <v>0.0</v>
      </c>
      <c r="AV228" s="63">
        <v>0.0</v>
      </c>
      <c r="AW228" s="63">
        <v>0.0</v>
      </c>
      <c r="AX228" s="63">
        <v>0.0</v>
      </c>
      <c r="AY228" s="63">
        <v>0.0</v>
      </c>
      <c r="AZ228" s="63">
        <v>0.0</v>
      </c>
      <c r="BA228" s="63">
        <v>0.0</v>
      </c>
      <c r="BB228" s="63">
        <v>0.0</v>
      </c>
      <c r="BC228" s="63">
        <v>0.0</v>
      </c>
      <c r="BD228" s="63">
        <v>0.0</v>
      </c>
      <c r="BE228" s="66">
        <v>0.0</v>
      </c>
      <c r="BF228" s="65">
        <v>0.0</v>
      </c>
      <c r="BG228" s="65">
        <v>0.0</v>
      </c>
      <c r="BH228" s="66">
        <v>0.0</v>
      </c>
      <c r="BI228" s="67" t="str">
        <f t="shared" si="69"/>
        <v>#REF!</v>
      </c>
      <c r="BJ228" s="68" t="str">
        <f t="shared" si="70"/>
        <v>#REF!</v>
      </c>
      <c r="BK228" s="65">
        <v>0.0</v>
      </c>
      <c r="BL228" s="65">
        <v>0.0</v>
      </c>
      <c r="BM228" s="66">
        <v>0.0</v>
      </c>
      <c r="BN228" s="67" t="str">
        <f t="shared" si="71"/>
        <v>#REF!</v>
      </c>
      <c r="BO228" s="68" t="str">
        <f t="shared" si="72"/>
        <v>#REF!</v>
      </c>
      <c r="BP228" s="76">
        <v>0.0</v>
      </c>
      <c r="BQ228" s="76">
        <v>0.0</v>
      </c>
      <c r="BR228" s="66">
        <v>0.0</v>
      </c>
      <c r="BS228" s="67" t="str">
        <f t="shared" si="73"/>
        <v>#REF!</v>
      </c>
      <c r="BT228" s="68" t="str">
        <f>'[1]DATA CONSOLIDADA 2018-2025 '!$BR228-Hoja1!$BO228</f>
        <v>#REF!</v>
      </c>
      <c r="BU228" s="65">
        <v>0.0</v>
      </c>
      <c r="BV228" s="65">
        <v>0.0</v>
      </c>
      <c r="BW228" s="66">
        <v>0.0</v>
      </c>
      <c r="BX228" s="67" t="str">
        <f t="shared" si="74"/>
        <v>#REF!</v>
      </c>
      <c r="BY228" s="68" t="str">
        <f t="shared" si="75"/>
        <v>#REF!</v>
      </c>
      <c r="BZ228" s="65">
        <v>0.0</v>
      </c>
      <c r="CA228" s="65">
        <v>0.0</v>
      </c>
      <c r="CB228" s="66">
        <v>0.0</v>
      </c>
      <c r="CC228" s="67" t="str">
        <f t="shared" si="76"/>
        <v>#REF!</v>
      </c>
      <c r="CD228" s="68" t="str">
        <f>'[1]DATA CONSOLIDADA 2018-2025 '!$CB228-Hoja1!$BW228</f>
        <v>#REF!</v>
      </c>
      <c r="CE228" s="70">
        <v>0.0</v>
      </c>
      <c r="CF228" s="70">
        <v>0.0</v>
      </c>
      <c r="CG228" s="71">
        <v>0.0</v>
      </c>
      <c r="CH228" s="67" t="str">
        <f t="shared" si="77"/>
        <v>#REF!</v>
      </c>
      <c r="CI228" s="68" t="str">
        <f>'[1]DATA CONSOLIDADA 2018-2025 '!$CG228-Hoja1!$CB228</f>
        <v>#REF!</v>
      </c>
      <c r="CJ228" s="64" t="str">
        <f t="shared" si="68"/>
        <v>#REF!</v>
      </c>
      <c r="CK228" s="64">
        <v>0.0</v>
      </c>
      <c r="CL228" s="64">
        <v>0.0</v>
      </c>
      <c r="CM228" s="64">
        <v>0.0</v>
      </c>
      <c r="CN228" s="64" t="str">
        <f t="shared" si="12"/>
        <v>#REF!</v>
      </c>
      <c r="CO228" s="68" t="str">
        <f>'[1]DATA CONSOLIDADA 2018-2025 '!$CM228-Hoja1!$CG228</f>
        <v>#REF!</v>
      </c>
      <c r="CP228" s="70">
        <v>0.0</v>
      </c>
      <c r="CQ228" s="70">
        <v>0.0</v>
      </c>
      <c r="CR228" s="70">
        <v>0.0</v>
      </c>
      <c r="CS228" s="70">
        <v>0.0</v>
      </c>
      <c r="CT228" s="70">
        <v>0.0</v>
      </c>
      <c r="CU228" s="70">
        <v>0.0</v>
      </c>
      <c r="CV228" s="64">
        <v>0.0</v>
      </c>
      <c r="CW228" s="64">
        <v>0.0</v>
      </c>
      <c r="CX228" s="64">
        <v>0.0</v>
      </c>
      <c r="CY228" s="64">
        <v>0.0</v>
      </c>
      <c r="CZ228" s="64">
        <v>0.0</v>
      </c>
      <c r="DA228" s="64">
        <v>0.0</v>
      </c>
      <c r="DB228" s="64">
        <v>0.0</v>
      </c>
      <c r="DC228" s="72">
        <v>0.0</v>
      </c>
      <c r="DD228" s="72">
        <v>0.0</v>
      </c>
      <c r="DE228" s="72">
        <v>0.0</v>
      </c>
      <c r="DF228" s="72">
        <v>0.0</v>
      </c>
      <c r="DG228" s="72">
        <v>0.0</v>
      </c>
      <c r="DH228" s="72">
        <v>0.0</v>
      </c>
      <c r="DI228" s="73">
        <v>2.0527491232E10</v>
      </c>
      <c r="DJ228" s="74" t="s">
        <v>857</v>
      </c>
      <c r="DK228" s="74" t="s">
        <v>138</v>
      </c>
      <c r="DL228" s="75"/>
      <c r="DM228" s="75"/>
      <c r="DN228" s="75"/>
      <c r="DO228" s="75"/>
      <c r="DP228" s="75"/>
      <c r="DQ228" s="75"/>
      <c r="DR228" s="75"/>
      <c r="DS228" s="75"/>
      <c r="DT228" s="75"/>
      <c r="DU228" s="75"/>
      <c r="DV228" s="75"/>
      <c r="DW228" s="75"/>
      <c r="DX228" s="75"/>
      <c r="DY228" s="75"/>
      <c r="DZ228" s="75"/>
      <c r="EA228" s="75"/>
      <c r="EB228" s="75"/>
      <c r="EC228" s="75"/>
      <c r="ED228" s="75"/>
      <c r="EE228" s="75"/>
    </row>
    <row r="229" ht="47.25" hidden="1" customHeight="1">
      <c r="A229" s="55" t="s">
        <v>872</v>
      </c>
      <c r="B229" s="55" t="s">
        <v>198</v>
      </c>
      <c r="C229" s="55" t="s">
        <v>198</v>
      </c>
      <c r="D229" s="55" t="s">
        <v>846</v>
      </c>
      <c r="E229" s="55" t="s">
        <v>873</v>
      </c>
      <c r="F229" s="55" t="s">
        <v>846</v>
      </c>
      <c r="G229" s="55" t="s">
        <v>874</v>
      </c>
      <c r="H229" s="55" t="s">
        <v>875</v>
      </c>
      <c r="I229" s="56"/>
      <c r="J229" s="56">
        <v>1.0</v>
      </c>
      <c r="K229" s="56"/>
      <c r="L229" s="56"/>
      <c r="M229" s="56"/>
      <c r="N229" s="56"/>
      <c r="O229" s="56"/>
      <c r="P229" s="56"/>
      <c r="Q229" s="56" t="s">
        <v>131</v>
      </c>
      <c r="R229" s="58" t="str">
        <f t="shared" si="1"/>
        <v>2019</v>
      </c>
      <c r="S229" s="59" t="str">
        <f>SUM(Hoja1!$I229:$P229)</f>
        <v>1</v>
      </c>
      <c r="T229" s="59" t="str">
        <f>IF(OR(Hoja1!$J229=1,Hoja1!$K229=1,Hoja1!$L229=1,Hoja1!$M229=1,Hoja1!$N229=1,Hoja1!$O229=1,Hoja1!$P229=1),"SI","NO")</f>
        <v>SI</v>
      </c>
      <c r="U229" s="59" t="str">
        <f>IF(OR(Hoja1!$K229=1,Hoja1!$L229=1,Hoja1!$M229=1,Hoja1!$N229=1,Hoja1!$O229=1,Hoja1!$P229=1),"SI","NO")</f>
        <v>NO</v>
      </c>
      <c r="V229" s="60">
        <v>0.0</v>
      </c>
      <c r="W229" s="61">
        <v>201.0</v>
      </c>
      <c r="X229" s="61">
        <v>48.0</v>
      </c>
      <c r="Y229" s="60">
        <v>249.0</v>
      </c>
      <c r="Z229" s="61">
        <v>0.0</v>
      </c>
      <c r="AA229" s="61">
        <v>0.0</v>
      </c>
      <c r="AB229" s="60">
        <v>0.0</v>
      </c>
      <c r="AC229" s="61">
        <v>0.0</v>
      </c>
      <c r="AD229" s="61">
        <v>0.0</v>
      </c>
      <c r="AE229" s="60">
        <v>0.0</v>
      </c>
      <c r="AF229" s="61">
        <v>0.0</v>
      </c>
      <c r="AG229" s="61">
        <v>0.0</v>
      </c>
      <c r="AH229" s="60">
        <v>0.0</v>
      </c>
      <c r="AI229" s="61">
        <v>0.0</v>
      </c>
      <c r="AJ229" s="61">
        <v>0.0</v>
      </c>
      <c r="AK229" s="60">
        <v>0.0</v>
      </c>
      <c r="AL229" s="61">
        <v>0.0</v>
      </c>
      <c r="AM229" s="61">
        <v>0.0</v>
      </c>
      <c r="AN229" s="60">
        <v>0.0</v>
      </c>
      <c r="AO229" s="62">
        <v>0.0</v>
      </c>
      <c r="AP229" s="62">
        <v>0.0</v>
      </c>
      <c r="AQ229" s="60">
        <v>0.0</v>
      </c>
      <c r="AR229" s="60" t="str">
        <f>IF(Hoja1!$AQ229&gt;0,Hoja1!$AQ229,IF(Hoja1!$AN229&gt;0,Hoja1!$AN229,IF(Hoja1!$AK229&gt;0,Hoja1!$AK229,IF(Hoja1!$AH229&gt;0,Hoja1!$AH229,IF(Hoja1!$AE229&gt;0,Hoja1!$AE229,IF(Hoja1!$AB229&gt;0,Hoja1!$AB229,IF(Hoja1!$Y229&gt;0,Hoja1!$Y229,IF(Hoja1!$V229&gt;0,Hoja1!$V229," ---"))))))))</f>
        <v>249</v>
      </c>
      <c r="AS229" s="63">
        <v>0.0</v>
      </c>
      <c r="AT229" s="63">
        <v>0.0</v>
      </c>
      <c r="AU229" s="63">
        <v>0.0</v>
      </c>
      <c r="AV229" s="63">
        <v>0.0</v>
      </c>
      <c r="AW229" s="63">
        <v>0.0</v>
      </c>
      <c r="AX229" s="63">
        <v>0.0</v>
      </c>
      <c r="AY229" s="63">
        <v>0.0</v>
      </c>
      <c r="AZ229" s="63">
        <v>0.0</v>
      </c>
      <c r="BA229" s="63">
        <v>0.0</v>
      </c>
      <c r="BB229" s="63">
        <v>0.0</v>
      </c>
      <c r="BC229" s="63">
        <v>0.0</v>
      </c>
      <c r="BD229" s="63">
        <v>0.0</v>
      </c>
      <c r="BE229" s="66">
        <v>0.0</v>
      </c>
      <c r="BF229" s="65">
        <v>0.0</v>
      </c>
      <c r="BG229" s="65">
        <v>0.0</v>
      </c>
      <c r="BH229" s="66">
        <v>0.0</v>
      </c>
      <c r="BI229" s="67" t="str">
        <f t="shared" si="69"/>
        <v>#REF!</v>
      </c>
      <c r="BJ229" s="68" t="str">
        <f t="shared" si="70"/>
        <v>#REF!</v>
      </c>
      <c r="BK229" s="65">
        <v>0.0</v>
      </c>
      <c r="BL229" s="65">
        <v>0.0</v>
      </c>
      <c r="BM229" s="66">
        <v>0.0</v>
      </c>
      <c r="BN229" s="67" t="str">
        <f t="shared" si="71"/>
        <v>#REF!</v>
      </c>
      <c r="BO229" s="68" t="str">
        <f t="shared" si="72"/>
        <v>#REF!</v>
      </c>
      <c r="BP229" s="65">
        <v>0.0</v>
      </c>
      <c r="BQ229" s="65">
        <v>0.0</v>
      </c>
      <c r="BR229" s="66">
        <v>0.0</v>
      </c>
      <c r="BS229" s="67" t="str">
        <f t="shared" si="73"/>
        <v>#REF!</v>
      </c>
      <c r="BT229" s="68" t="str">
        <f>'[1]DATA CONSOLIDADA 2018-2025 '!$BR229-Hoja1!$BO229</f>
        <v>#REF!</v>
      </c>
      <c r="BU229" s="65">
        <v>0.0</v>
      </c>
      <c r="BV229" s="65">
        <v>0.0</v>
      </c>
      <c r="BW229" s="66">
        <v>0.0</v>
      </c>
      <c r="BX229" s="67" t="str">
        <f t="shared" si="74"/>
        <v>#REF!</v>
      </c>
      <c r="BY229" s="68" t="str">
        <f t="shared" si="75"/>
        <v>#REF!</v>
      </c>
      <c r="BZ229" s="65">
        <v>0.0</v>
      </c>
      <c r="CA229" s="65">
        <v>0.0</v>
      </c>
      <c r="CB229" s="66">
        <v>0.0</v>
      </c>
      <c r="CC229" s="67" t="str">
        <f t="shared" si="76"/>
        <v>#REF!</v>
      </c>
      <c r="CD229" s="68" t="str">
        <f>'[1]DATA CONSOLIDADA 2018-2025 '!$CB229-Hoja1!$BW229</f>
        <v>#REF!</v>
      </c>
      <c r="CE229" s="70">
        <v>0.0</v>
      </c>
      <c r="CF229" s="70">
        <v>0.0</v>
      </c>
      <c r="CG229" s="71">
        <v>0.0</v>
      </c>
      <c r="CH229" s="67" t="str">
        <f t="shared" si="77"/>
        <v>#REF!</v>
      </c>
      <c r="CI229" s="68" t="str">
        <f>'[1]DATA CONSOLIDADA 2018-2025 '!$CG229-Hoja1!$CB229</f>
        <v>#REF!</v>
      </c>
      <c r="CJ229" s="64" t="str">
        <f t="shared" si="68"/>
        <v>#REF!</v>
      </c>
      <c r="CK229" s="64">
        <v>0.0</v>
      </c>
      <c r="CL229" s="64">
        <v>0.0</v>
      </c>
      <c r="CM229" s="64">
        <v>0.0</v>
      </c>
      <c r="CN229" s="64" t="str">
        <f t="shared" si="12"/>
        <v>#REF!</v>
      </c>
      <c r="CO229" s="68" t="str">
        <f>'[1]DATA CONSOLIDADA 2018-2025 '!$CM229-Hoja1!$CG229</f>
        <v>#REF!</v>
      </c>
      <c r="CP229" s="70">
        <v>0.0</v>
      </c>
      <c r="CQ229" s="70">
        <v>0.0</v>
      </c>
      <c r="CR229" s="70">
        <v>0.0</v>
      </c>
      <c r="CS229" s="70">
        <v>0.0</v>
      </c>
      <c r="CT229" s="70">
        <v>0.0</v>
      </c>
      <c r="CU229" s="70">
        <v>0.0</v>
      </c>
      <c r="CV229" s="64">
        <v>0.0</v>
      </c>
      <c r="CW229" s="64">
        <v>0.0</v>
      </c>
      <c r="CX229" s="64">
        <v>0.0</v>
      </c>
      <c r="CY229" s="64">
        <v>0.0</v>
      </c>
      <c r="CZ229" s="64">
        <v>0.0</v>
      </c>
      <c r="DA229" s="64">
        <v>0.0</v>
      </c>
      <c r="DB229" s="64">
        <v>0.0</v>
      </c>
      <c r="DC229" s="72">
        <v>0.0</v>
      </c>
      <c r="DD229" s="72">
        <v>0.0</v>
      </c>
      <c r="DE229" s="72">
        <v>0.0</v>
      </c>
      <c r="DF229" s="72">
        <v>0.0</v>
      </c>
      <c r="DG229" s="72">
        <v>0.0</v>
      </c>
      <c r="DH229" s="72">
        <v>0.0</v>
      </c>
      <c r="DI229" s="73">
        <v>2.0542813742E10</v>
      </c>
      <c r="DJ229" s="74" t="s">
        <v>872</v>
      </c>
      <c r="DK229" s="74" t="s">
        <v>138</v>
      </c>
      <c r="DL229" s="75"/>
      <c r="DM229" s="75"/>
      <c r="DN229" s="75"/>
      <c r="DO229" s="75"/>
      <c r="DP229" s="75"/>
      <c r="DQ229" s="75"/>
      <c r="DR229" s="75"/>
      <c r="DS229" s="75"/>
      <c r="DT229" s="75"/>
      <c r="DU229" s="75"/>
      <c r="DV229" s="75"/>
      <c r="DW229" s="75"/>
      <c r="DX229" s="75"/>
      <c r="DY229" s="75"/>
      <c r="DZ229" s="75"/>
      <c r="EA229" s="75"/>
      <c r="EB229" s="75"/>
      <c r="EC229" s="75"/>
      <c r="ED229" s="75"/>
      <c r="EE229" s="75"/>
    </row>
    <row r="230" ht="47.25" customHeight="1">
      <c r="A230" s="55" t="s">
        <v>876</v>
      </c>
      <c r="B230" s="55" t="s">
        <v>146</v>
      </c>
      <c r="C230" s="55" t="s">
        <v>146</v>
      </c>
      <c r="D230" s="55" t="s">
        <v>846</v>
      </c>
      <c r="E230" s="55" t="s">
        <v>856</v>
      </c>
      <c r="F230" s="55" t="s">
        <v>846</v>
      </c>
      <c r="G230" s="55" t="s">
        <v>848</v>
      </c>
      <c r="H230" s="55" t="s">
        <v>848</v>
      </c>
      <c r="I230" s="56"/>
      <c r="J230" s="56">
        <v>1.0</v>
      </c>
      <c r="K230" s="56">
        <v>1.0</v>
      </c>
      <c r="L230" s="56">
        <v>1.0</v>
      </c>
      <c r="M230" s="56">
        <v>1.0</v>
      </c>
      <c r="N230" s="56">
        <v>1.0</v>
      </c>
      <c r="O230" s="56"/>
      <c r="P230" s="56"/>
      <c r="Q230" s="56" t="s">
        <v>131</v>
      </c>
      <c r="R230" s="58" t="str">
        <f t="shared" si="1"/>
        <v>2019-2020-2021-2022-2023</v>
      </c>
      <c r="S230" s="59" t="str">
        <f>SUM(Hoja1!$I230:$P230)</f>
        <v>5</v>
      </c>
      <c r="T230" s="59" t="str">
        <f>IF(OR(Hoja1!$J230=1,Hoja1!$K230=1,Hoja1!$L230=1,Hoja1!$M230=1,Hoja1!$N230=1,Hoja1!$O230=1,Hoja1!$P230=1),"SI","NO")</f>
        <v>SI</v>
      </c>
      <c r="U230" s="59" t="str">
        <f>IF(OR(Hoja1!$K230=1,Hoja1!$L230=1,Hoja1!$M230=1,Hoja1!$N230=1,Hoja1!$O230=1,Hoja1!$P230=1),"SI","NO")</f>
        <v>SI</v>
      </c>
      <c r="V230" s="60">
        <v>0.0</v>
      </c>
      <c r="W230" s="61">
        <v>41.0</v>
      </c>
      <c r="X230" s="61">
        <v>11.0</v>
      </c>
      <c r="Y230" s="60">
        <v>52.0</v>
      </c>
      <c r="Z230" s="61">
        <v>37.0</v>
      </c>
      <c r="AA230" s="61">
        <v>15.0</v>
      </c>
      <c r="AB230" s="60">
        <v>52.0</v>
      </c>
      <c r="AC230" s="61">
        <v>61.0</v>
      </c>
      <c r="AD230" s="61">
        <v>29.0</v>
      </c>
      <c r="AE230" s="60">
        <v>90.0</v>
      </c>
      <c r="AF230" s="61">
        <v>61.0</v>
      </c>
      <c r="AG230" s="61">
        <v>29.0</v>
      </c>
      <c r="AH230" s="60">
        <v>90.0</v>
      </c>
      <c r="AI230" s="61">
        <v>61.0</v>
      </c>
      <c r="AJ230" s="61">
        <v>29.0</v>
      </c>
      <c r="AK230" s="60">
        <v>90.0</v>
      </c>
      <c r="AL230" s="61">
        <v>0.0</v>
      </c>
      <c r="AM230" s="61">
        <v>0.0</v>
      </c>
      <c r="AN230" s="60">
        <v>0.0</v>
      </c>
      <c r="AO230" s="62">
        <v>0.0</v>
      </c>
      <c r="AP230" s="62">
        <v>0.0</v>
      </c>
      <c r="AQ230" s="60">
        <v>0.0</v>
      </c>
      <c r="AR230" s="60" t="str">
        <f>IF(Hoja1!$AQ230&gt;0,Hoja1!$AQ230,IF(Hoja1!$AN230&gt;0,Hoja1!$AN230,IF(Hoja1!$AK230&gt;0,Hoja1!$AK230,IF(Hoja1!$AH230&gt;0,Hoja1!$AH230,IF(Hoja1!$AE230&gt;0,Hoja1!$AE230,IF(Hoja1!$AB230&gt;0,Hoja1!$AB230,IF(Hoja1!$Y230&gt;0,Hoja1!$Y230,IF(Hoja1!$V230&gt;0,Hoja1!$V230," ---"))))))))</f>
        <v>90</v>
      </c>
      <c r="AS230" s="63">
        <v>0.0</v>
      </c>
      <c r="AT230" s="63">
        <v>0.0</v>
      </c>
      <c r="AU230" s="63">
        <v>35.0</v>
      </c>
      <c r="AV230" s="63">
        <v>4.0</v>
      </c>
      <c r="AW230" s="63">
        <v>32.0</v>
      </c>
      <c r="AX230" s="63">
        <v>7.0</v>
      </c>
      <c r="AY230" s="63">
        <v>36.0</v>
      </c>
      <c r="AZ230" s="63">
        <v>3.0</v>
      </c>
      <c r="BA230" s="63">
        <v>0.0</v>
      </c>
      <c r="BB230" s="63">
        <v>0.0</v>
      </c>
      <c r="BC230" s="63">
        <v>0.0</v>
      </c>
      <c r="BD230" s="63">
        <v>0.0</v>
      </c>
      <c r="BE230" s="66">
        <v>0.0</v>
      </c>
      <c r="BF230" s="65">
        <v>0.0</v>
      </c>
      <c r="BG230" s="65">
        <v>0.0</v>
      </c>
      <c r="BH230" s="66">
        <v>0.0</v>
      </c>
      <c r="BI230" s="67" t="str">
        <f t="shared" si="69"/>
        <v>#REF!</v>
      </c>
      <c r="BJ230" s="68" t="str">
        <f t="shared" si="70"/>
        <v>#REF!</v>
      </c>
      <c r="BK230" s="65">
        <v>921293.49</v>
      </c>
      <c r="BL230" s="65">
        <v>0.0</v>
      </c>
      <c r="BM230" s="66">
        <v>921293.49</v>
      </c>
      <c r="BN230" s="67" t="str">
        <f t="shared" si="71"/>
        <v>#REF!</v>
      </c>
      <c r="BO230" s="68" t="str">
        <f t="shared" si="72"/>
        <v>#REF!</v>
      </c>
      <c r="BP230" s="65">
        <v>1558542.81</v>
      </c>
      <c r="BQ230" s="65">
        <v>0.0</v>
      </c>
      <c r="BR230" s="66">
        <v>1558542.81</v>
      </c>
      <c r="BS230" s="67" t="str">
        <f t="shared" si="73"/>
        <v>#REF!</v>
      </c>
      <c r="BT230" s="68" t="str">
        <f>'[1]DATA CONSOLIDADA 2018-2025 '!$BR230-Hoja1!$BO230</f>
        <v>#REF!</v>
      </c>
      <c r="BU230" s="65">
        <v>1754342.05</v>
      </c>
      <c r="BV230" s="65">
        <v>38679.79</v>
      </c>
      <c r="BW230" s="66">
        <v>1793021.84</v>
      </c>
      <c r="BX230" s="67" t="str">
        <f t="shared" si="74"/>
        <v>#REF!</v>
      </c>
      <c r="BY230" s="68" t="str">
        <f t="shared" si="75"/>
        <v>#REF!</v>
      </c>
      <c r="BZ230" s="65">
        <v>2476844.9</v>
      </c>
      <c r="CA230" s="65">
        <v>323500.25</v>
      </c>
      <c r="CB230" s="66">
        <v>2800345.15</v>
      </c>
      <c r="CC230" s="67" t="str">
        <f t="shared" si="76"/>
        <v>#REF!</v>
      </c>
      <c r="CD230" s="68" t="str">
        <f>'[1]DATA CONSOLIDADA 2018-2025 '!$CB230-Hoja1!$BW230</f>
        <v>#REF!</v>
      </c>
      <c r="CE230" s="70">
        <v>0.0</v>
      </c>
      <c r="CF230" s="70">
        <v>0.0</v>
      </c>
      <c r="CG230" s="71">
        <v>0.0</v>
      </c>
      <c r="CH230" s="67" t="str">
        <f t="shared" si="77"/>
        <v>#REF!</v>
      </c>
      <c r="CI230" s="68" t="str">
        <f>'[1]DATA CONSOLIDADA 2018-2025 '!$CG230-Hoja1!$CB230</f>
        <v>#REF!</v>
      </c>
      <c r="CJ230" s="64" t="str">
        <f t="shared" si="68"/>
        <v>#REF!</v>
      </c>
      <c r="CK230" s="64">
        <v>0.0</v>
      </c>
      <c r="CL230" s="64">
        <v>0.0</v>
      </c>
      <c r="CM230" s="64">
        <v>0.0</v>
      </c>
      <c r="CN230" s="64" t="str">
        <f t="shared" si="12"/>
        <v>#REF!</v>
      </c>
      <c r="CO230" s="68" t="str">
        <f>'[1]DATA CONSOLIDADA 2018-2025 '!$CM230-Hoja1!$CG230</f>
        <v>#REF!</v>
      </c>
      <c r="CP230" s="70">
        <v>184.0</v>
      </c>
      <c r="CQ230" s="70">
        <v>0.0</v>
      </c>
      <c r="CR230" s="70">
        <v>0.0</v>
      </c>
      <c r="CS230" s="70">
        <v>2800161.1475</v>
      </c>
      <c r="CT230" s="70">
        <v>0.0</v>
      </c>
      <c r="CU230" s="70">
        <v>0.0</v>
      </c>
      <c r="CV230" s="64">
        <v>2800345.1475</v>
      </c>
      <c r="CW230" s="64">
        <v>0.0</v>
      </c>
      <c r="CX230" s="64">
        <v>0.0</v>
      </c>
      <c r="CY230" s="64">
        <v>0.0</v>
      </c>
      <c r="CZ230" s="64">
        <v>0.0</v>
      </c>
      <c r="DA230" s="64">
        <v>0.0</v>
      </c>
      <c r="DB230" s="64">
        <v>0.0</v>
      </c>
      <c r="DC230" s="72">
        <v>0.0</v>
      </c>
      <c r="DD230" s="72">
        <v>0.0</v>
      </c>
      <c r="DE230" s="72">
        <v>0.0</v>
      </c>
      <c r="DF230" s="72">
        <v>0.0</v>
      </c>
      <c r="DG230" s="72">
        <v>0.0</v>
      </c>
      <c r="DH230" s="72">
        <v>0.0</v>
      </c>
      <c r="DI230" s="73">
        <v>2.0604151954E10</v>
      </c>
      <c r="DJ230" s="74" t="s">
        <v>877</v>
      </c>
      <c r="DK230" s="74" t="s">
        <v>132</v>
      </c>
      <c r="DL230" s="75"/>
      <c r="DM230" s="75"/>
      <c r="DN230" s="75"/>
      <c r="DO230" s="75"/>
      <c r="DP230" s="75"/>
      <c r="DQ230" s="75"/>
      <c r="DR230" s="75"/>
      <c r="DS230" s="75"/>
      <c r="DT230" s="75"/>
      <c r="DU230" s="75"/>
      <c r="DV230" s="75"/>
      <c r="DW230" s="75"/>
      <c r="DX230" s="75"/>
      <c r="DY230" s="75"/>
      <c r="DZ230" s="75"/>
      <c r="EA230" s="75"/>
      <c r="EB230" s="75"/>
      <c r="EC230" s="75"/>
      <c r="ED230" s="75"/>
      <c r="EE230" s="75"/>
    </row>
    <row r="231" ht="47.25" hidden="1" customHeight="1">
      <c r="A231" s="55" t="s">
        <v>878</v>
      </c>
      <c r="B231" s="55" t="s">
        <v>828</v>
      </c>
      <c r="C231" s="55" t="s">
        <v>828</v>
      </c>
      <c r="D231" s="55" t="s">
        <v>846</v>
      </c>
      <c r="E231" s="55" t="s">
        <v>856</v>
      </c>
      <c r="F231" s="55" t="s">
        <v>846</v>
      </c>
      <c r="G231" s="55" t="s">
        <v>848</v>
      </c>
      <c r="H231" s="55" t="s">
        <v>848</v>
      </c>
      <c r="I231" s="56"/>
      <c r="J231" s="56"/>
      <c r="K231" s="56"/>
      <c r="L231" s="56">
        <v>1.0</v>
      </c>
      <c r="M231" s="56">
        <v>1.0</v>
      </c>
      <c r="N231" s="56">
        <v>1.0</v>
      </c>
      <c r="O231" s="56">
        <v>1.0</v>
      </c>
      <c r="P231" s="56">
        <v>1.0</v>
      </c>
      <c r="Q231" s="56" t="s">
        <v>131</v>
      </c>
      <c r="R231" s="58" t="str">
        <f t="shared" si="1"/>
        <v>2021-2022-2023-2024 - 2025</v>
      </c>
      <c r="S231" s="59" t="str">
        <f>SUM(Hoja1!$I231:$P231)</f>
        <v>5</v>
      </c>
      <c r="T231" s="59" t="str">
        <f>IF(OR(Hoja1!$J231=1,Hoja1!$K231=1,Hoja1!$L231=1,Hoja1!$M231=1,Hoja1!$N231=1,Hoja1!$O231=1,Hoja1!$P231=1),"SI","NO")</f>
        <v>SI</v>
      </c>
      <c r="U231" s="59" t="str">
        <f>IF(OR(Hoja1!$K231=1,Hoja1!$L231=1,Hoja1!$M231=1,Hoja1!$N231=1,Hoja1!$O231=1,Hoja1!$P231=1),"SI","NO")</f>
        <v>SI</v>
      </c>
      <c r="V231" s="60">
        <v>0.0</v>
      </c>
      <c r="W231" s="61">
        <v>0.0</v>
      </c>
      <c r="X231" s="61">
        <v>0.0</v>
      </c>
      <c r="Y231" s="60">
        <v>0.0</v>
      </c>
      <c r="Z231" s="61">
        <v>0.0</v>
      </c>
      <c r="AA231" s="61">
        <v>0.0</v>
      </c>
      <c r="AB231" s="60">
        <v>0.0</v>
      </c>
      <c r="AC231" s="61">
        <v>14.0</v>
      </c>
      <c r="AD231" s="61">
        <v>6.0</v>
      </c>
      <c r="AE231" s="60">
        <v>20.0</v>
      </c>
      <c r="AF231" s="61">
        <v>14.0</v>
      </c>
      <c r="AG231" s="61">
        <v>6.0</v>
      </c>
      <c r="AH231" s="60">
        <v>20.0</v>
      </c>
      <c r="AI231" s="61">
        <v>14.0</v>
      </c>
      <c r="AJ231" s="61">
        <v>6.0</v>
      </c>
      <c r="AK231" s="60">
        <v>20.0</v>
      </c>
      <c r="AL231" s="61">
        <v>14.0</v>
      </c>
      <c r="AM231" s="61">
        <v>6.0</v>
      </c>
      <c r="AN231" s="60">
        <v>20.0</v>
      </c>
      <c r="AO231" s="62">
        <v>14.0</v>
      </c>
      <c r="AP231" s="62">
        <v>6.0</v>
      </c>
      <c r="AQ231" s="60">
        <v>20.0</v>
      </c>
      <c r="AR231" s="60" t="str">
        <f>IF(Hoja1!$AQ231&gt;0,Hoja1!$AQ231,IF(Hoja1!$AN231&gt;0,Hoja1!$AN231,IF(Hoja1!$AK231&gt;0,Hoja1!$AK231,IF(Hoja1!$AH231&gt;0,Hoja1!$AH231,IF(Hoja1!$AE231&gt;0,Hoja1!$AE231,IF(Hoja1!$AB231&gt;0,Hoja1!$AB231,IF(Hoja1!$Y231&gt;0,Hoja1!$Y231,IF(Hoja1!$V231&gt;0,Hoja1!$V231," ---"))))))))</f>
        <v>20</v>
      </c>
      <c r="AS231" s="63">
        <v>0.0</v>
      </c>
      <c r="AT231" s="63">
        <v>0.0</v>
      </c>
      <c r="AU231" s="63">
        <v>22.0</v>
      </c>
      <c r="AV231" s="63">
        <v>5.0</v>
      </c>
      <c r="AW231" s="63">
        <v>23.0</v>
      </c>
      <c r="AX231" s="63">
        <v>6.0</v>
      </c>
      <c r="AY231" s="63">
        <v>30.0</v>
      </c>
      <c r="AZ231" s="63">
        <v>0.0</v>
      </c>
      <c r="BA231" s="63">
        <v>26.0</v>
      </c>
      <c r="BB231" s="63">
        <v>0.0</v>
      </c>
      <c r="BC231" s="63">
        <v>23.0</v>
      </c>
      <c r="BD231" s="63">
        <v>0.0</v>
      </c>
      <c r="BE231" s="64">
        <v>0.0</v>
      </c>
      <c r="BF231" s="69">
        <v>0.0</v>
      </c>
      <c r="BG231" s="69">
        <v>0.0</v>
      </c>
      <c r="BH231" s="64">
        <v>0.0</v>
      </c>
      <c r="BI231" s="67" t="str">
        <f t="shared" si="69"/>
        <v>#REF!</v>
      </c>
      <c r="BJ231" s="68" t="str">
        <f t="shared" si="70"/>
        <v>#REF!</v>
      </c>
      <c r="BK231" s="69">
        <v>0.0</v>
      </c>
      <c r="BL231" s="69">
        <v>0.0</v>
      </c>
      <c r="BM231" s="66">
        <v>0.0</v>
      </c>
      <c r="BN231" s="67" t="str">
        <f t="shared" si="71"/>
        <v>#REF!</v>
      </c>
      <c r="BO231" s="68" t="str">
        <f t="shared" si="72"/>
        <v>#REF!</v>
      </c>
      <c r="BP231" s="65">
        <v>22594.0</v>
      </c>
      <c r="BQ231" s="65">
        <v>0.0</v>
      </c>
      <c r="BR231" s="66">
        <v>22594.0</v>
      </c>
      <c r="BS231" s="67" t="str">
        <f t="shared" si="73"/>
        <v>#REF!</v>
      </c>
      <c r="BT231" s="68" t="str">
        <f>'[1]DATA CONSOLIDADA 2018-2025 '!$BR231-Hoja1!$BO231</f>
        <v>#REF!</v>
      </c>
      <c r="BU231" s="65">
        <v>13793.38</v>
      </c>
      <c r="BV231" s="65">
        <v>0.0</v>
      </c>
      <c r="BW231" s="66">
        <v>13793.38</v>
      </c>
      <c r="BX231" s="67" t="str">
        <f t="shared" si="74"/>
        <v>#REF!</v>
      </c>
      <c r="BY231" s="68" t="str">
        <f t="shared" si="75"/>
        <v>#REF!</v>
      </c>
      <c r="BZ231" s="65">
        <v>28986.0</v>
      </c>
      <c r="CA231" s="65">
        <v>0.0</v>
      </c>
      <c r="CB231" s="66">
        <v>28986.0</v>
      </c>
      <c r="CC231" s="67" t="str">
        <f t="shared" si="76"/>
        <v>#REF!</v>
      </c>
      <c r="CD231" s="68" t="str">
        <f>'[1]DATA CONSOLIDADA 2018-2025 '!$CB231-Hoja1!$BW231</f>
        <v>#REF!</v>
      </c>
      <c r="CE231" s="70">
        <v>15950.0</v>
      </c>
      <c r="CF231" s="70">
        <v>0.0</v>
      </c>
      <c r="CG231" s="71">
        <v>15950.0</v>
      </c>
      <c r="CH231" s="67" t="str">
        <f t="shared" si="77"/>
        <v>#REF!</v>
      </c>
      <c r="CI231" s="68" t="str">
        <f>'[1]DATA CONSOLIDADA 2018-2025 '!$CG231-Hoja1!$CB231</f>
        <v>#REF!</v>
      </c>
      <c r="CJ231" s="64" t="str">
        <f t="shared" si="68"/>
        <v>#REF!</v>
      </c>
      <c r="CK231" s="64">
        <v>7415.0</v>
      </c>
      <c r="CL231" s="64">
        <v>0.0</v>
      </c>
      <c r="CM231" s="64">
        <v>7415.0</v>
      </c>
      <c r="CN231" s="64" t="str">
        <f t="shared" si="12"/>
        <v>#REF!</v>
      </c>
      <c r="CO231" s="68" t="str">
        <f>'[1]DATA CONSOLIDADA 2018-2025 '!$CM231-Hoja1!$CG231</f>
        <v>#REF!</v>
      </c>
      <c r="CP231" s="70">
        <v>2520.0</v>
      </c>
      <c r="CQ231" s="70">
        <v>20178.0</v>
      </c>
      <c r="CR231" s="70">
        <v>0.0</v>
      </c>
      <c r="CS231" s="70">
        <v>6288.0</v>
      </c>
      <c r="CT231" s="70">
        <v>0.0</v>
      </c>
      <c r="CU231" s="70">
        <v>0.0</v>
      </c>
      <c r="CV231" s="64">
        <v>28986.0</v>
      </c>
      <c r="CW231" s="64">
        <v>2943.0</v>
      </c>
      <c r="CX231" s="64">
        <v>10000.0</v>
      </c>
      <c r="CY231" s="64">
        <v>3007.0</v>
      </c>
      <c r="CZ231" s="64">
        <v>0.0</v>
      </c>
      <c r="DA231" s="64">
        <v>0.0</v>
      </c>
      <c r="DB231" s="64">
        <v>15950.0</v>
      </c>
      <c r="DC231" s="72">
        <v>3075.0</v>
      </c>
      <c r="DD231" s="72">
        <v>0.0</v>
      </c>
      <c r="DE231" s="72">
        <v>4340.0</v>
      </c>
      <c r="DF231" s="72">
        <v>0.0</v>
      </c>
      <c r="DG231" s="72">
        <v>0.0</v>
      </c>
      <c r="DH231" s="72">
        <v>7415.0</v>
      </c>
      <c r="DI231" s="73">
        <v>2.0527644675E10</v>
      </c>
      <c r="DJ231" s="74" t="s">
        <v>869</v>
      </c>
      <c r="DK231" s="74" t="s">
        <v>138</v>
      </c>
      <c r="DL231" s="75"/>
      <c r="DM231" s="75"/>
      <c r="DN231" s="75"/>
      <c r="DO231" s="75"/>
      <c r="DP231" s="75"/>
      <c r="DQ231" s="75"/>
      <c r="DR231" s="75"/>
      <c r="DS231" s="75"/>
      <c r="DT231" s="75"/>
      <c r="DU231" s="75"/>
      <c r="DV231" s="75"/>
      <c r="DW231" s="75"/>
      <c r="DX231" s="75"/>
      <c r="DY231" s="75"/>
      <c r="DZ231" s="75"/>
      <c r="EA231" s="75"/>
      <c r="EB231" s="75"/>
      <c r="EC231" s="75"/>
      <c r="ED231" s="75"/>
      <c r="EE231" s="75"/>
    </row>
    <row r="232" ht="47.25" hidden="1" customHeight="1">
      <c r="A232" s="55" t="s">
        <v>879</v>
      </c>
      <c r="B232" s="55" t="s">
        <v>491</v>
      </c>
      <c r="C232" s="55" t="s">
        <v>491</v>
      </c>
      <c r="D232" s="55" t="s">
        <v>846</v>
      </c>
      <c r="E232" s="55" t="s">
        <v>847</v>
      </c>
      <c r="F232" s="55" t="s">
        <v>846</v>
      </c>
      <c r="G232" s="55" t="s">
        <v>848</v>
      </c>
      <c r="H232" s="55" t="s">
        <v>849</v>
      </c>
      <c r="I232" s="56"/>
      <c r="J232" s="56"/>
      <c r="K232" s="56"/>
      <c r="L232" s="56">
        <v>1.0</v>
      </c>
      <c r="M232" s="56"/>
      <c r="N232" s="56"/>
      <c r="O232" s="56"/>
      <c r="P232" s="56"/>
      <c r="Q232" s="56" t="s">
        <v>131</v>
      </c>
      <c r="R232" s="58" t="str">
        <f t="shared" si="1"/>
        <v>2021</v>
      </c>
      <c r="S232" s="59" t="str">
        <f>SUM(Hoja1!$I232:$P232)</f>
        <v>1</v>
      </c>
      <c r="T232" s="59" t="str">
        <f>IF(OR(Hoja1!$J232=1,Hoja1!$K232=1,Hoja1!$L232=1,Hoja1!$M232=1,Hoja1!$N232=1,Hoja1!$O232=1,Hoja1!$P232=1),"SI","NO")</f>
        <v>SI</v>
      </c>
      <c r="U232" s="59" t="str">
        <f>IF(OR(Hoja1!$K232=1,Hoja1!$L232=1,Hoja1!$M232=1,Hoja1!$N232=1,Hoja1!$O232=1,Hoja1!$P232=1),"SI","NO")</f>
        <v>SI</v>
      </c>
      <c r="V232" s="60">
        <v>0.0</v>
      </c>
      <c r="W232" s="61">
        <v>0.0</v>
      </c>
      <c r="X232" s="61">
        <v>0.0</v>
      </c>
      <c r="Y232" s="60">
        <v>0.0</v>
      </c>
      <c r="Z232" s="61">
        <v>0.0</v>
      </c>
      <c r="AA232" s="61">
        <v>0.0</v>
      </c>
      <c r="AB232" s="60">
        <v>0.0</v>
      </c>
      <c r="AC232" s="61">
        <v>12.0</v>
      </c>
      <c r="AD232" s="61">
        <v>12.0</v>
      </c>
      <c r="AE232" s="60">
        <v>24.0</v>
      </c>
      <c r="AF232" s="61">
        <v>0.0</v>
      </c>
      <c r="AG232" s="61">
        <v>0.0</v>
      </c>
      <c r="AH232" s="60">
        <v>0.0</v>
      </c>
      <c r="AI232" s="61">
        <v>0.0</v>
      </c>
      <c r="AJ232" s="61">
        <v>0.0</v>
      </c>
      <c r="AK232" s="60">
        <v>0.0</v>
      </c>
      <c r="AL232" s="61">
        <v>0.0</v>
      </c>
      <c r="AM232" s="61">
        <v>0.0</v>
      </c>
      <c r="AN232" s="60">
        <v>0.0</v>
      </c>
      <c r="AO232" s="62">
        <v>0.0</v>
      </c>
      <c r="AP232" s="62">
        <v>0.0</v>
      </c>
      <c r="AQ232" s="60">
        <v>0.0</v>
      </c>
      <c r="AR232" s="60" t="str">
        <f>IF(Hoja1!$AQ232&gt;0,Hoja1!$AQ232,IF(Hoja1!$AN232&gt;0,Hoja1!$AN232,IF(Hoja1!$AK232&gt;0,Hoja1!$AK232,IF(Hoja1!$AH232&gt;0,Hoja1!$AH232,IF(Hoja1!$AE232&gt;0,Hoja1!$AE232,IF(Hoja1!$AB232&gt;0,Hoja1!$AB232,IF(Hoja1!$Y232&gt;0,Hoja1!$Y232,IF(Hoja1!$V232&gt;0,Hoja1!$V232," ---"))))))))</f>
        <v>24</v>
      </c>
      <c r="AS232" s="63">
        <v>0.0</v>
      </c>
      <c r="AT232" s="63">
        <v>0.0</v>
      </c>
      <c r="AU232" s="63">
        <v>24.0</v>
      </c>
      <c r="AV232" s="63">
        <v>5.0</v>
      </c>
      <c r="AW232" s="63">
        <v>0.0</v>
      </c>
      <c r="AX232" s="63">
        <v>0.0</v>
      </c>
      <c r="AY232" s="63">
        <v>0.0</v>
      </c>
      <c r="AZ232" s="63">
        <v>0.0</v>
      </c>
      <c r="BA232" s="63">
        <v>0.0</v>
      </c>
      <c r="BB232" s="63">
        <v>0.0</v>
      </c>
      <c r="BC232" s="63">
        <v>0.0</v>
      </c>
      <c r="BD232" s="63">
        <v>0.0</v>
      </c>
      <c r="BE232" s="64">
        <v>0.0</v>
      </c>
      <c r="BF232" s="69">
        <v>0.0</v>
      </c>
      <c r="BG232" s="69">
        <v>0.0</v>
      </c>
      <c r="BH232" s="64">
        <v>0.0</v>
      </c>
      <c r="BI232" s="67" t="str">
        <f t="shared" si="69"/>
        <v>#REF!</v>
      </c>
      <c r="BJ232" s="68" t="str">
        <f t="shared" si="70"/>
        <v>#REF!</v>
      </c>
      <c r="BK232" s="69">
        <v>0.0</v>
      </c>
      <c r="BL232" s="69">
        <v>0.0</v>
      </c>
      <c r="BM232" s="64">
        <v>0.0</v>
      </c>
      <c r="BN232" s="67" t="str">
        <f t="shared" si="71"/>
        <v>#REF!</v>
      </c>
      <c r="BO232" s="68" t="str">
        <f t="shared" si="72"/>
        <v>#REF!</v>
      </c>
      <c r="BP232" s="65">
        <v>46000.0</v>
      </c>
      <c r="BQ232" s="65">
        <v>0.0</v>
      </c>
      <c r="BR232" s="66">
        <v>46000.0</v>
      </c>
      <c r="BS232" s="67" t="str">
        <f t="shared" si="73"/>
        <v>#REF!</v>
      </c>
      <c r="BT232" s="68" t="str">
        <f>'[1]DATA CONSOLIDADA 2018-2025 '!$BR232-Hoja1!$BO232</f>
        <v>#REF!</v>
      </c>
      <c r="BU232" s="65">
        <v>0.0</v>
      </c>
      <c r="BV232" s="65">
        <v>0.0</v>
      </c>
      <c r="BW232" s="66">
        <v>0.0</v>
      </c>
      <c r="BX232" s="67" t="str">
        <f t="shared" si="74"/>
        <v>#REF!</v>
      </c>
      <c r="BY232" s="68" t="str">
        <f t="shared" si="75"/>
        <v>#REF!</v>
      </c>
      <c r="BZ232" s="65">
        <v>0.0</v>
      </c>
      <c r="CA232" s="65">
        <v>0.0</v>
      </c>
      <c r="CB232" s="66">
        <v>0.0</v>
      </c>
      <c r="CC232" s="67" t="str">
        <f t="shared" si="76"/>
        <v>#REF!</v>
      </c>
      <c r="CD232" s="68" t="str">
        <f>'[1]DATA CONSOLIDADA 2018-2025 '!$CB232-Hoja1!$BW232</f>
        <v>#REF!</v>
      </c>
      <c r="CE232" s="70">
        <v>0.0</v>
      </c>
      <c r="CF232" s="70">
        <v>0.0</v>
      </c>
      <c r="CG232" s="71">
        <v>0.0</v>
      </c>
      <c r="CH232" s="67" t="str">
        <f t="shared" si="77"/>
        <v>#REF!</v>
      </c>
      <c r="CI232" s="68" t="str">
        <f>'[1]DATA CONSOLIDADA 2018-2025 '!$CG232-Hoja1!$CB232</f>
        <v>#REF!</v>
      </c>
      <c r="CJ232" s="64" t="str">
        <f t="shared" si="68"/>
        <v>#REF!</v>
      </c>
      <c r="CK232" s="64">
        <v>0.0</v>
      </c>
      <c r="CL232" s="64">
        <v>0.0</v>
      </c>
      <c r="CM232" s="64">
        <v>0.0</v>
      </c>
      <c r="CN232" s="64" t="str">
        <f t="shared" si="12"/>
        <v>#REF!</v>
      </c>
      <c r="CO232" s="68" t="str">
        <f>'[1]DATA CONSOLIDADA 2018-2025 '!$CM232-Hoja1!$CG232</f>
        <v>#REF!</v>
      </c>
      <c r="CP232" s="70">
        <v>0.0</v>
      </c>
      <c r="CQ232" s="70">
        <v>0.0</v>
      </c>
      <c r="CR232" s="70">
        <v>0.0</v>
      </c>
      <c r="CS232" s="70">
        <v>0.0</v>
      </c>
      <c r="CT232" s="70">
        <v>0.0</v>
      </c>
      <c r="CU232" s="70">
        <v>0.0</v>
      </c>
      <c r="CV232" s="64">
        <v>0.0</v>
      </c>
      <c r="CW232" s="64">
        <v>0.0</v>
      </c>
      <c r="CX232" s="64">
        <v>0.0</v>
      </c>
      <c r="CY232" s="64">
        <v>0.0</v>
      </c>
      <c r="CZ232" s="64">
        <v>0.0</v>
      </c>
      <c r="DA232" s="64">
        <v>0.0</v>
      </c>
      <c r="DB232" s="64">
        <v>0.0</v>
      </c>
      <c r="DC232" s="72">
        <v>0.0</v>
      </c>
      <c r="DD232" s="72">
        <v>0.0</v>
      </c>
      <c r="DE232" s="72">
        <v>0.0</v>
      </c>
      <c r="DF232" s="72">
        <v>0.0</v>
      </c>
      <c r="DG232" s="72">
        <v>0.0</v>
      </c>
      <c r="DH232" s="72">
        <v>0.0</v>
      </c>
      <c r="DI232" s="73">
        <v>2.0608030949E10</v>
      </c>
      <c r="DJ232" s="74" t="s">
        <v>880</v>
      </c>
      <c r="DK232" s="74" t="s">
        <v>138</v>
      </c>
      <c r="DL232" s="75"/>
      <c r="DM232" s="75"/>
      <c r="DN232" s="75"/>
      <c r="DO232" s="75"/>
      <c r="DP232" s="75"/>
      <c r="DQ232" s="75"/>
      <c r="DR232" s="75"/>
      <c r="DS232" s="75"/>
      <c r="DT232" s="75"/>
      <c r="DU232" s="75"/>
      <c r="DV232" s="75"/>
      <c r="DW232" s="75"/>
      <c r="DX232" s="75"/>
      <c r="DY232" s="75"/>
      <c r="DZ232" s="75"/>
      <c r="EA232" s="75"/>
      <c r="EB232" s="75"/>
      <c r="EC232" s="75"/>
      <c r="ED232" s="75"/>
      <c r="EE232" s="75"/>
    </row>
    <row r="233" ht="47.25" hidden="1" customHeight="1">
      <c r="A233" s="55" t="s">
        <v>881</v>
      </c>
      <c r="B233" s="55" t="s">
        <v>819</v>
      </c>
      <c r="C233" s="55" t="s">
        <v>819</v>
      </c>
      <c r="D233" s="55" t="s">
        <v>846</v>
      </c>
      <c r="E233" s="55" t="s">
        <v>847</v>
      </c>
      <c r="F233" s="55" t="s">
        <v>846</v>
      </c>
      <c r="G233" s="55" t="s">
        <v>848</v>
      </c>
      <c r="H233" s="55" t="s">
        <v>849</v>
      </c>
      <c r="I233" s="56"/>
      <c r="J233" s="56"/>
      <c r="K233" s="56"/>
      <c r="L233" s="56">
        <v>1.0</v>
      </c>
      <c r="M233" s="56">
        <v>1.0</v>
      </c>
      <c r="N233" s="56">
        <v>1.0</v>
      </c>
      <c r="O233" s="56">
        <v>1.0</v>
      </c>
      <c r="P233" s="56">
        <v>1.0</v>
      </c>
      <c r="Q233" s="56" t="s">
        <v>131</v>
      </c>
      <c r="R233" s="58" t="str">
        <f t="shared" si="1"/>
        <v>2021-2022-2023-2024 - 2025</v>
      </c>
      <c r="S233" s="59" t="str">
        <f>SUM(Hoja1!$I233:$P233)</f>
        <v>5</v>
      </c>
      <c r="T233" s="59" t="str">
        <f>IF(OR(Hoja1!$J233=1,Hoja1!$K233=1,Hoja1!$L233=1,Hoja1!$M233=1,Hoja1!$N233=1,Hoja1!$O233=1,Hoja1!$P233=1),"SI","NO")</f>
        <v>SI</v>
      </c>
      <c r="U233" s="59" t="str">
        <f>IF(OR(Hoja1!$K233=1,Hoja1!$L233=1,Hoja1!$M233=1,Hoja1!$N233=1,Hoja1!$O233=1,Hoja1!$P233=1),"SI","NO")</f>
        <v>SI</v>
      </c>
      <c r="V233" s="60">
        <v>0.0</v>
      </c>
      <c r="W233" s="61">
        <v>0.0</v>
      </c>
      <c r="X233" s="61">
        <v>0.0</v>
      </c>
      <c r="Y233" s="60">
        <v>0.0</v>
      </c>
      <c r="Z233" s="61">
        <v>0.0</v>
      </c>
      <c r="AA233" s="61">
        <v>0.0</v>
      </c>
      <c r="AB233" s="60">
        <v>0.0</v>
      </c>
      <c r="AC233" s="61">
        <v>25.0</v>
      </c>
      <c r="AD233" s="61">
        <v>8.0</v>
      </c>
      <c r="AE233" s="60">
        <v>33.0</v>
      </c>
      <c r="AF233" s="61">
        <v>25.0</v>
      </c>
      <c r="AG233" s="61">
        <v>8.0</v>
      </c>
      <c r="AH233" s="60">
        <v>33.0</v>
      </c>
      <c r="AI233" s="61">
        <v>25.0</v>
      </c>
      <c r="AJ233" s="61">
        <v>8.0</v>
      </c>
      <c r="AK233" s="60">
        <v>33.0</v>
      </c>
      <c r="AL233" s="61">
        <v>25.0</v>
      </c>
      <c r="AM233" s="61">
        <v>8.0</v>
      </c>
      <c r="AN233" s="60">
        <v>33.0</v>
      </c>
      <c r="AO233" s="62">
        <v>25.0</v>
      </c>
      <c r="AP233" s="62">
        <v>8.0</v>
      </c>
      <c r="AQ233" s="60">
        <v>33.0</v>
      </c>
      <c r="AR233" s="60" t="str">
        <f>IF(Hoja1!$AQ233&gt;0,Hoja1!$AQ233,IF(Hoja1!$AN233&gt;0,Hoja1!$AN233,IF(Hoja1!$AK233&gt;0,Hoja1!$AK233,IF(Hoja1!$AH233&gt;0,Hoja1!$AH233,IF(Hoja1!$AE233&gt;0,Hoja1!$AE233,IF(Hoja1!$AB233&gt;0,Hoja1!$AB233,IF(Hoja1!$Y233&gt;0,Hoja1!$Y233,IF(Hoja1!$V233&gt;0,Hoja1!$V233," ---"))))))))</f>
        <v>33</v>
      </c>
      <c r="AS233" s="63">
        <v>0.0</v>
      </c>
      <c r="AT233" s="63">
        <v>0.0</v>
      </c>
      <c r="AU233" s="63">
        <v>20.0</v>
      </c>
      <c r="AV233" s="63">
        <v>4.0</v>
      </c>
      <c r="AW233" s="63">
        <v>25.0</v>
      </c>
      <c r="AX233" s="63">
        <v>8.0</v>
      </c>
      <c r="AY233" s="63">
        <v>30.0</v>
      </c>
      <c r="AZ233" s="63">
        <v>3.0</v>
      </c>
      <c r="BA233" s="63">
        <v>25.0</v>
      </c>
      <c r="BB233" s="63">
        <v>0.0</v>
      </c>
      <c r="BC233" s="63">
        <v>18.0</v>
      </c>
      <c r="BD233" s="63">
        <v>1.0</v>
      </c>
      <c r="BE233" s="64">
        <v>0.0</v>
      </c>
      <c r="BF233" s="69">
        <v>0.0</v>
      </c>
      <c r="BG233" s="69">
        <v>0.0</v>
      </c>
      <c r="BH233" s="64">
        <v>0.0</v>
      </c>
      <c r="BI233" s="67" t="str">
        <f t="shared" si="69"/>
        <v>#REF!</v>
      </c>
      <c r="BJ233" s="68" t="str">
        <f t="shared" si="70"/>
        <v>#REF!</v>
      </c>
      <c r="BK233" s="69">
        <v>0.0</v>
      </c>
      <c r="BL233" s="69">
        <v>0.0</v>
      </c>
      <c r="BM233" s="66">
        <v>0.0</v>
      </c>
      <c r="BN233" s="67" t="str">
        <f t="shared" si="71"/>
        <v>#REF!</v>
      </c>
      <c r="BO233" s="68" t="str">
        <f t="shared" si="72"/>
        <v>#REF!</v>
      </c>
      <c r="BP233" s="65">
        <v>0.0</v>
      </c>
      <c r="BQ233" s="65">
        <v>0.0</v>
      </c>
      <c r="BR233" s="66">
        <v>0.0</v>
      </c>
      <c r="BS233" s="67" t="str">
        <f t="shared" si="73"/>
        <v>#REF!</v>
      </c>
      <c r="BT233" s="68" t="str">
        <f>'[1]DATA CONSOLIDADA 2018-2025 '!$BR233-Hoja1!$BO233</f>
        <v>#REF!</v>
      </c>
      <c r="BU233" s="65">
        <v>37400.0</v>
      </c>
      <c r="BV233" s="65">
        <v>0.0</v>
      </c>
      <c r="BW233" s="66">
        <v>37400.0</v>
      </c>
      <c r="BX233" s="67" t="str">
        <f t="shared" si="74"/>
        <v>#REF!</v>
      </c>
      <c r="BY233" s="68" t="str">
        <f t="shared" si="75"/>
        <v>#REF!</v>
      </c>
      <c r="BZ233" s="65">
        <v>16919.98</v>
      </c>
      <c r="CA233" s="65">
        <v>0.0</v>
      </c>
      <c r="CB233" s="66">
        <v>16919.98</v>
      </c>
      <c r="CC233" s="67" t="str">
        <f t="shared" si="76"/>
        <v>#REF!</v>
      </c>
      <c r="CD233" s="68" t="str">
        <f>'[1]DATA CONSOLIDADA 2018-2025 '!$CB233-Hoja1!$BW233</f>
        <v>#REF!</v>
      </c>
      <c r="CE233" s="70">
        <v>24510.0</v>
      </c>
      <c r="CF233" s="70">
        <v>0.0</v>
      </c>
      <c r="CG233" s="71">
        <v>24510.0</v>
      </c>
      <c r="CH233" s="67" t="str">
        <f t="shared" si="77"/>
        <v>#REF!</v>
      </c>
      <c r="CI233" s="68" t="str">
        <f>'[1]DATA CONSOLIDADA 2018-2025 '!$CG233-Hoja1!$CB233</f>
        <v>#REF!</v>
      </c>
      <c r="CJ233" s="64" t="str">
        <f t="shared" si="68"/>
        <v>#REF!</v>
      </c>
      <c r="CK233" s="64">
        <v>56763.9999774</v>
      </c>
      <c r="CL233" s="64">
        <v>0.0</v>
      </c>
      <c r="CM233" s="64">
        <v>56763.9999774</v>
      </c>
      <c r="CN233" s="64" t="str">
        <f t="shared" si="12"/>
        <v>#REF!</v>
      </c>
      <c r="CO233" s="68" t="str">
        <f>'[1]DATA CONSOLIDADA 2018-2025 '!$CM233-Hoja1!$CG233</f>
        <v>#REF!</v>
      </c>
      <c r="CP233" s="70">
        <v>0.0</v>
      </c>
      <c r="CQ233" s="70">
        <v>16399.98</v>
      </c>
      <c r="CR233" s="70">
        <v>0.0</v>
      </c>
      <c r="CS233" s="70">
        <v>520.0</v>
      </c>
      <c r="CT233" s="70">
        <v>0.0</v>
      </c>
      <c r="CU233" s="70">
        <v>0.0</v>
      </c>
      <c r="CV233" s="64">
        <v>16919.98</v>
      </c>
      <c r="CW233" s="64">
        <v>0.0</v>
      </c>
      <c r="CX233" s="64">
        <v>24510.0</v>
      </c>
      <c r="CY233" s="64">
        <v>0.0</v>
      </c>
      <c r="CZ233" s="64">
        <v>0.0</v>
      </c>
      <c r="DA233" s="64">
        <v>0.0</v>
      </c>
      <c r="DB233" s="64">
        <v>24510.0</v>
      </c>
      <c r="DC233" s="72">
        <v>0.0</v>
      </c>
      <c r="DD233" s="72">
        <v>56763.9999774</v>
      </c>
      <c r="DE233" s="72">
        <v>0.0</v>
      </c>
      <c r="DF233" s="72">
        <v>0.0</v>
      </c>
      <c r="DG233" s="72">
        <v>0.0</v>
      </c>
      <c r="DH233" s="72">
        <v>56763.9999774</v>
      </c>
      <c r="DI233" s="73">
        <v>2.0607106313E10</v>
      </c>
      <c r="DJ233" s="74" t="s">
        <v>882</v>
      </c>
      <c r="DK233" s="74" t="s">
        <v>138</v>
      </c>
      <c r="DL233" s="75"/>
      <c r="DM233" s="75"/>
      <c r="DN233" s="75"/>
      <c r="DO233" s="75"/>
      <c r="DP233" s="75"/>
      <c r="DQ233" s="75"/>
      <c r="DR233" s="75"/>
      <c r="DS233" s="75"/>
      <c r="DT233" s="75"/>
      <c r="DU233" s="75"/>
      <c r="DV233" s="75"/>
      <c r="DW233" s="75"/>
      <c r="DX233" s="75"/>
      <c r="DY233" s="75"/>
      <c r="DZ233" s="75"/>
      <c r="EA233" s="75"/>
      <c r="EB233" s="75"/>
      <c r="EC233" s="75"/>
      <c r="ED233" s="75"/>
      <c r="EE233" s="75"/>
    </row>
    <row r="234" ht="47.25" hidden="1" customHeight="1">
      <c r="A234" s="55" t="s">
        <v>883</v>
      </c>
      <c r="B234" s="55" t="s">
        <v>491</v>
      </c>
      <c r="C234" s="55" t="s">
        <v>491</v>
      </c>
      <c r="D234" s="55" t="s">
        <v>846</v>
      </c>
      <c r="E234" s="55" t="s">
        <v>884</v>
      </c>
      <c r="F234" s="55" t="s">
        <v>846</v>
      </c>
      <c r="G234" s="55" t="s">
        <v>874</v>
      </c>
      <c r="H234" s="55" t="s">
        <v>874</v>
      </c>
      <c r="I234" s="56"/>
      <c r="J234" s="56"/>
      <c r="K234" s="56"/>
      <c r="L234" s="56">
        <v>1.0</v>
      </c>
      <c r="M234" s="56"/>
      <c r="N234" s="56"/>
      <c r="O234" s="56"/>
      <c r="P234" s="56"/>
      <c r="Q234" s="56" t="s">
        <v>131</v>
      </c>
      <c r="R234" s="58" t="str">
        <f t="shared" si="1"/>
        <v>2021</v>
      </c>
      <c r="S234" s="59" t="str">
        <f>SUM(Hoja1!$I234:$P234)</f>
        <v>1</v>
      </c>
      <c r="T234" s="59" t="str">
        <f>IF(OR(Hoja1!$J234=1,Hoja1!$K234=1,Hoja1!$L234=1,Hoja1!$M234=1,Hoja1!$N234=1,Hoja1!$O234=1,Hoja1!$P234=1),"SI","NO")</f>
        <v>SI</v>
      </c>
      <c r="U234" s="59" t="str">
        <f>IF(OR(Hoja1!$K234=1,Hoja1!$L234=1,Hoja1!$M234=1,Hoja1!$N234=1,Hoja1!$O234=1,Hoja1!$P234=1),"SI","NO")</f>
        <v>SI</v>
      </c>
      <c r="V234" s="60">
        <v>0.0</v>
      </c>
      <c r="W234" s="61">
        <v>0.0</v>
      </c>
      <c r="X234" s="61">
        <v>0.0</v>
      </c>
      <c r="Y234" s="60">
        <v>0.0</v>
      </c>
      <c r="Z234" s="61">
        <v>0.0</v>
      </c>
      <c r="AA234" s="61">
        <v>0.0</v>
      </c>
      <c r="AB234" s="60">
        <v>0.0</v>
      </c>
      <c r="AC234" s="61">
        <v>11.0</v>
      </c>
      <c r="AD234" s="61">
        <v>4.0</v>
      </c>
      <c r="AE234" s="60">
        <v>15.0</v>
      </c>
      <c r="AF234" s="61">
        <v>0.0</v>
      </c>
      <c r="AG234" s="61">
        <v>0.0</v>
      </c>
      <c r="AH234" s="60">
        <v>0.0</v>
      </c>
      <c r="AI234" s="61">
        <v>0.0</v>
      </c>
      <c r="AJ234" s="61">
        <v>0.0</v>
      </c>
      <c r="AK234" s="60">
        <v>0.0</v>
      </c>
      <c r="AL234" s="61">
        <v>0.0</v>
      </c>
      <c r="AM234" s="61">
        <v>0.0</v>
      </c>
      <c r="AN234" s="60">
        <v>0.0</v>
      </c>
      <c r="AO234" s="62">
        <v>0.0</v>
      </c>
      <c r="AP234" s="62">
        <v>0.0</v>
      </c>
      <c r="AQ234" s="60">
        <v>0.0</v>
      </c>
      <c r="AR234" s="60" t="str">
        <f>IF(Hoja1!$AQ234&gt;0,Hoja1!$AQ234,IF(Hoja1!$AN234&gt;0,Hoja1!$AN234,IF(Hoja1!$AK234&gt;0,Hoja1!$AK234,IF(Hoja1!$AH234&gt;0,Hoja1!$AH234,IF(Hoja1!$AE234&gt;0,Hoja1!$AE234,IF(Hoja1!$AB234&gt;0,Hoja1!$AB234,IF(Hoja1!$Y234&gt;0,Hoja1!$Y234,IF(Hoja1!$V234&gt;0,Hoja1!$V234," ---"))))))))</f>
        <v>15</v>
      </c>
      <c r="AS234" s="63">
        <v>0.0</v>
      </c>
      <c r="AT234" s="63">
        <v>0.0</v>
      </c>
      <c r="AU234" s="63">
        <v>19.0</v>
      </c>
      <c r="AV234" s="63">
        <v>4.0</v>
      </c>
      <c r="AW234" s="63">
        <v>0.0</v>
      </c>
      <c r="AX234" s="63">
        <v>0.0</v>
      </c>
      <c r="AY234" s="63">
        <v>0.0</v>
      </c>
      <c r="AZ234" s="63">
        <v>0.0</v>
      </c>
      <c r="BA234" s="63">
        <v>0.0</v>
      </c>
      <c r="BB234" s="63">
        <v>0.0</v>
      </c>
      <c r="BC234" s="63">
        <v>0.0</v>
      </c>
      <c r="BD234" s="63">
        <v>0.0</v>
      </c>
      <c r="BE234" s="64">
        <v>0.0</v>
      </c>
      <c r="BF234" s="69">
        <v>0.0</v>
      </c>
      <c r="BG234" s="69">
        <v>0.0</v>
      </c>
      <c r="BH234" s="64">
        <v>0.0</v>
      </c>
      <c r="BI234" s="67" t="str">
        <f t="shared" si="69"/>
        <v>#REF!</v>
      </c>
      <c r="BJ234" s="68" t="str">
        <f t="shared" si="70"/>
        <v>#REF!</v>
      </c>
      <c r="BK234" s="69">
        <v>0.0</v>
      </c>
      <c r="BL234" s="69">
        <v>0.0</v>
      </c>
      <c r="BM234" s="64">
        <v>0.0</v>
      </c>
      <c r="BN234" s="67" t="str">
        <f t="shared" si="71"/>
        <v>#REF!</v>
      </c>
      <c r="BO234" s="68" t="str">
        <f t="shared" si="72"/>
        <v>#REF!</v>
      </c>
      <c r="BP234" s="65">
        <v>18000.0</v>
      </c>
      <c r="BQ234" s="65">
        <v>0.0</v>
      </c>
      <c r="BR234" s="66">
        <v>18000.0</v>
      </c>
      <c r="BS234" s="67" t="str">
        <f t="shared" si="73"/>
        <v>#REF!</v>
      </c>
      <c r="BT234" s="68" t="str">
        <f>'[1]DATA CONSOLIDADA 2018-2025 '!$BR234-Hoja1!$BO234</f>
        <v>#REF!</v>
      </c>
      <c r="BU234" s="65">
        <v>0.0</v>
      </c>
      <c r="BV234" s="65">
        <v>0.0</v>
      </c>
      <c r="BW234" s="66">
        <v>0.0</v>
      </c>
      <c r="BX234" s="67" t="str">
        <f t="shared" si="74"/>
        <v>#REF!</v>
      </c>
      <c r="BY234" s="68" t="str">
        <f t="shared" si="75"/>
        <v>#REF!</v>
      </c>
      <c r="BZ234" s="65">
        <v>0.0</v>
      </c>
      <c r="CA234" s="65">
        <v>0.0</v>
      </c>
      <c r="CB234" s="66">
        <v>0.0</v>
      </c>
      <c r="CC234" s="67" t="str">
        <f t="shared" si="76"/>
        <v>#REF!</v>
      </c>
      <c r="CD234" s="68" t="str">
        <f>'[1]DATA CONSOLIDADA 2018-2025 '!$CB234-Hoja1!$BW234</f>
        <v>#REF!</v>
      </c>
      <c r="CE234" s="70">
        <v>0.0</v>
      </c>
      <c r="CF234" s="70">
        <v>0.0</v>
      </c>
      <c r="CG234" s="71">
        <v>0.0</v>
      </c>
      <c r="CH234" s="67" t="str">
        <f t="shared" si="77"/>
        <v>#REF!</v>
      </c>
      <c r="CI234" s="68" t="str">
        <f>'[1]DATA CONSOLIDADA 2018-2025 '!$CG234-Hoja1!$CB234</f>
        <v>#REF!</v>
      </c>
      <c r="CJ234" s="64" t="str">
        <f t="shared" si="68"/>
        <v>#REF!</v>
      </c>
      <c r="CK234" s="64">
        <v>0.0</v>
      </c>
      <c r="CL234" s="64">
        <v>0.0</v>
      </c>
      <c r="CM234" s="64">
        <v>0.0</v>
      </c>
      <c r="CN234" s="64" t="str">
        <f t="shared" si="12"/>
        <v>#REF!</v>
      </c>
      <c r="CO234" s="68" t="str">
        <f>'[1]DATA CONSOLIDADA 2018-2025 '!$CM234-Hoja1!$CG234</f>
        <v>#REF!</v>
      </c>
      <c r="CP234" s="70">
        <v>0.0</v>
      </c>
      <c r="CQ234" s="70">
        <v>0.0</v>
      </c>
      <c r="CR234" s="70">
        <v>0.0</v>
      </c>
      <c r="CS234" s="70">
        <v>0.0</v>
      </c>
      <c r="CT234" s="70">
        <v>0.0</v>
      </c>
      <c r="CU234" s="70">
        <v>0.0</v>
      </c>
      <c r="CV234" s="64">
        <v>0.0</v>
      </c>
      <c r="CW234" s="64">
        <v>0.0</v>
      </c>
      <c r="CX234" s="64">
        <v>0.0</v>
      </c>
      <c r="CY234" s="64">
        <v>0.0</v>
      </c>
      <c r="CZ234" s="64">
        <v>0.0</v>
      </c>
      <c r="DA234" s="64">
        <v>0.0</v>
      </c>
      <c r="DB234" s="64">
        <v>0.0</v>
      </c>
      <c r="DC234" s="72">
        <v>0.0</v>
      </c>
      <c r="DD234" s="72">
        <v>0.0</v>
      </c>
      <c r="DE234" s="72">
        <v>0.0</v>
      </c>
      <c r="DF234" s="72">
        <v>0.0</v>
      </c>
      <c r="DG234" s="72">
        <v>0.0</v>
      </c>
      <c r="DH234" s="72">
        <v>0.0</v>
      </c>
      <c r="DI234" s="73">
        <v>2.0605784047E10</v>
      </c>
      <c r="DJ234" s="74" t="s">
        <v>885</v>
      </c>
      <c r="DK234" s="74" t="s">
        <v>138</v>
      </c>
      <c r="DL234" s="75"/>
      <c r="DM234" s="75"/>
      <c r="DN234" s="75"/>
      <c r="DO234" s="75"/>
      <c r="DP234" s="75"/>
      <c r="DQ234" s="75"/>
      <c r="DR234" s="75"/>
      <c r="DS234" s="75"/>
      <c r="DT234" s="75"/>
      <c r="DU234" s="75"/>
      <c r="DV234" s="75"/>
      <c r="DW234" s="75"/>
      <c r="DX234" s="75"/>
      <c r="DY234" s="75"/>
      <c r="DZ234" s="75"/>
      <c r="EA234" s="75"/>
      <c r="EB234" s="75"/>
      <c r="EC234" s="75"/>
      <c r="ED234" s="75"/>
      <c r="EE234" s="75"/>
    </row>
    <row r="235" ht="47.25" hidden="1" customHeight="1">
      <c r="A235" s="55" t="s">
        <v>870</v>
      </c>
      <c r="B235" s="55" t="s">
        <v>828</v>
      </c>
      <c r="C235" s="55" t="s">
        <v>828</v>
      </c>
      <c r="D235" s="55" t="s">
        <v>846</v>
      </c>
      <c r="E235" s="55" t="s">
        <v>856</v>
      </c>
      <c r="F235" s="55" t="s">
        <v>846</v>
      </c>
      <c r="G235" s="55" t="s">
        <v>848</v>
      </c>
      <c r="H235" s="55" t="s">
        <v>848</v>
      </c>
      <c r="I235" s="56"/>
      <c r="J235" s="56"/>
      <c r="K235" s="56"/>
      <c r="L235" s="56">
        <v>1.0</v>
      </c>
      <c r="M235" s="56">
        <v>1.0</v>
      </c>
      <c r="N235" s="56">
        <v>1.0</v>
      </c>
      <c r="O235" s="56">
        <v>1.0</v>
      </c>
      <c r="P235" s="56">
        <v>1.0</v>
      </c>
      <c r="Q235" s="56" t="s">
        <v>131</v>
      </c>
      <c r="R235" s="58" t="str">
        <f t="shared" si="1"/>
        <v>2021-2022-2023-2024 - 2025</v>
      </c>
      <c r="S235" s="59" t="str">
        <f>SUM(Hoja1!$I235:$P235)</f>
        <v>5</v>
      </c>
      <c r="T235" s="59" t="str">
        <f>IF(OR(Hoja1!$J235=1,Hoja1!$K235=1,Hoja1!$L235=1,Hoja1!$M235=1,Hoja1!$N235=1,Hoja1!$O235=1,Hoja1!$P235=1),"SI","NO")</f>
        <v>SI</v>
      </c>
      <c r="U235" s="59" t="str">
        <f>IF(OR(Hoja1!$K235=1,Hoja1!$L235=1,Hoja1!$M235=1,Hoja1!$N235=1,Hoja1!$O235=1,Hoja1!$P235=1),"SI","NO")</f>
        <v>SI</v>
      </c>
      <c r="V235" s="60">
        <v>0.0</v>
      </c>
      <c r="W235" s="61">
        <v>0.0</v>
      </c>
      <c r="X235" s="61">
        <v>0.0</v>
      </c>
      <c r="Y235" s="60">
        <v>0.0</v>
      </c>
      <c r="Z235" s="61">
        <v>0.0</v>
      </c>
      <c r="AA235" s="61">
        <v>0.0</v>
      </c>
      <c r="AB235" s="60">
        <v>0.0</v>
      </c>
      <c r="AC235" s="61">
        <v>6.0</v>
      </c>
      <c r="AD235" s="61">
        <v>15.0</v>
      </c>
      <c r="AE235" s="60">
        <v>21.0</v>
      </c>
      <c r="AF235" s="61">
        <v>6.0</v>
      </c>
      <c r="AG235" s="61">
        <v>15.0</v>
      </c>
      <c r="AH235" s="60">
        <v>21.0</v>
      </c>
      <c r="AI235" s="61">
        <v>6.0</v>
      </c>
      <c r="AJ235" s="61">
        <v>15.0</v>
      </c>
      <c r="AK235" s="60">
        <v>21.0</v>
      </c>
      <c r="AL235" s="61">
        <v>6.0</v>
      </c>
      <c r="AM235" s="61">
        <v>15.0</v>
      </c>
      <c r="AN235" s="60">
        <v>21.0</v>
      </c>
      <c r="AO235" s="62">
        <v>6.0</v>
      </c>
      <c r="AP235" s="62">
        <v>15.0</v>
      </c>
      <c r="AQ235" s="60">
        <v>21.0</v>
      </c>
      <c r="AR235" s="60" t="str">
        <f>IF(Hoja1!$AQ235&gt;0,Hoja1!$AQ235,IF(Hoja1!$AN235&gt;0,Hoja1!$AN235,IF(Hoja1!$AK235&gt;0,Hoja1!$AK235,IF(Hoja1!$AH235&gt;0,Hoja1!$AH235,IF(Hoja1!$AE235&gt;0,Hoja1!$AE235,IF(Hoja1!$AB235&gt;0,Hoja1!$AB235,IF(Hoja1!$Y235&gt;0,Hoja1!$Y235,IF(Hoja1!$V235&gt;0,Hoja1!$V235," ---"))))))))</f>
        <v>21</v>
      </c>
      <c r="AS235" s="63">
        <v>0.0</v>
      </c>
      <c r="AT235" s="63">
        <v>0.0</v>
      </c>
      <c r="AU235" s="63">
        <v>23.0</v>
      </c>
      <c r="AV235" s="63">
        <v>4.0</v>
      </c>
      <c r="AW235" s="63">
        <v>26.0</v>
      </c>
      <c r="AX235" s="63">
        <v>6.0</v>
      </c>
      <c r="AY235" s="63">
        <v>29.0</v>
      </c>
      <c r="AZ235" s="63">
        <v>1.0</v>
      </c>
      <c r="BA235" s="63">
        <v>25.0</v>
      </c>
      <c r="BB235" s="63">
        <v>0.0</v>
      </c>
      <c r="BC235" s="63">
        <v>23.0</v>
      </c>
      <c r="BD235" s="63">
        <v>0.0</v>
      </c>
      <c r="BE235" s="64">
        <v>0.0</v>
      </c>
      <c r="BF235" s="69">
        <v>0.0</v>
      </c>
      <c r="BG235" s="69">
        <v>0.0</v>
      </c>
      <c r="BH235" s="64">
        <v>0.0</v>
      </c>
      <c r="BI235" s="67" t="str">
        <f t="shared" si="69"/>
        <v>#REF!</v>
      </c>
      <c r="BJ235" s="68" t="str">
        <f t="shared" si="70"/>
        <v>#REF!</v>
      </c>
      <c r="BK235" s="69">
        <v>0.0</v>
      </c>
      <c r="BL235" s="69">
        <v>0.0</v>
      </c>
      <c r="BM235" s="66">
        <v>0.0</v>
      </c>
      <c r="BN235" s="67" t="str">
        <f t="shared" si="71"/>
        <v>#REF!</v>
      </c>
      <c r="BO235" s="68" t="str">
        <f t="shared" si="72"/>
        <v>#REF!</v>
      </c>
      <c r="BP235" s="76">
        <v>13000.0</v>
      </c>
      <c r="BQ235" s="76">
        <v>0.0</v>
      </c>
      <c r="BR235" s="66">
        <v>13000.0</v>
      </c>
      <c r="BS235" s="67" t="str">
        <f t="shared" si="73"/>
        <v>#REF!</v>
      </c>
      <c r="BT235" s="68" t="str">
        <f>'[1]DATA CONSOLIDADA 2018-2025 '!$BR235-Hoja1!$BO235</f>
        <v>#REF!</v>
      </c>
      <c r="BU235" s="65">
        <v>13176.0</v>
      </c>
      <c r="BV235" s="65">
        <v>0.0</v>
      </c>
      <c r="BW235" s="66">
        <v>13176.0</v>
      </c>
      <c r="BX235" s="67" t="str">
        <f t="shared" si="74"/>
        <v>#REF!</v>
      </c>
      <c r="BY235" s="68" t="str">
        <f t="shared" si="75"/>
        <v>#REF!</v>
      </c>
      <c r="BZ235" s="65">
        <v>98765.0</v>
      </c>
      <c r="CA235" s="65">
        <v>0.0</v>
      </c>
      <c r="CB235" s="66">
        <v>98765.0</v>
      </c>
      <c r="CC235" s="67" t="str">
        <f t="shared" si="76"/>
        <v>#REF!</v>
      </c>
      <c r="CD235" s="68" t="str">
        <f>'[1]DATA CONSOLIDADA 2018-2025 '!$CB235-Hoja1!$BW235</f>
        <v>#REF!</v>
      </c>
      <c r="CE235" s="70">
        <v>74396.0</v>
      </c>
      <c r="CF235" s="70">
        <v>0.0</v>
      </c>
      <c r="CG235" s="71">
        <v>74396.0</v>
      </c>
      <c r="CH235" s="67" t="str">
        <f t="shared" si="77"/>
        <v>#REF!</v>
      </c>
      <c r="CI235" s="68" t="str">
        <f>'[1]DATA CONSOLIDADA 2018-2025 '!$CG235-Hoja1!$CB235</f>
        <v>#REF!</v>
      </c>
      <c r="CJ235" s="64" t="str">
        <f t="shared" si="68"/>
        <v>#REF!</v>
      </c>
      <c r="CK235" s="64">
        <v>101505.000093</v>
      </c>
      <c r="CL235" s="64">
        <v>0.0</v>
      </c>
      <c r="CM235" s="64">
        <v>101505.000093</v>
      </c>
      <c r="CN235" s="64" t="str">
        <f t="shared" si="12"/>
        <v>#REF!</v>
      </c>
      <c r="CO235" s="68" t="str">
        <f>'[1]DATA CONSOLIDADA 2018-2025 '!$CM235-Hoja1!$CG235</f>
        <v>#REF!</v>
      </c>
      <c r="CP235" s="70">
        <v>0.0</v>
      </c>
      <c r="CQ235" s="70">
        <v>3400.0</v>
      </c>
      <c r="CR235" s="70">
        <v>0.0</v>
      </c>
      <c r="CS235" s="70">
        <v>95365.0</v>
      </c>
      <c r="CT235" s="70">
        <v>0.0</v>
      </c>
      <c r="CU235" s="70">
        <v>0.0</v>
      </c>
      <c r="CV235" s="64">
        <v>98765.0</v>
      </c>
      <c r="CW235" s="64">
        <v>0.0</v>
      </c>
      <c r="CX235" s="64">
        <v>24500.0</v>
      </c>
      <c r="CY235" s="64">
        <v>49896.0</v>
      </c>
      <c r="CZ235" s="64">
        <v>0.0</v>
      </c>
      <c r="DA235" s="64">
        <v>0.0</v>
      </c>
      <c r="DB235" s="64">
        <v>74396.0</v>
      </c>
      <c r="DC235" s="72">
        <v>0.0</v>
      </c>
      <c r="DD235" s="72">
        <v>101505.000093</v>
      </c>
      <c r="DE235" s="72">
        <v>0.0</v>
      </c>
      <c r="DF235" s="72">
        <v>0.0</v>
      </c>
      <c r="DG235" s="72">
        <v>0.0</v>
      </c>
      <c r="DH235" s="72">
        <v>101505.000093</v>
      </c>
      <c r="DI235" s="73">
        <v>2.0287980672E10</v>
      </c>
      <c r="DJ235" s="74" t="s">
        <v>870</v>
      </c>
      <c r="DK235" s="74" t="s">
        <v>523</v>
      </c>
      <c r="DL235" s="75"/>
      <c r="DM235" s="75"/>
      <c r="DN235" s="75"/>
      <c r="DO235" s="75"/>
      <c r="DP235" s="75"/>
      <c r="DQ235" s="75"/>
      <c r="DR235" s="75"/>
      <c r="DS235" s="75"/>
      <c r="DT235" s="75"/>
      <c r="DU235" s="75"/>
      <c r="DV235" s="75"/>
      <c r="DW235" s="75"/>
      <c r="DX235" s="75"/>
      <c r="DY235" s="75"/>
      <c r="DZ235" s="75"/>
      <c r="EA235" s="75"/>
      <c r="EB235" s="75"/>
      <c r="EC235" s="75"/>
      <c r="ED235" s="75"/>
      <c r="EE235" s="75"/>
    </row>
    <row r="236" ht="47.25" hidden="1" customHeight="1">
      <c r="A236" s="55" t="s">
        <v>886</v>
      </c>
      <c r="B236" s="55" t="s">
        <v>287</v>
      </c>
      <c r="C236" s="55" t="s">
        <v>288</v>
      </c>
      <c r="D236" s="55" t="s">
        <v>887</v>
      </c>
      <c r="E236" s="55" t="s">
        <v>888</v>
      </c>
      <c r="F236" s="55" t="s">
        <v>889</v>
      </c>
      <c r="G236" s="55" t="s">
        <v>890</v>
      </c>
      <c r="H236" s="55" t="s">
        <v>889</v>
      </c>
      <c r="I236" s="56">
        <v>1.0</v>
      </c>
      <c r="J236" s="56"/>
      <c r="K236" s="56"/>
      <c r="L236" s="56"/>
      <c r="M236" s="56"/>
      <c r="N236" s="56"/>
      <c r="O236" s="56"/>
      <c r="P236" s="56"/>
      <c r="Q236" s="56" t="s">
        <v>131</v>
      </c>
      <c r="R236" s="58" t="str">
        <f t="shared" si="1"/>
        <v>2018</v>
      </c>
      <c r="S236" s="59" t="str">
        <f>SUM(Hoja1!$I236:$P236)</f>
        <v>1</v>
      </c>
      <c r="T236" s="59" t="str">
        <f>IF(OR(Hoja1!$J236=1,Hoja1!$K236=1,Hoja1!$L236=1,Hoja1!$M236=1,Hoja1!$N236=1,Hoja1!$O236=1,Hoja1!$P236=1),"SI","NO")</f>
        <v>NO</v>
      </c>
      <c r="U236" s="59" t="str">
        <f>IF(OR(Hoja1!$K236=1,Hoja1!$L236=1,Hoja1!$M236=1,Hoja1!$N236=1,Hoja1!$O236=1,Hoja1!$P236=1),"SI","NO")</f>
        <v>NO</v>
      </c>
      <c r="V236" s="60">
        <v>33.0</v>
      </c>
      <c r="W236" s="61">
        <v>0.0</v>
      </c>
      <c r="X236" s="61">
        <v>0.0</v>
      </c>
      <c r="Y236" s="60">
        <v>0.0</v>
      </c>
      <c r="Z236" s="61">
        <v>0.0</v>
      </c>
      <c r="AA236" s="61">
        <v>0.0</v>
      </c>
      <c r="AB236" s="60">
        <v>0.0</v>
      </c>
      <c r="AC236" s="61">
        <v>0.0</v>
      </c>
      <c r="AD236" s="61">
        <v>0.0</v>
      </c>
      <c r="AE236" s="60">
        <v>0.0</v>
      </c>
      <c r="AF236" s="61">
        <v>0.0</v>
      </c>
      <c r="AG236" s="61">
        <v>0.0</v>
      </c>
      <c r="AH236" s="60">
        <v>0.0</v>
      </c>
      <c r="AI236" s="61">
        <v>0.0</v>
      </c>
      <c r="AJ236" s="61">
        <v>0.0</v>
      </c>
      <c r="AK236" s="60">
        <v>0.0</v>
      </c>
      <c r="AL236" s="61">
        <v>0.0</v>
      </c>
      <c r="AM236" s="61">
        <v>0.0</v>
      </c>
      <c r="AN236" s="60">
        <v>0.0</v>
      </c>
      <c r="AO236" s="62">
        <v>0.0</v>
      </c>
      <c r="AP236" s="62">
        <v>0.0</v>
      </c>
      <c r="AQ236" s="60">
        <v>0.0</v>
      </c>
      <c r="AR236" s="60" t="str">
        <f>IF(Hoja1!$AQ236&gt;0,Hoja1!$AQ236,IF(Hoja1!$AN236&gt;0,Hoja1!$AN236,IF(Hoja1!$AK236&gt;0,Hoja1!$AK236,IF(Hoja1!$AH236&gt;0,Hoja1!$AH236,IF(Hoja1!$AE236&gt;0,Hoja1!$AE236,IF(Hoja1!$AB236&gt;0,Hoja1!$AB236,IF(Hoja1!$Y236&gt;0,Hoja1!$Y236,IF(Hoja1!$V236&gt;0,Hoja1!$V236," ---"))))))))</f>
        <v>33</v>
      </c>
      <c r="AS236" s="63">
        <v>0.0</v>
      </c>
      <c r="AT236" s="63">
        <v>0.0</v>
      </c>
      <c r="AU236" s="63">
        <v>0.0</v>
      </c>
      <c r="AV236" s="63">
        <v>0.0</v>
      </c>
      <c r="AW236" s="63">
        <v>0.0</v>
      </c>
      <c r="AX236" s="63">
        <v>0.0</v>
      </c>
      <c r="AY236" s="63">
        <v>0.0</v>
      </c>
      <c r="AZ236" s="63">
        <v>0.0</v>
      </c>
      <c r="BA236" s="63">
        <v>0.0</v>
      </c>
      <c r="BB236" s="63">
        <v>0.0</v>
      </c>
      <c r="BC236" s="63">
        <v>0.0</v>
      </c>
      <c r="BD236" s="63">
        <v>0.0</v>
      </c>
      <c r="BE236" s="64">
        <v>0.0</v>
      </c>
      <c r="BF236" s="69">
        <v>0.0</v>
      </c>
      <c r="BG236" s="69">
        <v>0.0</v>
      </c>
      <c r="BH236" s="64">
        <v>0.0</v>
      </c>
      <c r="BI236" s="67" t="str">
        <f t="shared" si="69"/>
        <v>#REF!</v>
      </c>
      <c r="BJ236" s="68" t="str">
        <f t="shared" si="70"/>
        <v>#REF!</v>
      </c>
      <c r="BK236" s="69">
        <v>0.0</v>
      </c>
      <c r="BL236" s="69">
        <v>0.0</v>
      </c>
      <c r="BM236" s="64">
        <v>0.0</v>
      </c>
      <c r="BN236" s="67" t="str">
        <f t="shared" si="71"/>
        <v>#REF!</v>
      </c>
      <c r="BO236" s="68" t="str">
        <f t="shared" si="72"/>
        <v>#REF!</v>
      </c>
      <c r="BP236" s="65">
        <v>0.0</v>
      </c>
      <c r="BQ236" s="65">
        <v>0.0</v>
      </c>
      <c r="BR236" s="66">
        <v>0.0</v>
      </c>
      <c r="BS236" s="67" t="str">
        <f t="shared" si="73"/>
        <v>#REF!</v>
      </c>
      <c r="BT236" s="68" t="str">
        <f>'[1]DATA CONSOLIDADA 2018-2025 '!$BR236-Hoja1!$BO236</f>
        <v>#REF!</v>
      </c>
      <c r="BU236" s="65">
        <v>0.0</v>
      </c>
      <c r="BV236" s="65">
        <v>0.0</v>
      </c>
      <c r="BW236" s="66">
        <v>0.0</v>
      </c>
      <c r="BX236" s="67" t="str">
        <f t="shared" si="74"/>
        <v>#REF!</v>
      </c>
      <c r="BY236" s="68" t="str">
        <f t="shared" si="75"/>
        <v>#REF!</v>
      </c>
      <c r="BZ236" s="65">
        <v>0.0</v>
      </c>
      <c r="CA236" s="65">
        <v>0.0</v>
      </c>
      <c r="CB236" s="66">
        <v>0.0</v>
      </c>
      <c r="CC236" s="67" t="str">
        <f t="shared" si="76"/>
        <v>#REF!</v>
      </c>
      <c r="CD236" s="68" t="str">
        <f>'[1]DATA CONSOLIDADA 2018-2025 '!$CB236-Hoja1!$BW236</f>
        <v>#REF!</v>
      </c>
      <c r="CE236" s="70">
        <v>0.0</v>
      </c>
      <c r="CF236" s="70">
        <v>0.0</v>
      </c>
      <c r="CG236" s="71">
        <v>0.0</v>
      </c>
      <c r="CH236" s="67" t="str">
        <f t="shared" si="77"/>
        <v>#REF!</v>
      </c>
      <c r="CI236" s="68" t="str">
        <f>'[1]DATA CONSOLIDADA 2018-2025 '!$CG236-Hoja1!$CB236</f>
        <v>#REF!</v>
      </c>
      <c r="CJ236" s="64" t="str">
        <f t="shared" si="68"/>
        <v>#REF!</v>
      </c>
      <c r="CK236" s="64">
        <v>0.0</v>
      </c>
      <c r="CL236" s="64">
        <v>0.0</v>
      </c>
      <c r="CM236" s="64">
        <v>0.0</v>
      </c>
      <c r="CN236" s="64" t="str">
        <f t="shared" si="12"/>
        <v>#REF!</v>
      </c>
      <c r="CO236" s="68" t="str">
        <f>'[1]DATA CONSOLIDADA 2018-2025 '!$CM236-Hoja1!$CG236</f>
        <v>#REF!</v>
      </c>
      <c r="CP236" s="70">
        <v>0.0</v>
      </c>
      <c r="CQ236" s="70">
        <v>0.0</v>
      </c>
      <c r="CR236" s="70">
        <v>0.0</v>
      </c>
      <c r="CS236" s="70">
        <v>0.0</v>
      </c>
      <c r="CT236" s="70">
        <v>0.0</v>
      </c>
      <c r="CU236" s="70">
        <v>0.0</v>
      </c>
      <c r="CV236" s="64">
        <v>0.0</v>
      </c>
      <c r="CW236" s="64">
        <v>0.0</v>
      </c>
      <c r="CX236" s="64">
        <v>0.0</v>
      </c>
      <c r="CY236" s="64">
        <v>0.0</v>
      </c>
      <c r="CZ236" s="64">
        <v>0.0</v>
      </c>
      <c r="DA236" s="64">
        <v>0.0</v>
      </c>
      <c r="DB236" s="64">
        <v>0.0</v>
      </c>
      <c r="DC236" s="72">
        <v>0.0</v>
      </c>
      <c r="DD236" s="72">
        <v>0.0</v>
      </c>
      <c r="DE236" s="72">
        <v>0.0</v>
      </c>
      <c r="DF236" s="72">
        <v>0.0</v>
      </c>
      <c r="DG236" s="72">
        <v>0.0</v>
      </c>
      <c r="DH236" s="72">
        <v>0.0</v>
      </c>
      <c r="DI236" s="73">
        <v>2.0600188616E10</v>
      </c>
      <c r="DJ236" s="74" t="s">
        <v>891</v>
      </c>
      <c r="DK236" s="74" t="s">
        <v>306</v>
      </c>
      <c r="DL236" s="75"/>
      <c r="DM236" s="75"/>
      <c r="DN236" s="75"/>
      <c r="DO236" s="75"/>
      <c r="DP236" s="75"/>
      <c r="DQ236" s="75"/>
      <c r="DR236" s="75"/>
      <c r="DS236" s="75"/>
      <c r="DT236" s="75"/>
      <c r="DU236" s="75"/>
      <c r="DV236" s="75"/>
      <c r="DW236" s="75"/>
      <c r="DX236" s="75"/>
      <c r="DY236" s="75"/>
      <c r="DZ236" s="75"/>
      <c r="EA236" s="75"/>
      <c r="EB236" s="75"/>
      <c r="EC236" s="75"/>
      <c r="ED236" s="75"/>
      <c r="EE236" s="75"/>
    </row>
    <row r="237" ht="47.25" hidden="1" customHeight="1">
      <c r="A237" s="55" t="s">
        <v>892</v>
      </c>
      <c r="B237" s="55" t="s">
        <v>166</v>
      </c>
      <c r="C237" s="55" t="s">
        <v>166</v>
      </c>
      <c r="D237" s="55" t="s">
        <v>887</v>
      </c>
      <c r="E237" s="55" t="s">
        <v>888</v>
      </c>
      <c r="F237" s="55" t="s">
        <v>889</v>
      </c>
      <c r="G237" s="55" t="s">
        <v>890</v>
      </c>
      <c r="H237" s="55" t="s">
        <v>889</v>
      </c>
      <c r="I237" s="56">
        <v>1.0</v>
      </c>
      <c r="J237" s="56">
        <v>1.0</v>
      </c>
      <c r="K237" s="56">
        <v>1.0</v>
      </c>
      <c r="L237" s="56"/>
      <c r="M237" s="56"/>
      <c r="N237" s="56"/>
      <c r="O237" s="56"/>
      <c r="P237" s="56"/>
      <c r="Q237" s="56" t="s">
        <v>131</v>
      </c>
      <c r="R237" s="58" t="str">
        <f t="shared" si="1"/>
        <v>2018-2019-2020</v>
      </c>
      <c r="S237" s="59" t="str">
        <f>SUM(Hoja1!$I237:$P237)</f>
        <v>3</v>
      </c>
      <c r="T237" s="59" t="str">
        <f>IF(OR(Hoja1!$J237=1,Hoja1!$K237=1,Hoja1!$L237=1,Hoja1!$M237=1,Hoja1!$N237=1,Hoja1!$O237=1,Hoja1!$P237=1),"SI","NO")</f>
        <v>SI</v>
      </c>
      <c r="U237" s="59" t="str">
        <f>IF(OR(Hoja1!$K237=1,Hoja1!$L237=1,Hoja1!$M237=1,Hoja1!$N237=1,Hoja1!$O237=1,Hoja1!$P237=1),"SI","NO")</f>
        <v>SI</v>
      </c>
      <c r="V237" s="60">
        <v>65.0</v>
      </c>
      <c r="W237" s="61">
        <v>24.0</v>
      </c>
      <c r="X237" s="61">
        <v>13.0</v>
      </c>
      <c r="Y237" s="60">
        <v>37.0</v>
      </c>
      <c r="Z237" s="61">
        <v>24.0</v>
      </c>
      <c r="AA237" s="61">
        <v>13.0</v>
      </c>
      <c r="AB237" s="60">
        <v>37.0</v>
      </c>
      <c r="AC237" s="61">
        <v>0.0</v>
      </c>
      <c r="AD237" s="61">
        <v>0.0</v>
      </c>
      <c r="AE237" s="60">
        <v>0.0</v>
      </c>
      <c r="AF237" s="61">
        <v>0.0</v>
      </c>
      <c r="AG237" s="61">
        <v>0.0</v>
      </c>
      <c r="AH237" s="60">
        <v>0.0</v>
      </c>
      <c r="AI237" s="61">
        <v>0.0</v>
      </c>
      <c r="AJ237" s="61">
        <v>0.0</v>
      </c>
      <c r="AK237" s="60">
        <v>0.0</v>
      </c>
      <c r="AL237" s="61">
        <v>0.0</v>
      </c>
      <c r="AM237" s="61">
        <v>0.0</v>
      </c>
      <c r="AN237" s="60">
        <v>0.0</v>
      </c>
      <c r="AO237" s="62">
        <v>0.0</v>
      </c>
      <c r="AP237" s="62">
        <v>0.0</v>
      </c>
      <c r="AQ237" s="60">
        <v>0.0</v>
      </c>
      <c r="AR237" s="60" t="str">
        <f>IF(Hoja1!$AQ237&gt;0,Hoja1!$AQ237,IF(Hoja1!$AN237&gt;0,Hoja1!$AN237,IF(Hoja1!$AK237&gt;0,Hoja1!$AK237,IF(Hoja1!$AH237&gt;0,Hoja1!$AH237,IF(Hoja1!$AE237&gt;0,Hoja1!$AE237,IF(Hoja1!$AB237&gt;0,Hoja1!$AB237,IF(Hoja1!$Y237&gt;0,Hoja1!$Y237,IF(Hoja1!$V237&gt;0,Hoja1!$V237," ---"))))))))</f>
        <v>37</v>
      </c>
      <c r="AS237" s="63">
        <v>0.0</v>
      </c>
      <c r="AT237" s="63">
        <v>1.0</v>
      </c>
      <c r="AU237" s="63">
        <v>0.0</v>
      </c>
      <c r="AV237" s="63">
        <v>0.0</v>
      </c>
      <c r="AW237" s="63">
        <v>0.0</v>
      </c>
      <c r="AX237" s="63">
        <v>0.0</v>
      </c>
      <c r="AY237" s="63">
        <v>0.0</v>
      </c>
      <c r="AZ237" s="63">
        <v>0.0</v>
      </c>
      <c r="BA237" s="63">
        <v>0.0</v>
      </c>
      <c r="BB237" s="63">
        <v>0.0</v>
      </c>
      <c r="BC237" s="63">
        <v>0.0</v>
      </c>
      <c r="BD237" s="63">
        <v>0.0</v>
      </c>
      <c r="BE237" s="64">
        <v>0.0</v>
      </c>
      <c r="BF237" s="65">
        <v>185266.61</v>
      </c>
      <c r="BG237" s="65">
        <v>0.0</v>
      </c>
      <c r="BH237" s="66">
        <v>185266.61</v>
      </c>
      <c r="BI237" s="67" t="str">
        <f t="shared" si="69"/>
        <v>#REF!</v>
      </c>
      <c r="BJ237" s="68" t="str">
        <f t="shared" si="70"/>
        <v>#REF!</v>
      </c>
      <c r="BK237" s="65">
        <v>146528.0</v>
      </c>
      <c r="BL237" s="65">
        <v>0.0</v>
      </c>
      <c r="BM237" s="66">
        <v>146528.0</v>
      </c>
      <c r="BN237" s="67" t="str">
        <f t="shared" si="71"/>
        <v>#REF!</v>
      </c>
      <c r="BO237" s="68" t="str">
        <f t="shared" si="72"/>
        <v>#REF!</v>
      </c>
      <c r="BP237" s="65">
        <v>0.0</v>
      </c>
      <c r="BQ237" s="65">
        <v>0.0</v>
      </c>
      <c r="BR237" s="66">
        <v>0.0</v>
      </c>
      <c r="BS237" s="67" t="str">
        <f t="shared" si="73"/>
        <v>#REF!</v>
      </c>
      <c r="BT237" s="68" t="str">
        <f>'[1]DATA CONSOLIDADA 2018-2025 '!$BR237-Hoja1!$BO237</f>
        <v>#REF!</v>
      </c>
      <c r="BU237" s="65">
        <v>0.0</v>
      </c>
      <c r="BV237" s="65">
        <v>0.0</v>
      </c>
      <c r="BW237" s="66">
        <v>0.0</v>
      </c>
      <c r="BX237" s="67" t="str">
        <f t="shared" si="74"/>
        <v>#REF!</v>
      </c>
      <c r="BY237" s="68" t="str">
        <f t="shared" si="75"/>
        <v>#REF!</v>
      </c>
      <c r="BZ237" s="65">
        <v>0.0</v>
      </c>
      <c r="CA237" s="65">
        <v>0.0</v>
      </c>
      <c r="CB237" s="66">
        <v>0.0</v>
      </c>
      <c r="CC237" s="67" t="str">
        <f t="shared" si="76"/>
        <v>#REF!</v>
      </c>
      <c r="CD237" s="68" t="str">
        <f>'[1]DATA CONSOLIDADA 2018-2025 '!$CB237-Hoja1!$BW237</f>
        <v>#REF!</v>
      </c>
      <c r="CE237" s="70">
        <v>0.0</v>
      </c>
      <c r="CF237" s="70">
        <v>0.0</v>
      </c>
      <c r="CG237" s="71">
        <v>0.0</v>
      </c>
      <c r="CH237" s="67" t="str">
        <f t="shared" si="77"/>
        <v>#REF!</v>
      </c>
      <c r="CI237" s="68" t="str">
        <f>'[1]DATA CONSOLIDADA 2018-2025 '!$CG237-Hoja1!$CB237</f>
        <v>#REF!</v>
      </c>
      <c r="CJ237" s="64" t="str">
        <f t="shared" si="68"/>
        <v>#REF!</v>
      </c>
      <c r="CK237" s="64">
        <v>0.0</v>
      </c>
      <c r="CL237" s="64">
        <v>0.0</v>
      </c>
      <c r="CM237" s="64">
        <v>0.0</v>
      </c>
      <c r="CN237" s="64" t="str">
        <f t="shared" si="12"/>
        <v>#REF!</v>
      </c>
      <c r="CO237" s="68" t="str">
        <f>'[1]DATA CONSOLIDADA 2018-2025 '!$CM237-Hoja1!$CG237</f>
        <v>#REF!</v>
      </c>
      <c r="CP237" s="70">
        <v>0.0</v>
      </c>
      <c r="CQ237" s="70">
        <v>0.0</v>
      </c>
      <c r="CR237" s="70">
        <v>0.0</v>
      </c>
      <c r="CS237" s="70">
        <v>0.0</v>
      </c>
      <c r="CT237" s="70">
        <v>0.0</v>
      </c>
      <c r="CU237" s="70">
        <v>0.0</v>
      </c>
      <c r="CV237" s="64">
        <v>0.0</v>
      </c>
      <c r="CW237" s="64">
        <v>0.0</v>
      </c>
      <c r="CX237" s="64">
        <v>0.0</v>
      </c>
      <c r="CY237" s="64">
        <v>0.0</v>
      </c>
      <c r="CZ237" s="64">
        <v>0.0</v>
      </c>
      <c r="DA237" s="64">
        <v>0.0</v>
      </c>
      <c r="DB237" s="64">
        <v>0.0</v>
      </c>
      <c r="DC237" s="72">
        <v>0.0</v>
      </c>
      <c r="DD237" s="72">
        <v>0.0</v>
      </c>
      <c r="DE237" s="72">
        <v>0.0</v>
      </c>
      <c r="DF237" s="72">
        <v>0.0</v>
      </c>
      <c r="DG237" s="72">
        <v>0.0</v>
      </c>
      <c r="DH237" s="72">
        <v>0.0</v>
      </c>
      <c r="DI237" s="73">
        <v>2.0600250397E10</v>
      </c>
      <c r="DJ237" s="74" t="s">
        <v>893</v>
      </c>
      <c r="DK237" s="74" t="s">
        <v>138</v>
      </c>
      <c r="DL237" s="75"/>
      <c r="DM237" s="75"/>
      <c r="DN237" s="75"/>
      <c r="DO237" s="75"/>
      <c r="DP237" s="75"/>
      <c r="DQ237" s="75"/>
      <c r="DR237" s="75"/>
      <c r="DS237" s="75"/>
      <c r="DT237" s="75"/>
      <c r="DU237" s="75"/>
      <c r="DV237" s="75"/>
      <c r="DW237" s="75"/>
      <c r="DX237" s="75"/>
      <c r="DY237" s="75"/>
      <c r="DZ237" s="75"/>
      <c r="EA237" s="75"/>
      <c r="EB237" s="75"/>
      <c r="EC237" s="75"/>
      <c r="ED237" s="75"/>
      <c r="EE237" s="75"/>
    </row>
    <row r="238" ht="47.25" hidden="1" customHeight="1">
      <c r="A238" s="55" t="s">
        <v>894</v>
      </c>
      <c r="B238" s="55" t="s">
        <v>250</v>
      </c>
      <c r="C238" s="55" t="s">
        <v>250</v>
      </c>
      <c r="D238" s="55" t="s">
        <v>887</v>
      </c>
      <c r="E238" s="55" t="s">
        <v>895</v>
      </c>
      <c r="F238" s="55" t="s">
        <v>889</v>
      </c>
      <c r="G238" s="55" t="s">
        <v>890</v>
      </c>
      <c r="H238" s="55" t="s">
        <v>896</v>
      </c>
      <c r="I238" s="56">
        <v>1.0</v>
      </c>
      <c r="J238" s="56">
        <v>1.0</v>
      </c>
      <c r="K238" s="56">
        <v>1.0</v>
      </c>
      <c r="L238" s="56">
        <v>1.0</v>
      </c>
      <c r="M238" s="56"/>
      <c r="N238" s="56">
        <v>1.0</v>
      </c>
      <c r="O238" s="56"/>
      <c r="P238" s="56">
        <v>1.0</v>
      </c>
      <c r="Q238" s="56" t="s">
        <v>131</v>
      </c>
      <c r="R238" s="58" t="str">
        <f t="shared" si="1"/>
        <v>2018-2019-2020-2021-2023 - 2025</v>
      </c>
      <c r="S238" s="59" t="str">
        <f>SUM(Hoja1!$I238:$P238)</f>
        <v>6</v>
      </c>
      <c r="T238" s="59" t="str">
        <f>IF(OR(Hoja1!$J238=1,Hoja1!$K238=1,Hoja1!$L238=1,Hoja1!$M238=1,Hoja1!$N238=1,Hoja1!$O238=1,Hoja1!$P238=1),"SI","NO")</f>
        <v>SI</v>
      </c>
      <c r="U238" s="59" t="str">
        <f>IF(OR(Hoja1!$K238=1,Hoja1!$L238=1,Hoja1!$M238=1,Hoja1!$N238=1,Hoja1!$O238=1,Hoja1!$P238=1),"SI","NO")</f>
        <v>SI</v>
      </c>
      <c r="V238" s="60">
        <v>59.0</v>
      </c>
      <c r="W238" s="61">
        <v>47.0</v>
      </c>
      <c r="X238" s="61">
        <v>47.0</v>
      </c>
      <c r="Y238" s="60">
        <v>94.0</v>
      </c>
      <c r="Z238" s="61">
        <v>44.0</v>
      </c>
      <c r="AA238" s="61">
        <v>47.0</v>
      </c>
      <c r="AB238" s="60">
        <v>91.0</v>
      </c>
      <c r="AC238" s="61">
        <v>37.0</v>
      </c>
      <c r="AD238" s="61">
        <v>31.0</v>
      </c>
      <c r="AE238" s="60">
        <v>68.0</v>
      </c>
      <c r="AF238" s="61">
        <v>0.0</v>
      </c>
      <c r="AG238" s="61">
        <v>0.0</v>
      </c>
      <c r="AH238" s="60">
        <v>0.0</v>
      </c>
      <c r="AI238" s="61">
        <v>40.0</v>
      </c>
      <c r="AJ238" s="61">
        <v>26.0</v>
      </c>
      <c r="AK238" s="60">
        <v>66.0</v>
      </c>
      <c r="AL238" s="61">
        <v>0.0</v>
      </c>
      <c r="AM238" s="61">
        <v>0.0</v>
      </c>
      <c r="AN238" s="60">
        <v>0.0</v>
      </c>
      <c r="AO238" s="62">
        <v>0.0</v>
      </c>
      <c r="AP238" s="62">
        <v>0.0</v>
      </c>
      <c r="AQ238" s="60">
        <v>0.0</v>
      </c>
      <c r="AR238" s="60" t="str">
        <f>IF(Hoja1!$AQ238&gt;0,Hoja1!$AQ238,IF(Hoja1!$AN238&gt;0,Hoja1!$AN238,IF(Hoja1!$AK238&gt;0,Hoja1!$AK238,IF(Hoja1!$AH238&gt;0,Hoja1!$AH238,IF(Hoja1!$AE238&gt;0,Hoja1!$AE238,IF(Hoja1!$AB238&gt;0,Hoja1!$AB238,IF(Hoja1!$Y238&gt;0,Hoja1!$Y238,IF(Hoja1!$V238&gt;0,Hoja1!$V238," ---"))))))))</f>
        <v>66</v>
      </c>
      <c r="AS238" s="63">
        <v>0.0</v>
      </c>
      <c r="AT238" s="63">
        <v>0.0</v>
      </c>
      <c r="AU238" s="63">
        <v>30.0</v>
      </c>
      <c r="AV238" s="63">
        <v>5.0</v>
      </c>
      <c r="AW238" s="63">
        <v>3.0</v>
      </c>
      <c r="AX238" s="63">
        <v>1.0</v>
      </c>
      <c r="AY238" s="63">
        <v>1.0</v>
      </c>
      <c r="AZ238" s="63">
        <v>0.0</v>
      </c>
      <c r="BA238" s="63">
        <v>0.0</v>
      </c>
      <c r="BB238" s="63">
        <v>0.0</v>
      </c>
      <c r="BC238" s="63">
        <v>0.0</v>
      </c>
      <c r="BD238" s="63">
        <v>0.0</v>
      </c>
      <c r="BE238" s="64">
        <v>0.0</v>
      </c>
      <c r="BF238" s="69">
        <v>0.0</v>
      </c>
      <c r="BG238" s="65">
        <v>0.0</v>
      </c>
      <c r="BH238" s="66">
        <v>0.0</v>
      </c>
      <c r="BI238" s="67" t="str">
        <f t="shared" si="69"/>
        <v>#REF!</v>
      </c>
      <c r="BJ238" s="68" t="str">
        <f t="shared" si="70"/>
        <v>#REF!</v>
      </c>
      <c r="BK238" s="65">
        <v>0.0</v>
      </c>
      <c r="BL238" s="65">
        <v>0.0</v>
      </c>
      <c r="BM238" s="66">
        <v>0.0</v>
      </c>
      <c r="BN238" s="67" t="str">
        <f t="shared" si="71"/>
        <v>#REF!</v>
      </c>
      <c r="BO238" s="68" t="str">
        <f t="shared" si="72"/>
        <v>#REF!</v>
      </c>
      <c r="BP238" s="65">
        <v>64921.02</v>
      </c>
      <c r="BQ238" s="65">
        <v>0.0</v>
      </c>
      <c r="BR238" s="66">
        <v>64921.02</v>
      </c>
      <c r="BS238" s="67" t="str">
        <f t="shared" si="73"/>
        <v>#REF!</v>
      </c>
      <c r="BT238" s="68" t="str">
        <f>'[1]DATA CONSOLIDADA 2018-2025 '!$BR238-Hoja1!$BO238</f>
        <v>#REF!</v>
      </c>
      <c r="BU238" s="65">
        <v>0.0</v>
      </c>
      <c r="BV238" s="65">
        <v>0.0</v>
      </c>
      <c r="BW238" s="66">
        <v>0.0</v>
      </c>
      <c r="BX238" s="67" t="str">
        <f t="shared" si="74"/>
        <v>#REF!</v>
      </c>
      <c r="BY238" s="68" t="str">
        <f t="shared" si="75"/>
        <v>#REF!</v>
      </c>
      <c r="BZ238" s="65">
        <v>47831.2</v>
      </c>
      <c r="CA238" s="65">
        <v>0.0</v>
      </c>
      <c r="CB238" s="66">
        <v>47831.2</v>
      </c>
      <c r="CC238" s="67" t="str">
        <f t="shared" si="76"/>
        <v>#REF!</v>
      </c>
      <c r="CD238" s="68" t="str">
        <f>'[1]DATA CONSOLIDADA 2018-2025 '!$CB238-Hoja1!$BW238</f>
        <v>#REF!</v>
      </c>
      <c r="CE238" s="70">
        <v>0.0</v>
      </c>
      <c r="CF238" s="70">
        <v>0.0</v>
      </c>
      <c r="CG238" s="71">
        <v>0.0</v>
      </c>
      <c r="CH238" s="67" t="str">
        <f t="shared" si="77"/>
        <v>#REF!</v>
      </c>
      <c r="CI238" s="68" t="str">
        <f>'[1]DATA CONSOLIDADA 2018-2025 '!$CG238-Hoja1!$CB238</f>
        <v>#REF!</v>
      </c>
      <c r="CJ238" s="64" t="str">
        <f t="shared" si="68"/>
        <v>#REF!</v>
      </c>
      <c r="CK238" s="64">
        <v>58855.200000000004</v>
      </c>
      <c r="CL238" s="64">
        <v>0.0</v>
      </c>
      <c r="CM238" s="64">
        <v>58855.200000000004</v>
      </c>
      <c r="CN238" s="64" t="str">
        <f t="shared" si="12"/>
        <v>#REF!</v>
      </c>
      <c r="CO238" s="68" t="str">
        <f>'[1]DATA CONSOLIDADA 2018-2025 '!$CM238-Hoja1!$CG238</f>
        <v>#REF!</v>
      </c>
      <c r="CP238" s="70">
        <v>0.0</v>
      </c>
      <c r="CQ238" s="70">
        <v>47831.2</v>
      </c>
      <c r="CR238" s="70">
        <v>0.0</v>
      </c>
      <c r="CS238" s="70">
        <v>0.0</v>
      </c>
      <c r="CT238" s="70">
        <v>0.0</v>
      </c>
      <c r="CU238" s="70">
        <v>0.0</v>
      </c>
      <c r="CV238" s="64">
        <v>47831.2</v>
      </c>
      <c r="CW238" s="64">
        <v>0.0</v>
      </c>
      <c r="CX238" s="64">
        <v>0.0</v>
      </c>
      <c r="CY238" s="64">
        <v>0.0</v>
      </c>
      <c r="CZ238" s="64">
        <v>0.0</v>
      </c>
      <c r="DA238" s="64">
        <v>0.0</v>
      </c>
      <c r="DB238" s="64">
        <v>0.0</v>
      </c>
      <c r="DC238" s="72">
        <v>0.0</v>
      </c>
      <c r="DD238" s="72">
        <v>58855.200000000004</v>
      </c>
      <c r="DE238" s="72">
        <v>0.0</v>
      </c>
      <c r="DF238" s="72">
        <v>0.0</v>
      </c>
      <c r="DG238" s="72">
        <v>0.0</v>
      </c>
      <c r="DH238" s="72">
        <v>58855.200000000004</v>
      </c>
      <c r="DI238" s="73">
        <v>2.0532737932E10</v>
      </c>
      <c r="DJ238" s="74" t="s">
        <v>894</v>
      </c>
      <c r="DK238" s="74" t="s">
        <v>523</v>
      </c>
      <c r="DL238" s="75"/>
      <c r="DM238" s="75"/>
      <c r="DN238" s="75"/>
      <c r="DO238" s="75"/>
      <c r="DP238" s="75"/>
      <c r="DQ238" s="75"/>
      <c r="DR238" s="75"/>
      <c r="DS238" s="75"/>
      <c r="DT238" s="75"/>
      <c r="DU238" s="75"/>
      <c r="DV238" s="75"/>
      <c r="DW238" s="75"/>
      <c r="DX238" s="75"/>
      <c r="DY238" s="75"/>
      <c r="DZ238" s="75"/>
      <c r="EA238" s="75"/>
      <c r="EB238" s="75"/>
      <c r="EC238" s="75"/>
      <c r="ED238" s="75"/>
      <c r="EE238" s="75"/>
    </row>
    <row r="239" ht="47.25" hidden="1" customHeight="1">
      <c r="A239" s="55" t="s">
        <v>897</v>
      </c>
      <c r="B239" s="55" t="s">
        <v>898</v>
      </c>
      <c r="C239" s="55" t="s">
        <v>898</v>
      </c>
      <c r="D239" s="55" t="s">
        <v>887</v>
      </c>
      <c r="E239" s="55" t="s">
        <v>899</v>
      </c>
      <c r="F239" s="55" t="s">
        <v>889</v>
      </c>
      <c r="G239" s="55" t="s">
        <v>900</v>
      </c>
      <c r="H239" s="55" t="s">
        <v>901</v>
      </c>
      <c r="I239" s="56"/>
      <c r="J239" s="56">
        <v>1.0</v>
      </c>
      <c r="K239" s="56">
        <v>1.0</v>
      </c>
      <c r="L239" s="56"/>
      <c r="M239" s="56"/>
      <c r="N239" s="56"/>
      <c r="O239" s="56"/>
      <c r="P239" s="56"/>
      <c r="Q239" s="56" t="s">
        <v>131</v>
      </c>
      <c r="R239" s="58" t="str">
        <f t="shared" si="1"/>
        <v>2019-2020</v>
      </c>
      <c r="S239" s="59" t="str">
        <f>SUM(Hoja1!$I239:$P239)</f>
        <v>2</v>
      </c>
      <c r="T239" s="59" t="str">
        <f>IF(OR(Hoja1!$J239=1,Hoja1!$K239=1,Hoja1!$L239=1,Hoja1!$M239=1,Hoja1!$N239=1,Hoja1!$O239=1,Hoja1!$P239=1),"SI","NO")</f>
        <v>SI</v>
      </c>
      <c r="U239" s="59" t="str">
        <f>IF(OR(Hoja1!$K239=1,Hoja1!$L239=1,Hoja1!$M239=1,Hoja1!$N239=1,Hoja1!$O239=1,Hoja1!$P239=1),"SI","NO")</f>
        <v>SI</v>
      </c>
      <c r="V239" s="60">
        <v>0.0</v>
      </c>
      <c r="W239" s="61">
        <v>43.0</v>
      </c>
      <c r="X239" s="61">
        <v>7.0</v>
      </c>
      <c r="Y239" s="60">
        <v>50.0</v>
      </c>
      <c r="Z239" s="61">
        <v>40.0</v>
      </c>
      <c r="AA239" s="61">
        <v>9.0</v>
      </c>
      <c r="AB239" s="60">
        <v>49.0</v>
      </c>
      <c r="AC239" s="61">
        <v>0.0</v>
      </c>
      <c r="AD239" s="61">
        <v>0.0</v>
      </c>
      <c r="AE239" s="60">
        <v>0.0</v>
      </c>
      <c r="AF239" s="61">
        <v>0.0</v>
      </c>
      <c r="AG239" s="61">
        <v>0.0</v>
      </c>
      <c r="AH239" s="60">
        <v>0.0</v>
      </c>
      <c r="AI239" s="61">
        <v>0.0</v>
      </c>
      <c r="AJ239" s="61">
        <v>0.0</v>
      </c>
      <c r="AK239" s="60">
        <v>0.0</v>
      </c>
      <c r="AL239" s="61">
        <v>0.0</v>
      </c>
      <c r="AM239" s="61">
        <v>0.0</v>
      </c>
      <c r="AN239" s="60">
        <v>0.0</v>
      </c>
      <c r="AO239" s="62">
        <v>0.0</v>
      </c>
      <c r="AP239" s="62">
        <v>0.0</v>
      </c>
      <c r="AQ239" s="60">
        <v>0.0</v>
      </c>
      <c r="AR239" s="60" t="str">
        <f>IF(Hoja1!$AQ239&gt;0,Hoja1!$AQ239,IF(Hoja1!$AN239&gt;0,Hoja1!$AN239,IF(Hoja1!$AK239&gt;0,Hoja1!$AK239,IF(Hoja1!$AH239&gt;0,Hoja1!$AH239,IF(Hoja1!$AE239&gt;0,Hoja1!$AE239,IF(Hoja1!$AB239&gt;0,Hoja1!$AB239,IF(Hoja1!$Y239&gt;0,Hoja1!$Y239,IF(Hoja1!$V239&gt;0,Hoja1!$V239," ---"))))))))</f>
        <v>49</v>
      </c>
      <c r="AS239" s="63">
        <v>0.0</v>
      </c>
      <c r="AT239" s="63">
        <v>0.0</v>
      </c>
      <c r="AU239" s="63">
        <v>0.0</v>
      </c>
      <c r="AV239" s="63">
        <v>0.0</v>
      </c>
      <c r="AW239" s="63">
        <v>0.0</v>
      </c>
      <c r="AX239" s="63">
        <v>0.0</v>
      </c>
      <c r="AY239" s="63">
        <v>0.0</v>
      </c>
      <c r="AZ239" s="63">
        <v>0.0</v>
      </c>
      <c r="BA239" s="63">
        <v>0.0</v>
      </c>
      <c r="BB239" s="63">
        <v>0.0</v>
      </c>
      <c r="BC239" s="63">
        <v>0.0</v>
      </c>
      <c r="BD239" s="63">
        <v>0.0</v>
      </c>
      <c r="BE239" s="64">
        <v>0.0</v>
      </c>
      <c r="BF239" s="65">
        <v>0.0</v>
      </c>
      <c r="BG239" s="65">
        <v>0.0</v>
      </c>
      <c r="BH239" s="66">
        <v>0.0</v>
      </c>
      <c r="BI239" s="67" t="str">
        <f t="shared" si="69"/>
        <v>#REF!</v>
      </c>
      <c r="BJ239" s="68" t="str">
        <f t="shared" si="70"/>
        <v>#REF!</v>
      </c>
      <c r="BK239" s="65">
        <v>0.0</v>
      </c>
      <c r="BL239" s="65">
        <v>0.0</v>
      </c>
      <c r="BM239" s="66">
        <v>0.0</v>
      </c>
      <c r="BN239" s="67" t="str">
        <f t="shared" si="71"/>
        <v>#REF!</v>
      </c>
      <c r="BO239" s="68" t="str">
        <f t="shared" si="72"/>
        <v>#REF!</v>
      </c>
      <c r="BP239" s="65">
        <v>0.0</v>
      </c>
      <c r="BQ239" s="65">
        <v>0.0</v>
      </c>
      <c r="BR239" s="66">
        <v>0.0</v>
      </c>
      <c r="BS239" s="67" t="str">
        <f t="shared" si="73"/>
        <v>#REF!</v>
      </c>
      <c r="BT239" s="68" t="str">
        <f>'[1]DATA CONSOLIDADA 2018-2025 '!$BR239-Hoja1!$BO239</f>
        <v>#REF!</v>
      </c>
      <c r="BU239" s="65">
        <v>0.0</v>
      </c>
      <c r="BV239" s="65">
        <v>0.0</v>
      </c>
      <c r="BW239" s="66">
        <v>0.0</v>
      </c>
      <c r="BX239" s="67" t="str">
        <f t="shared" si="74"/>
        <v>#REF!</v>
      </c>
      <c r="BY239" s="68" t="str">
        <f t="shared" si="75"/>
        <v>#REF!</v>
      </c>
      <c r="BZ239" s="65">
        <v>0.0</v>
      </c>
      <c r="CA239" s="65">
        <v>0.0</v>
      </c>
      <c r="CB239" s="66">
        <v>0.0</v>
      </c>
      <c r="CC239" s="67" t="str">
        <f t="shared" si="76"/>
        <v>#REF!</v>
      </c>
      <c r="CD239" s="68" t="str">
        <f>'[1]DATA CONSOLIDADA 2018-2025 '!$CB239-Hoja1!$BW239</f>
        <v>#REF!</v>
      </c>
      <c r="CE239" s="70">
        <v>0.0</v>
      </c>
      <c r="CF239" s="70">
        <v>0.0</v>
      </c>
      <c r="CG239" s="71">
        <v>0.0</v>
      </c>
      <c r="CH239" s="67" t="str">
        <f t="shared" si="77"/>
        <v>#REF!</v>
      </c>
      <c r="CI239" s="68" t="str">
        <f>'[1]DATA CONSOLIDADA 2018-2025 '!$CG239-Hoja1!$CB239</f>
        <v>#REF!</v>
      </c>
      <c r="CJ239" s="64" t="str">
        <f t="shared" si="68"/>
        <v>#REF!</v>
      </c>
      <c r="CK239" s="64">
        <v>0.0</v>
      </c>
      <c r="CL239" s="64">
        <v>0.0</v>
      </c>
      <c r="CM239" s="64">
        <v>0.0</v>
      </c>
      <c r="CN239" s="64" t="str">
        <f t="shared" si="12"/>
        <v>#REF!</v>
      </c>
      <c r="CO239" s="68" t="str">
        <f>'[1]DATA CONSOLIDADA 2018-2025 '!$CM239-Hoja1!$CG239</f>
        <v>#REF!</v>
      </c>
      <c r="CP239" s="70">
        <v>0.0</v>
      </c>
      <c r="CQ239" s="70">
        <v>0.0</v>
      </c>
      <c r="CR239" s="70">
        <v>0.0</v>
      </c>
      <c r="CS239" s="70">
        <v>0.0</v>
      </c>
      <c r="CT239" s="70">
        <v>0.0</v>
      </c>
      <c r="CU239" s="70">
        <v>0.0</v>
      </c>
      <c r="CV239" s="64">
        <v>0.0</v>
      </c>
      <c r="CW239" s="64">
        <v>0.0</v>
      </c>
      <c r="CX239" s="64">
        <v>0.0</v>
      </c>
      <c r="CY239" s="64">
        <v>0.0</v>
      </c>
      <c r="CZ239" s="64">
        <v>0.0</v>
      </c>
      <c r="DA239" s="64">
        <v>0.0</v>
      </c>
      <c r="DB239" s="64">
        <v>0.0</v>
      </c>
      <c r="DC239" s="72">
        <v>0.0</v>
      </c>
      <c r="DD239" s="72">
        <v>0.0</v>
      </c>
      <c r="DE239" s="72">
        <v>0.0</v>
      </c>
      <c r="DF239" s="72">
        <v>0.0</v>
      </c>
      <c r="DG239" s="72">
        <v>0.0</v>
      </c>
      <c r="DH239" s="72">
        <v>0.0</v>
      </c>
      <c r="DI239" s="73">
        <v>2.0532561397E10</v>
      </c>
      <c r="DJ239" s="74" t="s">
        <v>897</v>
      </c>
      <c r="DK239" s="74" t="s">
        <v>523</v>
      </c>
      <c r="DL239" s="75"/>
      <c r="DM239" s="75"/>
      <c r="DN239" s="75"/>
      <c r="DO239" s="75"/>
      <c r="DP239" s="75"/>
      <c r="DQ239" s="75"/>
      <c r="DR239" s="75"/>
      <c r="DS239" s="75"/>
      <c r="DT239" s="75"/>
      <c r="DU239" s="75"/>
      <c r="DV239" s="75"/>
      <c r="DW239" s="75"/>
      <c r="DX239" s="75"/>
      <c r="DY239" s="75"/>
      <c r="DZ239" s="75"/>
      <c r="EA239" s="75"/>
      <c r="EB239" s="75"/>
      <c r="EC239" s="75"/>
      <c r="ED239" s="75"/>
      <c r="EE239" s="75"/>
    </row>
    <row r="240" ht="47.25" hidden="1" customHeight="1">
      <c r="A240" s="55" t="s">
        <v>902</v>
      </c>
      <c r="B240" s="55" t="s">
        <v>898</v>
      </c>
      <c r="C240" s="55" t="s">
        <v>898</v>
      </c>
      <c r="D240" s="55" t="s">
        <v>887</v>
      </c>
      <c r="E240" s="55" t="s">
        <v>903</v>
      </c>
      <c r="F240" s="55" t="s">
        <v>889</v>
      </c>
      <c r="G240" s="55" t="s">
        <v>900</v>
      </c>
      <c r="H240" s="55" t="s">
        <v>904</v>
      </c>
      <c r="I240" s="56"/>
      <c r="J240" s="56">
        <v>1.0</v>
      </c>
      <c r="K240" s="56">
        <v>1.0</v>
      </c>
      <c r="L240" s="56"/>
      <c r="M240" s="56"/>
      <c r="N240" s="56"/>
      <c r="O240" s="56"/>
      <c r="P240" s="56"/>
      <c r="Q240" s="56" t="s">
        <v>131</v>
      </c>
      <c r="R240" s="58" t="str">
        <f t="shared" si="1"/>
        <v>2019-2020</v>
      </c>
      <c r="S240" s="59" t="str">
        <f>SUM(Hoja1!$I240:$P240)</f>
        <v>2</v>
      </c>
      <c r="T240" s="59" t="str">
        <f>IF(OR(Hoja1!$J240=1,Hoja1!$K240=1,Hoja1!$L240=1,Hoja1!$M240=1,Hoja1!$N240=1,Hoja1!$O240=1,Hoja1!$P240=1),"SI","NO")</f>
        <v>SI</v>
      </c>
      <c r="U240" s="59" t="str">
        <f>IF(OR(Hoja1!$K240=1,Hoja1!$L240=1,Hoja1!$M240=1,Hoja1!$N240=1,Hoja1!$O240=1,Hoja1!$P240=1),"SI","NO")</f>
        <v>SI</v>
      </c>
      <c r="V240" s="60">
        <v>0.0</v>
      </c>
      <c r="W240" s="61">
        <v>22.0</v>
      </c>
      <c r="X240" s="61">
        <v>19.0</v>
      </c>
      <c r="Y240" s="60">
        <v>41.0</v>
      </c>
      <c r="Z240" s="61">
        <v>30.0</v>
      </c>
      <c r="AA240" s="61">
        <v>20.0</v>
      </c>
      <c r="AB240" s="60">
        <v>50.0</v>
      </c>
      <c r="AC240" s="61">
        <v>0.0</v>
      </c>
      <c r="AD240" s="61">
        <v>0.0</v>
      </c>
      <c r="AE240" s="60">
        <v>0.0</v>
      </c>
      <c r="AF240" s="61">
        <v>0.0</v>
      </c>
      <c r="AG240" s="61">
        <v>0.0</v>
      </c>
      <c r="AH240" s="60">
        <v>0.0</v>
      </c>
      <c r="AI240" s="61">
        <v>0.0</v>
      </c>
      <c r="AJ240" s="61">
        <v>0.0</v>
      </c>
      <c r="AK240" s="60">
        <v>0.0</v>
      </c>
      <c r="AL240" s="61">
        <v>0.0</v>
      </c>
      <c r="AM240" s="61">
        <v>0.0</v>
      </c>
      <c r="AN240" s="60">
        <v>0.0</v>
      </c>
      <c r="AO240" s="62">
        <v>0.0</v>
      </c>
      <c r="AP240" s="62">
        <v>0.0</v>
      </c>
      <c r="AQ240" s="60">
        <v>0.0</v>
      </c>
      <c r="AR240" s="60" t="str">
        <f>IF(Hoja1!$AQ240&gt;0,Hoja1!$AQ240,IF(Hoja1!$AN240&gt;0,Hoja1!$AN240,IF(Hoja1!$AK240&gt;0,Hoja1!$AK240,IF(Hoja1!$AH240&gt;0,Hoja1!$AH240,IF(Hoja1!$AE240&gt;0,Hoja1!$AE240,IF(Hoja1!$AB240&gt;0,Hoja1!$AB240,IF(Hoja1!$Y240&gt;0,Hoja1!$Y240,IF(Hoja1!$V240&gt;0,Hoja1!$V240," ---"))))))))</f>
        <v>50</v>
      </c>
      <c r="AS240" s="63">
        <v>0.0</v>
      </c>
      <c r="AT240" s="63">
        <v>0.0</v>
      </c>
      <c r="AU240" s="63">
        <v>0.0</v>
      </c>
      <c r="AV240" s="63">
        <v>0.0</v>
      </c>
      <c r="AW240" s="63">
        <v>0.0</v>
      </c>
      <c r="AX240" s="63">
        <v>0.0</v>
      </c>
      <c r="AY240" s="63">
        <v>0.0</v>
      </c>
      <c r="AZ240" s="63">
        <v>0.0</v>
      </c>
      <c r="BA240" s="63">
        <v>0.0</v>
      </c>
      <c r="BB240" s="63">
        <v>0.0</v>
      </c>
      <c r="BC240" s="63">
        <v>0.0</v>
      </c>
      <c r="BD240" s="63">
        <v>0.0</v>
      </c>
      <c r="BE240" s="64">
        <v>0.0</v>
      </c>
      <c r="BF240" s="65">
        <v>0.0</v>
      </c>
      <c r="BG240" s="65">
        <v>0.0</v>
      </c>
      <c r="BH240" s="66">
        <v>0.0</v>
      </c>
      <c r="BI240" s="67" t="str">
        <f t="shared" si="69"/>
        <v>#REF!</v>
      </c>
      <c r="BJ240" s="68" t="str">
        <f t="shared" si="70"/>
        <v>#REF!</v>
      </c>
      <c r="BK240" s="65">
        <v>545261.08</v>
      </c>
      <c r="BL240" s="65">
        <v>0.0</v>
      </c>
      <c r="BM240" s="66">
        <v>545261.08</v>
      </c>
      <c r="BN240" s="67" t="str">
        <f t="shared" si="71"/>
        <v>#REF!</v>
      </c>
      <c r="BO240" s="68" t="str">
        <f t="shared" si="72"/>
        <v>#REF!</v>
      </c>
      <c r="BP240" s="65">
        <v>0.0</v>
      </c>
      <c r="BQ240" s="65">
        <v>0.0</v>
      </c>
      <c r="BR240" s="66">
        <v>0.0</v>
      </c>
      <c r="BS240" s="67" t="str">
        <f t="shared" si="73"/>
        <v>#REF!</v>
      </c>
      <c r="BT240" s="68" t="str">
        <f>'[1]DATA CONSOLIDADA 2018-2025 '!$BR240-Hoja1!$BO240</f>
        <v>#REF!</v>
      </c>
      <c r="BU240" s="65">
        <v>0.0</v>
      </c>
      <c r="BV240" s="65">
        <v>0.0</v>
      </c>
      <c r="BW240" s="66">
        <v>0.0</v>
      </c>
      <c r="BX240" s="67" t="str">
        <f t="shared" si="74"/>
        <v>#REF!</v>
      </c>
      <c r="BY240" s="68" t="str">
        <f t="shared" si="75"/>
        <v>#REF!</v>
      </c>
      <c r="BZ240" s="65">
        <v>0.0</v>
      </c>
      <c r="CA240" s="65">
        <v>0.0</v>
      </c>
      <c r="CB240" s="66">
        <v>0.0</v>
      </c>
      <c r="CC240" s="67" t="str">
        <f t="shared" si="76"/>
        <v>#REF!</v>
      </c>
      <c r="CD240" s="68" t="str">
        <f>'[1]DATA CONSOLIDADA 2018-2025 '!$CB240-Hoja1!$BW240</f>
        <v>#REF!</v>
      </c>
      <c r="CE240" s="70">
        <v>0.0</v>
      </c>
      <c r="CF240" s="70">
        <v>0.0</v>
      </c>
      <c r="CG240" s="71">
        <v>0.0</v>
      </c>
      <c r="CH240" s="67" t="str">
        <f t="shared" si="77"/>
        <v>#REF!</v>
      </c>
      <c r="CI240" s="68" t="str">
        <f>'[1]DATA CONSOLIDADA 2018-2025 '!$CG240-Hoja1!$CB240</f>
        <v>#REF!</v>
      </c>
      <c r="CJ240" s="64" t="str">
        <f t="shared" si="68"/>
        <v>#REF!</v>
      </c>
      <c r="CK240" s="64">
        <v>0.0</v>
      </c>
      <c r="CL240" s="64">
        <v>0.0</v>
      </c>
      <c r="CM240" s="64">
        <v>0.0</v>
      </c>
      <c r="CN240" s="64" t="str">
        <f t="shared" si="12"/>
        <v>#REF!</v>
      </c>
      <c r="CO240" s="68" t="str">
        <f>'[1]DATA CONSOLIDADA 2018-2025 '!$CM240-Hoja1!$CG240</f>
        <v>#REF!</v>
      </c>
      <c r="CP240" s="70">
        <v>0.0</v>
      </c>
      <c r="CQ240" s="70">
        <v>0.0</v>
      </c>
      <c r="CR240" s="70">
        <v>0.0</v>
      </c>
      <c r="CS240" s="70">
        <v>0.0</v>
      </c>
      <c r="CT240" s="70">
        <v>0.0</v>
      </c>
      <c r="CU240" s="70">
        <v>0.0</v>
      </c>
      <c r="CV240" s="64">
        <v>0.0</v>
      </c>
      <c r="CW240" s="64">
        <v>0.0</v>
      </c>
      <c r="CX240" s="64">
        <v>0.0</v>
      </c>
      <c r="CY240" s="64">
        <v>0.0</v>
      </c>
      <c r="CZ240" s="64">
        <v>0.0</v>
      </c>
      <c r="DA240" s="64">
        <v>0.0</v>
      </c>
      <c r="DB240" s="64">
        <v>0.0</v>
      </c>
      <c r="DC240" s="72">
        <v>0.0</v>
      </c>
      <c r="DD240" s="72">
        <v>0.0</v>
      </c>
      <c r="DE240" s="72">
        <v>0.0</v>
      </c>
      <c r="DF240" s="72">
        <v>0.0</v>
      </c>
      <c r="DG240" s="72">
        <v>0.0</v>
      </c>
      <c r="DH240" s="72">
        <v>0.0</v>
      </c>
      <c r="DI240" s="73">
        <v>2.0539644603E10</v>
      </c>
      <c r="DJ240" s="74" t="s">
        <v>905</v>
      </c>
      <c r="DK240" s="74" t="s">
        <v>138</v>
      </c>
      <c r="DL240" s="75"/>
      <c r="DM240" s="75"/>
      <c r="DN240" s="75"/>
      <c r="DO240" s="75"/>
      <c r="DP240" s="75"/>
      <c r="DQ240" s="75"/>
      <c r="DR240" s="75"/>
      <c r="DS240" s="75"/>
      <c r="DT240" s="75"/>
      <c r="DU240" s="75"/>
      <c r="DV240" s="75"/>
      <c r="DW240" s="75"/>
      <c r="DX240" s="75"/>
      <c r="DY240" s="75"/>
      <c r="DZ240" s="75"/>
      <c r="EA240" s="75"/>
      <c r="EB240" s="75"/>
      <c r="EC240" s="75"/>
      <c r="ED240" s="75"/>
      <c r="EE240" s="75"/>
    </row>
    <row r="241" ht="47.25" hidden="1" customHeight="1">
      <c r="A241" s="55" t="s">
        <v>906</v>
      </c>
      <c r="B241" s="55" t="s">
        <v>907</v>
      </c>
      <c r="C241" s="55" t="s">
        <v>907</v>
      </c>
      <c r="D241" s="55" t="s">
        <v>887</v>
      </c>
      <c r="E241" s="55" t="s">
        <v>888</v>
      </c>
      <c r="F241" s="55" t="s">
        <v>889</v>
      </c>
      <c r="G241" s="55" t="s">
        <v>890</v>
      </c>
      <c r="H241" s="55" t="s">
        <v>889</v>
      </c>
      <c r="I241" s="56"/>
      <c r="J241" s="56"/>
      <c r="K241" s="56">
        <v>1.0</v>
      </c>
      <c r="L241" s="56">
        <v>1.0</v>
      </c>
      <c r="M241" s="56">
        <v>1.0</v>
      </c>
      <c r="N241" s="56">
        <v>0.0</v>
      </c>
      <c r="O241" s="56">
        <v>1.0</v>
      </c>
      <c r="P241" s="56"/>
      <c r="Q241" s="56" t="s">
        <v>131</v>
      </c>
      <c r="R241" s="58" t="str">
        <f t="shared" si="1"/>
        <v>2020-2021-2022-2024</v>
      </c>
      <c r="S241" s="59" t="str">
        <f>SUM(Hoja1!$I241:$P241)</f>
        <v>4</v>
      </c>
      <c r="T241" s="59" t="str">
        <f>IF(OR(Hoja1!$J241=1,Hoja1!$K241=1,Hoja1!$L241=1,Hoja1!$M241=1,Hoja1!$N241=1,Hoja1!$O241=1,Hoja1!$P241=1),"SI","NO")</f>
        <v>SI</v>
      </c>
      <c r="U241" s="59" t="str">
        <f>IF(OR(Hoja1!$K241=1,Hoja1!$L241=1,Hoja1!$M241=1,Hoja1!$N241=1,Hoja1!$O241=1,Hoja1!$P241=1),"SI","NO")</f>
        <v>SI</v>
      </c>
      <c r="V241" s="60">
        <v>0.0</v>
      </c>
      <c r="W241" s="61">
        <v>0.0</v>
      </c>
      <c r="X241" s="61">
        <v>0.0</v>
      </c>
      <c r="Y241" s="60">
        <v>0.0</v>
      </c>
      <c r="Z241" s="61">
        <v>27.0</v>
      </c>
      <c r="AA241" s="61">
        <v>27.0</v>
      </c>
      <c r="AB241" s="60">
        <v>54.0</v>
      </c>
      <c r="AC241" s="61">
        <v>29.0</v>
      </c>
      <c r="AD241" s="61">
        <v>25.0</v>
      </c>
      <c r="AE241" s="60">
        <v>54.0</v>
      </c>
      <c r="AF241" s="61">
        <v>29.0</v>
      </c>
      <c r="AG241" s="61">
        <v>25.0</v>
      </c>
      <c r="AH241" s="60">
        <v>54.0</v>
      </c>
      <c r="AI241" s="61">
        <v>0.0</v>
      </c>
      <c r="AJ241" s="61">
        <v>0.0</v>
      </c>
      <c r="AK241" s="60">
        <v>0.0</v>
      </c>
      <c r="AL241" s="61">
        <v>27.0</v>
      </c>
      <c r="AM241" s="61">
        <v>27.0</v>
      </c>
      <c r="AN241" s="60">
        <v>54.0</v>
      </c>
      <c r="AO241" s="62">
        <v>0.0</v>
      </c>
      <c r="AP241" s="62">
        <v>0.0</v>
      </c>
      <c r="AQ241" s="60">
        <v>0.0</v>
      </c>
      <c r="AR241" s="60" t="str">
        <f>IF(Hoja1!$AQ241&gt;0,Hoja1!$AQ241,IF(Hoja1!$AN241&gt;0,Hoja1!$AN241,IF(Hoja1!$AK241&gt;0,Hoja1!$AK241,IF(Hoja1!$AH241&gt;0,Hoja1!$AH241,IF(Hoja1!$AE241&gt;0,Hoja1!$AE241,IF(Hoja1!$AB241&gt;0,Hoja1!$AB241,IF(Hoja1!$Y241&gt;0,Hoja1!$Y241,IF(Hoja1!$V241&gt;0,Hoja1!$V241," ---"))))))))</f>
        <v>54</v>
      </c>
      <c r="AS241" s="63">
        <v>0.0</v>
      </c>
      <c r="AT241" s="63">
        <v>0.0</v>
      </c>
      <c r="AU241" s="63">
        <v>36.0</v>
      </c>
      <c r="AV241" s="63">
        <v>10.0</v>
      </c>
      <c r="AW241" s="63">
        <v>27.0</v>
      </c>
      <c r="AX241" s="63">
        <v>7.0</v>
      </c>
      <c r="AY241" s="63">
        <v>0.0</v>
      </c>
      <c r="AZ241" s="63">
        <v>0.0</v>
      </c>
      <c r="BA241" s="63">
        <v>0.0</v>
      </c>
      <c r="BB241" s="63">
        <v>0.0</v>
      </c>
      <c r="BC241" s="63">
        <v>0.0</v>
      </c>
      <c r="BD241" s="63">
        <v>0.0</v>
      </c>
      <c r="BE241" s="64">
        <v>0.0</v>
      </c>
      <c r="BF241" s="69">
        <v>0.0</v>
      </c>
      <c r="BG241" s="69">
        <v>0.0</v>
      </c>
      <c r="BH241" s="64">
        <v>0.0</v>
      </c>
      <c r="BI241" s="67" t="str">
        <f t="shared" si="69"/>
        <v>#REF!</v>
      </c>
      <c r="BJ241" s="68" t="str">
        <f t="shared" si="70"/>
        <v>#REF!</v>
      </c>
      <c r="BK241" s="65">
        <v>4395000.0</v>
      </c>
      <c r="BL241" s="65">
        <v>0.0</v>
      </c>
      <c r="BM241" s="66">
        <v>4395000.0</v>
      </c>
      <c r="BN241" s="67" t="str">
        <f t="shared" si="71"/>
        <v>#REF!</v>
      </c>
      <c r="BO241" s="68" t="str">
        <f t="shared" si="72"/>
        <v>#REF!</v>
      </c>
      <c r="BP241" s="65">
        <v>110889.05</v>
      </c>
      <c r="BQ241" s="65">
        <v>0.0</v>
      </c>
      <c r="BR241" s="66">
        <v>110889.05</v>
      </c>
      <c r="BS241" s="67" t="str">
        <f t="shared" si="73"/>
        <v>#REF!</v>
      </c>
      <c r="BT241" s="68" t="str">
        <f>'[1]DATA CONSOLIDADA 2018-2025 '!$BR241-Hoja1!$BO241</f>
        <v>#REF!</v>
      </c>
      <c r="BU241" s="65">
        <v>747748.0</v>
      </c>
      <c r="BV241" s="65">
        <v>0.0</v>
      </c>
      <c r="BW241" s="66">
        <v>747748.0</v>
      </c>
      <c r="BX241" s="67" t="str">
        <f t="shared" si="74"/>
        <v>#REF!</v>
      </c>
      <c r="BY241" s="68" t="str">
        <f t="shared" si="75"/>
        <v>#REF!</v>
      </c>
      <c r="BZ241" s="65">
        <v>841975.4</v>
      </c>
      <c r="CA241" s="65">
        <v>0.0</v>
      </c>
      <c r="CB241" s="66">
        <v>841975.4</v>
      </c>
      <c r="CC241" s="67" t="str">
        <f t="shared" si="76"/>
        <v>#REF!</v>
      </c>
      <c r="CD241" s="68" t="str">
        <f>'[1]DATA CONSOLIDADA 2018-2025 '!$CB241-Hoja1!$BW241</f>
        <v>#REF!</v>
      </c>
      <c r="CE241" s="70">
        <v>1277517.75</v>
      </c>
      <c r="CF241" s="70">
        <v>0.0</v>
      </c>
      <c r="CG241" s="71">
        <v>1277517.75</v>
      </c>
      <c r="CH241" s="67" t="str">
        <f t="shared" si="77"/>
        <v>#REF!</v>
      </c>
      <c r="CI241" s="68" t="str">
        <f>'[1]DATA CONSOLIDADA 2018-2025 '!$CG241-Hoja1!$CB241</f>
        <v>#REF!</v>
      </c>
      <c r="CJ241" s="64" t="str">
        <f t="shared" si="68"/>
        <v>#REF!</v>
      </c>
      <c r="CK241" s="64">
        <v>0.0</v>
      </c>
      <c r="CL241" s="64">
        <v>0.0</v>
      </c>
      <c r="CM241" s="64">
        <v>0.0</v>
      </c>
      <c r="CN241" s="64" t="str">
        <f t="shared" si="12"/>
        <v>#REF!</v>
      </c>
      <c r="CO241" s="68" t="str">
        <f>'[1]DATA CONSOLIDADA 2018-2025 '!$CM241-Hoja1!$CG241</f>
        <v>#REF!</v>
      </c>
      <c r="CP241" s="70">
        <v>0.0</v>
      </c>
      <c r="CQ241" s="70">
        <v>841975.4</v>
      </c>
      <c r="CR241" s="70">
        <v>0.0</v>
      </c>
      <c r="CS241" s="70">
        <v>0.0</v>
      </c>
      <c r="CT241" s="70">
        <v>0.0</v>
      </c>
      <c r="CU241" s="70">
        <v>0.0</v>
      </c>
      <c r="CV241" s="64">
        <v>841975.4</v>
      </c>
      <c r="CW241" s="64">
        <v>0.0</v>
      </c>
      <c r="CX241" s="64">
        <v>1082100.0</v>
      </c>
      <c r="CY241" s="64">
        <v>0.0</v>
      </c>
      <c r="CZ241" s="64">
        <v>0.0</v>
      </c>
      <c r="DA241" s="64">
        <v>195417.75</v>
      </c>
      <c r="DB241" s="64">
        <v>1277517.75</v>
      </c>
      <c r="DC241" s="72">
        <v>0.0</v>
      </c>
      <c r="DD241" s="72">
        <v>0.0</v>
      </c>
      <c r="DE241" s="72">
        <v>0.0</v>
      </c>
      <c r="DF241" s="72">
        <v>0.0</v>
      </c>
      <c r="DG241" s="72">
        <v>0.0</v>
      </c>
      <c r="DH241" s="72">
        <v>0.0</v>
      </c>
      <c r="DI241" s="73">
        <v>2.0520081233E10</v>
      </c>
      <c r="DJ241" s="74" t="s">
        <v>908</v>
      </c>
      <c r="DK241" s="74" t="s">
        <v>138</v>
      </c>
      <c r="DL241" s="75"/>
      <c r="DM241" s="75"/>
      <c r="DN241" s="75"/>
      <c r="DO241" s="75"/>
      <c r="DP241" s="75"/>
      <c r="DQ241" s="75"/>
      <c r="DR241" s="75"/>
      <c r="DS241" s="75"/>
      <c r="DT241" s="75"/>
      <c r="DU241" s="75"/>
      <c r="DV241" s="75"/>
      <c r="DW241" s="75"/>
      <c r="DX241" s="75"/>
      <c r="DY241" s="75"/>
      <c r="DZ241" s="75"/>
      <c r="EA241" s="75"/>
      <c r="EB241" s="75"/>
      <c r="EC241" s="75"/>
      <c r="ED241" s="75"/>
      <c r="EE241" s="75"/>
    </row>
    <row r="242" ht="47.25" hidden="1" customHeight="1">
      <c r="A242" s="55" t="s">
        <v>909</v>
      </c>
      <c r="B242" s="55" t="s">
        <v>166</v>
      </c>
      <c r="C242" s="55" t="s">
        <v>166</v>
      </c>
      <c r="D242" s="55" t="s">
        <v>887</v>
      </c>
      <c r="E242" s="55" t="s">
        <v>888</v>
      </c>
      <c r="F242" s="55" t="s">
        <v>889</v>
      </c>
      <c r="G242" s="55" t="s">
        <v>890</v>
      </c>
      <c r="H242" s="55" t="s">
        <v>889</v>
      </c>
      <c r="I242" s="79"/>
      <c r="J242" s="79"/>
      <c r="K242" s="79"/>
      <c r="L242" s="79"/>
      <c r="M242" s="56">
        <v>1.0</v>
      </c>
      <c r="N242" s="56">
        <v>1.0</v>
      </c>
      <c r="O242" s="56">
        <v>1.0</v>
      </c>
      <c r="P242" s="56">
        <v>1.0</v>
      </c>
      <c r="Q242" s="56" t="s">
        <v>131</v>
      </c>
      <c r="R242" s="58" t="str">
        <f t="shared" si="1"/>
        <v>2022-2023-2024 - 2025</v>
      </c>
      <c r="S242" s="59" t="str">
        <f>SUM(Hoja1!$I242:$P242)</f>
        <v>4</v>
      </c>
      <c r="T242" s="59" t="str">
        <f>IF(OR(Hoja1!$J242=1,Hoja1!$K242=1,Hoja1!$L242=1,Hoja1!$M242=1,Hoja1!$N242=1,Hoja1!$O242=1,Hoja1!$P242=1),"SI","NO")</f>
        <v>SI</v>
      </c>
      <c r="U242" s="59" t="str">
        <f>IF(OR(Hoja1!$K242=1,Hoja1!$L242=1,Hoja1!$M242=1,Hoja1!$N242=1,Hoja1!$O242=1,Hoja1!$P242=1),"SI","NO")</f>
        <v>SI</v>
      </c>
      <c r="V242" s="60">
        <v>0.0</v>
      </c>
      <c r="W242" s="61">
        <v>0.0</v>
      </c>
      <c r="X242" s="61">
        <v>0.0</v>
      </c>
      <c r="Y242" s="60">
        <v>0.0</v>
      </c>
      <c r="Z242" s="61">
        <v>0.0</v>
      </c>
      <c r="AA242" s="61">
        <v>0.0</v>
      </c>
      <c r="AB242" s="60">
        <v>0.0</v>
      </c>
      <c r="AC242" s="61">
        <v>0.0</v>
      </c>
      <c r="AD242" s="61">
        <v>0.0</v>
      </c>
      <c r="AE242" s="60">
        <v>0.0</v>
      </c>
      <c r="AF242" s="61">
        <v>19.0</v>
      </c>
      <c r="AG242" s="61">
        <v>7.0</v>
      </c>
      <c r="AH242" s="60">
        <v>26.0</v>
      </c>
      <c r="AI242" s="61">
        <v>19.0</v>
      </c>
      <c r="AJ242" s="61">
        <v>7.0</v>
      </c>
      <c r="AK242" s="60">
        <v>26.0</v>
      </c>
      <c r="AL242" s="61">
        <v>19.0</v>
      </c>
      <c r="AM242" s="61">
        <v>7.0</v>
      </c>
      <c r="AN242" s="60">
        <v>26.0</v>
      </c>
      <c r="AO242" s="62">
        <v>12.0</v>
      </c>
      <c r="AP242" s="62">
        <v>13.0</v>
      </c>
      <c r="AQ242" s="60">
        <v>25.0</v>
      </c>
      <c r="AR242" s="60" t="str">
        <f>IF(Hoja1!$AQ242&gt;0,Hoja1!$AQ242,IF(Hoja1!$AN242&gt;0,Hoja1!$AN242,IF(Hoja1!$AK242&gt;0,Hoja1!$AK242,IF(Hoja1!$AH242&gt;0,Hoja1!$AH242,IF(Hoja1!$AE242&gt;0,Hoja1!$AE242,IF(Hoja1!$AB242&gt;0,Hoja1!$AB242,IF(Hoja1!$Y242&gt;0,Hoja1!$Y242,IF(Hoja1!$V242&gt;0,Hoja1!$V242," ---"))))))))</f>
        <v>25</v>
      </c>
      <c r="AS242" s="63">
        <v>0.0</v>
      </c>
      <c r="AT242" s="63">
        <v>0.0</v>
      </c>
      <c r="AU242" s="63">
        <v>0.0</v>
      </c>
      <c r="AV242" s="63">
        <v>0.0</v>
      </c>
      <c r="AW242" s="63">
        <v>34.0</v>
      </c>
      <c r="AX242" s="63">
        <v>6.0</v>
      </c>
      <c r="AY242" s="63">
        <v>38.0</v>
      </c>
      <c r="AZ242" s="63">
        <v>7.0</v>
      </c>
      <c r="BA242" s="63">
        <v>34.0</v>
      </c>
      <c r="BB242" s="63">
        <v>5.0</v>
      </c>
      <c r="BC242" s="63">
        <v>30.0</v>
      </c>
      <c r="BD242" s="63">
        <v>6.0</v>
      </c>
      <c r="BE242" s="66">
        <v>0.0</v>
      </c>
      <c r="BF242" s="65">
        <v>0.0</v>
      </c>
      <c r="BG242" s="65">
        <v>0.0</v>
      </c>
      <c r="BH242" s="66">
        <v>0.0</v>
      </c>
      <c r="BI242" s="67" t="str">
        <f t="shared" si="69"/>
        <v>#REF!</v>
      </c>
      <c r="BJ242" s="68" t="str">
        <f t="shared" si="70"/>
        <v>#REF!</v>
      </c>
      <c r="BK242" s="65">
        <v>0.0</v>
      </c>
      <c r="BL242" s="65">
        <v>0.0</v>
      </c>
      <c r="BM242" s="66">
        <v>0.0</v>
      </c>
      <c r="BN242" s="67" t="str">
        <f t="shared" si="71"/>
        <v>#REF!</v>
      </c>
      <c r="BO242" s="68" t="str">
        <f t="shared" si="72"/>
        <v>#REF!</v>
      </c>
      <c r="BP242" s="69">
        <v>0.0</v>
      </c>
      <c r="BQ242" s="69">
        <v>0.0</v>
      </c>
      <c r="BR242" s="64">
        <v>0.0</v>
      </c>
      <c r="BS242" s="67" t="str">
        <f t="shared" si="73"/>
        <v>#REF!</v>
      </c>
      <c r="BT242" s="68" t="str">
        <f>'[1]DATA CONSOLIDADA 2018-2025 '!$BR242-Hoja1!$BO242</f>
        <v>#REF!</v>
      </c>
      <c r="BU242" s="65">
        <v>198126.0</v>
      </c>
      <c r="BV242" s="65">
        <v>0.0</v>
      </c>
      <c r="BW242" s="66">
        <v>198126.0</v>
      </c>
      <c r="BX242" s="67" t="str">
        <f t="shared" si="74"/>
        <v>#REF!</v>
      </c>
      <c r="BY242" s="68" t="str">
        <f t="shared" si="75"/>
        <v>#REF!</v>
      </c>
      <c r="BZ242" s="65">
        <v>272000.0</v>
      </c>
      <c r="CA242" s="65">
        <v>0.0</v>
      </c>
      <c r="CB242" s="66">
        <v>272000.0</v>
      </c>
      <c r="CC242" s="67" t="str">
        <f t="shared" si="76"/>
        <v>#REF!</v>
      </c>
      <c r="CD242" s="68" t="str">
        <f>'[1]DATA CONSOLIDADA 2018-2025 '!$CB242-Hoja1!$BW242</f>
        <v>#REF!</v>
      </c>
      <c r="CE242" s="70">
        <v>637000.0</v>
      </c>
      <c r="CF242" s="70">
        <v>0.0</v>
      </c>
      <c r="CG242" s="71">
        <v>637000.0</v>
      </c>
      <c r="CH242" s="67" t="str">
        <f t="shared" si="77"/>
        <v>#REF!</v>
      </c>
      <c r="CI242" s="68" t="str">
        <f>'[1]DATA CONSOLIDADA 2018-2025 '!$CG242-Hoja1!$CB242</f>
        <v>#REF!</v>
      </c>
      <c r="CJ242" s="64" t="str">
        <f t="shared" si="68"/>
        <v>#REF!</v>
      </c>
      <c r="CK242" s="64">
        <v>697400.0</v>
      </c>
      <c r="CL242" s="64">
        <v>0.0</v>
      </c>
      <c r="CM242" s="64">
        <v>697400.0</v>
      </c>
      <c r="CN242" s="64" t="str">
        <f t="shared" si="12"/>
        <v>#REF!</v>
      </c>
      <c r="CO242" s="68" t="str">
        <f>'[1]DATA CONSOLIDADA 2018-2025 '!$CM242-Hoja1!$CG242</f>
        <v>#REF!</v>
      </c>
      <c r="CP242" s="70">
        <v>0.0</v>
      </c>
      <c r="CQ242" s="70">
        <v>272000.0</v>
      </c>
      <c r="CR242" s="70">
        <v>0.0</v>
      </c>
      <c r="CS242" s="70">
        <v>0.0</v>
      </c>
      <c r="CT242" s="70">
        <v>0.0</v>
      </c>
      <c r="CU242" s="70">
        <v>0.0</v>
      </c>
      <c r="CV242" s="64">
        <v>272000.0</v>
      </c>
      <c r="CW242" s="64">
        <v>0.0</v>
      </c>
      <c r="CX242" s="64">
        <v>637000.0</v>
      </c>
      <c r="CY242" s="64">
        <v>0.0</v>
      </c>
      <c r="CZ242" s="64">
        <v>0.0</v>
      </c>
      <c r="DA242" s="64">
        <v>0.0</v>
      </c>
      <c r="DB242" s="64">
        <v>637000.0</v>
      </c>
      <c r="DC242" s="72">
        <v>0.0</v>
      </c>
      <c r="DD242" s="72">
        <v>697400.0</v>
      </c>
      <c r="DE242" s="72">
        <v>0.0</v>
      </c>
      <c r="DF242" s="72">
        <v>0.0</v>
      </c>
      <c r="DG242" s="72">
        <v>0.0</v>
      </c>
      <c r="DH242" s="72">
        <v>697400.0</v>
      </c>
      <c r="DI242" s="73">
        <v>2.060060458E10</v>
      </c>
      <c r="DJ242" s="74" t="s">
        <v>909</v>
      </c>
      <c r="DK242" s="74" t="s">
        <v>138</v>
      </c>
      <c r="DL242" s="75"/>
      <c r="DM242" s="75"/>
      <c r="DN242" s="75"/>
      <c r="DO242" s="75"/>
      <c r="DP242" s="75"/>
      <c r="DQ242" s="75"/>
      <c r="DR242" s="75"/>
      <c r="DS242" s="75"/>
      <c r="DT242" s="75"/>
      <c r="DU242" s="75"/>
      <c r="DV242" s="75"/>
      <c r="DW242" s="75"/>
      <c r="DX242" s="75"/>
      <c r="DY242" s="75"/>
      <c r="DZ242" s="75"/>
      <c r="EA242" s="75"/>
      <c r="EB242" s="75"/>
      <c r="EC242" s="75"/>
      <c r="ED242" s="75"/>
      <c r="EE242" s="75"/>
    </row>
    <row r="243" ht="47.25" hidden="1" customHeight="1">
      <c r="A243" s="55" t="s">
        <v>910</v>
      </c>
      <c r="B243" s="55" t="s">
        <v>287</v>
      </c>
      <c r="C243" s="55" t="s">
        <v>288</v>
      </c>
      <c r="D243" s="55" t="s">
        <v>911</v>
      </c>
      <c r="E243" s="55" t="s">
        <v>912</v>
      </c>
      <c r="F243" s="55" t="s">
        <v>911</v>
      </c>
      <c r="G243" s="55" t="s">
        <v>913</v>
      </c>
      <c r="H243" s="55" t="s">
        <v>913</v>
      </c>
      <c r="I243" s="56">
        <v>1.0</v>
      </c>
      <c r="J243" s="56"/>
      <c r="K243" s="56"/>
      <c r="L243" s="56"/>
      <c r="M243" s="56"/>
      <c r="N243" s="56"/>
      <c r="O243" s="56"/>
      <c r="P243" s="56"/>
      <c r="Q243" s="56" t="s">
        <v>131</v>
      </c>
      <c r="R243" s="58" t="str">
        <f t="shared" si="1"/>
        <v>2018</v>
      </c>
      <c r="S243" s="59" t="str">
        <f>SUM(Hoja1!$I243:$P243)</f>
        <v>1</v>
      </c>
      <c r="T243" s="59" t="str">
        <f>IF(OR(Hoja1!$J243=1,Hoja1!$K243=1,Hoja1!$L243=1,Hoja1!$M243=1,Hoja1!$N243=1,Hoja1!$O243=1,Hoja1!$P243=1),"SI","NO")</f>
        <v>NO</v>
      </c>
      <c r="U243" s="59" t="str">
        <f>IF(OR(Hoja1!$K243=1,Hoja1!$L243=1,Hoja1!$M243=1,Hoja1!$N243=1,Hoja1!$O243=1,Hoja1!$P243=1),"SI","NO")</f>
        <v>NO</v>
      </c>
      <c r="V243" s="60">
        <v>48.0</v>
      </c>
      <c r="W243" s="61">
        <v>0.0</v>
      </c>
      <c r="X243" s="61">
        <v>0.0</v>
      </c>
      <c r="Y243" s="60">
        <v>0.0</v>
      </c>
      <c r="Z243" s="61">
        <v>0.0</v>
      </c>
      <c r="AA243" s="61">
        <v>0.0</v>
      </c>
      <c r="AB243" s="60">
        <v>0.0</v>
      </c>
      <c r="AC243" s="61">
        <v>0.0</v>
      </c>
      <c r="AD243" s="61">
        <v>0.0</v>
      </c>
      <c r="AE243" s="60">
        <v>0.0</v>
      </c>
      <c r="AF243" s="61">
        <v>0.0</v>
      </c>
      <c r="AG243" s="61">
        <v>0.0</v>
      </c>
      <c r="AH243" s="60">
        <v>0.0</v>
      </c>
      <c r="AI243" s="61">
        <v>0.0</v>
      </c>
      <c r="AJ243" s="61">
        <v>0.0</v>
      </c>
      <c r="AK243" s="60">
        <v>0.0</v>
      </c>
      <c r="AL243" s="61">
        <v>0.0</v>
      </c>
      <c r="AM243" s="61">
        <v>0.0</v>
      </c>
      <c r="AN243" s="60">
        <v>0.0</v>
      </c>
      <c r="AO243" s="62">
        <v>0.0</v>
      </c>
      <c r="AP243" s="62">
        <v>0.0</v>
      </c>
      <c r="AQ243" s="60">
        <v>0.0</v>
      </c>
      <c r="AR243" s="60" t="str">
        <f>IF(Hoja1!$AQ243&gt;0,Hoja1!$AQ243,IF(Hoja1!$AN243&gt;0,Hoja1!$AN243,IF(Hoja1!$AK243&gt;0,Hoja1!$AK243,IF(Hoja1!$AH243&gt;0,Hoja1!$AH243,IF(Hoja1!$AE243&gt;0,Hoja1!$AE243,IF(Hoja1!$AB243&gt;0,Hoja1!$AB243,IF(Hoja1!$Y243&gt;0,Hoja1!$Y243,IF(Hoja1!$V243&gt;0,Hoja1!$V243," ---"))))))))</f>
        <v>48</v>
      </c>
      <c r="AS243" s="63">
        <v>0.0</v>
      </c>
      <c r="AT243" s="63">
        <v>0.0</v>
      </c>
      <c r="AU243" s="63">
        <v>0.0</v>
      </c>
      <c r="AV243" s="63">
        <v>0.0</v>
      </c>
      <c r="AW243" s="63">
        <v>0.0</v>
      </c>
      <c r="AX243" s="63">
        <v>0.0</v>
      </c>
      <c r="AY243" s="63">
        <v>0.0</v>
      </c>
      <c r="AZ243" s="63">
        <v>0.0</v>
      </c>
      <c r="BA243" s="63">
        <v>0.0</v>
      </c>
      <c r="BB243" s="63">
        <v>0.0</v>
      </c>
      <c r="BC243" s="63">
        <v>0.0</v>
      </c>
      <c r="BD243" s="63">
        <v>0.0</v>
      </c>
      <c r="BE243" s="64">
        <v>0.0</v>
      </c>
      <c r="BF243" s="69">
        <v>0.0</v>
      </c>
      <c r="BG243" s="69">
        <v>0.0</v>
      </c>
      <c r="BH243" s="64">
        <v>0.0</v>
      </c>
      <c r="BI243" s="67" t="str">
        <f t="shared" si="69"/>
        <v>#REF!</v>
      </c>
      <c r="BJ243" s="68" t="str">
        <f t="shared" si="70"/>
        <v>#REF!</v>
      </c>
      <c r="BK243" s="69">
        <v>0.0</v>
      </c>
      <c r="BL243" s="69">
        <v>0.0</v>
      </c>
      <c r="BM243" s="64">
        <v>0.0</v>
      </c>
      <c r="BN243" s="67" t="str">
        <f t="shared" si="71"/>
        <v>#REF!</v>
      </c>
      <c r="BO243" s="68" t="str">
        <f t="shared" si="72"/>
        <v>#REF!</v>
      </c>
      <c r="BP243" s="65">
        <v>0.0</v>
      </c>
      <c r="BQ243" s="65">
        <v>0.0</v>
      </c>
      <c r="BR243" s="66">
        <v>0.0</v>
      </c>
      <c r="BS243" s="67" t="str">
        <f t="shared" si="73"/>
        <v>#REF!</v>
      </c>
      <c r="BT243" s="68" t="str">
        <f>'[1]DATA CONSOLIDADA 2018-2025 '!$BR243-Hoja1!$BO243</f>
        <v>#REF!</v>
      </c>
      <c r="BU243" s="65">
        <v>0.0</v>
      </c>
      <c r="BV243" s="65">
        <v>0.0</v>
      </c>
      <c r="BW243" s="66">
        <v>0.0</v>
      </c>
      <c r="BX243" s="67" t="str">
        <f t="shared" si="74"/>
        <v>#REF!</v>
      </c>
      <c r="BY243" s="68" t="str">
        <f t="shared" si="75"/>
        <v>#REF!</v>
      </c>
      <c r="BZ243" s="65">
        <v>0.0</v>
      </c>
      <c r="CA243" s="65">
        <v>0.0</v>
      </c>
      <c r="CB243" s="66">
        <v>0.0</v>
      </c>
      <c r="CC243" s="67" t="str">
        <f t="shared" si="76"/>
        <v>#REF!</v>
      </c>
      <c r="CD243" s="68" t="str">
        <f>'[1]DATA CONSOLIDADA 2018-2025 '!$CB243-Hoja1!$BW243</f>
        <v>#REF!</v>
      </c>
      <c r="CE243" s="70">
        <v>0.0</v>
      </c>
      <c r="CF243" s="70">
        <v>0.0</v>
      </c>
      <c r="CG243" s="71">
        <v>0.0</v>
      </c>
      <c r="CH243" s="67" t="str">
        <f t="shared" si="77"/>
        <v>#REF!</v>
      </c>
      <c r="CI243" s="68" t="str">
        <f>'[1]DATA CONSOLIDADA 2018-2025 '!$CG243-Hoja1!$CB243</f>
        <v>#REF!</v>
      </c>
      <c r="CJ243" s="64" t="str">
        <f t="shared" si="68"/>
        <v>#REF!</v>
      </c>
      <c r="CK243" s="64">
        <v>0.0</v>
      </c>
      <c r="CL243" s="64">
        <v>0.0</v>
      </c>
      <c r="CM243" s="64">
        <v>0.0</v>
      </c>
      <c r="CN243" s="64" t="str">
        <f t="shared" si="12"/>
        <v>#REF!</v>
      </c>
      <c r="CO243" s="68" t="str">
        <f>'[1]DATA CONSOLIDADA 2018-2025 '!$CM243-Hoja1!$CG243</f>
        <v>#REF!</v>
      </c>
      <c r="CP243" s="70">
        <v>0.0</v>
      </c>
      <c r="CQ243" s="70">
        <v>0.0</v>
      </c>
      <c r="CR243" s="70">
        <v>0.0</v>
      </c>
      <c r="CS243" s="70">
        <v>0.0</v>
      </c>
      <c r="CT243" s="70">
        <v>0.0</v>
      </c>
      <c r="CU243" s="70">
        <v>0.0</v>
      </c>
      <c r="CV243" s="64">
        <v>0.0</v>
      </c>
      <c r="CW243" s="64">
        <v>0.0</v>
      </c>
      <c r="CX243" s="64">
        <v>0.0</v>
      </c>
      <c r="CY243" s="64">
        <v>0.0</v>
      </c>
      <c r="CZ243" s="64">
        <v>0.0</v>
      </c>
      <c r="DA243" s="64">
        <v>0.0</v>
      </c>
      <c r="DB243" s="64">
        <v>0.0</v>
      </c>
      <c r="DC243" s="72">
        <v>0.0</v>
      </c>
      <c r="DD243" s="72">
        <v>0.0</v>
      </c>
      <c r="DE243" s="72">
        <v>0.0</v>
      </c>
      <c r="DF243" s="72">
        <v>0.0</v>
      </c>
      <c r="DG243" s="72">
        <v>0.0</v>
      </c>
      <c r="DH243" s="72">
        <v>0.0</v>
      </c>
      <c r="DI243" s="73">
        <v>2.0323699365E10</v>
      </c>
      <c r="DJ243" s="74" t="s">
        <v>914</v>
      </c>
      <c r="DK243" s="74" t="s">
        <v>306</v>
      </c>
      <c r="DL243" s="75"/>
      <c r="DM243" s="75"/>
      <c r="DN243" s="75"/>
      <c r="DO243" s="75"/>
      <c r="DP243" s="75"/>
      <c r="DQ243" s="75"/>
      <c r="DR243" s="75"/>
      <c r="DS243" s="75"/>
      <c r="DT243" s="75"/>
      <c r="DU243" s="75"/>
      <c r="DV243" s="75"/>
      <c r="DW243" s="75"/>
      <c r="DX243" s="75"/>
      <c r="DY243" s="75"/>
      <c r="DZ243" s="75"/>
      <c r="EA243" s="75"/>
      <c r="EB243" s="75"/>
      <c r="EC243" s="75"/>
      <c r="ED243" s="75"/>
      <c r="EE243" s="75"/>
    </row>
    <row r="244" ht="47.25" hidden="1" customHeight="1">
      <c r="A244" s="55" t="s">
        <v>915</v>
      </c>
      <c r="B244" s="55" t="s">
        <v>287</v>
      </c>
      <c r="C244" s="55" t="s">
        <v>287</v>
      </c>
      <c r="D244" s="55" t="s">
        <v>911</v>
      </c>
      <c r="E244" s="55" t="s">
        <v>916</v>
      </c>
      <c r="F244" s="55" t="s">
        <v>911</v>
      </c>
      <c r="G244" s="55" t="s">
        <v>913</v>
      </c>
      <c r="H244" s="55" t="s">
        <v>917</v>
      </c>
      <c r="I244" s="56"/>
      <c r="J244" s="56">
        <v>1.0</v>
      </c>
      <c r="K244" s="56">
        <v>1.0</v>
      </c>
      <c r="L244" s="56"/>
      <c r="M244" s="56"/>
      <c r="N244" s="56"/>
      <c r="O244" s="56"/>
      <c r="P244" s="56"/>
      <c r="Q244" s="56" t="s">
        <v>131</v>
      </c>
      <c r="R244" s="58" t="str">
        <f t="shared" si="1"/>
        <v>2019-2020</v>
      </c>
      <c r="S244" s="59" t="str">
        <f>SUM(Hoja1!$I244:$P244)</f>
        <v>2</v>
      </c>
      <c r="T244" s="59" t="str">
        <f>IF(OR(Hoja1!$J244=1,Hoja1!$K244=1,Hoja1!$L244=1,Hoja1!$M244=1,Hoja1!$N244=1,Hoja1!$O244=1,Hoja1!$P244=1),"SI","NO")</f>
        <v>SI</v>
      </c>
      <c r="U244" s="59" t="str">
        <f>IF(OR(Hoja1!$K244=1,Hoja1!$L244=1,Hoja1!$M244=1,Hoja1!$N244=1,Hoja1!$O244=1,Hoja1!$P244=1),"SI","NO")</f>
        <v>SI</v>
      </c>
      <c r="V244" s="60">
        <v>0.0</v>
      </c>
      <c r="W244" s="61">
        <v>22.0</v>
      </c>
      <c r="X244" s="61">
        <v>10.0</v>
      </c>
      <c r="Y244" s="60">
        <v>32.0</v>
      </c>
      <c r="Z244" s="61">
        <v>22.0</v>
      </c>
      <c r="AA244" s="61">
        <v>10.0</v>
      </c>
      <c r="AB244" s="60">
        <v>32.0</v>
      </c>
      <c r="AC244" s="61">
        <v>0.0</v>
      </c>
      <c r="AD244" s="61">
        <v>0.0</v>
      </c>
      <c r="AE244" s="60">
        <v>0.0</v>
      </c>
      <c r="AF244" s="61">
        <v>0.0</v>
      </c>
      <c r="AG244" s="61">
        <v>0.0</v>
      </c>
      <c r="AH244" s="60">
        <v>0.0</v>
      </c>
      <c r="AI244" s="61">
        <v>0.0</v>
      </c>
      <c r="AJ244" s="61">
        <v>0.0</v>
      </c>
      <c r="AK244" s="60">
        <v>0.0</v>
      </c>
      <c r="AL244" s="61">
        <v>0.0</v>
      </c>
      <c r="AM244" s="61">
        <v>0.0</v>
      </c>
      <c r="AN244" s="60">
        <v>0.0</v>
      </c>
      <c r="AO244" s="62">
        <v>0.0</v>
      </c>
      <c r="AP244" s="62">
        <v>0.0</v>
      </c>
      <c r="AQ244" s="60">
        <v>0.0</v>
      </c>
      <c r="AR244" s="60" t="str">
        <f>IF(Hoja1!$AQ244&gt;0,Hoja1!$AQ244,IF(Hoja1!$AN244&gt;0,Hoja1!$AN244,IF(Hoja1!$AK244&gt;0,Hoja1!$AK244,IF(Hoja1!$AH244&gt;0,Hoja1!$AH244,IF(Hoja1!$AE244&gt;0,Hoja1!$AE244,IF(Hoja1!$AB244&gt;0,Hoja1!$AB244,IF(Hoja1!$Y244&gt;0,Hoja1!$Y244,IF(Hoja1!$V244&gt;0,Hoja1!$V244," ---"))))))))</f>
        <v>32</v>
      </c>
      <c r="AS244" s="63">
        <v>9.0</v>
      </c>
      <c r="AT244" s="63">
        <v>1.0</v>
      </c>
      <c r="AU244" s="63">
        <v>0.0</v>
      </c>
      <c r="AV244" s="63">
        <v>0.0</v>
      </c>
      <c r="AW244" s="63">
        <v>0.0</v>
      </c>
      <c r="AX244" s="63">
        <v>0.0</v>
      </c>
      <c r="AY244" s="63">
        <v>0.0</v>
      </c>
      <c r="AZ244" s="63">
        <v>0.0</v>
      </c>
      <c r="BA244" s="63">
        <v>0.0</v>
      </c>
      <c r="BB244" s="63">
        <v>0.0</v>
      </c>
      <c r="BC244" s="63">
        <v>0.0</v>
      </c>
      <c r="BD244" s="63">
        <v>0.0</v>
      </c>
      <c r="BE244" s="64">
        <v>0.0</v>
      </c>
      <c r="BF244" s="65">
        <v>0.0</v>
      </c>
      <c r="BG244" s="65">
        <v>0.0</v>
      </c>
      <c r="BH244" s="66">
        <v>0.0</v>
      </c>
      <c r="BI244" s="67" t="str">
        <f t="shared" si="69"/>
        <v>#REF!</v>
      </c>
      <c r="BJ244" s="68" t="str">
        <f t="shared" si="70"/>
        <v>#REF!</v>
      </c>
      <c r="BK244" s="65">
        <v>0.0</v>
      </c>
      <c r="BL244" s="65">
        <v>0.0</v>
      </c>
      <c r="BM244" s="66">
        <v>0.0</v>
      </c>
      <c r="BN244" s="67" t="str">
        <f t="shared" si="71"/>
        <v>#REF!</v>
      </c>
      <c r="BO244" s="68" t="str">
        <f t="shared" si="72"/>
        <v>#REF!</v>
      </c>
      <c r="BP244" s="65">
        <v>0.0</v>
      </c>
      <c r="BQ244" s="65">
        <v>0.0</v>
      </c>
      <c r="BR244" s="66">
        <v>0.0</v>
      </c>
      <c r="BS244" s="67" t="str">
        <f t="shared" si="73"/>
        <v>#REF!</v>
      </c>
      <c r="BT244" s="68" t="str">
        <f>'[1]DATA CONSOLIDADA 2018-2025 '!$BR244-Hoja1!$BO244</f>
        <v>#REF!</v>
      </c>
      <c r="BU244" s="65">
        <v>0.0</v>
      </c>
      <c r="BV244" s="65">
        <v>0.0</v>
      </c>
      <c r="BW244" s="66">
        <v>0.0</v>
      </c>
      <c r="BX244" s="67" t="str">
        <f t="shared" si="74"/>
        <v>#REF!</v>
      </c>
      <c r="BY244" s="68" t="str">
        <f t="shared" si="75"/>
        <v>#REF!</v>
      </c>
      <c r="BZ244" s="65">
        <v>0.0</v>
      </c>
      <c r="CA244" s="65">
        <v>0.0</v>
      </c>
      <c r="CB244" s="66">
        <v>0.0</v>
      </c>
      <c r="CC244" s="67" t="str">
        <f t="shared" si="76"/>
        <v>#REF!</v>
      </c>
      <c r="CD244" s="68" t="str">
        <f>'[1]DATA CONSOLIDADA 2018-2025 '!$CB244-Hoja1!$BW244</f>
        <v>#REF!</v>
      </c>
      <c r="CE244" s="70">
        <v>0.0</v>
      </c>
      <c r="CF244" s="70">
        <v>0.0</v>
      </c>
      <c r="CG244" s="71">
        <v>0.0</v>
      </c>
      <c r="CH244" s="67" t="str">
        <f t="shared" si="77"/>
        <v>#REF!</v>
      </c>
      <c r="CI244" s="68" t="str">
        <f>'[1]DATA CONSOLIDADA 2018-2025 '!$CG244-Hoja1!$CB244</f>
        <v>#REF!</v>
      </c>
      <c r="CJ244" s="64" t="str">
        <f t="shared" si="68"/>
        <v>#REF!</v>
      </c>
      <c r="CK244" s="64">
        <v>0.0</v>
      </c>
      <c r="CL244" s="64">
        <v>0.0</v>
      </c>
      <c r="CM244" s="64">
        <v>0.0</v>
      </c>
      <c r="CN244" s="64" t="str">
        <f t="shared" si="12"/>
        <v>#REF!</v>
      </c>
      <c r="CO244" s="68" t="str">
        <f>'[1]DATA CONSOLIDADA 2018-2025 '!$CM244-Hoja1!$CG244</f>
        <v>#REF!</v>
      </c>
      <c r="CP244" s="70">
        <v>0.0</v>
      </c>
      <c r="CQ244" s="70">
        <v>0.0</v>
      </c>
      <c r="CR244" s="70">
        <v>0.0</v>
      </c>
      <c r="CS244" s="70">
        <v>0.0</v>
      </c>
      <c r="CT244" s="70">
        <v>0.0</v>
      </c>
      <c r="CU244" s="70">
        <v>0.0</v>
      </c>
      <c r="CV244" s="64">
        <v>0.0</v>
      </c>
      <c r="CW244" s="64">
        <v>0.0</v>
      </c>
      <c r="CX244" s="64">
        <v>0.0</v>
      </c>
      <c r="CY244" s="64">
        <v>0.0</v>
      </c>
      <c r="CZ244" s="64">
        <v>0.0</v>
      </c>
      <c r="DA244" s="64">
        <v>0.0</v>
      </c>
      <c r="DB244" s="64">
        <v>0.0</v>
      </c>
      <c r="DC244" s="72">
        <v>0.0</v>
      </c>
      <c r="DD244" s="72">
        <v>0.0</v>
      </c>
      <c r="DE244" s="72">
        <v>0.0</v>
      </c>
      <c r="DF244" s="72">
        <v>0.0</v>
      </c>
      <c r="DG244" s="72">
        <v>0.0</v>
      </c>
      <c r="DH244" s="72">
        <v>0.0</v>
      </c>
      <c r="DI244" s="73">
        <v>2.0486073145E10</v>
      </c>
      <c r="DJ244" s="74" t="s">
        <v>918</v>
      </c>
      <c r="DK244" s="74" t="s">
        <v>138</v>
      </c>
      <c r="DL244" s="75"/>
      <c r="DM244" s="75"/>
      <c r="DN244" s="75"/>
      <c r="DO244" s="75"/>
      <c r="DP244" s="75"/>
      <c r="DQ244" s="75"/>
      <c r="DR244" s="75"/>
      <c r="DS244" s="75"/>
      <c r="DT244" s="75"/>
      <c r="DU244" s="75"/>
      <c r="DV244" s="75"/>
      <c r="DW244" s="75"/>
      <c r="DX244" s="75"/>
      <c r="DY244" s="75"/>
      <c r="DZ244" s="75"/>
      <c r="EA244" s="75"/>
      <c r="EB244" s="75"/>
      <c r="EC244" s="75"/>
      <c r="ED244" s="75"/>
      <c r="EE244" s="75"/>
    </row>
    <row r="245" ht="47.25" hidden="1" customHeight="1">
      <c r="A245" s="55" t="s">
        <v>919</v>
      </c>
      <c r="B245" s="55" t="s">
        <v>250</v>
      </c>
      <c r="C245" s="55" t="s">
        <v>250</v>
      </c>
      <c r="D245" s="55" t="s">
        <v>911</v>
      </c>
      <c r="E245" s="55" t="s">
        <v>920</v>
      </c>
      <c r="F245" s="55" t="s">
        <v>911</v>
      </c>
      <c r="G245" s="55" t="s">
        <v>911</v>
      </c>
      <c r="H245" s="55" t="s">
        <v>921</v>
      </c>
      <c r="I245" s="56"/>
      <c r="J245" s="56">
        <v>1.0</v>
      </c>
      <c r="K245" s="56">
        <v>1.0</v>
      </c>
      <c r="L245" s="56">
        <v>1.0</v>
      </c>
      <c r="M245" s="56">
        <v>1.0</v>
      </c>
      <c r="N245" s="56"/>
      <c r="O245" s="56"/>
      <c r="P245" s="56"/>
      <c r="Q245" s="56" t="s">
        <v>131</v>
      </c>
      <c r="R245" s="58" t="str">
        <f t="shared" si="1"/>
        <v>2019-2020-2021-2022</v>
      </c>
      <c r="S245" s="59" t="str">
        <f>SUM(Hoja1!$I245:$P245)</f>
        <v>4</v>
      </c>
      <c r="T245" s="59" t="str">
        <f>IF(OR(Hoja1!$J245=1,Hoja1!$K245=1,Hoja1!$L245=1,Hoja1!$M245=1,Hoja1!$N245=1,Hoja1!$O245=1,Hoja1!$P245=1),"SI","NO")</f>
        <v>SI</v>
      </c>
      <c r="U245" s="59" t="str">
        <f>IF(OR(Hoja1!$K245=1,Hoja1!$L245=1,Hoja1!$M245=1,Hoja1!$N245=1,Hoja1!$O245=1,Hoja1!$P245=1),"SI","NO")</f>
        <v>SI</v>
      </c>
      <c r="V245" s="60">
        <v>0.0</v>
      </c>
      <c r="W245" s="61">
        <v>6.0</v>
      </c>
      <c r="X245" s="61">
        <v>2.0</v>
      </c>
      <c r="Y245" s="60">
        <v>8.0</v>
      </c>
      <c r="Z245" s="61">
        <v>87.0</v>
      </c>
      <c r="AA245" s="61">
        <v>76.0</v>
      </c>
      <c r="AB245" s="60">
        <v>163.0</v>
      </c>
      <c r="AC245" s="61">
        <v>85.0</v>
      </c>
      <c r="AD245" s="61">
        <v>79.0</v>
      </c>
      <c r="AE245" s="60">
        <v>164.0</v>
      </c>
      <c r="AF245" s="61">
        <v>85.0</v>
      </c>
      <c r="AG245" s="61">
        <v>79.0</v>
      </c>
      <c r="AH245" s="60">
        <v>164.0</v>
      </c>
      <c r="AI245" s="61">
        <v>0.0</v>
      </c>
      <c r="AJ245" s="61">
        <v>0.0</v>
      </c>
      <c r="AK245" s="60">
        <v>0.0</v>
      </c>
      <c r="AL245" s="61">
        <v>0.0</v>
      </c>
      <c r="AM245" s="61">
        <v>0.0</v>
      </c>
      <c r="AN245" s="60">
        <v>0.0</v>
      </c>
      <c r="AO245" s="62">
        <v>0.0</v>
      </c>
      <c r="AP245" s="62">
        <v>0.0</v>
      </c>
      <c r="AQ245" s="60">
        <v>0.0</v>
      </c>
      <c r="AR245" s="60" t="str">
        <f>IF(Hoja1!$AQ245&gt;0,Hoja1!$AQ245,IF(Hoja1!$AN245&gt;0,Hoja1!$AN245,IF(Hoja1!$AK245&gt;0,Hoja1!$AK245,IF(Hoja1!$AH245&gt;0,Hoja1!$AH245,IF(Hoja1!$AE245&gt;0,Hoja1!$AE245,IF(Hoja1!$AB245&gt;0,Hoja1!$AB245,IF(Hoja1!$Y245&gt;0,Hoja1!$Y245,IF(Hoja1!$V245&gt;0,Hoja1!$V245," ---"))))))))</f>
        <v>164</v>
      </c>
      <c r="AS245" s="63">
        <v>0.0</v>
      </c>
      <c r="AT245" s="63">
        <v>0.0</v>
      </c>
      <c r="AU245" s="63">
        <v>33.0</v>
      </c>
      <c r="AV245" s="63">
        <v>2.0</v>
      </c>
      <c r="AW245" s="63">
        <v>42.0</v>
      </c>
      <c r="AX245" s="63">
        <v>0.0</v>
      </c>
      <c r="AY245" s="63">
        <v>0.0</v>
      </c>
      <c r="AZ245" s="63">
        <v>0.0</v>
      </c>
      <c r="BA245" s="63">
        <v>0.0</v>
      </c>
      <c r="BB245" s="63">
        <v>0.0</v>
      </c>
      <c r="BC245" s="63">
        <v>0.0</v>
      </c>
      <c r="BD245" s="63">
        <v>0.0</v>
      </c>
      <c r="BE245" s="64">
        <v>0.0</v>
      </c>
      <c r="BF245" s="65">
        <v>0.0</v>
      </c>
      <c r="BG245" s="65">
        <v>0.0</v>
      </c>
      <c r="BH245" s="66">
        <v>0.0</v>
      </c>
      <c r="BI245" s="67" t="str">
        <f t="shared" si="69"/>
        <v>#REF!</v>
      </c>
      <c r="BJ245" s="68" t="str">
        <f t="shared" si="70"/>
        <v>#REF!</v>
      </c>
      <c r="BK245" s="65">
        <v>37140.0</v>
      </c>
      <c r="BL245" s="65">
        <v>0.0</v>
      </c>
      <c r="BM245" s="66">
        <v>37140.0</v>
      </c>
      <c r="BN245" s="67" t="str">
        <f t="shared" si="71"/>
        <v>#REF!</v>
      </c>
      <c r="BO245" s="68" t="str">
        <f t="shared" si="72"/>
        <v>#REF!</v>
      </c>
      <c r="BP245" s="65">
        <v>0.0</v>
      </c>
      <c r="BQ245" s="65">
        <v>0.0</v>
      </c>
      <c r="BR245" s="66">
        <v>0.0</v>
      </c>
      <c r="BS245" s="67" t="str">
        <f t="shared" si="73"/>
        <v>#REF!</v>
      </c>
      <c r="BT245" s="68" t="str">
        <f>'[1]DATA CONSOLIDADA 2018-2025 '!$BR245-Hoja1!$BO245</f>
        <v>#REF!</v>
      </c>
      <c r="BU245" s="65">
        <v>25752.0</v>
      </c>
      <c r="BV245" s="65">
        <v>0.0</v>
      </c>
      <c r="BW245" s="66">
        <v>25752.0</v>
      </c>
      <c r="BX245" s="67" t="str">
        <f t="shared" si="74"/>
        <v>#REF!</v>
      </c>
      <c r="BY245" s="68" t="str">
        <f t="shared" si="75"/>
        <v>#REF!</v>
      </c>
      <c r="BZ245" s="65">
        <v>0.0</v>
      </c>
      <c r="CA245" s="65">
        <v>0.0</v>
      </c>
      <c r="CB245" s="66">
        <v>0.0</v>
      </c>
      <c r="CC245" s="67" t="str">
        <f t="shared" si="76"/>
        <v>#REF!</v>
      </c>
      <c r="CD245" s="68" t="str">
        <f>'[1]DATA CONSOLIDADA 2018-2025 '!$CB245-Hoja1!$BW245</f>
        <v>#REF!</v>
      </c>
      <c r="CE245" s="70">
        <v>0.0</v>
      </c>
      <c r="CF245" s="70">
        <v>0.0</v>
      </c>
      <c r="CG245" s="71">
        <v>0.0</v>
      </c>
      <c r="CH245" s="67" t="str">
        <f t="shared" si="77"/>
        <v>#REF!</v>
      </c>
      <c r="CI245" s="68" t="str">
        <f>'[1]DATA CONSOLIDADA 2018-2025 '!$CG245-Hoja1!$CB245</f>
        <v>#REF!</v>
      </c>
      <c r="CJ245" s="64" t="str">
        <f t="shared" si="68"/>
        <v>#REF!</v>
      </c>
      <c r="CK245" s="64">
        <v>0.0</v>
      </c>
      <c r="CL245" s="64">
        <v>0.0</v>
      </c>
      <c r="CM245" s="64">
        <v>0.0</v>
      </c>
      <c r="CN245" s="64" t="str">
        <f t="shared" si="12"/>
        <v>#REF!</v>
      </c>
      <c r="CO245" s="68" t="str">
        <f>'[1]DATA CONSOLIDADA 2018-2025 '!$CM245-Hoja1!$CG245</f>
        <v>#REF!</v>
      </c>
      <c r="CP245" s="70">
        <v>0.0</v>
      </c>
      <c r="CQ245" s="70">
        <v>0.0</v>
      </c>
      <c r="CR245" s="70">
        <v>0.0</v>
      </c>
      <c r="CS245" s="70">
        <v>0.0</v>
      </c>
      <c r="CT245" s="70">
        <v>0.0</v>
      </c>
      <c r="CU245" s="70">
        <v>0.0</v>
      </c>
      <c r="CV245" s="64">
        <v>0.0</v>
      </c>
      <c r="CW245" s="64">
        <v>0.0</v>
      </c>
      <c r="CX245" s="64">
        <v>0.0</v>
      </c>
      <c r="CY245" s="64">
        <v>0.0</v>
      </c>
      <c r="CZ245" s="64">
        <v>0.0</v>
      </c>
      <c r="DA245" s="64">
        <v>0.0</v>
      </c>
      <c r="DB245" s="64">
        <v>0.0</v>
      </c>
      <c r="DC245" s="72">
        <v>0.0</v>
      </c>
      <c r="DD245" s="72">
        <v>0.0</v>
      </c>
      <c r="DE245" s="72">
        <v>0.0</v>
      </c>
      <c r="DF245" s="72">
        <v>0.0</v>
      </c>
      <c r="DG245" s="72">
        <v>0.0</v>
      </c>
      <c r="DH245" s="72">
        <v>0.0</v>
      </c>
      <c r="DI245" s="73">
        <v>2.0129842351E10</v>
      </c>
      <c r="DJ245" s="74" t="s">
        <v>922</v>
      </c>
      <c r="DK245" s="74" t="s">
        <v>132</v>
      </c>
      <c r="DL245" s="75"/>
      <c r="DM245" s="75"/>
      <c r="DN245" s="75"/>
      <c r="DO245" s="75"/>
      <c r="DP245" s="75"/>
      <c r="DQ245" s="75"/>
      <c r="DR245" s="75"/>
      <c r="DS245" s="75"/>
      <c r="DT245" s="75"/>
      <c r="DU245" s="75"/>
      <c r="DV245" s="75"/>
      <c r="DW245" s="75"/>
      <c r="DX245" s="75"/>
      <c r="DY245" s="75"/>
      <c r="DZ245" s="75"/>
      <c r="EA245" s="75"/>
      <c r="EB245" s="75"/>
      <c r="EC245" s="75"/>
      <c r="ED245" s="75"/>
      <c r="EE245" s="75"/>
    </row>
    <row r="246" ht="47.25" customHeight="1">
      <c r="A246" s="55" t="s">
        <v>923</v>
      </c>
      <c r="B246" s="55" t="s">
        <v>146</v>
      </c>
      <c r="C246" s="55" t="s">
        <v>146</v>
      </c>
      <c r="D246" s="55" t="s">
        <v>911</v>
      </c>
      <c r="E246" s="55" t="s">
        <v>924</v>
      </c>
      <c r="F246" s="55" t="s">
        <v>911</v>
      </c>
      <c r="G246" s="55" t="s">
        <v>913</v>
      </c>
      <c r="H246" s="55" t="s">
        <v>925</v>
      </c>
      <c r="I246" s="56"/>
      <c r="J246" s="56">
        <v>1.0</v>
      </c>
      <c r="K246" s="56">
        <v>1.0</v>
      </c>
      <c r="L246" s="56"/>
      <c r="M246" s="56"/>
      <c r="N246" s="56">
        <v>1.0</v>
      </c>
      <c r="O246" s="56">
        <v>1.0</v>
      </c>
      <c r="P246" s="56"/>
      <c r="Q246" s="56" t="s">
        <v>131</v>
      </c>
      <c r="R246" s="58" t="str">
        <f t="shared" si="1"/>
        <v>2019-2020-2023-2024</v>
      </c>
      <c r="S246" s="59" t="str">
        <f>SUM(Hoja1!$I246:$P246)</f>
        <v>4</v>
      </c>
      <c r="T246" s="59" t="str">
        <f>IF(OR(Hoja1!$J246=1,Hoja1!$K246=1,Hoja1!$L246=1,Hoja1!$M246=1,Hoja1!$N246=1,Hoja1!$O246=1,Hoja1!$P246=1),"SI","NO")</f>
        <v>SI</v>
      </c>
      <c r="U246" s="59" t="str">
        <f>IF(OR(Hoja1!$K246=1,Hoja1!$L246=1,Hoja1!$M246=1,Hoja1!$N246=1,Hoja1!$O246=1,Hoja1!$P246=1),"SI","NO")</f>
        <v>SI</v>
      </c>
      <c r="V246" s="60">
        <v>0.0</v>
      </c>
      <c r="W246" s="61">
        <v>73.0</v>
      </c>
      <c r="X246" s="61">
        <v>30.0</v>
      </c>
      <c r="Y246" s="60">
        <v>103.0</v>
      </c>
      <c r="Z246" s="61">
        <v>68.0</v>
      </c>
      <c r="AA246" s="61">
        <v>30.0</v>
      </c>
      <c r="AB246" s="60">
        <v>98.0</v>
      </c>
      <c r="AC246" s="61">
        <v>0.0</v>
      </c>
      <c r="AD246" s="61">
        <v>0.0</v>
      </c>
      <c r="AE246" s="60">
        <v>0.0</v>
      </c>
      <c r="AF246" s="61">
        <v>0.0</v>
      </c>
      <c r="AG246" s="61">
        <v>0.0</v>
      </c>
      <c r="AH246" s="60">
        <v>0.0</v>
      </c>
      <c r="AI246" s="61">
        <v>70.0</v>
      </c>
      <c r="AJ246" s="61">
        <v>33.0</v>
      </c>
      <c r="AK246" s="60">
        <v>103.0</v>
      </c>
      <c r="AL246" s="61">
        <v>35.0</v>
      </c>
      <c r="AM246" s="61">
        <v>35.0</v>
      </c>
      <c r="AN246" s="60">
        <v>70.0</v>
      </c>
      <c r="AO246" s="62">
        <v>0.0</v>
      </c>
      <c r="AP246" s="62">
        <v>0.0</v>
      </c>
      <c r="AQ246" s="60">
        <v>0.0</v>
      </c>
      <c r="AR246" s="60" t="str">
        <f>IF(Hoja1!$AQ246&gt;0,Hoja1!$AQ246,IF(Hoja1!$AN246&gt;0,Hoja1!$AN246,IF(Hoja1!$AK246&gt;0,Hoja1!$AK246,IF(Hoja1!$AH246&gt;0,Hoja1!$AH246,IF(Hoja1!$AE246&gt;0,Hoja1!$AE246,IF(Hoja1!$AB246&gt;0,Hoja1!$AB246,IF(Hoja1!$Y246&gt;0,Hoja1!$Y246,IF(Hoja1!$V246&gt;0,Hoja1!$V246," ---"))))))))</f>
        <v>70</v>
      </c>
      <c r="AS246" s="63">
        <v>0.0</v>
      </c>
      <c r="AT246" s="63">
        <v>0.0</v>
      </c>
      <c r="AU246" s="63">
        <v>0.0</v>
      </c>
      <c r="AV246" s="63">
        <v>0.0</v>
      </c>
      <c r="AW246" s="63">
        <v>0.0</v>
      </c>
      <c r="AX246" s="63">
        <v>0.0</v>
      </c>
      <c r="AY246" s="63">
        <v>25.0</v>
      </c>
      <c r="AZ246" s="63">
        <v>4.0</v>
      </c>
      <c r="BA246" s="63">
        <v>30.0</v>
      </c>
      <c r="BB246" s="63">
        <v>0.0</v>
      </c>
      <c r="BC246" s="63">
        <v>0.0</v>
      </c>
      <c r="BD246" s="63">
        <v>0.0</v>
      </c>
      <c r="BE246" s="66">
        <v>0.0</v>
      </c>
      <c r="BF246" s="69">
        <v>0.0</v>
      </c>
      <c r="BG246" s="65">
        <v>0.0</v>
      </c>
      <c r="BH246" s="66">
        <v>0.0</v>
      </c>
      <c r="BI246" s="67" t="str">
        <f t="shared" si="69"/>
        <v>#REF!</v>
      </c>
      <c r="BJ246" s="68" t="str">
        <f t="shared" si="70"/>
        <v>#REF!</v>
      </c>
      <c r="BK246" s="65">
        <v>0.0</v>
      </c>
      <c r="BL246" s="65">
        <v>0.0</v>
      </c>
      <c r="BM246" s="66">
        <v>0.0</v>
      </c>
      <c r="BN246" s="67" t="str">
        <f t="shared" si="71"/>
        <v>#REF!</v>
      </c>
      <c r="BO246" s="68" t="str">
        <f t="shared" si="72"/>
        <v>#REF!</v>
      </c>
      <c r="BP246" s="65">
        <v>0.0</v>
      </c>
      <c r="BQ246" s="65">
        <v>0.0</v>
      </c>
      <c r="BR246" s="66">
        <v>0.0</v>
      </c>
      <c r="BS246" s="67" t="str">
        <f t="shared" si="73"/>
        <v>#REF!</v>
      </c>
      <c r="BT246" s="68" t="str">
        <f>'[1]DATA CONSOLIDADA 2018-2025 '!$BR246-Hoja1!$BO246</f>
        <v>#REF!</v>
      </c>
      <c r="BU246" s="65">
        <v>0.0</v>
      </c>
      <c r="BV246" s="65">
        <v>0.0</v>
      </c>
      <c r="BW246" s="66">
        <v>0.0</v>
      </c>
      <c r="BX246" s="67" t="str">
        <f t="shared" si="74"/>
        <v>#REF!</v>
      </c>
      <c r="BY246" s="68" t="str">
        <f t="shared" si="75"/>
        <v>#REF!</v>
      </c>
      <c r="BZ246" s="65">
        <v>0.0</v>
      </c>
      <c r="CA246" s="65">
        <v>0.0</v>
      </c>
      <c r="CB246" s="66">
        <v>0.0</v>
      </c>
      <c r="CC246" s="67" t="str">
        <f t="shared" si="76"/>
        <v>#REF!</v>
      </c>
      <c r="CD246" s="68" t="str">
        <f>'[1]DATA CONSOLIDADA 2018-2025 '!$CB246-Hoja1!$BW246</f>
        <v>#REF!</v>
      </c>
      <c r="CE246" s="70">
        <v>0.0</v>
      </c>
      <c r="CF246" s="70">
        <v>0.0</v>
      </c>
      <c r="CG246" s="71">
        <v>0.0</v>
      </c>
      <c r="CH246" s="67" t="str">
        <f t="shared" si="77"/>
        <v>#REF!</v>
      </c>
      <c r="CI246" s="68" t="str">
        <f>'[1]DATA CONSOLIDADA 2018-2025 '!$CG246-Hoja1!$CB246</f>
        <v>#REF!</v>
      </c>
      <c r="CJ246" s="64" t="str">
        <f t="shared" si="68"/>
        <v>#REF!</v>
      </c>
      <c r="CK246" s="64">
        <v>0.0</v>
      </c>
      <c r="CL246" s="64">
        <v>0.0</v>
      </c>
      <c r="CM246" s="64">
        <v>0.0</v>
      </c>
      <c r="CN246" s="64" t="str">
        <f t="shared" si="12"/>
        <v>#REF!</v>
      </c>
      <c r="CO246" s="68" t="str">
        <f>'[1]DATA CONSOLIDADA 2018-2025 '!$CM246-Hoja1!$CG246</f>
        <v>#REF!</v>
      </c>
      <c r="CP246" s="70">
        <v>0.0</v>
      </c>
      <c r="CQ246" s="70">
        <v>0.0</v>
      </c>
      <c r="CR246" s="70">
        <v>0.0</v>
      </c>
      <c r="CS246" s="70">
        <v>0.0</v>
      </c>
      <c r="CT246" s="70">
        <v>0.0</v>
      </c>
      <c r="CU246" s="70">
        <v>0.0</v>
      </c>
      <c r="CV246" s="64">
        <v>0.0</v>
      </c>
      <c r="CW246" s="64">
        <v>0.0</v>
      </c>
      <c r="CX246" s="64">
        <v>0.0</v>
      </c>
      <c r="CY246" s="64">
        <v>0.0</v>
      </c>
      <c r="CZ246" s="64">
        <v>0.0</v>
      </c>
      <c r="DA246" s="64">
        <v>0.0</v>
      </c>
      <c r="DB246" s="64">
        <v>0.0</v>
      </c>
      <c r="DC246" s="72">
        <v>0.0</v>
      </c>
      <c r="DD246" s="72">
        <v>0.0</v>
      </c>
      <c r="DE246" s="72">
        <v>0.0</v>
      </c>
      <c r="DF246" s="72">
        <v>0.0</v>
      </c>
      <c r="DG246" s="72">
        <v>0.0</v>
      </c>
      <c r="DH246" s="72">
        <v>0.0</v>
      </c>
      <c r="DI246" s="73">
        <v>2.0568428375E10</v>
      </c>
      <c r="DJ246" s="74" t="s">
        <v>926</v>
      </c>
      <c r="DK246" s="74" t="s">
        <v>132</v>
      </c>
      <c r="DL246" s="75"/>
      <c r="DM246" s="75"/>
      <c r="DN246" s="75"/>
      <c r="DO246" s="75"/>
      <c r="DP246" s="75"/>
      <c r="DQ246" s="75"/>
      <c r="DR246" s="75"/>
      <c r="DS246" s="75"/>
      <c r="DT246" s="75"/>
      <c r="DU246" s="75"/>
      <c r="DV246" s="75"/>
      <c r="DW246" s="75"/>
      <c r="DX246" s="75"/>
      <c r="DY246" s="75"/>
      <c r="DZ246" s="75"/>
      <c r="EA246" s="75"/>
      <c r="EB246" s="75"/>
      <c r="EC246" s="75"/>
      <c r="ED246" s="75"/>
      <c r="EE246" s="75"/>
    </row>
    <row r="247" ht="47.25" customHeight="1">
      <c r="A247" s="55" t="s">
        <v>927</v>
      </c>
      <c r="B247" s="55" t="s">
        <v>146</v>
      </c>
      <c r="C247" s="55" t="s">
        <v>146</v>
      </c>
      <c r="D247" s="55" t="s">
        <v>911</v>
      </c>
      <c r="E247" s="55" t="s">
        <v>928</v>
      </c>
      <c r="F247" s="55" t="s">
        <v>911</v>
      </c>
      <c r="G247" s="55" t="s">
        <v>913</v>
      </c>
      <c r="H247" s="55" t="s">
        <v>929</v>
      </c>
      <c r="I247" s="56"/>
      <c r="J247" s="56">
        <v>1.0</v>
      </c>
      <c r="K247" s="56">
        <v>1.0</v>
      </c>
      <c r="L247" s="56"/>
      <c r="M247" s="56"/>
      <c r="N247" s="56">
        <v>1.0</v>
      </c>
      <c r="O247" s="56">
        <v>1.0</v>
      </c>
      <c r="P247" s="56"/>
      <c r="Q247" s="56" t="s">
        <v>131</v>
      </c>
      <c r="R247" s="58" t="str">
        <f t="shared" si="1"/>
        <v>2019-2020-2023-2024</v>
      </c>
      <c r="S247" s="59" t="str">
        <f>SUM(Hoja1!$I247:$P247)</f>
        <v>4</v>
      </c>
      <c r="T247" s="59" t="str">
        <f>IF(OR(Hoja1!$J247=1,Hoja1!$K247=1,Hoja1!$L247=1,Hoja1!$M247=1,Hoja1!$N247=1,Hoja1!$O247=1,Hoja1!$P247=1),"SI","NO")</f>
        <v>SI</v>
      </c>
      <c r="U247" s="59" t="str">
        <f>IF(OR(Hoja1!$K247=1,Hoja1!$L247=1,Hoja1!$M247=1,Hoja1!$N247=1,Hoja1!$O247=1,Hoja1!$P247=1),"SI","NO")</f>
        <v>SI</v>
      </c>
      <c r="V247" s="60">
        <v>0.0</v>
      </c>
      <c r="W247" s="61">
        <v>24.0</v>
      </c>
      <c r="X247" s="61">
        <v>16.0</v>
      </c>
      <c r="Y247" s="60">
        <v>40.0</v>
      </c>
      <c r="Z247" s="61">
        <v>24.0</v>
      </c>
      <c r="AA247" s="61">
        <v>16.0</v>
      </c>
      <c r="AB247" s="60">
        <v>40.0</v>
      </c>
      <c r="AC247" s="61">
        <v>0.0</v>
      </c>
      <c r="AD247" s="61">
        <v>0.0</v>
      </c>
      <c r="AE247" s="60">
        <v>0.0</v>
      </c>
      <c r="AF247" s="61">
        <v>0.0</v>
      </c>
      <c r="AG247" s="61">
        <v>0.0</v>
      </c>
      <c r="AH247" s="60">
        <v>0.0</v>
      </c>
      <c r="AI247" s="61">
        <v>30.0</v>
      </c>
      <c r="AJ247" s="61">
        <v>10.0</v>
      </c>
      <c r="AK247" s="60">
        <v>40.0</v>
      </c>
      <c r="AL247" s="61">
        <v>30.0</v>
      </c>
      <c r="AM247" s="61">
        <v>10.0</v>
      </c>
      <c r="AN247" s="60">
        <v>40.0</v>
      </c>
      <c r="AO247" s="62">
        <v>0.0</v>
      </c>
      <c r="AP247" s="62">
        <v>0.0</v>
      </c>
      <c r="AQ247" s="60">
        <v>0.0</v>
      </c>
      <c r="AR247" s="60" t="str">
        <f>IF(Hoja1!$AQ247&gt;0,Hoja1!$AQ247,IF(Hoja1!$AN247&gt;0,Hoja1!$AN247,IF(Hoja1!$AK247&gt;0,Hoja1!$AK247,IF(Hoja1!$AH247&gt;0,Hoja1!$AH247,IF(Hoja1!$AE247&gt;0,Hoja1!$AE247,IF(Hoja1!$AB247&gt;0,Hoja1!$AB247,IF(Hoja1!$Y247&gt;0,Hoja1!$Y247,IF(Hoja1!$V247&gt;0,Hoja1!$V247," ---"))))))))</f>
        <v>40</v>
      </c>
      <c r="AS247" s="63">
        <v>0.0</v>
      </c>
      <c r="AT247" s="63">
        <v>0.0</v>
      </c>
      <c r="AU247" s="63">
        <v>0.0</v>
      </c>
      <c r="AV247" s="63">
        <v>0.0</v>
      </c>
      <c r="AW247" s="63">
        <v>0.0</v>
      </c>
      <c r="AX247" s="63">
        <v>0.0</v>
      </c>
      <c r="AY247" s="63">
        <v>27.0</v>
      </c>
      <c r="AZ247" s="63">
        <v>3.0</v>
      </c>
      <c r="BA247" s="63">
        <v>28.0</v>
      </c>
      <c r="BB247" s="63">
        <v>1.0</v>
      </c>
      <c r="BC247" s="63">
        <v>0.0</v>
      </c>
      <c r="BD247" s="63">
        <v>0.0</v>
      </c>
      <c r="BE247" s="66">
        <v>0.0</v>
      </c>
      <c r="BF247" s="65">
        <v>0.0</v>
      </c>
      <c r="BG247" s="65">
        <v>0.0</v>
      </c>
      <c r="BH247" s="66">
        <v>0.0</v>
      </c>
      <c r="BI247" s="67" t="str">
        <f t="shared" si="69"/>
        <v>#REF!</v>
      </c>
      <c r="BJ247" s="68" t="str">
        <f t="shared" si="70"/>
        <v>#REF!</v>
      </c>
      <c r="BK247" s="65">
        <v>0.0</v>
      </c>
      <c r="BL247" s="65">
        <v>0.0</v>
      </c>
      <c r="BM247" s="66">
        <v>0.0</v>
      </c>
      <c r="BN247" s="67" t="str">
        <f t="shared" si="71"/>
        <v>#REF!</v>
      </c>
      <c r="BO247" s="68" t="str">
        <f t="shared" si="72"/>
        <v>#REF!</v>
      </c>
      <c r="BP247" s="65">
        <v>0.0</v>
      </c>
      <c r="BQ247" s="65">
        <v>0.0</v>
      </c>
      <c r="BR247" s="66">
        <v>0.0</v>
      </c>
      <c r="BS247" s="67" t="str">
        <f t="shared" si="73"/>
        <v>#REF!</v>
      </c>
      <c r="BT247" s="68" t="str">
        <f>'[1]DATA CONSOLIDADA 2018-2025 '!$BR247-Hoja1!$BO247</f>
        <v>#REF!</v>
      </c>
      <c r="BU247" s="65">
        <v>0.0</v>
      </c>
      <c r="BV247" s="65">
        <v>0.0</v>
      </c>
      <c r="BW247" s="66">
        <v>0.0</v>
      </c>
      <c r="BX247" s="67" t="str">
        <f t="shared" si="74"/>
        <v>#REF!</v>
      </c>
      <c r="BY247" s="68" t="str">
        <f t="shared" si="75"/>
        <v>#REF!</v>
      </c>
      <c r="BZ247" s="65">
        <v>21799.2</v>
      </c>
      <c r="CA247" s="65">
        <v>0.0</v>
      </c>
      <c r="CB247" s="66">
        <v>21799.2</v>
      </c>
      <c r="CC247" s="67" t="str">
        <f t="shared" si="76"/>
        <v>#REF!</v>
      </c>
      <c r="CD247" s="68" t="str">
        <f>'[1]DATA CONSOLIDADA 2018-2025 '!$CB247-Hoja1!$BW247</f>
        <v>#REF!</v>
      </c>
      <c r="CE247" s="70">
        <v>0.0</v>
      </c>
      <c r="CF247" s="70">
        <v>0.0</v>
      </c>
      <c r="CG247" s="71">
        <v>0.0</v>
      </c>
      <c r="CH247" s="67" t="str">
        <f t="shared" si="77"/>
        <v>#REF!</v>
      </c>
      <c r="CI247" s="68" t="str">
        <f>'[1]DATA CONSOLIDADA 2018-2025 '!$CG247-Hoja1!$CB247</f>
        <v>#REF!</v>
      </c>
      <c r="CJ247" s="64" t="str">
        <f t="shared" si="68"/>
        <v>#REF!</v>
      </c>
      <c r="CK247" s="64">
        <v>0.0</v>
      </c>
      <c r="CL247" s="64">
        <v>0.0</v>
      </c>
      <c r="CM247" s="64">
        <v>0.0</v>
      </c>
      <c r="CN247" s="64" t="str">
        <f t="shared" si="12"/>
        <v>#REF!</v>
      </c>
      <c r="CO247" s="68" t="str">
        <f>'[1]DATA CONSOLIDADA 2018-2025 '!$CM247-Hoja1!$CG247</f>
        <v>#REF!</v>
      </c>
      <c r="CP247" s="70">
        <v>5808.0</v>
      </c>
      <c r="CQ247" s="70">
        <v>10899.600021</v>
      </c>
      <c r="CR247" s="70">
        <v>0.0</v>
      </c>
      <c r="CS247" s="70">
        <v>0.0</v>
      </c>
      <c r="CT247" s="70">
        <v>5091.6</v>
      </c>
      <c r="CU247" s="70">
        <v>0.0</v>
      </c>
      <c r="CV247" s="64">
        <v>21799.200020999997</v>
      </c>
      <c r="CW247" s="64">
        <v>0.0</v>
      </c>
      <c r="CX247" s="64">
        <v>0.0</v>
      </c>
      <c r="CY247" s="64">
        <v>0.0</v>
      </c>
      <c r="CZ247" s="64">
        <v>0.0</v>
      </c>
      <c r="DA247" s="64">
        <v>0.0</v>
      </c>
      <c r="DB247" s="64">
        <v>0.0</v>
      </c>
      <c r="DC247" s="72">
        <v>0.0</v>
      </c>
      <c r="DD247" s="72">
        <v>0.0</v>
      </c>
      <c r="DE247" s="72">
        <v>0.0</v>
      </c>
      <c r="DF247" s="72">
        <v>0.0</v>
      </c>
      <c r="DG247" s="72">
        <v>0.0</v>
      </c>
      <c r="DH247" s="72">
        <v>0.0</v>
      </c>
      <c r="DI247" s="73">
        <v>2.0568560133E10</v>
      </c>
      <c r="DJ247" s="74" t="s">
        <v>930</v>
      </c>
      <c r="DK247" s="74" t="s">
        <v>138</v>
      </c>
      <c r="DL247" s="75"/>
      <c r="DM247" s="75"/>
      <c r="DN247" s="75"/>
      <c r="DO247" s="75"/>
      <c r="DP247" s="75"/>
      <c r="DQ247" s="75"/>
      <c r="DR247" s="75"/>
      <c r="DS247" s="75"/>
      <c r="DT247" s="75"/>
      <c r="DU247" s="75"/>
      <c r="DV247" s="75"/>
      <c r="DW247" s="75"/>
      <c r="DX247" s="75"/>
      <c r="DY247" s="75"/>
      <c r="DZ247" s="75"/>
      <c r="EA247" s="75"/>
      <c r="EB247" s="75"/>
      <c r="EC247" s="75"/>
      <c r="ED247" s="75"/>
      <c r="EE247" s="75"/>
    </row>
    <row r="248" ht="47.25" hidden="1" customHeight="1">
      <c r="A248" s="55" t="s">
        <v>931</v>
      </c>
      <c r="B248" s="55" t="s">
        <v>126</v>
      </c>
      <c r="C248" s="55" t="s">
        <v>126</v>
      </c>
      <c r="D248" s="55" t="s">
        <v>911</v>
      </c>
      <c r="E248" s="55" t="s">
        <v>916</v>
      </c>
      <c r="F248" s="55" t="s">
        <v>911</v>
      </c>
      <c r="G248" s="55" t="s">
        <v>913</v>
      </c>
      <c r="H248" s="55" t="s">
        <v>917</v>
      </c>
      <c r="I248" s="56">
        <v>1.0</v>
      </c>
      <c r="J248" s="56">
        <v>1.0</v>
      </c>
      <c r="K248" s="56"/>
      <c r="L248" s="56"/>
      <c r="M248" s="56"/>
      <c r="N248" s="56"/>
      <c r="O248" s="56"/>
      <c r="P248" s="56"/>
      <c r="Q248" s="56" t="s">
        <v>131</v>
      </c>
      <c r="R248" s="58" t="str">
        <f t="shared" si="1"/>
        <v>2018-2019</v>
      </c>
      <c r="S248" s="59" t="str">
        <f>SUM(Hoja1!$I248:$P248)</f>
        <v>2</v>
      </c>
      <c r="T248" s="59" t="str">
        <f>IF(OR(Hoja1!$J248=1,Hoja1!$K248=1,Hoja1!$L248=1,Hoja1!$M248=1,Hoja1!$N248=1,Hoja1!$O248=1,Hoja1!$P248=1),"SI","NO")</f>
        <v>SI</v>
      </c>
      <c r="U248" s="59" t="str">
        <f>IF(OR(Hoja1!$K248=1,Hoja1!$L248=1,Hoja1!$M248=1,Hoja1!$N248=1,Hoja1!$O248=1,Hoja1!$P248=1),"SI","NO")</f>
        <v>NO</v>
      </c>
      <c r="V248" s="60">
        <v>235.0</v>
      </c>
      <c r="W248" s="61">
        <v>81.0</v>
      </c>
      <c r="X248" s="61">
        <v>31.0</v>
      </c>
      <c r="Y248" s="60">
        <v>112.0</v>
      </c>
      <c r="Z248" s="61">
        <v>0.0</v>
      </c>
      <c r="AA248" s="61">
        <v>0.0</v>
      </c>
      <c r="AB248" s="60">
        <v>0.0</v>
      </c>
      <c r="AC248" s="61">
        <v>0.0</v>
      </c>
      <c r="AD248" s="61">
        <v>0.0</v>
      </c>
      <c r="AE248" s="60">
        <v>0.0</v>
      </c>
      <c r="AF248" s="61">
        <v>0.0</v>
      </c>
      <c r="AG248" s="61">
        <v>0.0</v>
      </c>
      <c r="AH248" s="60">
        <v>0.0</v>
      </c>
      <c r="AI248" s="61">
        <v>0.0</v>
      </c>
      <c r="AJ248" s="61">
        <v>0.0</v>
      </c>
      <c r="AK248" s="60">
        <v>0.0</v>
      </c>
      <c r="AL248" s="61">
        <v>0.0</v>
      </c>
      <c r="AM248" s="61">
        <v>0.0</v>
      </c>
      <c r="AN248" s="60">
        <v>0.0</v>
      </c>
      <c r="AO248" s="62">
        <v>0.0</v>
      </c>
      <c r="AP248" s="62">
        <v>0.0</v>
      </c>
      <c r="AQ248" s="60">
        <v>0.0</v>
      </c>
      <c r="AR248" s="60" t="str">
        <f>IF(Hoja1!$AQ248&gt;0,Hoja1!$AQ248,IF(Hoja1!$AN248&gt;0,Hoja1!$AN248,IF(Hoja1!$AK248&gt;0,Hoja1!$AK248,IF(Hoja1!$AH248&gt;0,Hoja1!$AH248,IF(Hoja1!$AE248&gt;0,Hoja1!$AE248,IF(Hoja1!$AB248&gt;0,Hoja1!$AB248,IF(Hoja1!$Y248&gt;0,Hoja1!$Y248,IF(Hoja1!$V248&gt;0,Hoja1!$V248," ---"))))))))</f>
        <v>112</v>
      </c>
      <c r="AS248" s="63">
        <v>0.0</v>
      </c>
      <c r="AT248" s="63">
        <v>0.0</v>
      </c>
      <c r="AU248" s="63">
        <v>0.0</v>
      </c>
      <c r="AV248" s="63">
        <v>0.0</v>
      </c>
      <c r="AW248" s="63">
        <v>0.0</v>
      </c>
      <c r="AX248" s="63">
        <v>0.0</v>
      </c>
      <c r="AY248" s="63">
        <v>0.0</v>
      </c>
      <c r="AZ248" s="63">
        <v>0.0</v>
      </c>
      <c r="BA248" s="63">
        <v>0.0</v>
      </c>
      <c r="BB248" s="63">
        <v>0.0</v>
      </c>
      <c r="BC248" s="63">
        <v>0.0</v>
      </c>
      <c r="BD248" s="63">
        <v>0.0</v>
      </c>
      <c r="BE248" s="66">
        <v>2653362.14</v>
      </c>
      <c r="BF248" s="65">
        <v>88569.25</v>
      </c>
      <c r="BG248" s="65">
        <v>3415169.41</v>
      </c>
      <c r="BH248" s="66">
        <v>3503738.66</v>
      </c>
      <c r="BI248" s="67" t="str">
        <f t="shared" si="69"/>
        <v>#REF!</v>
      </c>
      <c r="BJ248" s="68" t="str">
        <f t="shared" si="70"/>
        <v>#REF!</v>
      </c>
      <c r="BK248" s="65">
        <v>0.0</v>
      </c>
      <c r="BL248" s="65">
        <v>0.0</v>
      </c>
      <c r="BM248" s="66">
        <v>0.0</v>
      </c>
      <c r="BN248" s="67" t="str">
        <f t="shared" si="71"/>
        <v>#REF!</v>
      </c>
      <c r="BO248" s="68" t="str">
        <f t="shared" si="72"/>
        <v>#REF!</v>
      </c>
      <c r="BP248" s="65">
        <v>0.0</v>
      </c>
      <c r="BQ248" s="65">
        <v>0.0</v>
      </c>
      <c r="BR248" s="66">
        <v>0.0</v>
      </c>
      <c r="BS248" s="67" t="str">
        <f t="shared" si="73"/>
        <v>#REF!</v>
      </c>
      <c r="BT248" s="68" t="str">
        <f>'[1]DATA CONSOLIDADA 2018-2025 '!$BR248-Hoja1!$BO248</f>
        <v>#REF!</v>
      </c>
      <c r="BU248" s="65">
        <v>0.0</v>
      </c>
      <c r="BV248" s="65">
        <v>0.0</v>
      </c>
      <c r="BW248" s="66">
        <v>0.0</v>
      </c>
      <c r="BX248" s="67" t="str">
        <f t="shared" si="74"/>
        <v>#REF!</v>
      </c>
      <c r="BY248" s="68" t="str">
        <f t="shared" si="75"/>
        <v>#REF!</v>
      </c>
      <c r="BZ248" s="65">
        <v>0.0</v>
      </c>
      <c r="CA248" s="65">
        <v>0.0</v>
      </c>
      <c r="CB248" s="66">
        <v>0.0</v>
      </c>
      <c r="CC248" s="67" t="str">
        <f t="shared" si="76"/>
        <v>#REF!</v>
      </c>
      <c r="CD248" s="68" t="str">
        <f>'[1]DATA CONSOLIDADA 2018-2025 '!$CB248-Hoja1!$BW248</f>
        <v>#REF!</v>
      </c>
      <c r="CE248" s="70">
        <v>0.0</v>
      </c>
      <c r="CF248" s="70">
        <v>0.0</v>
      </c>
      <c r="CG248" s="71">
        <v>0.0</v>
      </c>
      <c r="CH248" s="67" t="str">
        <f t="shared" si="77"/>
        <v>#REF!</v>
      </c>
      <c r="CI248" s="68" t="str">
        <f>'[1]DATA CONSOLIDADA 2018-2025 '!$CG248-Hoja1!$CB248</f>
        <v>#REF!</v>
      </c>
      <c r="CJ248" s="64" t="str">
        <f t="shared" si="68"/>
        <v>#REF!</v>
      </c>
      <c r="CK248" s="64">
        <v>0.0</v>
      </c>
      <c r="CL248" s="64">
        <v>0.0</v>
      </c>
      <c r="CM248" s="64">
        <v>0.0</v>
      </c>
      <c r="CN248" s="64" t="str">
        <f t="shared" si="12"/>
        <v>#REF!</v>
      </c>
      <c r="CO248" s="68" t="str">
        <f>'[1]DATA CONSOLIDADA 2018-2025 '!$CM248-Hoja1!$CG248</f>
        <v>#REF!</v>
      </c>
      <c r="CP248" s="70">
        <v>0.0</v>
      </c>
      <c r="CQ248" s="70">
        <v>0.0</v>
      </c>
      <c r="CR248" s="70">
        <v>0.0</v>
      </c>
      <c r="CS248" s="70">
        <v>0.0</v>
      </c>
      <c r="CT248" s="70">
        <v>0.0</v>
      </c>
      <c r="CU248" s="70">
        <v>0.0</v>
      </c>
      <c r="CV248" s="64">
        <v>0.0</v>
      </c>
      <c r="CW248" s="64">
        <v>0.0</v>
      </c>
      <c r="CX248" s="64">
        <v>0.0</v>
      </c>
      <c r="CY248" s="64">
        <v>0.0</v>
      </c>
      <c r="CZ248" s="64">
        <v>0.0</v>
      </c>
      <c r="DA248" s="64">
        <v>0.0</v>
      </c>
      <c r="DB248" s="64">
        <v>0.0</v>
      </c>
      <c r="DC248" s="72">
        <v>0.0</v>
      </c>
      <c r="DD248" s="72">
        <v>0.0</v>
      </c>
      <c r="DE248" s="72">
        <v>0.0</v>
      </c>
      <c r="DF248" s="72">
        <v>0.0</v>
      </c>
      <c r="DG248" s="72">
        <v>0.0</v>
      </c>
      <c r="DH248" s="72">
        <v>0.0</v>
      </c>
      <c r="DI248" s="73">
        <v>2.0568071281E10</v>
      </c>
      <c r="DJ248" s="74" t="s">
        <v>932</v>
      </c>
      <c r="DK248" s="74" t="s">
        <v>132</v>
      </c>
      <c r="DL248" s="82"/>
      <c r="DM248" s="82"/>
      <c r="DN248" s="82"/>
      <c r="DO248" s="82"/>
      <c r="DP248" s="82"/>
      <c r="DQ248" s="82"/>
      <c r="DR248" s="82"/>
      <c r="DS248" s="82"/>
      <c r="DT248" s="82"/>
      <c r="DU248" s="82"/>
      <c r="DV248" s="82"/>
      <c r="DW248" s="82"/>
      <c r="DX248" s="82"/>
      <c r="DY248" s="82"/>
      <c r="DZ248" s="82"/>
      <c r="EA248" s="82"/>
      <c r="EB248" s="82"/>
      <c r="EC248" s="82"/>
      <c r="ED248" s="82"/>
      <c r="EE248" s="82"/>
    </row>
    <row r="249" ht="47.25" hidden="1" customHeight="1">
      <c r="A249" s="55" t="s">
        <v>933</v>
      </c>
      <c r="B249" s="55" t="s">
        <v>126</v>
      </c>
      <c r="C249" s="55" t="s">
        <v>126</v>
      </c>
      <c r="D249" s="55" t="s">
        <v>911</v>
      </c>
      <c r="E249" s="55" t="s">
        <v>916</v>
      </c>
      <c r="F249" s="55" t="s">
        <v>911</v>
      </c>
      <c r="G249" s="55" t="s">
        <v>913</v>
      </c>
      <c r="H249" s="55" t="s">
        <v>917</v>
      </c>
      <c r="I249" s="56">
        <v>1.0</v>
      </c>
      <c r="J249" s="56">
        <v>1.0</v>
      </c>
      <c r="K249" s="56"/>
      <c r="L249" s="56">
        <v>1.0</v>
      </c>
      <c r="M249" s="56"/>
      <c r="N249" s="56"/>
      <c r="O249" s="56"/>
      <c r="P249" s="56"/>
      <c r="Q249" s="56" t="s">
        <v>131</v>
      </c>
      <c r="R249" s="58" t="str">
        <f t="shared" si="1"/>
        <v>2018-2019-2021</v>
      </c>
      <c r="S249" s="59" t="str">
        <f>SUM(Hoja1!$I249:$P249)</f>
        <v>3</v>
      </c>
      <c r="T249" s="59" t="str">
        <f>IF(OR(Hoja1!$J249=1,Hoja1!$K249=1,Hoja1!$L249=1,Hoja1!$M249=1,Hoja1!$N249=1,Hoja1!$O249=1,Hoja1!$P249=1),"SI","NO")</f>
        <v>SI</v>
      </c>
      <c r="U249" s="59" t="str">
        <f>IF(OR(Hoja1!$K249=1,Hoja1!$L249=1,Hoja1!$M249=1,Hoja1!$N249=1,Hoja1!$O249=1,Hoja1!$P249=1),"SI","NO")</f>
        <v>SI</v>
      </c>
      <c r="V249" s="60">
        <v>23.0</v>
      </c>
      <c r="W249" s="61">
        <v>56.0</v>
      </c>
      <c r="X249" s="61">
        <v>24.0</v>
      </c>
      <c r="Y249" s="60">
        <v>80.0</v>
      </c>
      <c r="Z249" s="61">
        <v>0.0</v>
      </c>
      <c r="AA249" s="61">
        <v>0.0</v>
      </c>
      <c r="AB249" s="60">
        <v>0.0</v>
      </c>
      <c r="AC249" s="61">
        <v>60.0</v>
      </c>
      <c r="AD249" s="61">
        <v>27.0</v>
      </c>
      <c r="AE249" s="60">
        <v>87.0</v>
      </c>
      <c r="AF249" s="61">
        <v>0.0</v>
      </c>
      <c r="AG249" s="61">
        <v>0.0</v>
      </c>
      <c r="AH249" s="60">
        <v>0.0</v>
      </c>
      <c r="AI249" s="61">
        <v>0.0</v>
      </c>
      <c r="AJ249" s="61">
        <v>0.0</v>
      </c>
      <c r="AK249" s="60">
        <v>0.0</v>
      </c>
      <c r="AL249" s="61">
        <v>0.0</v>
      </c>
      <c r="AM249" s="61">
        <v>0.0</v>
      </c>
      <c r="AN249" s="60">
        <v>0.0</v>
      </c>
      <c r="AO249" s="62">
        <v>0.0</v>
      </c>
      <c r="AP249" s="62">
        <v>0.0</v>
      </c>
      <c r="AQ249" s="60">
        <v>0.0</v>
      </c>
      <c r="AR249" s="60" t="str">
        <f>IF(Hoja1!$AQ249&gt;0,Hoja1!$AQ249,IF(Hoja1!$AN249&gt;0,Hoja1!$AN249,IF(Hoja1!$AK249&gt;0,Hoja1!$AK249,IF(Hoja1!$AH249&gt;0,Hoja1!$AH249,IF(Hoja1!$AE249&gt;0,Hoja1!$AE249,IF(Hoja1!$AB249&gt;0,Hoja1!$AB249,IF(Hoja1!$Y249&gt;0,Hoja1!$Y249,IF(Hoja1!$V249&gt;0,Hoja1!$V249," ---"))))))))</f>
        <v>87</v>
      </c>
      <c r="AS249" s="63">
        <v>0.0</v>
      </c>
      <c r="AT249" s="63">
        <v>0.0</v>
      </c>
      <c r="AU249" s="63">
        <v>22.0</v>
      </c>
      <c r="AV249" s="63">
        <v>5.0</v>
      </c>
      <c r="AW249" s="63">
        <v>0.0</v>
      </c>
      <c r="AX249" s="63">
        <v>0.0</v>
      </c>
      <c r="AY249" s="63">
        <v>0.0</v>
      </c>
      <c r="AZ249" s="63">
        <v>0.0</v>
      </c>
      <c r="BA249" s="63">
        <v>0.0</v>
      </c>
      <c r="BB249" s="63">
        <v>0.0</v>
      </c>
      <c r="BC249" s="63">
        <v>0.0</v>
      </c>
      <c r="BD249" s="63">
        <v>0.0</v>
      </c>
      <c r="BE249" s="64">
        <v>0.0</v>
      </c>
      <c r="BF249" s="65">
        <v>0.0</v>
      </c>
      <c r="BG249" s="65">
        <v>0.0</v>
      </c>
      <c r="BH249" s="66">
        <v>0.0</v>
      </c>
      <c r="BI249" s="67" t="str">
        <f t="shared" si="69"/>
        <v>#REF!</v>
      </c>
      <c r="BJ249" s="68" t="str">
        <f t="shared" si="70"/>
        <v>#REF!</v>
      </c>
      <c r="BK249" s="65">
        <v>0.0</v>
      </c>
      <c r="BL249" s="65">
        <v>0.0</v>
      </c>
      <c r="BM249" s="66">
        <v>0.0</v>
      </c>
      <c r="BN249" s="67" t="str">
        <f t="shared" si="71"/>
        <v>#REF!</v>
      </c>
      <c r="BO249" s="68" t="str">
        <f t="shared" si="72"/>
        <v>#REF!</v>
      </c>
      <c r="BP249" s="65">
        <v>0.0</v>
      </c>
      <c r="BQ249" s="65">
        <v>0.0</v>
      </c>
      <c r="BR249" s="66">
        <v>0.0</v>
      </c>
      <c r="BS249" s="67" t="str">
        <f t="shared" si="73"/>
        <v>#REF!</v>
      </c>
      <c r="BT249" s="68" t="str">
        <f>'[1]DATA CONSOLIDADA 2018-2025 '!$BR249-Hoja1!$BO249</f>
        <v>#REF!</v>
      </c>
      <c r="BU249" s="65">
        <v>0.0</v>
      </c>
      <c r="BV249" s="65">
        <v>0.0</v>
      </c>
      <c r="BW249" s="66">
        <v>0.0</v>
      </c>
      <c r="BX249" s="67" t="str">
        <f t="shared" si="74"/>
        <v>#REF!</v>
      </c>
      <c r="BY249" s="68" t="str">
        <f t="shared" si="75"/>
        <v>#REF!</v>
      </c>
      <c r="BZ249" s="65">
        <v>0.0</v>
      </c>
      <c r="CA249" s="65">
        <v>0.0</v>
      </c>
      <c r="CB249" s="66">
        <v>0.0</v>
      </c>
      <c r="CC249" s="67" t="str">
        <f t="shared" si="76"/>
        <v>#REF!</v>
      </c>
      <c r="CD249" s="68" t="str">
        <f>'[1]DATA CONSOLIDADA 2018-2025 '!$CB249-Hoja1!$BW249</f>
        <v>#REF!</v>
      </c>
      <c r="CE249" s="70">
        <v>0.0</v>
      </c>
      <c r="CF249" s="70">
        <v>0.0</v>
      </c>
      <c r="CG249" s="71">
        <v>0.0</v>
      </c>
      <c r="CH249" s="67" t="str">
        <f t="shared" si="77"/>
        <v>#REF!</v>
      </c>
      <c r="CI249" s="68" t="str">
        <f>'[1]DATA CONSOLIDADA 2018-2025 '!$CG249-Hoja1!$CB249</f>
        <v>#REF!</v>
      </c>
      <c r="CJ249" s="64" t="str">
        <f t="shared" si="68"/>
        <v>#REF!</v>
      </c>
      <c r="CK249" s="64">
        <v>0.0</v>
      </c>
      <c r="CL249" s="64">
        <v>0.0</v>
      </c>
      <c r="CM249" s="64">
        <v>0.0</v>
      </c>
      <c r="CN249" s="64" t="str">
        <f t="shared" si="12"/>
        <v>#REF!</v>
      </c>
      <c r="CO249" s="68" t="str">
        <f>'[1]DATA CONSOLIDADA 2018-2025 '!$CM249-Hoja1!$CG249</f>
        <v>#REF!</v>
      </c>
      <c r="CP249" s="70">
        <v>0.0</v>
      </c>
      <c r="CQ249" s="70">
        <v>0.0</v>
      </c>
      <c r="CR249" s="70">
        <v>0.0</v>
      </c>
      <c r="CS249" s="70">
        <v>0.0</v>
      </c>
      <c r="CT249" s="70">
        <v>0.0</v>
      </c>
      <c r="CU249" s="70">
        <v>0.0</v>
      </c>
      <c r="CV249" s="64">
        <v>0.0</v>
      </c>
      <c r="CW249" s="64">
        <v>0.0</v>
      </c>
      <c r="CX249" s="64">
        <v>0.0</v>
      </c>
      <c r="CY249" s="64">
        <v>0.0</v>
      </c>
      <c r="CZ249" s="64">
        <v>0.0</v>
      </c>
      <c r="DA249" s="64">
        <v>0.0</v>
      </c>
      <c r="DB249" s="64">
        <v>0.0</v>
      </c>
      <c r="DC249" s="72">
        <v>0.0</v>
      </c>
      <c r="DD249" s="72">
        <v>0.0</v>
      </c>
      <c r="DE249" s="72">
        <v>0.0</v>
      </c>
      <c r="DF249" s="72">
        <v>0.0</v>
      </c>
      <c r="DG249" s="72">
        <v>0.0</v>
      </c>
      <c r="DH249" s="72">
        <v>0.0</v>
      </c>
      <c r="DI249" s="73">
        <v>2.0601329159E10</v>
      </c>
      <c r="DJ249" s="74" t="s">
        <v>934</v>
      </c>
      <c r="DK249" s="74" t="s">
        <v>132</v>
      </c>
      <c r="DL249" s="75"/>
      <c r="DM249" s="75"/>
      <c r="DN249" s="75"/>
      <c r="DO249" s="75"/>
      <c r="DP249" s="75"/>
      <c r="DQ249" s="75"/>
      <c r="DR249" s="75"/>
      <c r="DS249" s="75"/>
      <c r="DT249" s="75"/>
      <c r="DU249" s="75"/>
      <c r="DV249" s="75"/>
      <c r="DW249" s="75"/>
      <c r="DX249" s="75"/>
      <c r="DY249" s="75"/>
      <c r="DZ249" s="75"/>
      <c r="EA249" s="75"/>
      <c r="EB249" s="75"/>
      <c r="EC249" s="75"/>
      <c r="ED249" s="75"/>
      <c r="EE249" s="75"/>
    </row>
    <row r="250" ht="47.25" hidden="1" customHeight="1">
      <c r="A250" s="55" t="s">
        <v>935</v>
      </c>
      <c r="B250" s="55" t="s">
        <v>439</v>
      </c>
      <c r="C250" s="55" t="s">
        <v>439</v>
      </c>
      <c r="D250" s="55" t="s">
        <v>911</v>
      </c>
      <c r="E250" s="55" t="s">
        <v>912</v>
      </c>
      <c r="F250" s="55" t="s">
        <v>911</v>
      </c>
      <c r="G250" s="55" t="s">
        <v>913</v>
      </c>
      <c r="H250" s="55" t="s">
        <v>913</v>
      </c>
      <c r="I250" s="56">
        <v>1.0</v>
      </c>
      <c r="J250" s="56">
        <v>1.0</v>
      </c>
      <c r="K250" s="56"/>
      <c r="L250" s="56"/>
      <c r="M250" s="56"/>
      <c r="N250" s="56"/>
      <c r="O250" s="56"/>
      <c r="P250" s="56"/>
      <c r="Q250" s="56" t="s">
        <v>131</v>
      </c>
      <c r="R250" s="58" t="str">
        <f t="shared" si="1"/>
        <v>2018-2019</v>
      </c>
      <c r="S250" s="59" t="str">
        <f>SUM(Hoja1!$I250:$P250)</f>
        <v>2</v>
      </c>
      <c r="T250" s="59" t="str">
        <f>IF(OR(Hoja1!$J250=1,Hoja1!$K250=1,Hoja1!$L250=1,Hoja1!$M250=1,Hoja1!$N250=1,Hoja1!$O250=1,Hoja1!$P250=1),"SI","NO")</f>
        <v>SI</v>
      </c>
      <c r="U250" s="59" t="str">
        <f>IF(OR(Hoja1!$K250=1,Hoja1!$L250=1,Hoja1!$M250=1,Hoja1!$N250=1,Hoja1!$O250=1,Hoja1!$P250=1),"SI","NO")</f>
        <v>NO</v>
      </c>
      <c r="V250" s="60">
        <v>75.0</v>
      </c>
      <c r="W250" s="61">
        <v>17.0</v>
      </c>
      <c r="X250" s="61">
        <v>1.0</v>
      </c>
      <c r="Y250" s="60">
        <v>18.0</v>
      </c>
      <c r="Z250" s="61">
        <v>0.0</v>
      </c>
      <c r="AA250" s="61">
        <v>0.0</v>
      </c>
      <c r="AB250" s="60">
        <v>0.0</v>
      </c>
      <c r="AC250" s="61">
        <v>0.0</v>
      </c>
      <c r="AD250" s="61">
        <v>0.0</v>
      </c>
      <c r="AE250" s="60">
        <v>0.0</v>
      </c>
      <c r="AF250" s="61">
        <v>0.0</v>
      </c>
      <c r="AG250" s="61">
        <v>0.0</v>
      </c>
      <c r="AH250" s="60">
        <v>0.0</v>
      </c>
      <c r="AI250" s="61">
        <v>0.0</v>
      </c>
      <c r="AJ250" s="61">
        <v>0.0</v>
      </c>
      <c r="AK250" s="60">
        <v>0.0</v>
      </c>
      <c r="AL250" s="61">
        <v>0.0</v>
      </c>
      <c r="AM250" s="61">
        <v>0.0</v>
      </c>
      <c r="AN250" s="60">
        <v>0.0</v>
      </c>
      <c r="AO250" s="62">
        <v>0.0</v>
      </c>
      <c r="AP250" s="62">
        <v>0.0</v>
      </c>
      <c r="AQ250" s="60">
        <v>0.0</v>
      </c>
      <c r="AR250" s="60" t="str">
        <f>IF(Hoja1!$AQ250&gt;0,Hoja1!$AQ250,IF(Hoja1!$AN250&gt;0,Hoja1!$AN250,IF(Hoja1!$AK250&gt;0,Hoja1!$AK250,IF(Hoja1!$AH250&gt;0,Hoja1!$AH250,IF(Hoja1!$AE250&gt;0,Hoja1!$AE250,IF(Hoja1!$AB250&gt;0,Hoja1!$AB250,IF(Hoja1!$Y250&gt;0,Hoja1!$Y250,IF(Hoja1!$V250&gt;0,Hoja1!$V250," ---"))))))))</f>
        <v>18</v>
      </c>
      <c r="AS250" s="63">
        <v>0.0</v>
      </c>
      <c r="AT250" s="63">
        <v>0.0</v>
      </c>
      <c r="AU250" s="63">
        <v>0.0</v>
      </c>
      <c r="AV250" s="63">
        <v>0.0</v>
      </c>
      <c r="AW250" s="63">
        <v>0.0</v>
      </c>
      <c r="AX250" s="63">
        <v>0.0</v>
      </c>
      <c r="AY250" s="63">
        <v>0.0</v>
      </c>
      <c r="AZ250" s="63">
        <v>0.0</v>
      </c>
      <c r="BA250" s="63">
        <v>0.0</v>
      </c>
      <c r="BB250" s="63">
        <v>0.0</v>
      </c>
      <c r="BC250" s="63">
        <v>0.0</v>
      </c>
      <c r="BD250" s="63">
        <v>0.0</v>
      </c>
      <c r="BE250" s="66">
        <v>4420.0</v>
      </c>
      <c r="BF250" s="65">
        <v>365678.0</v>
      </c>
      <c r="BG250" s="65">
        <v>0.0</v>
      </c>
      <c r="BH250" s="66">
        <v>365678.0</v>
      </c>
      <c r="BI250" s="67" t="str">
        <f t="shared" si="69"/>
        <v>#REF!</v>
      </c>
      <c r="BJ250" s="68" t="str">
        <f t="shared" si="70"/>
        <v>#REF!</v>
      </c>
      <c r="BK250" s="65">
        <v>0.0</v>
      </c>
      <c r="BL250" s="65">
        <v>0.0</v>
      </c>
      <c r="BM250" s="66">
        <v>0.0</v>
      </c>
      <c r="BN250" s="67" t="str">
        <f t="shared" si="71"/>
        <v>#REF!</v>
      </c>
      <c r="BO250" s="68" t="str">
        <f t="shared" si="72"/>
        <v>#REF!</v>
      </c>
      <c r="BP250" s="65">
        <v>0.0</v>
      </c>
      <c r="BQ250" s="65">
        <v>0.0</v>
      </c>
      <c r="BR250" s="66">
        <v>0.0</v>
      </c>
      <c r="BS250" s="67" t="str">
        <f t="shared" si="73"/>
        <v>#REF!</v>
      </c>
      <c r="BT250" s="68" t="str">
        <f>'[1]DATA CONSOLIDADA 2018-2025 '!$BR250-Hoja1!$BO250</f>
        <v>#REF!</v>
      </c>
      <c r="BU250" s="65">
        <v>0.0</v>
      </c>
      <c r="BV250" s="65">
        <v>0.0</v>
      </c>
      <c r="BW250" s="66">
        <v>0.0</v>
      </c>
      <c r="BX250" s="67" t="str">
        <f t="shared" si="74"/>
        <v>#REF!</v>
      </c>
      <c r="BY250" s="68" t="str">
        <f t="shared" si="75"/>
        <v>#REF!</v>
      </c>
      <c r="BZ250" s="65">
        <v>0.0</v>
      </c>
      <c r="CA250" s="65">
        <v>0.0</v>
      </c>
      <c r="CB250" s="66">
        <v>0.0</v>
      </c>
      <c r="CC250" s="67" t="str">
        <f t="shared" si="76"/>
        <v>#REF!</v>
      </c>
      <c r="CD250" s="68" t="str">
        <f>'[1]DATA CONSOLIDADA 2018-2025 '!$CB250-Hoja1!$BW250</f>
        <v>#REF!</v>
      </c>
      <c r="CE250" s="70">
        <v>0.0</v>
      </c>
      <c r="CF250" s="70">
        <v>0.0</v>
      </c>
      <c r="CG250" s="71">
        <v>0.0</v>
      </c>
      <c r="CH250" s="67" t="str">
        <f t="shared" si="77"/>
        <v>#REF!</v>
      </c>
      <c r="CI250" s="68" t="str">
        <f>'[1]DATA CONSOLIDADA 2018-2025 '!$CG250-Hoja1!$CB250</f>
        <v>#REF!</v>
      </c>
      <c r="CJ250" s="64" t="str">
        <f t="shared" si="68"/>
        <v>#REF!</v>
      </c>
      <c r="CK250" s="64">
        <v>0.0</v>
      </c>
      <c r="CL250" s="64">
        <v>0.0</v>
      </c>
      <c r="CM250" s="64">
        <v>0.0</v>
      </c>
      <c r="CN250" s="64" t="str">
        <f t="shared" si="12"/>
        <v>#REF!</v>
      </c>
      <c r="CO250" s="68" t="str">
        <f>'[1]DATA CONSOLIDADA 2018-2025 '!$CM250-Hoja1!$CG250</f>
        <v>#REF!</v>
      </c>
      <c r="CP250" s="70">
        <v>0.0</v>
      </c>
      <c r="CQ250" s="70">
        <v>0.0</v>
      </c>
      <c r="CR250" s="70">
        <v>0.0</v>
      </c>
      <c r="CS250" s="70">
        <v>0.0</v>
      </c>
      <c r="CT250" s="70">
        <v>0.0</v>
      </c>
      <c r="CU250" s="70">
        <v>0.0</v>
      </c>
      <c r="CV250" s="64">
        <v>0.0</v>
      </c>
      <c r="CW250" s="64">
        <v>0.0</v>
      </c>
      <c r="CX250" s="64">
        <v>0.0</v>
      </c>
      <c r="CY250" s="64">
        <v>0.0</v>
      </c>
      <c r="CZ250" s="64">
        <v>0.0</v>
      </c>
      <c r="DA250" s="64">
        <v>0.0</v>
      </c>
      <c r="DB250" s="64">
        <v>0.0</v>
      </c>
      <c r="DC250" s="72">
        <v>0.0</v>
      </c>
      <c r="DD250" s="72">
        <v>0.0</v>
      </c>
      <c r="DE250" s="72">
        <v>0.0</v>
      </c>
      <c r="DF250" s="72">
        <v>0.0</v>
      </c>
      <c r="DG250" s="72">
        <v>0.0</v>
      </c>
      <c r="DH250" s="72">
        <v>0.0</v>
      </c>
      <c r="DI250" s="73">
        <v>2.0568230001E10</v>
      </c>
      <c r="DJ250" s="74" t="s">
        <v>936</v>
      </c>
      <c r="DK250" s="74" t="s">
        <v>138</v>
      </c>
      <c r="DL250" s="75"/>
      <c r="DM250" s="75"/>
      <c r="DN250" s="75"/>
      <c r="DO250" s="75"/>
      <c r="DP250" s="75"/>
      <c r="DQ250" s="75"/>
      <c r="DR250" s="75"/>
      <c r="DS250" s="75"/>
      <c r="DT250" s="75"/>
      <c r="DU250" s="75"/>
      <c r="DV250" s="75"/>
      <c r="DW250" s="75"/>
      <c r="DX250" s="75"/>
      <c r="DY250" s="75"/>
      <c r="DZ250" s="75"/>
      <c r="EA250" s="75"/>
      <c r="EB250" s="75"/>
      <c r="EC250" s="75"/>
      <c r="ED250" s="75"/>
      <c r="EE250" s="75"/>
    </row>
    <row r="251" ht="47.25" customHeight="1">
      <c r="A251" s="55" t="s">
        <v>937</v>
      </c>
      <c r="B251" s="55" t="s">
        <v>146</v>
      </c>
      <c r="C251" s="55" t="s">
        <v>146</v>
      </c>
      <c r="D251" s="55" t="s">
        <v>911</v>
      </c>
      <c r="E251" s="55" t="s">
        <v>928</v>
      </c>
      <c r="F251" s="55" t="s">
        <v>911</v>
      </c>
      <c r="G251" s="55" t="s">
        <v>913</v>
      </c>
      <c r="H251" s="55" t="s">
        <v>929</v>
      </c>
      <c r="I251" s="56">
        <v>1.0</v>
      </c>
      <c r="J251" s="56">
        <v>1.0</v>
      </c>
      <c r="K251" s="56">
        <v>1.0</v>
      </c>
      <c r="L251" s="56"/>
      <c r="M251" s="56"/>
      <c r="N251" s="56">
        <v>1.0</v>
      </c>
      <c r="O251" s="56">
        <v>1.0</v>
      </c>
      <c r="P251" s="56"/>
      <c r="Q251" s="56" t="s">
        <v>131</v>
      </c>
      <c r="R251" s="58" t="str">
        <f t="shared" si="1"/>
        <v>2018-2019-2020-2023-2024</v>
      </c>
      <c r="S251" s="59" t="str">
        <f>SUM(Hoja1!$I251:$P251)</f>
        <v>5</v>
      </c>
      <c r="T251" s="59" t="str">
        <f>IF(OR(Hoja1!$J251=1,Hoja1!$K251=1,Hoja1!$L251=1,Hoja1!$M251=1,Hoja1!$N251=1,Hoja1!$O251=1,Hoja1!$P251=1),"SI","NO")</f>
        <v>SI</v>
      </c>
      <c r="U251" s="59" t="str">
        <f>IF(OR(Hoja1!$K251=1,Hoja1!$L251=1,Hoja1!$M251=1,Hoja1!$N251=1,Hoja1!$O251=1,Hoja1!$P251=1),"SI","NO")</f>
        <v>SI</v>
      </c>
      <c r="V251" s="60">
        <v>40.0</v>
      </c>
      <c r="W251" s="61">
        <v>150.0</v>
      </c>
      <c r="X251" s="61">
        <v>83.0</v>
      </c>
      <c r="Y251" s="60">
        <v>233.0</v>
      </c>
      <c r="Z251" s="61">
        <v>150.0</v>
      </c>
      <c r="AA251" s="61">
        <v>83.0</v>
      </c>
      <c r="AB251" s="60">
        <v>233.0</v>
      </c>
      <c r="AC251" s="61">
        <v>0.0</v>
      </c>
      <c r="AD251" s="61">
        <v>0.0</v>
      </c>
      <c r="AE251" s="60">
        <v>0.0</v>
      </c>
      <c r="AF251" s="61">
        <v>0.0</v>
      </c>
      <c r="AG251" s="61">
        <v>0.0</v>
      </c>
      <c r="AH251" s="60">
        <v>0.0</v>
      </c>
      <c r="AI251" s="61">
        <v>163.0</v>
      </c>
      <c r="AJ251" s="61">
        <v>70.0</v>
      </c>
      <c r="AK251" s="60">
        <v>233.0</v>
      </c>
      <c r="AL251" s="61">
        <v>163.0</v>
      </c>
      <c r="AM251" s="61">
        <v>70.0</v>
      </c>
      <c r="AN251" s="60">
        <v>233.0</v>
      </c>
      <c r="AO251" s="62">
        <v>0.0</v>
      </c>
      <c r="AP251" s="62">
        <v>0.0</v>
      </c>
      <c r="AQ251" s="60">
        <v>0.0</v>
      </c>
      <c r="AR251" s="60" t="str">
        <f>IF(Hoja1!$AQ251&gt;0,Hoja1!$AQ251,IF(Hoja1!$AN251&gt;0,Hoja1!$AN251,IF(Hoja1!$AK251&gt;0,Hoja1!$AK251,IF(Hoja1!$AH251&gt;0,Hoja1!$AH251,IF(Hoja1!$AE251&gt;0,Hoja1!$AE251,IF(Hoja1!$AB251&gt;0,Hoja1!$AB251,IF(Hoja1!$Y251&gt;0,Hoja1!$Y251,IF(Hoja1!$V251&gt;0,Hoja1!$V251," ---"))))))))</f>
        <v>233</v>
      </c>
      <c r="AS251" s="63">
        <v>0.0</v>
      </c>
      <c r="AT251" s="63">
        <v>1.0</v>
      </c>
      <c r="AU251" s="63">
        <v>0.0</v>
      </c>
      <c r="AV251" s="63">
        <v>0.0</v>
      </c>
      <c r="AW251" s="63">
        <v>0.0</v>
      </c>
      <c r="AX251" s="63">
        <v>0.0</v>
      </c>
      <c r="AY251" s="63">
        <v>32.0</v>
      </c>
      <c r="AZ251" s="63">
        <v>4.0</v>
      </c>
      <c r="BA251" s="63">
        <v>28.0</v>
      </c>
      <c r="BB251" s="63">
        <v>2.0</v>
      </c>
      <c r="BC251" s="63">
        <v>0.0</v>
      </c>
      <c r="BD251" s="63">
        <v>0.0</v>
      </c>
      <c r="BE251" s="64">
        <v>0.0</v>
      </c>
      <c r="BF251" s="65">
        <v>592505.36</v>
      </c>
      <c r="BG251" s="65">
        <v>0.0</v>
      </c>
      <c r="BH251" s="66">
        <v>592505.36</v>
      </c>
      <c r="BI251" s="67" t="str">
        <f t="shared" si="69"/>
        <v>#REF!</v>
      </c>
      <c r="BJ251" s="68" t="str">
        <f t="shared" si="70"/>
        <v>#REF!</v>
      </c>
      <c r="BK251" s="65">
        <v>197254.83</v>
      </c>
      <c r="BL251" s="65">
        <v>0.0</v>
      </c>
      <c r="BM251" s="66">
        <v>197254.83</v>
      </c>
      <c r="BN251" s="67" t="str">
        <f t="shared" si="71"/>
        <v>#REF!</v>
      </c>
      <c r="BO251" s="68" t="str">
        <f t="shared" si="72"/>
        <v>#REF!</v>
      </c>
      <c r="BP251" s="65">
        <v>0.0</v>
      </c>
      <c r="BQ251" s="65">
        <v>0.0</v>
      </c>
      <c r="BR251" s="66">
        <v>0.0</v>
      </c>
      <c r="BS251" s="67" t="str">
        <f t="shared" si="73"/>
        <v>#REF!</v>
      </c>
      <c r="BT251" s="68" t="str">
        <f>'[1]DATA CONSOLIDADA 2018-2025 '!$BR251-Hoja1!$BO251</f>
        <v>#REF!</v>
      </c>
      <c r="BU251" s="65">
        <v>0.0</v>
      </c>
      <c r="BV251" s="65">
        <v>0.0</v>
      </c>
      <c r="BW251" s="66">
        <v>0.0</v>
      </c>
      <c r="BX251" s="67" t="str">
        <f t="shared" si="74"/>
        <v>#REF!</v>
      </c>
      <c r="BY251" s="68" t="str">
        <f t="shared" si="75"/>
        <v>#REF!</v>
      </c>
      <c r="BZ251" s="65">
        <v>961036.36</v>
      </c>
      <c r="CA251" s="65">
        <v>0.0</v>
      </c>
      <c r="CB251" s="66">
        <v>961036.36</v>
      </c>
      <c r="CC251" s="67" t="str">
        <f t="shared" si="76"/>
        <v>#REF!</v>
      </c>
      <c r="CD251" s="68" t="str">
        <f>'[1]DATA CONSOLIDADA 2018-2025 '!$CB251-Hoja1!$BW251</f>
        <v>#REF!</v>
      </c>
      <c r="CE251" s="70">
        <v>1962423.2249999999</v>
      </c>
      <c r="CF251" s="70">
        <v>0.0</v>
      </c>
      <c r="CG251" s="71">
        <v>1962423.2249999999</v>
      </c>
      <c r="CH251" s="67" t="str">
        <f t="shared" si="77"/>
        <v>#REF!</v>
      </c>
      <c r="CI251" s="68" t="str">
        <f>'[1]DATA CONSOLIDADA 2018-2025 '!$CG251-Hoja1!$CB251</f>
        <v>#REF!</v>
      </c>
      <c r="CJ251" s="64" t="str">
        <f t="shared" si="68"/>
        <v>#REF!</v>
      </c>
      <c r="CK251" s="64">
        <v>0.0</v>
      </c>
      <c r="CL251" s="64">
        <v>0.0</v>
      </c>
      <c r="CM251" s="64">
        <v>0.0</v>
      </c>
      <c r="CN251" s="64" t="str">
        <f t="shared" si="12"/>
        <v>#REF!</v>
      </c>
      <c r="CO251" s="68" t="str">
        <f>'[1]DATA CONSOLIDADA 2018-2025 '!$CM251-Hoja1!$CG251</f>
        <v>#REF!</v>
      </c>
      <c r="CP251" s="70">
        <v>0.0</v>
      </c>
      <c r="CQ251" s="70">
        <v>113225.7996834</v>
      </c>
      <c r="CR251" s="70">
        <v>0.0</v>
      </c>
      <c r="CS251" s="70">
        <v>847810.5599999999</v>
      </c>
      <c r="CT251" s="70">
        <v>0.0</v>
      </c>
      <c r="CU251" s="70">
        <v>0.0</v>
      </c>
      <c r="CV251" s="64">
        <v>961036.3596833999</v>
      </c>
      <c r="CW251" s="64">
        <v>2950.0</v>
      </c>
      <c r="CX251" s="64">
        <v>0.0</v>
      </c>
      <c r="CY251" s="64">
        <v>1959473.2249999999</v>
      </c>
      <c r="CZ251" s="64">
        <v>0.0</v>
      </c>
      <c r="DA251" s="64">
        <v>0.0</v>
      </c>
      <c r="DB251" s="64">
        <v>1962423.2249999999</v>
      </c>
      <c r="DC251" s="72">
        <v>0.0</v>
      </c>
      <c r="DD251" s="72">
        <v>0.0</v>
      </c>
      <c r="DE251" s="72">
        <v>0.0</v>
      </c>
      <c r="DF251" s="72">
        <v>0.0</v>
      </c>
      <c r="DG251" s="72">
        <v>0.0</v>
      </c>
      <c r="DH251" s="72">
        <v>0.0</v>
      </c>
      <c r="DI251" s="73">
        <v>2.0568549083E10</v>
      </c>
      <c r="DJ251" s="74" t="s">
        <v>937</v>
      </c>
      <c r="DK251" s="74" t="s">
        <v>132</v>
      </c>
      <c r="DL251" s="75"/>
      <c r="DM251" s="75"/>
      <c r="DN251" s="75"/>
      <c r="DO251" s="75"/>
      <c r="DP251" s="75"/>
      <c r="DQ251" s="75"/>
      <c r="DR251" s="75"/>
      <c r="DS251" s="75"/>
      <c r="DT251" s="75"/>
      <c r="DU251" s="75"/>
      <c r="DV251" s="75"/>
      <c r="DW251" s="75"/>
      <c r="DX251" s="75"/>
      <c r="DY251" s="75"/>
      <c r="DZ251" s="75"/>
      <c r="EA251" s="75"/>
      <c r="EB251" s="75"/>
      <c r="EC251" s="75"/>
      <c r="ED251" s="75"/>
      <c r="EE251" s="75"/>
    </row>
    <row r="252" ht="47.25" hidden="1" customHeight="1">
      <c r="A252" s="55" t="s">
        <v>938</v>
      </c>
      <c r="B252" s="55" t="s">
        <v>690</v>
      </c>
      <c r="C252" s="55" t="s">
        <v>690</v>
      </c>
      <c r="D252" s="55" t="s">
        <v>911</v>
      </c>
      <c r="E252" s="55" t="s">
        <v>939</v>
      </c>
      <c r="F252" s="55" t="s">
        <v>911</v>
      </c>
      <c r="G252" s="55" t="s">
        <v>940</v>
      </c>
      <c r="H252" s="55" t="s">
        <v>941</v>
      </c>
      <c r="I252" s="56"/>
      <c r="J252" s="56">
        <v>1.0</v>
      </c>
      <c r="K252" s="56"/>
      <c r="L252" s="56"/>
      <c r="M252" s="56"/>
      <c r="N252" s="56"/>
      <c r="O252" s="56"/>
      <c r="P252" s="56"/>
      <c r="Q252" s="56" t="s">
        <v>131</v>
      </c>
      <c r="R252" s="58" t="str">
        <f t="shared" si="1"/>
        <v>2019</v>
      </c>
      <c r="S252" s="59" t="str">
        <f>SUM(Hoja1!$I252:$P252)</f>
        <v>1</v>
      </c>
      <c r="T252" s="59" t="str">
        <f>IF(OR(Hoja1!$J252=1,Hoja1!$K252=1,Hoja1!$L252=1,Hoja1!$M252=1,Hoja1!$N252=1,Hoja1!$O252=1,Hoja1!$P252=1),"SI","NO")</f>
        <v>SI</v>
      </c>
      <c r="U252" s="59" t="str">
        <f>IF(OR(Hoja1!$K252=1,Hoja1!$L252=1,Hoja1!$M252=1,Hoja1!$N252=1,Hoja1!$O252=1,Hoja1!$P252=1),"SI","NO")</f>
        <v>NO</v>
      </c>
      <c r="V252" s="60">
        <v>0.0</v>
      </c>
      <c r="W252" s="61">
        <v>28.0</v>
      </c>
      <c r="X252" s="61">
        <v>18.0</v>
      </c>
      <c r="Y252" s="60">
        <v>46.0</v>
      </c>
      <c r="Z252" s="61">
        <v>0.0</v>
      </c>
      <c r="AA252" s="61">
        <v>0.0</v>
      </c>
      <c r="AB252" s="60">
        <v>0.0</v>
      </c>
      <c r="AC252" s="61">
        <v>0.0</v>
      </c>
      <c r="AD252" s="61">
        <v>0.0</v>
      </c>
      <c r="AE252" s="60">
        <v>0.0</v>
      </c>
      <c r="AF252" s="61">
        <v>0.0</v>
      </c>
      <c r="AG252" s="61">
        <v>0.0</v>
      </c>
      <c r="AH252" s="60">
        <v>0.0</v>
      </c>
      <c r="AI252" s="61">
        <v>0.0</v>
      </c>
      <c r="AJ252" s="61">
        <v>0.0</v>
      </c>
      <c r="AK252" s="60">
        <v>0.0</v>
      </c>
      <c r="AL252" s="61">
        <v>0.0</v>
      </c>
      <c r="AM252" s="61">
        <v>0.0</v>
      </c>
      <c r="AN252" s="60">
        <v>0.0</v>
      </c>
      <c r="AO252" s="62">
        <v>0.0</v>
      </c>
      <c r="AP252" s="62">
        <v>0.0</v>
      </c>
      <c r="AQ252" s="60">
        <v>0.0</v>
      </c>
      <c r="AR252" s="60" t="str">
        <f>IF(Hoja1!$AQ252&gt;0,Hoja1!$AQ252,IF(Hoja1!$AN252&gt;0,Hoja1!$AN252,IF(Hoja1!$AK252&gt;0,Hoja1!$AK252,IF(Hoja1!$AH252&gt;0,Hoja1!$AH252,IF(Hoja1!$AE252&gt;0,Hoja1!$AE252,IF(Hoja1!$AB252&gt;0,Hoja1!$AB252,IF(Hoja1!$Y252&gt;0,Hoja1!$Y252,IF(Hoja1!$V252&gt;0,Hoja1!$V252," ---"))))))))</f>
        <v>46</v>
      </c>
      <c r="AS252" s="63">
        <v>0.0</v>
      </c>
      <c r="AT252" s="63">
        <v>0.0</v>
      </c>
      <c r="AU252" s="63">
        <v>0.0</v>
      </c>
      <c r="AV252" s="63">
        <v>0.0</v>
      </c>
      <c r="AW252" s="63">
        <v>0.0</v>
      </c>
      <c r="AX252" s="63">
        <v>0.0</v>
      </c>
      <c r="AY252" s="63">
        <v>0.0</v>
      </c>
      <c r="AZ252" s="63">
        <v>0.0</v>
      </c>
      <c r="BA252" s="63">
        <v>0.0</v>
      </c>
      <c r="BB252" s="63">
        <v>0.0</v>
      </c>
      <c r="BC252" s="63">
        <v>0.0</v>
      </c>
      <c r="BD252" s="63">
        <v>0.0</v>
      </c>
      <c r="BE252" s="64">
        <v>0.0</v>
      </c>
      <c r="BF252" s="65">
        <v>0.0</v>
      </c>
      <c r="BG252" s="65">
        <v>0.0</v>
      </c>
      <c r="BH252" s="66">
        <v>0.0</v>
      </c>
      <c r="BI252" s="67" t="str">
        <f t="shared" si="69"/>
        <v>#REF!</v>
      </c>
      <c r="BJ252" s="68" t="str">
        <f t="shared" si="70"/>
        <v>#REF!</v>
      </c>
      <c r="BK252" s="69">
        <v>0.0</v>
      </c>
      <c r="BL252" s="69">
        <v>0.0</v>
      </c>
      <c r="BM252" s="64">
        <v>0.0</v>
      </c>
      <c r="BN252" s="67" t="str">
        <f t="shared" si="71"/>
        <v>#REF!</v>
      </c>
      <c r="BO252" s="68" t="str">
        <f t="shared" si="72"/>
        <v>#REF!</v>
      </c>
      <c r="BP252" s="65">
        <v>0.0</v>
      </c>
      <c r="BQ252" s="65">
        <v>0.0</v>
      </c>
      <c r="BR252" s="66">
        <v>0.0</v>
      </c>
      <c r="BS252" s="67" t="str">
        <f t="shared" si="73"/>
        <v>#REF!</v>
      </c>
      <c r="BT252" s="68" t="str">
        <f>'[1]DATA CONSOLIDADA 2018-2025 '!$BR252-Hoja1!$BO252</f>
        <v>#REF!</v>
      </c>
      <c r="BU252" s="65">
        <v>0.0</v>
      </c>
      <c r="BV252" s="65">
        <v>0.0</v>
      </c>
      <c r="BW252" s="66">
        <v>0.0</v>
      </c>
      <c r="BX252" s="67" t="str">
        <f t="shared" si="74"/>
        <v>#REF!</v>
      </c>
      <c r="BY252" s="68" t="str">
        <f t="shared" si="75"/>
        <v>#REF!</v>
      </c>
      <c r="BZ252" s="65">
        <v>0.0</v>
      </c>
      <c r="CA252" s="65">
        <v>0.0</v>
      </c>
      <c r="CB252" s="66">
        <v>0.0</v>
      </c>
      <c r="CC252" s="67" t="str">
        <f t="shared" si="76"/>
        <v>#REF!</v>
      </c>
      <c r="CD252" s="68" t="str">
        <f>'[1]DATA CONSOLIDADA 2018-2025 '!$CB252-Hoja1!$BW252</f>
        <v>#REF!</v>
      </c>
      <c r="CE252" s="70">
        <v>0.0</v>
      </c>
      <c r="CF252" s="70">
        <v>0.0</v>
      </c>
      <c r="CG252" s="71">
        <v>0.0</v>
      </c>
      <c r="CH252" s="67" t="str">
        <f t="shared" si="77"/>
        <v>#REF!</v>
      </c>
      <c r="CI252" s="68" t="str">
        <f>'[1]DATA CONSOLIDADA 2018-2025 '!$CG252-Hoja1!$CB252</f>
        <v>#REF!</v>
      </c>
      <c r="CJ252" s="64" t="str">
        <f t="shared" si="68"/>
        <v>#REF!</v>
      </c>
      <c r="CK252" s="64">
        <v>0.0</v>
      </c>
      <c r="CL252" s="64">
        <v>0.0</v>
      </c>
      <c r="CM252" s="64">
        <v>0.0</v>
      </c>
      <c r="CN252" s="64" t="str">
        <f t="shared" si="12"/>
        <v>#REF!</v>
      </c>
      <c r="CO252" s="68" t="str">
        <f>'[1]DATA CONSOLIDADA 2018-2025 '!$CM252-Hoja1!$CG252</f>
        <v>#REF!</v>
      </c>
      <c r="CP252" s="70">
        <v>0.0</v>
      </c>
      <c r="CQ252" s="70">
        <v>0.0</v>
      </c>
      <c r="CR252" s="70">
        <v>0.0</v>
      </c>
      <c r="CS252" s="70">
        <v>0.0</v>
      </c>
      <c r="CT252" s="70">
        <v>0.0</v>
      </c>
      <c r="CU252" s="70">
        <v>0.0</v>
      </c>
      <c r="CV252" s="64">
        <v>0.0</v>
      </c>
      <c r="CW252" s="64">
        <v>0.0</v>
      </c>
      <c r="CX252" s="64">
        <v>0.0</v>
      </c>
      <c r="CY252" s="64">
        <v>0.0</v>
      </c>
      <c r="CZ252" s="64">
        <v>0.0</v>
      </c>
      <c r="DA252" s="64">
        <v>0.0</v>
      </c>
      <c r="DB252" s="64">
        <v>0.0</v>
      </c>
      <c r="DC252" s="72">
        <v>0.0</v>
      </c>
      <c r="DD252" s="72">
        <v>0.0</v>
      </c>
      <c r="DE252" s="72">
        <v>0.0</v>
      </c>
      <c r="DF252" s="72">
        <v>0.0</v>
      </c>
      <c r="DG252" s="72">
        <v>0.0</v>
      </c>
      <c r="DH252" s="72">
        <v>0.0</v>
      </c>
      <c r="DI252" s="73">
        <v>2.0542594251E10</v>
      </c>
      <c r="DJ252" s="74" t="s">
        <v>942</v>
      </c>
      <c r="DK252" s="74" t="s">
        <v>138</v>
      </c>
      <c r="DL252" s="75"/>
      <c r="DM252" s="75"/>
      <c r="DN252" s="75"/>
      <c r="DO252" s="75"/>
      <c r="DP252" s="75"/>
      <c r="DQ252" s="75"/>
      <c r="DR252" s="75"/>
      <c r="DS252" s="75"/>
      <c r="DT252" s="75"/>
      <c r="DU252" s="75"/>
      <c r="DV252" s="75"/>
      <c r="DW252" s="75"/>
      <c r="DX252" s="75"/>
      <c r="DY252" s="75"/>
      <c r="DZ252" s="75"/>
      <c r="EA252" s="75"/>
      <c r="EB252" s="75"/>
      <c r="EC252" s="75"/>
      <c r="ED252" s="75"/>
      <c r="EE252" s="75"/>
    </row>
    <row r="253" ht="47.25" hidden="1" customHeight="1">
      <c r="A253" s="55" t="s">
        <v>943</v>
      </c>
      <c r="B253" s="55" t="s">
        <v>944</v>
      </c>
      <c r="C253" s="55" t="s">
        <v>944</v>
      </c>
      <c r="D253" s="55" t="s">
        <v>911</v>
      </c>
      <c r="E253" s="55" t="s">
        <v>912</v>
      </c>
      <c r="F253" s="55" t="s">
        <v>911</v>
      </c>
      <c r="G253" s="55" t="s">
        <v>913</v>
      </c>
      <c r="H253" s="55" t="s">
        <v>913</v>
      </c>
      <c r="I253" s="56"/>
      <c r="J253" s="56">
        <v>1.0</v>
      </c>
      <c r="K253" s="56"/>
      <c r="L253" s="56"/>
      <c r="M253" s="56"/>
      <c r="N253" s="56"/>
      <c r="O253" s="56"/>
      <c r="P253" s="56"/>
      <c r="Q253" s="56" t="s">
        <v>131</v>
      </c>
      <c r="R253" s="58" t="str">
        <f t="shared" si="1"/>
        <v>2019</v>
      </c>
      <c r="S253" s="59" t="str">
        <f>SUM(Hoja1!$I253:$P253)</f>
        <v>1</v>
      </c>
      <c r="T253" s="59" t="str">
        <f>IF(OR(Hoja1!$J253=1,Hoja1!$K253=1,Hoja1!$L253=1,Hoja1!$M253=1,Hoja1!$N253=1,Hoja1!$O253=1,Hoja1!$P253=1),"SI","NO")</f>
        <v>SI</v>
      </c>
      <c r="U253" s="59" t="str">
        <f>IF(OR(Hoja1!$K253=1,Hoja1!$L253=1,Hoja1!$M253=1,Hoja1!$N253=1,Hoja1!$O253=1,Hoja1!$P253=1),"SI","NO")</f>
        <v>NO</v>
      </c>
      <c r="V253" s="60">
        <v>0.0</v>
      </c>
      <c r="W253" s="61">
        <v>26.0</v>
      </c>
      <c r="X253" s="61">
        <v>0.0</v>
      </c>
      <c r="Y253" s="60">
        <v>26.0</v>
      </c>
      <c r="Z253" s="61">
        <v>0.0</v>
      </c>
      <c r="AA253" s="61">
        <v>0.0</v>
      </c>
      <c r="AB253" s="60">
        <v>0.0</v>
      </c>
      <c r="AC253" s="61">
        <v>0.0</v>
      </c>
      <c r="AD253" s="61">
        <v>0.0</v>
      </c>
      <c r="AE253" s="60">
        <v>0.0</v>
      </c>
      <c r="AF253" s="61">
        <v>0.0</v>
      </c>
      <c r="AG253" s="61">
        <v>0.0</v>
      </c>
      <c r="AH253" s="60">
        <v>0.0</v>
      </c>
      <c r="AI253" s="61">
        <v>0.0</v>
      </c>
      <c r="AJ253" s="61">
        <v>0.0</v>
      </c>
      <c r="AK253" s="60">
        <v>0.0</v>
      </c>
      <c r="AL253" s="61">
        <v>0.0</v>
      </c>
      <c r="AM253" s="61">
        <v>0.0</v>
      </c>
      <c r="AN253" s="60">
        <v>0.0</v>
      </c>
      <c r="AO253" s="62">
        <v>0.0</v>
      </c>
      <c r="AP253" s="62">
        <v>0.0</v>
      </c>
      <c r="AQ253" s="60">
        <v>0.0</v>
      </c>
      <c r="AR253" s="60" t="str">
        <f>IF(Hoja1!$AQ253&gt;0,Hoja1!$AQ253,IF(Hoja1!$AN253&gt;0,Hoja1!$AN253,IF(Hoja1!$AK253&gt;0,Hoja1!$AK253,IF(Hoja1!$AH253&gt;0,Hoja1!$AH253,IF(Hoja1!$AE253&gt;0,Hoja1!$AE253,IF(Hoja1!$AB253&gt;0,Hoja1!$AB253,IF(Hoja1!$Y253&gt;0,Hoja1!$Y253,IF(Hoja1!$V253&gt;0,Hoja1!$V253," ---"))))))))</f>
        <v>26</v>
      </c>
      <c r="AS253" s="63">
        <v>0.0</v>
      </c>
      <c r="AT253" s="63">
        <v>0.0</v>
      </c>
      <c r="AU253" s="63">
        <v>0.0</v>
      </c>
      <c r="AV253" s="63">
        <v>0.0</v>
      </c>
      <c r="AW253" s="63">
        <v>0.0</v>
      </c>
      <c r="AX253" s="63">
        <v>0.0</v>
      </c>
      <c r="AY253" s="63">
        <v>0.0</v>
      </c>
      <c r="AZ253" s="63">
        <v>0.0</v>
      </c>
      <c r="BA253" s="63">
        <v>0.0</v>
      </c>
      <c r="BB253" s="63">
        <v>0.0</v>
      </c>
      <c r="BC253" s="63">
        <v>0.0</v>
      </c>
      <c r="BD253" s="63">
        <v>0.0</v>
      </c>
      <c r="BE253" s="66">
        <v>0.0</v>
      </c>
      <c r="BF253" s="65">
        <v>0.0</v>
      </c>
      <c r="BG253" s="65">
        <v>0.0</v>
      </c>
      <c r="BH253" s="66">
        <v>0.0</v>
      </c>
      <c r="BI253" s="67" t="str">
        <f t="shared" si="69"/>
        <v>#REF!</v>
      </c>
      <c r="BJ253" s="68" t="str">
        <f t="shared" si="70"/>
        <v>#REF!</v>
      </c>
      <c r="BK253" s="65">
        <v>0.0</v>
      </c>
      <c r="BL253" s="65">
        <v>0.0</v>
      </c>
      <c r="BM253" s="66">
        <v>0.0</v>
      </c>
      <c r="BN253" s="67" t="str">
        <f t="shared" si="71"/>
        <v>#REF!</v>
      </c>
      <c r="BO253" s="68" t="str">
        <f t="shared" si="72"/>
        <v>#REF!</v>
      </c>
      <c r="BP253" s="65">
        <v>0.0</v>
      </c>
      <c r="BQ253" s="65">
        <v>0.0</v>
      </c>
      <c r="BR253" s="66">
        <v>0.0</v>
      </c>
      <c r="BS253" s="67" t="str">
        <f t="shared" si="73"/>
        <v>#REF!</v>
      </c>
      <c r="BT253" s="68" t="str">
        <f>'[1]DATA CONSOLIDADA 2018-2025 '!$BR253-Hoja1!$BO253</f>
        <v>#REF!</v>
      </c>
      <c r="BU253" s="65">
        <v>0.0</v>
      </c>
      <c r="BV253" s="65">
        <v>0.0</v>
      </c>
      <c r="BW253" s="66">
        <v>0.0</v>
      </c>
      <c r="BX253" s="67" t="str">
        <f t="shared" si="74"/>
        <v>#REF!</v>
      </c>
      <c r="BY253" s="68" t="str">
        <f t="shared" si="75"/>
        <v>#REF!</v>
      </c>
      <c r="BZ253" s="65">
        <v>0.0</v>
      </c>
      <c r="CA253" s="65">
        <v>0.0</v>
      </c>
      <c r="CB253" s="66">
        <v>0.0</v>
      </c>
      <c r="CC253" s="67" t="str">
        <f t="shared" si="76"/>
        <v>#REF!</v>
      </c>
      <c r="CD253" s="68" t="str">
        <f>'[1]DATA CONSOLIDADA 2018-2025 '!$CB253-Hoja1!$BW253</f>
        <v>#REF!</v>
      </c>
      <c r="CE253" s="70">
        <v>0.0</v>
      </c>
      <c r="CF253" s="70">
        <v>0.0</v>
      </c>
      <c r="CG253" s="71">
        <v>0.0</v>
      </c>
      <c r="CH253" s="67" t="str">
        <f t="shared" si="77"/>
        <v>#REF!</v>
      </c>
      <c r="CI253" s="68" t="str">
        <f>'[1]DATA CONSOLIDADA 2018-2025 '!$CG253-Hoja1!$CB253</f>
        <v>#REF!</v>
      </c>
      <c r="CJ253" s="64" t="str">
        <f t="shared" si="68"/>
        <v>#REF!</v>
      </c>
      <c r="CK253" s="64">
        <v>0.0</v>
      </c>
      <c r="CL253" s="64">
        <v>0.0</v>
      </c>
      <c r="CM253" s="64">
        <v>0.0</v>
      </c>
      <c r="CN253" s="64" t="str">
        <f t="shared" si="12"/>
        <v>#REF!</v>
      </c>
      <c r="CO253" s="68" t="str">
        <f>'[1]DATA CONSOLIDADA 2018-2025 '!$CM253-Hoja1!$CG253</f>
        <v>#REF!</v>
      </c>
      <c r="CP253" s="70">
        <v>0.0</v>
      </c>
      <c r="CQ253" s="70">
        <v>0.0</v>
      </c>
      <c r="CR253" s="70">
        <v>0.0</v>
      </c>
      <c r="CS253" s="70">
        <v>0.0</v>
      </c>
      <c r="CT253" s="70">
        <v>0.0</v>
      </c>
      <c r="CU253" s="70">
        <v>0.0</v>
      </c>
      <c r="CV253" s="64">
        <v>0.0</v>
      </c>
      <c r="CW253" s="64">
        <v>0.0</v>
      </c>
      <c r="CX253" s="64">
        <v>0.0</v>
      </c>
      <c r="CY253" s="64">
        <v>0.0</v>
      </c>
      <c r="CZ253" s="64">
        <v>0.0</v>
      </c>
      <c r="DA253" s="64">
        <v>0.0</v>
      </c>
      <c r="DB253" s="64">
        <v>0.0</v>
      </c>
      <c r="DC253" s="72">
        <v>0.0</v>
      </c>
      <c r="DD253" s="72">
        <v>0.0</v>
      </c>
      <c r="DE253" s="72">
        <v>0.0</v>
      </c>
      <c r="DF253" s="72">
        <v>0.0</v>
      </c>
      <c r="DG253" s="72">
        <v>0.0</v>
      </c>
      <c r="DH253" s="72">
        <v>0.0</v>
      </c>
      <c r="DI253" s="73">
        <v>2.0183732031E10</v>
      </c>
      <c r="DJ253" s="74" t="s">
        <v>945</v>
      </c>
      <c r="DK253" s="74" t="s">
        <v>138</v>
      </c>
      <c r="DL253" s="75"/>
      <c r="DM253" s="75"/>
      <c r="DN253" s="75"/>
      <c r="DO253" s="75"/>
      <c r="DP253" s="75"/>
      <c r="DQ253" s="75"/>
      <c r="DR253" s="75"/>
      <c r="DS253" s="75"/>
      <c r="DT253" s="75"/>
      <c r="DU253" s="75"/>
      <c r="DV253" s="75"/>
      <c r="DW253" s="75"/>
      <c r="DX253" s="75"/>
      <c r="DY253" s="75"/>
      <c r="DZ253" s="75"/>
      <c r="EA253" s="75"/>
      <c r="EB253" s="75"/>
      <c r="EC253" s="75"/>
      <c r="ED253" s="75"/>
      <c r="EE253" s="75"/>
    </row>
    <row r="254" ht="47.25" hidden="1" customHeight="1">
      <c r="A254" s="55" t="s">
        <v>946</v>
      </c>
      <c r="B254" s="55" t="s">
        <v>439</v>
      </c>
      <c r="C254" s="55" t="s">
        <v>439</v>
      </c>
      <c r="D254" s="55" t="s">
        <v>911</v>
      </c>
      <c r="E254" s="55" t="s">
        <v>912</v>
      </c>
      <c r="F254" s="55" t="s">
        <v>911</v>
      </c>
      <c r="G254" s="55" t="s">
        <v>913</v>
      </c>
      <c r="H254" s="55" t="s">
        <v>913</v>
      </c>
      <c r="I254" s="56"/>
      <c r="J254" s="56">
        <v>1.0</v>
      </c>
      <c r="K254" s="56">
        <v>1.0</v>
      </c>
      <c r="L254" s="56"/>
      <c r="M254" s="56"/>
      <c r="N254" s="56"/>
      <c r="O254" s="56"/>
      <c r="P254" s="56"/>
      <c r="Q254" s="56" t="s">
        <v>131</v>
      </c>
      <c r="R254" s="58" t="str">
        <f t="shared" si="1"/>
        <v>2019-2020</v>
      </c>
      <c r="S254" s="59" t="str">
        <f>SUM(Hoja1!$I254:$P254)</f>
        <v>2</v>
      </c>
      <c r="T254" s="59" t="str">
        <f>IF(OR(Hoja1!$J254=1,Hoja1!$K254=1,Hoja1!$L254=1,Hoja1!$M254=1,Hoja1!$N254=1,Hoja1!$O254=1,Hoja1!$P254=1),"SI","NO")</f>
        <v>SI</v>
      </c>
      <c r="U254" s="59" t="str">
        <f>IF(OR(Hoja1!$K254=1,Hoja1!$L254=1,Hoja1!$M254=1,Hoja1!$N254=1,Hoja1!$O254=1,Hoja1!$P254=1),"SI","NO")</f>
        <v>SI</v>
      </c>
      <c r="V254" s="60">
        <v>0.0</v>
      </c>
      <c r="W254" s="61">
        <v>26.0</v>
      </c>
      <c r="X254" s="61">
        <v>0.0</v>
      </c>
      <c r="Y254" s="60">
        <v>26.0</v>
      </c>
      <c r="Z254" s="61">
        <v>26.0</v>
      </c>
      <c r="AA254" s="61">
        <v>0.0</v>
      </c>
      <c r="AB254" s="60">
        <v>26.0</v>
      </c>
      <c r="AC254" s="61">
        <v>0.0</v>
      </c>
      <c r="AD254" s="61">
        <v>0.0</v>
      </c>
      <c r="AE254" s="60">
        <v>0.0</v>
      </c>
      <c r="AF254" s="61">
        <v>0.0</v>
      </c>
      <c r="AG254" s="61">
        <v>0.0</v>
      </c>
      <c r="AH254" s="60">
        <v>0.0</v>
      </c>
      <c r="AI254" s="61">
        <v>0.0</v>
      </c>
      <c r="AJ254" s="61">
        <v>0.0</v>
      </c>
      <c r="AK254" s="60">
        <v>0.0</v>
      </c>
      <c r="AL254" s="61">
        <v>0.0</v>
      </c>
      <c r="AM254" s="61">
        <v>0.0</v>
      </c>
      <c r="AN254" s="60">
        <v>0.0</v>
      </c>
      <c r="AO254" s="62">
        <v>0.0</v>
      </c>
      <c r="AP254" s="62">
        <v>0.0</v>
      </c>
      <c r="AQ254" s="60">
        <v>0.0</v>
      </c>
      <c r="AR254" s="60" t="str">
        <f>IF(Hoja1!$AQ254&gt;0,Hoja1!$AQ254,IF(Hoja1!$AN254&gt;0,Hoja1!$AN254,IF(Hoja1!$AK254&gt;0,Hoja1!$AK254,IF(Hoja1!$AH254&gt;0,Hoja1!$AH254,IF(Hoja1!$AE254&gt;0,Hoja1!$AE254,IF(Hoja1!$AB254&gt;0,Hoja1!$AB254,IF(Hoja1!$Y254&gt;0,Hoja1!$Y254,IF(Hoja1!$V254&gt;0,Hoja1!$V254," ---"))))))))</f>
        <v>26</v>
      </c>
      <c r="AS254" s="63">
        <v>0.0</v>
      </c>
      <c r="AT254" s="63">
        <v>0.0</v>
      </c>
      <c r="AU254" s="63">
        <v>0.0</v>
      </c>
      <c r="AV254" s="63">
        <v>0.0</v>
      </c>
      <c r="AW254" s="63">
        <v>0.0</v>
      </c>
      <c r="AX254" s="63">
        <v>0.0</v>
      </c>
      <c r="AY254" s="63">
        <v>0.0</v>
      </c>
      <c r="AZ254" s="63">
        <v>0.0</v>
      </c>
      <c r="BA254" s="63">
        <v>0.0</v>
      </c>
      <c r="BB254" s="63">
        <v>0.0</v>
      </c>
      <c r="BC254" s="63">
        <v>0.0</v>
      </c>
      <c r="BD254" s="63">
        <v>0.0</v>
      </c>
      <c r="BE254" s="66">
        <v>0.0</v>
      </c>
      <c r="BF254" s="65">
        <v>65139.7</v>
      </c>
      <c r="BG254" s="65">
        <v>0.0</v>
      </c>
      <c r="BH254" s="66">
        <v>65139.7</v>
      </c>
      <c r="BI254" s="67" t="str">
        <f t="shared" si="69"/>
        <v>#REF!</v>
      </c>
      <c r="BJ254" s="68" t="str">
        <f t="shared" si="70"/>
        <v>#REF!</v>
      </c>
      <c r="BK254" s="65">
        <v>68502.0</v>
      </c>
      <c r="BL254" s="65">
        <v>0.0</v>
      </c>
      <c r="BM254" s="66">
        <v>68502.0</v>
      </c>
      <c r="BN254" s="67" t="str">
        <f t="shared" si="71"/>
        <v>#REF!</v>
      </c>
      <c r="BO254" s="68" t="str">
        <f t="shared" si="72"/>
        <v>#REF!</v>
      </c>
      <c r="BP254" s="65">
        <v>0.0</v>
      </c>
      <c r="BQ254" s="65">
        <v>0.0</v>
      </c>
      <c r="BR254" s="66">
        <v>0.0</v>
      </c>
      <c r="BS254" s="67" t="str">
        <f t="shared" si="73"/>
        <v>#REF!</v>
      </c>
      <c r="BT254" s="68" t="str">
        <f>'[1]DATA CONSOLIDADA 2018-2025 '!$BR254-Hoja1!$BO254</f>
        <v>#REF!</v>
      </c>
      <c r="BU254" s="65">
        <v>0.0</v>
      </c>
      <c r="BV254" s="65">
        <v>0.0</v>
      </c>
      <c r="BW254" s="66">
        <v>0.0</v>
      </c>
      <c r="BX254" s="67" t="str">
        <f t="shared" si="74"/>
        <v>#REF!</v>
      </c>
      <c r="BY254" s="68" t="str">
        <f t="shared" si="75"/>
        <v>#REF!</v>
      </c>
      <c r="BZ254" s="65">
        <v>0.0</v>
      </c>
      <c r="CA254" s="65">
        <v>0.0</v>
      </c>
      <c r="CB254" s="66">
        <v>0.0</v>
      </c>
      <c r="CC254" s="67" t="str">
        <f t="shared" si="76"/>
        <v>#REF!</v>
      </c>
      <c r="CD254" s="68" t="str">
        <f>'[1]DATA CONSOLIDADA 2018-2025 '!$CB254-Hoja1!$BW254</f>
        <v>#REF!</v>
      </c>
      <c r="CE254" s="70">
        <v>0.0</v>
      </c>
      <c r="CF254" s="70">
        <v>0.0</v>
      </c>
      <c r="CG254" s="71">
        <v>0.0</v>
      </c>
      <c r="CH254" s="67" t="str">
        <f t="shared" si="77"/>
        <v>#REF!</v>
      </c>
      <c r="CI254" s="68" t="str">
        <f>'[1]DATA CONSOLIDADA 2018-2025 '!$CG254-Hoja1!$CB254</f>
        <v>#REF!</v>
      </c>
      <c r="CJ254" s="64" t="str">
        <f t="shared" si="68"/>
        <v>#REF!</v>
      </c>
      <c r="CK254" s="64">
        <v>0.0</v>
      </c>
      <c r="CL254" s="64">
        <v>0.0</v>
      </c>
      <c r="CM254" s="64">
        <v>0.0</v>
      </c>
      <c r="CN254" s="64" t="str">
        <f t="shared" si="12"/>
        <v>#REF!</v>
      </c>
      <c r="CO254" s="68" t="str">
        <f>'[1]DATA CONSOLIDADA 2018-2025 '!$CM254-Hoja1!$CG254</f>
        <v>#REF!</v>
      </c>
      <c r="CP254" s="70">
        <v>0.0</v>
      </c>
      <c r="CQ254" s="70">
        <v>0.0</v>
      </c>
      <c r="CR254" s="70">
        <v>0.0</v>
      </c>
      <c r="CS254" s="70">
        <v>0.0</v>
      </c>
      <c r="CT254" s="70">
        <v>0.0</v>
      </c>
      <c r="CU254" s="70">
        <v>0.0</v>
      </c>
      <c r="CV254" s="64">
        <v>0.0</v>
      </c>
      <c r="CW254" s="64">
        <v>0.0</v>
      </c>
      <c r="CX254" s="64">
        <v>0.0</v>
      </c>
      <c r="CY254" s="64">
        <v>0.0</v>
      </c>
      <c r="CZ254" s="64">
        <v>0.0</v>
      </c>
      <c r="DA254" s="64">
        <v>0.0</v>
      </c>
      <c r="DB254" s="64">
        <v>0.0</v>
      </c>
      <c r="DC254" s="72">
        <v>0.0</v>
      </c>
      <c r="DD254" s="72">
        <v>0.0</v>
      </c>
      <c r="DE254" s="72">
        <v>0.0</v>
      </c>
      <c r="DF254" s="72">
        <v>0.0</v>
      </c>
      <c r="DG254" s="72">
        <v>0.0</v>
      </c>
      <c r="DH254" s="72">
        <v>0.0</v>
      </c>
      <c r="DI254" s="73">
        <v>2.0487226875E10</v>
      </c>
      <c r="DJ254" s="74" t="s">
        <v>947</v>
      </c>
      <c r="DK254" s="74" t="s">
        <v>138</v>
      </c>
      <c r="DL254" s="75"/>
      <c r="DM254" s="75"/>
      <c r="DN254" s="75"/>
      <c r="DO254" s="75"/>
      <c r="DP254" s="75"/>
      <c r="DQ254" s="75"/>
      <c r="DR254" s="75"/>
      <c r="DS254" s="75"/>
      <c r="DT254" s="75"/>
      <c r="DU254" s="75"/>
      <c r="DV254" s="75"/>
      <c r="DW254" s="75"/>
      <c r="DX254" s="75"/>
      <c r="DY254" s="75"/>
      <c r="DZ254" s="75"/>
      <c r="EA254" s="75"/>
      <c r="EB254" s="75"/>
      <c r="EC254" s="75"/>
      <c r="ED254" s="75"/>
      <c r="EE254" s="75"/>
    </row>
    <row r="255" ht="47.25" hidden="1" customHeight="1">
      <c r="A255" s="55" t="s">
        <v>948</v>
      </c>
      <c r="B255" s="55" t="s">
        <v>250</v>
      </c>
      <c r="C255" s="55" t="s">
        <v>250</v>
      </c>
      <c r="D255" s="55" t="s">
        <v>911</v>
      </c>
      <c r="E255" s="55" t="s">
        <v>920</v>
      </c>
      <c r="F255" s="55" t="s">
        <v>911</v>
      </c>
      <c r="G255" s="55" t="s">
        <v>911</v>
      </c>
      <c r="H255" s="55" t="s">
        <v>921</v>
      </c>
      <c r="I255" s="56"/>
      <c r="J255" s="56"/>
      <c r="K255" s="56"/>
      <c r="L255" s="56">
        <v>1.0</v>
      </c>
      <c r="M255" s="56">
        <v>1.0</v>
      </c>
      <c r="N255" s="56"/>
      <c r="O255" s="56">
        <v>1.0</v>
      </c>
      <c r="P255" s="56">
        <v>1.0</v>
      </c>
      <c r="Q255" s="56" t="s">
        <v>131</v>
      </c>
      <c r="R255" s="58" t="str">
        <f t="shared" si="1"/>
        <v>2021-2022-2024 - 2025</v>
      </c>
      <c r="S255" s="59" t="str">
        <f>SUM(Hoja1!$I255:$P255)</f>
        <v>4</v>
      </c>
      <c r="T255" s="59" t="str">
        <f>IF(OR(Hoja1!$J255=1,Hoja1!$K255=1,Hoja1!$L255=1,Hoja1!$M255=1,Hoja1!$N255=1,Hoja1!$O255=1,Hoja1!$P255=1),"SI","NO")</f>
        <v>SI</v>
      </c>
      <c r="U255" s="59" t="str">
        <f>IF(OR(Hoja1!$K255=1,Hoja1!$L255=1,Hoja1!$M255=1,Hoja1!$N255=1,Hoja1!$O255=1,Hoja1!$P255=1),"SI","NO")</f>
        <v>SI</v>
      </c>
      <c r="V255" s="60">
        <v>0.0</v>
      </c>
      <c r="W255" s="61">
        <v>0.0</v>
      </c>
      <c r="X255" s="61">
        <v>0.0</v>
      </c>
      <c r="Y255" s="60">
        <v>0.0</v>
      </c>
      <c r="Z255" s="61">
        <v>0.0</v>
      </c>
      <c r="AA255" s="61">
        <v>0.0</v>
      </c>
      <c r="AB255" s="60">
        <v>0.0</v>
      </c>
      <c r="AC255" s="61">
        <v>110.0</v>
      </c>
      <c r="AD255" s="61">
        <v>78.0</v>
      </c>
      <c r="AE255" s="60">
        <v>188.0</v>
      </c>
      <c r="AF255" s="61">
        <v>109.0</v>
      </c>
      <c r="AG255" s="61">
        <v>78.0</v>
      </c>
      <c r="AH255" s="60">
        <v>187.0</v>
      </c>
      <c r="AI255" s="61">
        <v>0.0</v>
      </c>
      <c r="AJ255" s="61">
        <v>0.0</v>
      </c>
      <c r="AK255" s="60">
        <v>0.0</v>
      </c>
      <c r="AL255" s="61">
        <v>111.0</v>
      </c>
      <c r="AM255" s="61">
        <v>80.0</v>
      </c>
      <c r="AN255" s="60">
        <v>191.0</v>
      </c>
      <c r="AO255" s="62">
        <v>117.0</v>
      </c>
      <c r="AP255" s="62">
        <v>95.0</v>
      </c>
      <c r="AQ255" s="60">
        <v>212.0</v>
      </c>
      <c r="AR255" s="60" t="str">
        <f>IF(Hoja1!$AQ255&gt;0,Hoja1!$AQ255,IF(Hoja1!$AN255&gt;0,Hoja1!$AN255,IF(Hoja1!$AK255&gt;0,Hoja1!$AK255,IF(Hoja1!$AH255&gt;0,Hoja1!$AH255,IF(Hoja1!$AE255&gt;0,Hoja1!$AE255,IF(Hoja1!$AB255&gt;0,Hoja1!$AB255,IF(Hoja1!$Y255&gt;0,Hoja1!$Y255,IF(Hoja1!$V255&gt;0,Hoja1!$V255," ---"))))))))</f>
        <v>212</v>
      </c>
      <c r="AS255" s="63">
        <v>0.0</v>
      </c>
      <c r="AT255" s="63">
        <v>0.0</v>
      </c>
      <c r="AU255" s="63">
        <v>33.0</v>
      </c>
      <c r="AV255" s="63">
        <v>1.0</v>
      </c>
      <c r="AW255" s="63">
        <v>42.0</v>
      </c>
      <c r="AX255" s="63">
        <v>0.0</v>
      </c>
      <c r="AY255" s="63">
        <v>0.0</v>
      </c>
      <c r="AZ255" s="63">
        <v>0.0</v>
      </c>
      <c r="BA255" s="63">
        <v>40.0</v>
      </c>
      <c r="BB255" s="63">
        <v>0.0</v>
      </c>
      <c r="BC255" s="63">
        <v>21.0</v>
      </c>
      <c r="BD255" s="63">
        <v>4.0</v>
      </c>
      <c r="BE255" s="64">
        <v>0.0</v>
      </c>
      <c r="BF255" s="69">
        <v>0.0</v>
      </c>
      <c r="BG255" s="69">
        <v>0.0</v>
      </c>
      <c r="BH255" s="64">
        <v>0.0</v>
      </c>
      <c r="BI255" s="67" t="str">
        <f t="shared" si="69"/>
        <v>#REF!</v>
      </c>
      <c r="BJ255" s="68" t="str">
        <f t="shared" si="70"/>
        <v>#REF!</v>
      </c>
      <c r="BK255" s="69">
        <v>0.0</v>
      </c>
      <c r="BL255" s="69">
        <v>0.0</v>
      </c>
      <c r="BM255" s="66">
        <v>0.0</v>
      </c>
      <c r="BN255" s="67" t="str">
        <f t="shared" si="71"/>
        <v>#REF!</v>
      </c>
      <c r="BO255" s="68" t="str">
        <f t="shared" si="72"/>
        <v>#REF!</v>
      </c>
      <c r="BP255" s="65">
        <v>130050.3</v>
      </c>
      <c r="BQ255" s="65">
        <v>0.0</v>
      </c>
      <c r="BR255" s="66">
        <v>130050.3</v>
      </c>
      <c r="BS255" s="67" t="str">
        <f t="shared" si="73"/>
        <v>#REF!</v>
      </c>
      <c r="BT255" s="68" t="str">
        <f>'[1]DATA CONSOLIDADA 2018-2025 '!$BR255-Hoja1!$BO255</f>
        <v>#REF!</v>
      </c>
      <c r="BU255" s="65">
        <v>83938.0</v>
      </c>
      <c r="BV255" s="65">
        <v>0.0</v>
      </c>
      <c r="BW255" s="66">
        <v>83938.0</v>
      </c>
      <c r="BX255" s="67" t="str">
        <f t="shared" si="74"/>
        <v>#REF!</v>
      </c>
      <c r="BY255" s="68" t="str">
        <f t="shared" si="75"/>
        <v>#REF!</v>
      </c>
      <c r="BZ255" s="65">
        <v>0.0</v>
      </c>
      <c r="CA255" s="65">
        <v>0.0</v>
      </c>
      <c r="CB255" s="66">
        <v>0.0</v>
      </c>
      <c r="CC255" s="67" t="str">
        <f t="shared" si="76"/>
        <v>#REF!</v>
      </c>
      <c r="CD255" s="68" t="str">
        <f>'[1]DATA CONSOLIDADA 2018-2025 '!$CB255-Hoja1!$BW255</f>
        <v>#REF!</v>
      </c>
      <c r="CE255" s="70">
        <v>0.0</v>
      </c>
      <c r="CF255" s="70">
        <v>0.0</v>
      </c>
      <c r="CG255" s="71">
        <v>0.0</v>
      </c>
      <c r="CH255" s="67" t="str">
        <f t="shared" si="77"/>
        <v>#REF!</v>
      </c>
      <c r="CI255" s="68" t="str">
        <f>'[1]DATA CONSOLIDADA 2018-2025 '!$CG255-Hoja1!$CB255</f>
        <v>#REF!</v>
      </c>
      <c r="CJ255" s="64" t="str">
        <f t="shared" si="68"/>
        <v>#REF!</v>
      </c>
      <c r="CK255" s="64">
        <v>0.0</v>
      </c>
      <c r="CL255" s="64">
        <v>0.0</v>
      </c>
      <c r="CM255" s="64">
        <v>0.0</v>
      </c>
      <c r="CN255" s="64" t="str">
        <f t="shared" si="12"/>
        <v>#REF!</v>
      </c>
      <c r="CO255" s="68" t="str">
        <f>'[1]DATA CONSOLIDADA 2018-2025 '!$CM255-Hoja1!$CG255</f>
        <v>#REF!</v>
      </c>
      <c r="CP255" s="70">
        <v>0.0</v>
      </c>
      <c r="CQ255" s="70">
        <v>0.0</v>
      </c>
      <c r="CR255" s="70">
        <v>0.0</v>
      </c>
      <c r="CS255" s="70">
        <v>0.0</v>
      </c>
      <c r="CT255" s="70">
        <v>0.0</v>
      </c>
      <c r="CU255" s="70">
        <v>0.0</v>
      </c>
      <c r="CV255" s="64">
        <v>0.0</v>
      </c>
      <c r="CW255" s="64">
        <v>0.0</v>
      </c>
      <c r="CX255" s="64">
        <v>0.0</v>
      </c>
      <c r="CY255" s="64">
        <v>0.0</v>
      </c>
      <c r="CZ255" s="64">
        <v>0.0</v>
      </c>
      <c r="DA255" s="64">
        <v>0.0</v>
      </c>
      <c r="DB255" s="64">
        <v>0.0</v>
      </c>
      <c r="DC255" s="72">
        <v>0.0</v>
      </c>
      <c r="DD255" s="72">
        <v>0.0</v>
      </c>
      <c r="DE255" s="72">
        <v>0.0</v>
      </c>
      <c r="DF255" s="72">
        <v>0.0</v>
      </c>
      <c r="DG255" s="72">
        <v>0.0</v>
      </c>
      <c r="DH255" s="72">
        <v>0.0</v>
      </c>
      <c r="DI255" s="73">
        <v>2.0131453427E10</v>
      </c>
      <c r="DJ255" s="74" t="s">
        <v>949</v>
      </c>
      <c r="DK255" s="74" t="s">
        <v>132</v>
      </c>
      <c r="DL255" s="75"/>
      <c r="DM255" s="75"/>
      <c r="DN255" s="75"/>
      <c r="DO255" s="75"/>
      <c r="DP255" s="75"/>
      <c r="DQ255" s="75"/>
      <c r="DR255" s="75"/>
      <c r="DS255" s="75"/>
      <c r="DT255" s="75"/>
      <c r="DU255" s="75"/>
      <c r="DV255" s="75"/>
      <c r="DW255" s="75"/>
      <c r="DX255" s="75"/>
      <c r="DY255" s="75"/>
      <c r="DZ255" s="75"/>
      <c r="EA255" s="75"/>
      <c r="EB255" s="75"/>
      <c r="EC255" s="75"/>
      <c r="ED255" s="75"/>
      <c r="EE255" s="75"/>
    </row>
    <row r="256" ht="47.25" hidden="1" customHeight="1">
      <c r="A256" s="55" t="s">
        <v>950</v>
      </c>
      <c r="B256" s="55" t="s">
        <v>250</v>
      </c>
      <c r="C256" s="55" t="s">
        <v>250</v>
      </c>
      <c r="D256" s="55" t="s">
        <v>911</v>
      </c>
      <c r="E256" s="55" t="s">
        <v>951</v>
      </c>
      <c r="F256" s="55" t="s">
        <v>911</v>
      </c>
      <c r="G256" s="55" t="s">
        <v>911</v>
      </c>
      <c r="H256" s="55" t="s">
        <v>952</v>
      </c>
      <c r="I256" s="56"/>
      <c r="J256" s="56"/>
      <c r="K256" s="56"/>
      <c r="L256" s="56">
        <v>1.0</v>
      </c>
      <c r="M256" s="56">
        <v>1.0</v>
      </c>
      <c r="N256" s="56"/>
      <c r="O256" s="56"/>
      <c r="P256" s="56"/>
      <c r="Q256" s="56" t="s">
        <v>131</v>
      </c>
      <c r="R256" s="58" t="str">
        <f t="shared" si="1"/>
        <v>2021-2022</v>
      </c>
      <c r="S256" s="59" t="str">
        <f>SUM(Hoja1!$I256:$P256)</f>
        <v>2</v>
      </c>
      <c r="T256" s="59" t="str">
        <f>IF(OR(Hoja1!$J256=1,Hoja1!$K256=1,Hoja1!$L256=1,Hoja1!$M256=1,Hoja1!$N256=1,Hoja1!$O256=1,Hoja1!$P256=1),"SI","NO")</f>
        <v>SI</v>
      </c>
      <c r="U256" s="59" t="str">
        <f>IF(OR(Hoja1!$K256=1,Hoja1!$L256=1,Hoja1!$M256=1,Hoja1!$N256=1,Hoja1!$O256=1,Hoja1!$P256=1),"SI","NO")</f>
        <v>SI</v>
      </c>
      <c r="V256" s="60">
        <v>0.0</v>
      </c>
      <c r="W256" s="61">
        <v>0.0</v>
      </c>
      <c r="X256" s="61">
        <v>0.0</v>
      </c>
      <c r="Y256" s="60">
        <v>0.0</v>
      </c>
      <c r="Z256" s="61">
        <v>0.0</v>
      </c>
      <c r="AA256" s="61">
        <v>0.0</v>
      </c>
      <c r="AB256" s="60">
        <v>0.0</v>
      </c>
      <c r="AC256" s="61">
        <v>398.0</v>
      </c>
      <c r="AD256" s="61">
        <v>240.0</v>
      </c>
      <c r="AE256" s="60">
        <v>638.0</v>
      </c>
      <c r="AF256" s="61">
        <v>398.0</v>
      </c>
      <c r="AG256" s="61">
        <v>240.0</v>
      </c>
      <c r="AH256" s="60">
        <v>638.0</v>
      </c>
      <c r="AI256" s="61">
        <v>0.0</v>
      </c>
      <c r="AJ256" s="61">
        <v>0.0</v>
      </c>
      <c r="AK256" s="60">
        <v>0.0</v>
      </c>
      <c r="AL256" s="61">
        <v>0.0</v>
      </c>
      <c r="AM256" s="61">
        <v>0.0</v>
      </c>
      <c r="AN256" s="60">
        <v>0.0</v>
      </c>
      <c r="AO256" s="62">
        <v>0.0</v>
      </c>
      <c r="AP256" s="62">
        <v>0.0</v>
      </c>
      <c r="AQ256" s="60">
        <v>0.0</v>
      </c>
      <c r="AR256" s="60" t="str">
        <f>IF(Hoja1!$AQ256&gt;0,Hoja1!$AQ256,IF(Hoja1!$AN256&gt;0,Hoja1!$AN256,IF(Hoja1!$AK256&gt;0,Hoja1!$AK256,IF(Hoja1!$AH256&gt;0,Hoja1!$AH256,IF(Hoja1!$AE256&gt;0,Hoja1!$AE256,IF(Hoja1!$AB256&gt;0,Hoja1!$AB256,IF(Hoja1!$Y256&gt;0,Hoja1!$Y256,IF(Hoja1!$V256&gt;0,Hoja1!$V256," ---"))))))))</f>
        <v>638</v>
      </c>
      <c r="AS256" s="63">
        <v>0.0</v>
      </c>
      <c r="AT256" s="63">
        <v>0.0</v>
      </c>
      <c r="AU256" s="63">
        <v>34.0</v>
      </c>
      <c r="AV256" s="63">
        <v>1.0</v>
      </c>
      <c r="AW256" s="63">
        <v>42.0</v>
      </c>
      <c r="AX256" s="63">
        <v>0.0</v>
      </c>
      <c r="AY256" s="63">
        <v>0.0</v>
      </c>
      <c r="AZ256" s="63">
        <v>0.0</v>
      </c>
      <c r="BA256" s="63">
        <v>0.0</v>
      </c>
      <c r="BB256" s="63">
        <v>0.0</v>
      </c>
      <c r="BC256" s="63">
        <v>0.0</v>
      </c>
      <c r="BD256" s="63">
        <v>0.0</v>
      </c>
      <c r="BE256" s="64">
        <v>0.0</v>
      </c>
      <c r="BF256" s="69">
        <v>0.0</v>
      </c>
      <c r="BG256" s="69">
        <v>0.0</v>
      </c>
      <c r="BH256" s="64">
        <v>0.0</v>
      </c>
      <c r="BI256" s="67" t="str">
        <f t="shared" si="69"/>
        <v>#REF!</v>
      </c>
      <c r="BJ256" s="68" t="str">
        <f t="shared" si="70"/>
        <v>#REF!</v>
      </c>
      <c r="BK256" s="69">
        <v>0.0</v>
      </c>
      <c r="BL256" s="69">
        <v>0.0</v>
      </c>
      <c r="BM256" s="66">
        <v>0.0</v>
      </c>
      <c r="BN256" s="67" t="str">
        <f t="shared" si="71"/>
        <v>#REF!</v>
      </c>
      <c r="BO256" s="68" t="str">
        <f t="shared" si="72"/>
        <v>#REF!</v>
      </c>
      <c r="BP256" s="65">
        <v>28852.7</v>
      </c>
      <c r="BQ256" s="65">
        <v>0.0</v>
      </c>
      <c r="BR256" s="66">
        <v>28852.7</v>
      </c>
      <c r="BS256" s="67" t="str">
        <f t="shared" si="73"/>
        <v>#REF!</v>
      </c>
      <c r="BT256" s="68" t="str">
        <f>'[1]DATA CONSOLIDADA 2018-2025 '!$BR256-Hoja1!$BO256</f>
        <v>#REF!</v>
      </c>
      <c r="BU256" s="65">
        <v>0.0</v>
      </c>
      <c r="BV256" s="65">
        <v>0.0</v>
      </c>
      <c r="BW256" s="66">
        <v>0.0</v>
      </c>
      <c r="BX256" s="67" t="str">
        <f t="shared" si="74"/>
        <v>#REF!</v>
      </c>
      <c r="BY256" s="68" t="str">
        <f t="shared" si="75"/>
        <v>#REF!</v>
      </c>
      <c r="BZ256" s="65">
        <v>0.0</v>
      </c>
      <c r="CA256" s="65">
        <v>0.0</v>
      </c>
      <c r="CB256" s="66">
        <v>0.0</v>
      </c>
      <c r="CC256" s="67" t="str">
        <f t="shared" si="76"/>
        <v>#REF!</v>
      </c>
      <c r="CD256" s="68" t="str">
        <f>'[1]DATA CONSOLIDADA 2018-2025 '!$CB256-Hoja1!$BW256</f>
        <v>#REF!</v>
      </c>
      <c r="CE256" s="70">
        <v>0.0</v>
      </c>
      <c r="CF256" s="70">
        <v>0.0</v>
      </c>
      <c r="CG256" s="71">
        <v>0.0</v>
      </c>
      <c r="CH256" s="67" t="str">
        <f t="shared" si="77"/>
        <v>#REF!</v>
      </c>
      <c r="CI256" s="68" t="str">
        <f>'[1]DATA CONSOLIDADA 2018-2025 '!$CG256-Hoja1!$CB256</f>
        <v>#REF!</v>
      </c>
      <c r="CJ256" s="64" t="str">
        <f t="shared" si="68"/>
        <v>#REF!</v>
      </c>
      <c r="CK256" s="64">
        <v>0.0</v>
      </c>
      <c r="CL256" s="64">
        <v>0.0</v>
      </c>
      <c r="CM256" s="64">
        <v>0.0</v>
      </c>
      <c r="CN256" s="64" t="str">
        <f t="shared" si="12"/>
        <v>#REF!</v>
      </c>
      <c r="CO256" s="68" t="str">
        <f>'[1]DATA CONSOLIDADA 2018-2025 '!$CM256-Hoja1!$CG256</f>
        <v>#REF!</v>
      </c>
      <c r="CP256" s="70">
        <v>0.0</v>
      </c>
      <c r="CQ256" s="70">
        <v>0.0</v>
      </c>
      <c r="CR256" s="70">
        <v>0.0</v>
      </c>
      <c r="CS256" s="70">
        <v>0.0</v>
      </c>
      <c r="CT256" s="70">
        <v>0.0</v>
      </c>
      <c r="CU256" s="70">
        <v>0.0</v>
      </c>
      <c r="CV256" s="64">
        <v>0.0</v>
      </c>
      <c r="CW256" s="64">
        <v>0.0</v>
      </c>
      <c r="CX256" s="64">
        <v>0.0</v>
      </c>
      <c r="CY256" s="64">
        <v>0.0</v>
      </c>
      <c r="CZ256" s="64">
        <v>0.0</v>
      </c>
      <c r="DA256" s="64">
        <v>0.0</v>
      </c>
      <c r="DB256" s="64">
        <v>0.0</v>
      </c>
      <c r="DC256" s="72">
        <v>0.0</v>
      </c>
      <c r="DD256" s="72">
        <v>0.0</v>
      </c>
      <c r="DE256" s="72">
        <v>0.0</v>
      </c>
      <c r="DF256" s="72">
        <v>0.0</v>
      </c>
      <c r="DG256" s="72">
        <v>0.0</v>
      </c>
      <c r="DH256" s="72">
        <v>0.0</v>
      </c>
      <c r="DI256" s="73" t="s">
        <v>953</v>
      </c>
      <c r="DJ256" s="74" t="s">
        <v>954</v>
      </c>
      <c r="DK256" s="74" t="s">
        <v>132</v>
      </c>
      <c r="DL256" s="75"/>
      <c r="DM256" s="75"/>
      <c r="DN256" s="75"/>
      <c r="DO256" s="75"/>
      <c r="DP256" s="75"/>
      <c r="DQ256" s="75"/>
      <c r="DR256" s="75"/>
      <c r="DS256" s="75"/>
      <c r="DT256" s="75"/>
      <c r="DU256" s="75"/>
      <c r="DV256" s="75"/>
      <c r="DW256" s="75"/>
      <c r="DX256" s="75"/>
      <c r="DY256" s="75"/>
      <c r="DZ256" s="75"/>
      <c r="EA256" s="75"/>
      <c r="EB256" s="75"/>
      <c r="EC256" s="75"/>
      <c r="ED256" s="75"/>
      <c r="EE256" s="75"/>
    </row>
    <row r="257" ht="47.25" hidden="1" customHeight="1">
      <c r="A257" s="55" t="s">
        <v>955</v>
      </c>
      <c r="B257" s="55" t="s">
        <v>250</v>
      </c>
      <c r="C257" s="55" t="s">
        <v>250</v>
      </c>
      <c r="D257" s="55" t="s">
        <v>911</v>
      </c>
      <c r="E257" s="55" t="s">
        <v>956</v>
      </c>
      <c r="F257" s="55" t="s">
        <v>911</v>
      </c>
      <c r="G257" s="55" t="s">
        <v>911</v>
      </c>
      <c r="H257" s="55" t="s">
        <v>957</v>
      </c>
      <c r="I257" s="56"/>
      <c r="J257" s="56"/>
      <c r="K257" s="56"/>
      <c r="L257" s="56">
        <v>1.0</v>
      </c>
      <c r="M257" s="56">
        <v>1.0</v>
      </c>
      <c r="N257" s="56"/>
      <c r="O257" s="56">
        <v>1.0</v>
      </c>
      <c r="P257" s="56">
        <v>1.0</v>
      </c>
      <c r="Q257" s="56" t="s">
        <v>131</v>
      </c>
      <c r="R257" s="58" t="str">
        <f t="shared" si="1"/>
        <v>2021-2022-2024 - 2025</v>
      </c>
      <c r="S257" s="59" t="str">
        <f>SUM(Hoja1!$I257:$P257)</f>
        <v>4</v>
      </c>
      <c r="T257" s="59" t="str">
        <f>IF(OR(Hoja1!$J257=1,Hoja1!$K257=1,Hoja1!$L257=1,Hoja1!$M257=1,Hoja1!$N257=1,Hoja1!$O257=1,Hoja1!$P257=1),"SI","NO")</f>
        <v>SI</v>
      </c>
      <c r="U257" s="59" t="str">
        <f>IF(OR(Hoja1!$K257=1,Hoja1!$L257=1,Hoja1!$M257=1,Hoja1!$N257=1,Hoja1!$O257=1,Hoja1!$P257=1),"SI","NO")</f>
        <v>SI</v>
      </c>
      <c r="V257" s="60">
        <v>0.0</v>
      </c>
      <c r="W257" s="61">
        <v>0.0</v>
      </c>
      <c r="X257" s="61">
        <v>0.0</v>
      </c>
      <c r="Y257" s="60">
        <v>0.0</v>
      </c>
      <c r="Z257" s="61">
        <v>0.0</v>
      </c>
      <c r="AA257" s="61">
        <v>0.0</v>
      </c>
      <c r="AB257" s="60">
        <v>0.0</v>
      </c>
      <c r="AC257" s="61">
        <v>272.0</v>
      </c>
      <c r="AD257" s="61">
        <v>215.0</v>
      </c>
      <c r="AE257" s="60">
        <v>487.0</v>
      </c>
      <c r="AF257" s="61">
        <v>272.0</v>
      </c>
      <c r="AG257" s="61">
        <v>215.0</v>
      </c>
      <c r="AH257" s="60">
        <v>487.0</v>
      </c>
      <c r="AI257" s="61">
        <v>0.0</v>
      </c>
      <c r="AJ257" s="61">
        <v>0.0</v>
      </c>
      <c r="AK257" s="60">
        <v>0.0</v>
      </c>
      <c r="AL257" s="61">
        <v>272.0</v>
      </c>
      <c r="AM257" s="61">
        <v>215.0</v>
      </c>
      <c r="AN257" s="60">
        <v>487.0</v>
      </c>
      <c r="AO257" s="62">
        <v>235.0</v>
      </c>
      <c r="AP257" s="62">
        <v>254.0</v>
      </c>
      <c r="AQ257" s="60">
        <v>489.0</v>
      </c>
      <c r="AR257" s="60" t="str">
        <f>IF(Hoja1!$AQ257&gt;0,Hoja1!$AQ257,IF(Hoja1!$AN257&gt;0,Hoja1!$AN257,IF(Hoja1!$AK257&gt;0,Hoja1!$AK257,IF(Hoja1!$AH257&gt;0,Hoja1!$AH257,IF(Hoja1!$AE257&gt;0,Hoja1!$AE257,IF(Hoja1!$AB257&gt;0,Hoja1!$AB257,IF(Hoja1!$Y257&gt;0,Hoja1!$Y257,IF(Hoja1!$V257&gt;0,Hoja1!$V257," ---"))))))))</f>
        <v>489</v>
      </c>
      <c r="AS257" s="63">
        <v>0.0</v>
      </c>
      <c r="AT257" s="63">
        <v>0.0</v>
      </c>
      <c r="AU257" s="63">
        <v>38.0</v>
      </c>
      <c r="AV257" s="63">
        <v>1.0</v>
      </c>
      <c r="AW257" s="63">
        <v>42.0</v>
      </c>
      <c r="AX257" s="63">
        <v>0.0</v>
      </c>
      <c r="AY257" s="63">
        <v>0.0</v>
      </c>
      <c r="AZ257" s="63">
        <v>0.0</v>
      </c>
      <c r="BA257" s="63">
        <v>33.0</v>
      </c>
      <c r="BB257" s="63">
        <v>0.0</v>
      </c>
      <c r="BC257" s="63">
        <v>20.0</v>
      </c>
      <c r="BD257" s="63">
        <v>4.0</v>
      </c>
      <c r="BE257" s="64">
        <v>0.0</v>
      </c>
      <c r="BF257" s="69">
        <v>0.0</v>
      </c>
      <c r="BG257" s="69">
        <v>0.0</v>
      </c>
      <c r="BH257" s="64">
        <v>0.0</v>
      </c>
      <c r="BI257" s="67" t="str">
        <f t="shared" si="69"/>
        <v>#REF!</v>
      </c>
      <c r="BJ257" s="68" t="str">
        <f t="shared" si="70"/>
        <v>#REF!</v>
      </c>
      <c r="BK257" s="69">
        <v>0.0</v>
      </c>
      <c r="BL257" s="69">
        <v>0.0</v>
      </c>
      <c r="BM257" s="66">
        <v>0.0</v>
      </c>
      <c r="BN257" s="67" t="str">
        <f t="shared" si="71"/>
        <v>#REF!</v>
      </c>
      <c r="BO257" s="68" t="str">
        <f t="shared" si="72"/>
        <v>#REF!</v>
      </c>
      <c r="BP257" s="65">
        <v>254137.96</v>
      </c>
      <c r="BQ257" s="65">
        <v>0.0</v>
      </c>
      <c r="BR257" s="66">
        <v>254137.96</v>
      </c>
      <c r="BS257" s="67" t="str">
        <f t="shared" si="73"/>
        <v>#REF!</v>
      </c>
      <c r="BT257" s="68" t="str">
        <f>'[1]DATA CONSOLIDADA 2018-2025 '!$BR257-Hoja1!$BO257</f>
        <v>#REF!</v>
      </c>
      <c r="BU257" s="65">
        <v>384239.16</v>
      </c>
      <c r="BV257" s="65">
        <v>0.0</v>
      </c>
      <c r="BW257" s="66">
        <v>384239.16</v>
      </c>
      <c r="BX257" s="67" t="str">
        <f t="shared" si="74"/>
        <v>#REF!</v>
      </c>
      <c r="BY257" s="68" t="str">
        <f t="shared" si="75"/>
        <v>#REF!</v>
      </c>
      <c r="BZ257" s="65">
        <v>0.0</v>
      </c>
      <c r="CA257" s="65">
        <v>0.0</v>
      </c>
      <c r="CB257" s="66">
        <v>0.0</v>
      </c>
      <c r="CC257" s="67" t="str">
        <f t="shared" si="76"/>
        <v>#REF!</v>
      </c>
      <c r="CD257" s="68" t="str">
        <f>'[1]DATA CONSOLIDADA 2018-2025 '!$CB257-Hoja1!$BW257</f>
        <v>#REF!</v>
      </c>
      <c r="CE257" s="70">
        <v>0.0</v>
      </c>
      <c r="CF257" s="70">
        <v>0.0</v>
      </c>
      <c r="CG257" s="71">
        <v>0.0</v>
      </c>
      <c r="CH257" s="67" t="str">
        <f t="shared" si="77"/>
        <v>#REF!</v>
      </c>
      <c r="CI257" s="68" t="str">
        <f>'[1]DATA CONSOLIDADA 2018-2025 '!$CG257-Hoja1!$CB257</f>
        <v>#REF!</v>
      </c>
      <c r="CJ257" s="64" t="str">
        <f t="shared" si="68"/>
        <v>#REF!</v>
      </c>
      <c r="CK257" s="64">
        <v>0.0</v>
      </c>
      <c r="CL257" s="64">
        <v>0.0</v>
      </c>
      <c r="CM257" s="64">
        <v>0.0</v>
      </c>
      <c r="CN257" s="64" t="str">
        <f t="shared" si="12"/>
        <v>#REF!</v>
      </c>
      <c r="CO257" s="68" t="str">
        <f>'[1]DATA CONSOLIDADA 2018-2025 '!$CM257-Hoja1!$CG257</f>
        <v>#REF!</v>
      </c>
      <c r="CP257" s="70">
        <v>0.0</v>
      </c>
      <c r="CQ257" s="70">
        <v>0.0</v>
      </c>
      <c r="CR257" s="70">
        <v>0.0</v>
      </c>
      <c r="CS257" s="70">
        <v>0.0</v>
      </c>
      <c r="CT257" s="70">
        <v>0.0</v>
      </c>
      <c r="CU257" s="70">
        <v>0.0</v>
      </c>
      <c r="CV257" s="64">
        <v>0.0</v>
      </c>
      <c r="CW257" s="64">
        <v>0.0</v>
      </c>
      <c r="CX257" s="64">
        <v>0.0</v>
      </c>
      <c r="CY257" s="64">
        <v>0.0</v>
      </c>
      <c r="CZ257" s="64">
        <v>0.0</v>
      </c>
      <c r="DA257" s="64">
        <v>0.0</v>
      </c>
      <c r="DB257" s="64">
        <v>0.0</v>
      </c>
      <c r="DC257" s="72">
        <v>0.0</v>
      </c>
      <c r="DD257" s="72">
        <v>0.0</v>
      </c>
      <c r="DE257" s="72">
        <v>0.0</v>
      </c>
      <c r="DF257" s="72">
        <v>0.0</v>
      </c>
      <c r="DG257" s="72">
        <v>0.0</v>
      </c>
      <c r="DH257" s="72">
        <v>0.0</v>
      </c>
      <c r="DI257" s="73">
        <v>2.0129830426E10</v>
      </c>
      <c r="DJ257" s="74" t="s">
        <v>958</v>
      </c>
      <c r="DK257" s="74" t="s">
        <v>132</v>
      </c>
      <c r="DL257" s="75"/>
      <c r="DM257" s="75"/>
      <c r="DN257" s="75"/>
      <c r="DO257" s="75"/>
      <c r="DP257" s="75"/>
      <c r="DQ257" s="75"/>
      <c r="DR257" s="75"/>
      <c r="DS257" s="75"/>
      <c r="DT257" s="75"/>
      <c r="DU257" s="75"/>
      <c r="DV257" s="75"/>
      <c r="DW257" s="75"/>
      <c r="DX257" s="75"/>
      <c r="DY257" s="75"/>
      <c r="DZ257" s="75"/>
      <c r="EA257" s="75"/>
      <c r="EB257" s="75"/>
      <c r="EC257" s="75"/>
      <c r="ED257" s="75"/>
      <c r="EE257" s="75"/>
    </row>
    <row r="258" ht="47.25" hidden="1" customHeight="1">
      <c r="A258" s="55" t="s">
        <v>959</v>
      </c>
      <c r="B258" s="55" t="s">
        <v>126</v>
      </c>
      <c r="C258" s="55" t="s">
        <v>126</v>
      </c>
      <c r="D258" s="55" t="s">
        <v>911</v>
      </c>
      <c r="E258" s="55" t="s">
        <v>916</v>
      </c>
      <c r="F258" s="55" t="s">
        <v>911</v>
      </c>
      <c r="G258" s="55" t="s">
        <v>913</v>
      </c>
      <c r="H258" s="55" t="s">
        <v>917</v>
      </c>
      <c r="I258" s="56"/>
      <c r="J258" s="56"/>
      <c r="K258" s="56"/>
      <c r="L258" s="56">
        <v>1.0</v>
      </c>
      <c r="M258" s="56">
        <v>1.0</v>
      </c>
      <c r="N258" s="56">
        <v>1.0</v>
      </c>
      <c r="O258" s="56">
        <v>1.0</v>
      </c>
      <c r="P258" s="56">
        <v>1.0</v>
      </c>
      <c r="Q258" s="56" t="s">
        <v>131</v>
      </c>
      <c r="R258" s="58" t="str">
        <f t="shared" si="1"/>
        <v>2021-2022-2023-2024 - 2025</v>
      </c>
      <c r="S258" s="59" t="str">
        <f>SUM(Hoja1!$I258:$P258)</f>
        <v>5</v>
      </c>
      <c r="T258" s="59" t="str">
        <f>IF(OR(Hoja1!$J258=1,Hoja1!$K258=1,Hoja1!$L258=1,Hoja1!$M258=1,Hoja1!$N258=1,Hoja1!$O258=1,Hoja1!$P258=1),"SI","NO")</f>
        <v>SI</v>
      </c>
      <c r="U258" s="59" t="str">
        <f>IF(OR(Hoja1!$K258=1,Hoja1!$L258=1,Hoja1!$M258=1,Hoja1!$N258=1,Hoja1!$O258=1,Hoja1!$P258=1),"SI","NO")</f>
        <v>SI</v>
      </c>
      <c r="V258" s="60">
        <v>0.0</v>
      </c>
      <c r="W258" s="61">
        <v>0.0</v>
      </c>
      <c r="X258" s="61">
        <v>0.0</v>
      </c>
      <c r="Y258" s="60">
        <v>0.0</v>
      </c>
      <c r="Z258" s="61">
        <v>0.0</v>
      </c>
      <c r="AA258" s="61">
        <v>0.0</v>
      </c>
      <c r="AB258" s="60">
        <v>0.0</v>
      </c>
      <c r="AC258" s="61">
        <v>309.0</v>
      </c>
      <c r="AD258" s="61">
        <v>206.0</v>
      </c>
      <c r="AE258" s="60">
        <v>515.0</v>
      </c>
      <c r="AF258" s="61">
        <v>289.0</v>
      </c>
      <c r="AG258" s="61">
        <v>203.0</v>
      </c>
      <c r="AH258" s="60">
        <v>492.0</v>
      </c>
      <c r="AI258" s="61">
        <v>289.0</v>
      </c>
      <c r="AJ258" s="61">
        <v>203.0</v>
      </c>
      <c r="AK258" s="60">
        <v>492.0</v>
      </c>
      <c r="AL258" s="61">
        <v>289.0</v>
      </c>
      <c r="AM258" s="61">
        <v>203.0</v>
      </c>
      <c r="AN258" s="60">
        <v>492.0</v>
      </c>
      <c r="AO258" s="62">
        <v>289.0</v>
      </c>
      <c r="AP258" s="62">
        <v>203.0</v>
      </c>
      <c r="AQ258" s="60">
        <v>492.0</v>
      </c>
      <c r="AR258" s="60" t="str">
        <f>IF(Hoja1!$AQ258&gt;0,Hoja1!$AQ258,IF(Hoja1!$AN258&gt;0,Hoja1!$AN258,IF(Hoja1!$AK258&gt;0,Hoja1!$AK258,IF(Hoja1!$AH258&gt;0,Hoja1!$AH258,IF(Hoja1!$AE258&gt;0,Hoja1!$AE258,IF(Hoja1!$AB258&gt;0,Hoja1!$AB258,IF(Hoja1!$Y258&gt;0,Hoja1!$Y258,IF(Hoja1!$V258&gt;0,Hoja1!$V258," ---"))))))))</f>
        <v>492</v>
      </c>
      <c r="AS258" s="63">
        <v>0.0</v>
      </c>
      <c r="AT258" s="63">
        <v>0.0</v>
      </c>
      <c r="AU258" s="63">
        <v>23.0</v>
      </c>
      <c r="AV258" s="63">
        <v>5.0</v>
      </c>
      <c r="AW258" s="63">
        <v>25.0</v>
      </c>
      <c r="AX258" s="63">
        <v>5.0</v>
      </c>
      <c r="AY258" s="63">
        <v>23.0</v>
      </c>
      <c r="AZ258" s="63">
        <v>0.0</v>
      </c>
      <c r="BA258" s="63">
        <v>24.0</v>
      </c>
      <c r="BB258" s="63">
        <v>0.0</v>
      </c>
      <c r="BC258" s="63">
        <v>21.0</v>
      </c>
      <c r="BD258" s="63">
        <v>3.0</v>
      </c>
      <c r="BE258" s="64">
        <v>0.0</v>
      </c>
      <c r="BF258" s="69">
        <v>0.0</v>
      </c>
      <c r="BG258" s="69">
        <v>0.0</v>
      </c>
      <c r="BH258" s="64">
        <v>0.0</v>
      </c>
      <c r="BI258" s="67" t="str">
        <f t="shared" si="69"/>
        <v>#REF!</v>
      </c>
      <c r="BJ258" s="68" t="str">
        <f t="shared" si="70"/>
        <v>#REF!</v>
      </c>
      <c r="BK258" s="69">
        <v>0.0</v>
      </c>
      <c r="BL258" s="69">
        <v>0.0</v>
      </c>
      <c r="BM258" s="66">
        <v>0.0</v>
      </c>
      <c r="BN258" s="67" t="str">
        <f t="shared" si="71"/>
        <v>#REF!</v>
      </c>
      <c r="BO258" s="68" t="str">
        <f t="shared" si="72"/>
        <v>#REF!</v>
      </c>
      <c r="BP258" s="65">
        <v>0.0</v>
      </c>
      <c r="BQ258" s="65">
        <v>8160480.66</v>
      </c>
      <c r="BR258" s="66">
        <v>8160480.66</v>
      </c>
      <c r="BS258" s="67" t="str">
        <f t="shared" si="73"/>
        <v>#REF!</v>
      </c>
      <c r="BT258" s="68" t="str">
        <f>'[1]DATA CONSOLIDADA 2018-2025 '!$BR258-Hoja1!$BO258</f>
        <v>#REF!</v>
      </c>
      <c r="BU258" s="65">
        <v>0.0</v>
      </c>
      <c r="BV258" s="65">
        <v>1181696.11</v>
      </c>
      <c r="BW258" s="66">
        <v>1181696.11</v>
      </c>
      <c r="BX258" s="67" t="str">
        <f t="shared" si="74"/>
        <v>#REF!</v>
      </c>
      <c r="BY258" s="68" t="str">
        <f t="shared" si="75"/>
        <v>#REF!</v>
      </c>
      <c r="BZ258" s="65">
        <v>9680703.58</v>
      </c>
      <c r="CA258" s="65">
        <v>2982276.28</v>
      </c>
      <c r="CB258" s="66">
        <v>1.266297986E7</v>
      </c>
      <c r="CC258" s="67" t="str">
        <f t="shared" si="76"/>
        <v>#REF!</v>
      </c>
      <c r="CD258" s="68" t="str">
        <f>'[1]DATA CONSOLIDADA 2018-2025 '!$CB258-Hoja1!$BW258</f>
        <v>#REF!</v>
      </c>
      <c r="CE258" s="70">
        <v>172146.27849999996</v>
      </c>
      <c r="CF258" s="70">
        <v>0.0</v>
      </c>
      <c r="CG258" s="71">
        <v>172146.27849999996</v>
      </c>
      <c r="CH258" s="67" t="str">
        <f t="shared" si="77"/>
        <v>#REF!</v>
      </c>
      <c r="CI258" s="68" t="str">
        <f>'[1]DATA CONSOLIDADA 2018-2025 '!$CG258-Hoja1!$CB258</f>
        <v>#REF!</v>
      </c>
      <c r="CJ258" s="64" t="str">
        <f t="shared" si="68"/>
        <v>#REF!</v>
      </c>
      <c r="CK258" s="64">
        <v>21169.100001</v>
      </c>
      <c r="CL258" s="64">
        <v>0.0</v>
      </c>
      <c r="CM258" s="64">
        <v>21169.100001</v>
      </c>
      <c r="CN258" s="64" t="str">
        <f t="shared" si="12"/>
        <v>#REF!</v>
      </c>
      <c r="CO258" s="68" t="str">
        <f>'[1]DATA CONSOLIDADA 2018-2025 '!$CM258-Hoja1!$CG258</f>
        <v>#REF!</v>
      </c>
      <c r="CP258" s="70">
        <v>0.0</v>
      </c>
      <c r="CQ258" s="70">
        <v>0.0</v>
      </c>
      <c r="CR258" s="70">
        <v>0.0</v>
      </c>
      <c r="CS258" s="70">
        <v>1.2662979858285584E7</v>
      </c>
      <c r="CT258" s="70">
        <v>0.0</v>
      </c>
      <c r="CU258" s="70">
        <v>0.0</v>
      </c>
      <c r="CV258" s="64">
        <v>1.2662979858285584E7</v>
      </c>
      <c r="CW258" s="64">
        <v>0.0</v>
      </c>
      <c r="CX258" s="64">
        <v>0.0</v>
      </c>
      <c r="CY258" s="64">
        <v>172146.27849999996</v>
      </c>
      <c r="CZ258" s="64">
        <v>0.0</v>
      </c>
      <c r="DA258" s="64">
        <v>0.0</v>
      </c>
      <c r="DB258" s="64">
        <v>172146.27849999996</v>
      </c>
      <c r="DC258" s="72">
        <v>0.0</v>
      </c>
      <c r="DD258" s="72">
        <v>14600.000001</v>
      </c>
      <c r="DE258" s="72">
        <v>6569.1</v>
      </c>
      <c r="DF258" s="72">
        <v>0.0</v>
      </c>
      <c r="DG258" s="72">
        <v>0.0</v>
      </c>
      <c r="DH258" s="72">
        <v>21169.100001</v>
      </c>
      <c r="DI258" s="73">
        <v>2.0568567731E10</v>
      </c>
      <c r="DJ258" s="74" t="s">
        <v>960</v>
      </c>
      <c r="DK258" s="74" t="s">
        <v>132</v>
      </c>
      <c r="DL258" s="75"/>
      <c r="DM258" s="75"/>
      <c r="DN258" s="75"/>
      <c r="DO258" s="75"/>
      <c r="DP258" s="75"/>
      <c r="DQ258" s="75"/>
      <c r="DR258" s="75"/>
      <c r="DS258" s="75"/>
      <c r="DT258" s="75"/>
      <c r="DU258" s="75"/>
      <c r="DV258" s="75"/>
      <c r="DW258" s="75"/>
      <c r="DX258" s="75"/>
      <c r="DY258" s="75"/>
      <c r="DZ258" s="75"/>
      <c r="EA258" s="75"/>
      <c r="EB258" s="75"/>
      <c r="EC258" s="75"/>
      <c r="ED258" s="75"/>
      <c r="EE258" s="75"/>
    </row>
    <row r="259" ht="47.25" hidden="1" customHeight="1">
      <c r="A259" s="55" t="s">
        <v>961</v>
      </c>
      <c r="B259" s="55" t="s">
        <v>126</v>
      </c>
      <c r="C259" s="55" t="s">
        <v>126</v>
      </c>
      <c r="D259" s="55" t="s">
        <v>911</v>
      </c>
      <c r="E259" s="55" t="s">
        <v>916</v>
      </c>
      <c r="F259" s="55" t="s">
        <v>911</v>
      </c>
      <c r="G259" s="55" t="s">
        <v>913</v>
      </c>
      <c r="H259" s="55" t="s">
        <v>917</v>
      </c>
      <c r="I259" s="56"/>
      <c r="J259" s="56"/>
      <c r="K259" s="56"/>
      <c r="L259" s="56"/>
      <c r="M259" s="56">
        <v>1.0</v>
      </c>
      <c r="N259" s="56">
        <v>1.0</v>
      </c>
      <c r="O259" s="56">
        <v>1.0</v>
      </c>
      <c r="P259" s="56">
        <v>1.0</v>
      </c>
      <c r="Q259" s="56" t="s">
        <v>131</v>
      </c>
      <c r="R259" s="58" t="str">
        <f t="shared" si="1"/>
        <v>2022-2023-2024 - 2025</v>
      </c>
      <c r="S259" s="59" t="str">
        <f>SUM(Hoja1!$I259:$P259)</f>
        <v>4</v>
      </c>
      <c r="T259" s="59" t="str">
        <f>IF(OR(Hoja1!$J259=1,Hoja1!$K259=1,Hoja1!$L259=1,Hoja1!$M259=1,Hoja1!$N259=1,Hoja1!$O259=1,Hoja1!$P259=1),"SI","NO")</f>
        <v>SI</v>
      </c>
      <c r="U259" s="59" t="str">
        <f>IF(OR(Hoja1!$K259=1,Hoja1!$L259=1,Hoja1!$M259=1,Hoja1!$N259=1,Hoja1!$O259=1,Hoja1!$P259=1),"SI","NO")</f>
        <v>SI</v>
      </c>
      <c r="V259" s="60">
        <v>0.0</v>
      </c>
      <c r="W259" s="61">
        <v>0.0</v>
      </c>
      <c r="X259" s="61">
        <v>0.0</v>
      </c>
      <c r="Y259" s="60">
        <v>0.0</v>
      </c>
      <c r="Z259" s="61">
        <v>0.0</v>
      </c>
      <c r="AA259" s="61">
        <v>0.0</v>
      </c>
      <c r="AB259" s="60">
        <v>0.0</v>
      </c>
      <c r="AC259" s="61">
        <v>0.0</v>
      </c>
      <c r="AD259" s="61">
        <v>0.0</v>
      </c>
      <c r="AE259" s="60">
        <v>0.0</v>
      </c>
      <c r="AF259" s="61">
        <v>0.0</v>
      </c>
      <c r="AG259" s="61">
        <v>59.0</v>
      </c>
      <c r="AH259" s="60">
        <v>59.0</v>
      </c>
      <c r="AI259" s="61">
        <v>0.0</v>
      </c>
      <c r="AJ259" s="61">
        <v>59.0</v>
      </c>
      <c r="AK259" s="60">
        <v>59.0</v>
      </c>
      <c r="AL259" s="61">
        <v>0.0</v>
      </c>
      <c r="AM259" s="61">
        <v>59.0</v>
      </c>
      <c r="AN259" s="60">
        <v>59.0</v>
      </c>
      <c r="AO259" s="62">
        <v>0.0</v>
      </c>
      <c r="AP259" s="62">
        <v>59.0</v>
      </c>
      <c r="AQ259" s="60">
        <v>59.0</v>
      </c>
      <c r="AR259" s="60" t="str">
        <f>IF(Hoja1!$AQ259&gt;0,Hoja1!$AQ259,IF(Hoja1!$AN259&gt;0,Hoja1!$AN259,IF(Hoja1!$AK259&gt;0,Hoja1!$AK259,IF(Hoja1!$AH259&gt;0,Hoja1!$AH259,IF(Hoja1!$AE259&gt;0,Hoja1!$AE259,IF(Hoja1!$AB259&gt;0,Hoja1!$AB259,IF(Hoja1!$Y259&gt;0,Hoja1!$Y259,IF(Hoja1!$V259&gt;0,Hoja1!$V259," ---"))))))))</f>
        <v>59</v>
      </c>
      <c r="AS259" s="63">
        <v>0.0</v>
      </c>
      <c r="AT259" s="63">
        <v>0.0</v>
      </c>
      <c r="AU259" s="63">
        <v>0.0</v>
      </c>
      <c r="AV259" s="63">
        <v>0.0</v>
      </c>
      <c r="AW259" s="63">
        <v>26.0</v>
      </c>
      <c r="AX259" s="63">
        <v>5.0</v>
      </c>
      <c r="AY259" s="63">
        <v>22.0</v>
      </c>
      <c r="AZ259" s="63">
        <v>0.0</v>
      </c>
      <c r="BA259" s="63">
        <v>24.0</v>
      </c>
      <c r="BB259" s="63">
        <v>0.0</v>
      </c>
      <c r="BC259" s="63">
        <v>22.0</v>
      </c>
      <c r="BD259" s="63">
        <v>3.0</v>
      </c>
      <c r="BE259" s="64">
        <v>0.0</v>
      </c>
      <c r="BF259" s="69">
        <v>0.0</v>
      </c>
      <c r="BG259" s="69">
        <v>0.0</v>
      </c>
      <c r="BH259" s="64">
        <v>0.0</v>
      </c>
      <c r="BI259" s="67" t="str">
        <f t="shared" si="69"/>
        <v>#REF!</v>
      </c>
      <c r="BJ259" s="68" t="str">
        <f t="shared" si="70"/>
        <v>#REF!</v>
      </c>
      <c r="BK259" s="69">
        <v>0.0</v>
      </c>
      <c r="BL259" s="69">
        <v>0.0</v>
      </c>
      <c r="BM259" s="64">
        <v>0.0</v>
      </c>
      <c r="BN259" s="67" t="str">
        <f t="shared" si="71"/>
        <v>#REF!</v>
      </c>
      <c r="BO259" s="68" t="str">
        <f t="shared" si="72"/>
        <v>#REF!</v>
      </c>
      <c r="BP259" s="65">
        <v>0.0</v>
      </c>
      <c r="BQ259" s="65">
        <v>0.0</v>
      </c>
      <c r="BR259" s="66">
        <v>0.0</v>
      </c>
      <c r="BS259" s="67" t="str">
        <f t="shared" si="73"/>
        <v>#REF!</v>
      </c>
      <c r="BT259" s="68" t="str">
        <f>'[1]DATA CONSOLIDADA 2018-2025 '!$BR259-Hoja1!$BO259</f>
        <v>#REF!</v>
      </c>
      <c r="BU259" s="65">
        <v>157351.02</v>
      </c>
      <c r="BV259" s="65">
        <v>489317.25</v>
      </c>
      <c r="BW259" s="66">
        <v>646668.27</v>
      </c>
      <c r="BX259" s="67" t="str">
        <f t="shared" si="74"/>
        <v>#REF!</v>
      </c>
      <c r="BY259" s="68" t="str">
        <f t="shared" si="75"/>
        <v>#REF!</v>
      </c>
      <c r="BZ259" s="65">
        <v>16300.15</v>
      </c>
      <c r="CA259" s="65">
        <v>996607.45</v>
      </c>
      <c r="CB259" s="66">
        <v>1012907.6</v>
      </c>
      <c r="CC259" s="67" t="str">
        <f t="shared" si="76"/>
        <v>#REF!</v>
      </c>
      <c r="CD259" s="68" t="str">
        <f>'[1]DATA CONSOLIDADA 2018-2025 '!$CB259-Hoja1!$BW259</f>
        <v>#REF!</v>
      </c>
      <c r="CE259" s="70">
        <v>4244.0</v>
      </c>
      <c r="CF259" s="70">
        <v>358882.853406</v>
      </c>
      <c r="CG259" s="71">
        <v>363126.853406</v>
      </c>
      <c r="CH259" s="67" t="str">
        <f t="shared" si="77"/>
        <v>#REF!</v>
      </c>
      <c r="CI259" s="68" t="str">
        <f>'[1]DATA CONSOLIDADA 2018-2025 '!$CG259-Hoja1!$CB259</f>
        <v>#REF!</v>
      </c>
      <c r="CJ259" s="64" t="str">
        <f t="shared" si="68"/>
        <v>#REF!</v>
      </c>
      <c r="CK259" s="64">
        <v>52596.988635919995</v>
      </c>
      <c r="CL259" s="64">
        <v>2405109.48732643</v>
      </c>
      <c r="CM259" s="64">
        <v>2457706.47596235</v>
      </c>
      <c r="CN259" s="64" t="str">
        <f t="shared" si="12"/>
        <v>#REF!</v>
      </c>
      <c r="CO259" s="68" t="str">
        <f>'[1]DATA CONSOLIDADA 2018-2025 '!$CM259-Hoja1!$CG259</f>
        <v>#REF!</v>
      </c>
      <c r="CP259" s="70">
        <v>0.0</v>
      </c>
      <c r="CQ259" s="70">
        <v>11800.15</v>
      </c>
      <c r="CR259" s="70">
        <v>0.0</v>
      </c>
      <c r="CS259" s="70">
        <v>1001107.43</v>
      </c>
      <c r="CT259" s="70">
        <v>0.0</v>
      </c>
      <c r="CU259" s="70">
        <v>0.0</v>
      </c>
      <c r="CV259" s="64">
        <v>1012907.5800000001</v>
      </c>
      <c r="CW259" s="64">
        <v>2500.0</v>
      </c>
      <c r="CX259" s="64">
        <v>0.0</v>
      </c>
      <c r="CY259" s="64">
        <v>360626.853406</v>
      </c>
      <c r="CZ259" s="64">
        <v>0.0</v>
      </c>
      <c r="DA259" s="64">
        <v>0.0</v>
      </c>
      <c r="DB259" s="64">
        <v>363126.853406</v>
      </c>
      <c r="DC259" s="72">
        <v>0.0</v>
      </c>
      <c r="DD259" s="72">
        <v>4800.0</v>
      </c>
      <c r="DE259" s="72">
        <v>2452906.47596235</v>
      </c>
      <c r="DF259" s="72">
        <v>0.0</v>
      </c>
      <c r="DG259" s="72">
        <v>0.0</v>
      </c>
      <c r="DH259" s="72">
        <v>2457706.47596235</v>
      </c>
      <c r="DI259" s="73">
        <v>2.060205448E10</v>
      </c>
      <c r="DJ259" s="74" t="s">
        <v>962</v>
      </c>
      <c r="DK259" s="74" t="s">
        <v>132</v>
      </c>
      <c r="DL259" s="75"/>
      <c r="DM259" s="75"/>
      <c r="DN259" s="75"/>
      <c r="DO259" s="75"/>
      <c r="DP259" s="75"/>
      <c r="DQ259" s="75"/>
      <c r="DR259" s="75"/>
      <c r="DS259" s="75"/>
      <c r="DT259" s="75"/>
      <c r="DU259" s="75"/>
      <c r="DV259" s="75"/>
      <c r="DW259" s="75"/>
      <c r="DX259" s="75"/>
      <c r="DY259" s="75"/>
      <c r="DZ259" s="75"/>
      <c r="EA259" s="75"/>
      <c r="EB259" s="75"/>
      <c r="EC259" s="75"/>
      <c r="ED259" s="75"/>
      <c r="EE259" s="75"/>
    </row>
    <row r="260" ht="47.25" hidden="1" customHeight="1">
      <c r="A260" s="55" t="s">
        <v>963</v>
      </c>
      <c r="B260" s="55" t="s">
        <v>855</v>
      </c>
      <c r="C260" s="55" t="s">
        <v>855</v>
      </c>
      <c r="D260" s="55" t="s">
        <v>846</v>
      </c>
      <c r="E260" s="55" t="s">
        <v>856</v>
      </c>
      <c r="F260" s="55" t="s">
        <v>846</v>
      </c>
      <c r="G260" s="55" t="s">
        <v>848</v>
      </c>
      <c r="H260" s="55" t="s">
        <v>848</v>
      </c>
      <c r="I260" s="56"/>
      <c r="J260" s="56">
        <v>1.0</v>
      </c>
      <c r="K260" s="56"/>
      <c r="L260" s="56"/>
      <c r="M260" s="56"/>
      <c r="N260" s="56"/>
      <c r="O260" s="56"/>
      <c r="P260" s="56"/>
      <c r="Q260" s="56" t="s">
        <v>131</v>
      </c>
      <c r="R260" s="58" t="str">
        <f t="shared" si="1"/>
        <v>2019</v>
      </c>
      <c r="S260" s="59" t="str">
        <f>SUM(Hoja1!$I260:$P260)</f>
        <v>1</v>
      </c>
      <c r="T260" s="59" t="str">
        <f>IF(OR(Hoja1!$J260=1,Hoja1!$K260=1,Hoja1!$L260=1,Hoja1!$M260=1,Hoja1!$N260=1,Hoja1!$O260=1,Hoja1!$P260=1),"SI","NO")</f>
        <v>SI</v>
      </c>
      <c r="U260" s="59" t="str">
        <f>IF(OR(Hoja1!$K260=1,Hoja1!$L260=1,Hoja1!$M260=1,Hoja1!$N260=1,Hoja1!$O260=1,Hoja1!$P260=1),"SI","NO")</f>
        <v>NO</v>
      </c>
      <c r="V260" s="60">
        <v>0.0</v>
      </c>
      <c r="W260" s="61">
        <v>44.0</v>
      </c>
      <c r="X260" s="61">
        <v>27.0</v>
      </c>
      <c r="Y260" s="60">
        <v>71.0</v>
      </c>
      <c r="Z260" s="61">
        <v>0.0</v>
      </c>
      <c r="AA260" s="61">
        <v>0.0</v>
      </c>
      <c r="AB260" s="60">
        <v>0.0</v>
      </c>
      <c r="AC260" s="61">
        <v>0.0</v>
      </c>
      <c r="AD260" s="61">
        <v>0.0</v>
      </c>
      <c r="AE260" s="60">
        <v>0.0</v>
      </c>
      <c r="AF260" s="61">
        <v>0.0</v>
      </c>
      <c r="AG260" s="61">
        <v>0.0</v>
      </c>
      <c r="AH260" s="60">
        <v>0.0</v>
      </c>
      <c r="AI260" s="61">
        <v>0.0</v>
      </c>
      <c r="AJ260" s="61">
        <v>0.0</v>
      </c>
      <c r="AK260" s="60">
        <v>0.0</v>
      </c>
      <c r="AL260" s="61">
        <v>0.0</v>
      </c>
      <c r="AM260" s="61">
        <v>0.0</v>
      </c>
      <c r="AN260" s="60">
        <v>0.0</v>
      </c>
      <c r="AO260" s="62">
        <v>0.0</v>
      </c>
      <c r="AP260" s="62">
        <v>0.0</v>
      </c>
      <c r="AQ260" s="60">
        <v>0.0</v>
      </c>
      <c r="AR260" s="60" t="str">
        <f>IF(Hoja1!$AQ260&gt;0,Hoja1!$AQ260,IF(Hoja1!$AN260&gt;0,Hoja1!$AN260,IF(Hoja1!$AK260&gt;0,Hoja1!$AK260,IF(Hoja1!$AH260&gt;0,Hoja1!$AH260,IF(Hoja1!$AE260&gt;0,Hoja1!$AE260,IF(Hoja1!$AB260&gt;0,Hoja1!$AB260,IF(Hoja1!$Y260&gt;0,Hoja1!$Y260,IF(Hoja1!$V260&gt;0,Hoja1!$V260," ---"))))))))</f>
        <v>71</v>
      </c>
      <c r="AS260" s="63">
        <v>0.0</v>
      </c>
      <c r="AT260" s="63">
        <v>0.0</v>
      </c>
      <c r="AU260" s="63">
        <v>0.0</v>
      </c>
      <c r="AV260" s="63">
        <v>0.0</v>
      </c>
      <c r="AW260" s="63">
        <v>0.0</v>
      </c>
      <c r="AX260" s="63">
        <v>0.0</v>
      </c>
      <c r="AY260" s="63">
        <v>0.0</v>
      </c>
      <c r="AZ260" s="63">
        <v>0.0</v>
      </c>
      <c r="BA260" s="63">
        <v>0.0</v>
      </c>
      <c r="BB260" s="63">
        <v>0.0</v>
      </c>
      <c r="BC260" s="63">
        <v>0.0</v>
      </c>
      <c r="BD260" s="63">
        <v>0.0</v>
      </c>
      <c r="BE260" s="66">
        <v>0.0</v>
      </c>
      <c r="BF260" s="65">
        <v>0.0</v>
      </c>
      <c r="BG260" s="65">
        <v>0.0</v>
      </c>
      <c r="BH260" s="66">
        <v>0.0</v>
      </c>
      <c r="BI260" s="67" t="str">
        <f t="shared" si="69"/>
        <v>#REF!</v>
      </c>
      <c r="BJ260" s="68" t="str">
        <f t="shared" si="70"/>
        <v>#REF!</v>
      </c>
      <c r="BK260" s="69">
        <v>0.0</v>
      </c>
      <c r="BL260" s="69">
        <v>0.0</v>
      </c>
      <c r="BM260" s="66">
        <v>0.0</v>
      </c>
      <c r="BN260" s="67" t="str">
        <f t="shared" si="71"/>
        <v>#REF!</v>
      </c>
      <c r="BO260" s="68" t="str">
        <f t="shared" si="72"/>
        <v>#REF!</v>
      </c>
      <c r="BP260" s="76">
        <v>0.0</v>
      </c>
      <c r="BQ260" s="76">
        <v>0.0</v>
      </c>
      <c r="BR260" s="66">
        <v>0.0</v>
      </c>
      <c r="BS260" s="67" t="str">
        <f t="shared" si="73"/>
        <v>#REF!</v>
      </c>
      <c r="BT260" s="68" t="str">
        <f>'[1]DATA CONSOLIDADA 2018-2025 '!$BR260-Hoja1!$BO260</f>
        <v>#REF!</v>
      </c>
      <c r="BU260" s="65">
        <v>0.0</v>
      </c>
      <c r="BV260" s="65">
        <v>0.0</v>
      </c>
      <c r="BW260" s="66">
        <v>0.0</v>
      </c>
      <c r="BX260" s="67" t="str">
        <f t="shared" si="74"/>
        <v>#REF!</v>
      </c>
      <c r="BY260" s="68" t="str">
        <f t="shared" si="75"/>
        <v>#REF!</v>
      </c>
      <c r="BZ260" s="65">
        <v>0.0</v>
      </c>
      <c r="CA260" s="65">
        <v>0.0</v>
      </c>
      <c r="CB260" s="66">
        <v>0.0</v>
      </c>
      <c r="CC260" s="67" t="str">
        <f t="shared" si="76"/>
        <v>#REF!</v>
      </c>
      <c r="CD260" s="68" t="str">
        <f>'[1]DATA CONSOLIDADA 2018-2025 '!$CB260-Hoja1!$BW260</f>
        <v>#REF!</v>
      </c>
      <c r="CE260" s="70">
        <v>0.0</v>
      </c>
      <c r="CF260" s="70">
        <v>0.0</v>
      </c>
      <c r="CG260" s="71">
        <v>0.0</v>
      </c>
      <c r="CH260" s="67" t="str">
        <f t="shared" si="77"/>
        <v>#REF!</v>
      </c>
      <c r="CI260" s="68" t="str">
        <f>'[1]DATA CONSOLIDADA 2018-2025 '!$CG260-Hoja1!$CB260</f>
        <v>#REF!</v>
      </c>
      <c r="CJ260" s="64" t="str">
        <f t="shared" si="68"/>
        <v>#REF!</v>
      </c>
      <c r="CK260" s="64">
        <v>0.0</v>
      </c>
      <c r="CL260" s="64">
        <v>0.0</v>
      </c>
      <c r="CM260" s="64">
        <v>0.0</v>
      </c>
      <c r="CN260" s="64" t="str">
        <f t="shared" si="12"/>
        <v>#REF!</v>
      </c>
      <c r="CO260" s="68" t="str">
        <f>'[1]DATA CONSOLIDADA 2018-2025 '!$CM260-Hoja1!$CG260</f>
        <v>#REF!</v>
      </c>
      <c r="CP260" s="70">
        <v>0.0</v>
      </c>
      <c r="CQ260" s="70">
        <v>0.0</v>
      </c>
      <c r="CR260" s="70">
        <v>0.0</v>
      </c>
      <c r="CS260" s="70">
        <v>0.0</v>
      </c>
      <c r="CT260" s="70">
        <v>0.0</v>
      </c>
      <c r="CU260" s="70">
        <v>0.0</v>
      </c>
      <c r="CV260" s="64">
        <v>0.0</v>
      </c>
      <c r="CW260" s="64">
        <v>0.0</v>
      </c>
      <c r="CX260" s="64">
        <v>0.0</v>
      </c>
      <c r="CY260" s="64">
        <v>0.0</v>
      </c>
      <c r="CZ260" s="64">
        <v>0.0</v>
      </c>
      <c r="DA260" s="64">
        <v>0.0</v>
      </c>
      <c r="DB260" s="64">
        <v>0.0</v>
      </c>
      <c r="DC260" s="72">
        <v>0.0</v>
      </c>
      <c r="DD260" s="72">
        <v>0.0</v>
      </c>
      <c r="DE260" s="72">
        <v>0.0</v>
      </c>
      <c r="DF260" s="72">
        <v>0.0</v>
      </c>
      <c r="DG260" s="72">
        <v>0.0</v>
      </c>
      <c r="DH260" s="72">
        <v>0.0</v>
      </c>
      <c r="DI260" s="73">
        <v>2.0490415603E10</v>
      </c>
      <c r="DJ260" s="74" t="s">
        <v>964</v>
      </c>
      <c r="DK260" s="74" t="s">
        <v>138</v>
      </c>
      <c r="DL260" s="77"/>
      <c r="DM260" s="77"/>
      <c r="DN260" s="77"/>
      <c r="DO260" s="77"/>
      <c r="DP260" s="77"/>
      <c r="DQ260" s="77"/>
      <c r="DR260" s="77"/>
      <c r="DS260" s="77"/>
      <c r="DT260" s="77"/>
      <c r="DU260" s="77"/>
      <c r="DV260" s="77"/>
      <c r="DW260" s="77"/>
      <c r="DX260" s="77"/>
      <c r="DY260" s="77"/>
      <c r="DZ260" s="77"/>
      <c r="EA260" s="77"/>
      <c r="EB260" s="77"/>
      <c r="EC260" s="77"/>
      <c r="ED260" s="77"/>
      <c r="EE260" s="77"/>
    </row>
    <row r="261" ht="47.25" hidden="1" customHeight="1">
      <c r="A261" s="55" t="s">
        <v>965</v>
      </c>
      <c r="B261" s="55" t="s">
        <v>966</v>
      </c>
      <c r="C261" s="55" t="s">
        <v>966</v>
      </c>
      <c r="D261" s="55" t="s">
        <v>967</v>
      </c>
      <c r="E261" s="55" t="s">
        <v>968</v>
      </c>
      <c r="F261" s="55" t="s">
        <v>967</v>
      </c>
      <c r="G261" s="55" t="s">
        <v>969</v>
      </c>
      <c r="H261" s="55" t="s">
        <v>969</v>
      </c>
      <c r="I261" s="56"/>
      <c r="J261" s="56">
        <v>1.0</v>
      </c>
      <c r="K261" s="56">
        <v>1.0</v>
      </c>
      <c r="L261" s="56">
        <v>1.0</v>
      </c>
      <c r="M261" s="56">
        <v>1.0</v>
      </c>
      <c r="N261" s="56"/>
      <c r="O261" s="56"/>
      <c r="P261" s="56"/>
      <c r="Q261" s="56" t="s">
        <v>131</v>
      </c>
      <c r="R261" s="58" t="str">
        <f t="shared" si="1"/>
        <v>2019-2020-2021-2022</v>
      </c>
      <c r="S261" s="59" t="str">
        <f>SUM(Hoja1!$I261:$P261)</f>
        <v>4</v>
      </c>
      <c r="T261" s="59" t="str">
        <f>IF(OR(Hoja1!$J261=1,Hoja1!$K261=1,Hoja1!$L261=1,Hoja1!$M261=1,Hoja1!$N261=1,Hoja1!$O261=1,Hoja1!$P261=1),"SI","NO")</f>
        <v>SI</v>
      </c>
      <c r="U261" s="59" t="str">
        <f>IF(OR(Hoja1!$K261=1,Hoja1!$L261=1,Hoja1!$M261=1,Hoja1!$N261=1,Hoja1!$O261=1,Hoja1!$P261=1),"SI","NO")</f>
        <v>SI</v>
      </c>
      <c r="V261" s="60">
        <v>0.0</v>
      </c>
      <c r="W261" s="61">
        <v>63.0</v>
      </c>
      <c r="X261" s="61">
        <v>7.0</v>
      </c>
      <c r="Y261" s="60">
        <v>70.0</v>
      </c>
      <c r="Z261" s="61">
        <v>76.0</v>
      </c>
      <c r="AA261" s="61">
        <v>8.0</v>
      </c>
      <c r="AB261" s="60">
        <v>84.0</v>
      </c>
      <c r="AC261" s="61">
        <v>76.0</v>
      </c>
      <c r="AD261" s="61">
        <v>9.0</v>
      </c>
      <c r="AE261" s="60">
        <v>85.0</v>
      </c>
      <c r="AF261" s="61">
        <v>76.0</v>
      </c>
      <c r="AG261" s="61">
        <v>9.0</v>
      </c>
      <c r="AH261" s="60">
        <v>85.0</v>
      </c>
      <c r="AI261" s="61">
        <v>0.0</v>
      </c>
      <c r="AJ261" s="61">
        <v>0.0</v>
      </c>
      <c r="AK261" s="60">
        <v>0.0</v>
      </c>
      <c r="AL261" s="61">
        <v>0.0</v>
      </c>
      <c r="AM261" s="61">
        <v>0.0</v>
      </c>
      <c r="AN261" s="60">
        <v>0.0</v>
      </c>
      <c r="AO261" s="62">
        <v>0.0</v>
      </c>
      <c r="AP261" s="62">
        <v>0.0</v>
      </c>
      <c r="AQ261" s="60">
        <v>0.0</v>
      </c>
      <c r="AR261" s="60" t="str">
        <f>IF(Hoja1!$AQ261&gt;0,Hoja1!$AQ261,IF(Hoja1!$AN261&gt;0,Hoja1!$AN261,IF(Hoja1!$AK261&gt;0,Hoja1!$AK261,IF(Hoja1!$AH261&gt;0,Hoja1!$AH261,IF(Hoja1!$AE261&gt;0,Hoja1!$AE261,IF(Hoja1!$AB261&gt;0,Hoja1!$AB261,IF(Hoja1!$Y261&gt;0,Hoja1!$Y261,IF(Hoja1!$V261&gt;0,Hoja1!$V261," ---"))))))))</f>
        <v>85</v>
      </c>
      <c r="AS261" s="63">
        <v>63.0</v>
      </c>
      <c r="AT261" s="63">
        <v>9.0</v>
      </c>
      <c r="AU261" s="63">
        <v>103.0</v>
      </c>
      <c r="AV261" s="63">
        <v>13.0</v>
      </c>
      <c r="AW261" s="63">
        <v>30.0</v>
      </c>
      <c r="AX261" s="63">
        <v>4.0</v>
      </c>
      <c r="AY261" s="63">
        <v>0.0</v>
      </c>
      <c r="AZ261" s="63">
        <v>0.0</v>
      </c>
      <c r="BA261" s="63">
        <v>0.0</v>
      </c>
      <c r="BB261" s="63">
        <v>0.0</v>
      </c>
      <c r="BC261" s="63">
        <v>0.0</v>
      </c>
      <c r="BD261" s="63">
        <v>0.0</v>
      </c>
      <c r="BE261" s="64">
        <v>0.0</v>
      </c>
      <c r="BF261" s="65">
        <v>0.0</v>
      </c>
      <c r="BG261" s="65">
        <v>0.0</v>
      </c>
      <c r="BH261" s="66">
        <v>0.0</v>
      </c>
      <c r="BI261" s="67" t="str">
        <f t="shared" si="69"/>
        <v>#REF!</v>
      </c>
      <c r="BJ261" s="68" t="str">
        <f t="shared" si="70"/>
        <v>#REF!</v>
      </c>
      <c r="BK261" s="65">
        <v>0.0</v>
      </c>
      <c r="BL261" s="65">
        <v>0.0</v>
      </c>
      <c r="BM261" s="66">
        <v>0.0</v>
      </c>
      <c r="BN261" s="67" t="str">
        <f t="shared" si="71"/>
        <v>#REF!</v>
      </c>
      <c r="BO261" s="68" t="str">
        <f t="shared" si="72"/>
        <v>#REF!</v>
      </c>
      <c r="BP261" s="65">
        <v>0.0</v>
      </c>
      <c r="BQ261" s="65">
        <v>0.0</v>
      </c>
      <c r="BR261" s="66">
        <v>0.0</v>
      </c>
      <c r="BS261" s="67" t="str">
        <f t="shared" si="73"/>
        <v>#REF!</v>
      </c>
      <c r="BT261" s="68" t="str">
        <f>'[1]DATA CONSOLIDADA 2018-2025 '!$BR261-Hoja1!$BO261</f>
        <v>#REF!</v>
      </c>
      <c r="BU261" s="65">
        <v>0.0</v>
      </c>
      <c r="BV261" s="65">
        <v>0.0</v>
      </c>
      <c r="BW261" s="66">
        <v>0.0</v>
      </c>
      <c r="BX261" s="67" t="str">
        <f t="shared" si="74"/>
        <v>#REF!</v>
      </c>
      <c r="BY261" s="68" t="str">
        <f t="shared" si="75"/>
        <v>#REF!</v>
      </c>
      <c r="BZ261" s="65">
        <v>0.0</v>
      </c>
      <c r="CA261" s="65">
        <v>0.0</v>
      </c>
      <c r="CB261" s="66">
        <v>0.0</v>
      </c>
      <c r="CC261" s="67" t="str">
        <f t="shared" si="76"/>
        <v>#REF!</v>
      </c>
      <c r="CD261" s="68" t="str">
        <f>'[1]DATA CONSOLIDADA 2018-2025 '!$CB261-Hoja1!$BW261</f>
        <v>#REF!</v>
      </c>
      <c r="CE261" s="70">
        <v>0.0</v>
      </c>
      <c r="CF261" s="70">
        <v>0.0</v>
      </c>
      <c r="CG261" s="71">
        <v>0.0</v>
      </c>
      <c r="CH261" s="67" t="str">
        <f t="shared" si="77"/>
        <v>#REF!</v>
      </c>
      <c r="CI261" s="68" t="str">
        <f>'[1]DATA CONSOLIDADA 2018-2025 '!$CG261-Hoja1!$CB261</f>
        <v>#REF!</v>
      </c>
      <c r="CJ261" s="64" t="str">
        <f t="shared" si="68"/>
        <v>#REF!</v>
      </c>
      <c r="CK261" s="64">
        <v>0.0</v>
      </c>
      <c r="CL261" s="64">
        <v>0.0</v>
      </c>
      <c r="CM261" s="64">
        <v>0.0</v>
      </c>
      <c r="CN261" s="64" t="str">
        <f t="shared" si="12"/>
        <v>#REF!</v>
      </c>
      <c r="CO261" s="68" t="str">
        <f>'[1]DATA CONSOLIDADA 2018-2025 '!$CM261-Hoja1!$CG261</f>
        <v>#REF!</v>
      </c>
      <c r="CP261" s="70">
        <v>0.0</v>
      </c>
      <c r="CQ261" s="70">
        <v>0.0</v>
      </c>
      <c r="CR261" s="70">
        <v>0.0</v>
      </c>
      <c r="CS261" s="70">
        <v>0.0</v>
      </c>
      <c r="CT261" s="70">
        <v>0.0</v>
      </c>
      <c r="CU261" s="70">
        <v>0.0</v>
      </c>
      <c r="CV261" s="64">
        <v>0.0</v>
      </c>
      <c r="CW261" s="64">
        <v>0.0</v>
      </c>
      <c r="CX261" s="64">
        <v>0.0</v>
      </c>
      <c r="CY261" s="64">
        <v>0.0</v>
      </c>
      <c r="CZ261" s="64">
        <v>0.0</v>
      </c>
      <c r="DA261" s="64">
        <v>0.0</v>
      </c>
      <c r="DB261" s="64">
        <v>0.0</v>
      </c>
      <c r="DC261" s="72">
        <v>0.0</v>
      </c>
      <c r="DD261" s="72">
        <v>0.0</v>
      </c>
      <c r="DE261" s="72">
        <v>0.0</v>
      </c>
      <c r="DF261" s="72">
        <v>0.0</v>
      </c>
      <c r="DG261" s="72">
        <v>0.0</v>
      </c>
      <c r="DH261" s="72">
        <v>0.0</v>
      </c>
      <c r="DI261" s="73">
        <v>2.052583969E10</v>
      </c>
      <c r="DJ261" s="74" t="s">
        <v>965</v>
      </c>
      <c r="DK261" s="74" t="s">
        <v>138</v>
      </c>
      <c r="DL261" s="75"/>
      <c r="DM261" s="75"/>
      <c r="DN261" s="75"/>
      <c r="DO261" s="75"/>
      <c r="DP261" s="75"/>
      <c r="DQ261" s="75"/>
      <c r="DR261" s="75"/>
      <c r="DS261" s="75"/>
      <c r="DT261" s="75"/>
      <c r="DU261" s="75"/>
      <c r="DV261" s="75"/>
      <c r="DW261" s="75"/>
      <c r="DX261" s="75"/>
      <c r="DY261" s="75"/>
      <c r="DZ261" s="75"/>
      <c r="EA261" s="75"/>
      <c r="EB261" s="75"/>
      <c r="EC261" s="75"/>
      <c r="ED261" s="75"/>
      <c r="EE261" s="75"/>
    </row>
    <row r="262" ht="47.25" hidden="1" customHeight="1">
      <c r="A262" s="55" t="s">
        <v>970</v>
      </c>
      <c r="B262" s="55" t="s">
        <v>971</v>
      </c>
      <c r="C262" s="55" t="s">
        <v>971</v>
      </c>
      <c r="D262" s="55" t="s">
        <v>967</v>
      </c>
      <c r="E262" s="55" t="s">
        <v>972</v>
      </c>
      <c r="F262" s="55" t="s">
        <v>967</v>
      </c>
      <c r="G262" s="55" t="s">
        <v>973</v>
      </c>
      <c r="H262" s="55" t="s">
        <v>974</v>
      </c>
      <c r="I262" s="56"/>
      <c r="J262" s="56">
        <v>1.0</v>
      </c>
      <c r="K262" s="56">
        <v>1.0</v>
      </c>
      <c r="L262" s="56">
        <v>1.0</v>
      </c>
      <c r="M262" s="56">
        <v>1.0</v>
      </c>
      <c r="N262" s="56">
        <v>1.0</v>
      </c>
      <c r="O262" s="56">
        <v>1.0</v>
      </c>
      <c r="P262" s="56">
        <v>1.0</v>
      </c>
      <c r="Q262" s="56" t="s">
        <v>131</v>
      </c>
      <c r="R262" s="58" t="str">
        <f t="shared" si="1"/>
        <v>2019-2020-2021-2022-2023-2024 - 2025</v>
      </c>
      <c r="S262" s="59" t="str">
        <f>SUM(Hoja1!$I262:$P262)</f>
        <v>7</v>
      </c>
      <c r="T262" s="59" t="str">
        <f>IF(OR(Hoja1!$J262=1,Hoja1!$K262=1,Hoja1!$L262=1,Hoja1!$M262=1,Hoja1!$N262=1,Hoja1!$O262=1,Hoja1!$P262=1),"SI","NO")</f>
        <v>SI</v>
      </c>
      <c r="U262" s="59" t="str">
        <f>IF(OR(Hoja1!$K262=1,Hoja1!$L262=1,Hoja1!$M262=1,Hoja1!$N262=1,Hoja1!$O262=1,Hoja1!$P262=1),"SI","NO")</f>
        <v>SI</v>
      </c>
      <c r="V262" s="60">
        <v>0.0</v>
      </c>
      <c r="W262" s="61">
        <v>109.0</v>
      </c>
      <c r="X262" s="61">
        <v>15.0</v>
      </c>
      <c r="Y262" s="60">
        <v>124.0</v>
      </c>
      <c r="Z262" s="61">
        <v>122.0</v>
      </c>
      <c r="AA262" s="61">
        <v>18.0</v>
      </c>
      <c r="AB262" s="60">
        <v>140.0</v>
      </c>
      <c r="AC262" s="61">
        <v>134.0</v>
      </c>
      <c r="AD262" s="61">
        <v>14.0</v>
      </c>
      <c r="AE262" s="60">
        <v>148.0</v>
      </c>
      <c r="AF262" s="61">
        <v>134.0</v>
      </c>
      <c r="AG262" s="61">
        <v>14.0</v>
      </c>
      <c r="AH262" s="60">
        <v>148.0</v>
      </c>
      <c r="AI262" s="61">
        <v>134.0</v>
      </c>
      <c r="AJ262" s="61">
        <v>14.0</v>
      </c>
      <c r="AK262" s="60">
        <v>148.0</v>
      </c>
      <c r="AL262" s="61">
        <v>134.0</v>
      </c>
      <c r="AM262" s="61">
        <v>14.0</v>
      </c>
      <c r="AN262" s="60">
        <v>148.0</v>
      </c>
      <c r="AO262" s="62">
        <v>112.0</v>
      </c>
      <c r="AP262" s="62">
        <v>9.0</v>
      </c>
      <c r="AQ262" s="60">
        <v>121.0</v>
      </c>
      <c r="AR262" s="60" t="str">
        <f>IF(Hoja1!$AQ262&gt;0,Hoja1!$AQ262,IF(Hoja1!$AN262&gt;0,Hoja1!$AN262,IF(Hoja1!$AK262&gt;0,Hoja1!$AK262,IF(Hoja1!$AH262&gt;0,Hoja1!$AH262,IF(Hoja1!$AE262&gt;0,Hoja1!$AE262,IF(Hoja1!$AB262&gt;0,Hoja1!$AB262,IF(Hoja1!$Y262&gt;0,Hoja1!$Y262,IF(Hoja1!$V262&gt;0,Hoja1!$V262," ---"))))))))</f>
        <v>121</v>
      </c>
      <c r="AS262" s="63">
        <v>74.0</v>
      </c>
      <c r="AT262" s="63">
        <v>9.0</v>
      </c>
      <c r="AU262" s="63">
        <v>70.0</v>
      </c>
      <c r="AV262" s="63">
        <v>12.0</v>
      </c>
      <c r="AW262" s="63">
        <v>86.0</v>
      </c>
      <c r="AX262" s="63">
        <v>11.0</v>
      </c>
      <c r="AY262" s="63">
        <v>82.0</v>
      </c>
      <c r="AZ262" s="63">
        <v>7.0</v>
      </c>
      <c r="BA262" s="63">
        <v>71.0</v>
      </c>
      <c r="BB262" s="63">
        <v>7.0</v>
      </c>
      <c r="BC262" s="63">
        <v>56.0</v>
      </c>
      <c r="BD262" s="63">
        <v>4.0</v>
      </c>
      <c r="BE262" s="64">
        <v>0.0</v>
      </c>
      <c r="BF262" s="65">
        <v>307612.99</v>
      </c>
      <c r="BG262" s="65">
        <v>698475.97</v>
      </c>
      <c r="BH262" s="66">
        <v>1006088.96</v>
      </c>
      <c r="BI262" s="67" t="str">
        <f t="shared" si="69"/>
        <v>#REF!</v>
      </c>
      <c r="BJ262" s="68" t="str">
        <f t="shared" si="70"/>
        <v>#REF!</v>
      </c>
      <c r="BK262" s="65">
        <v>686148.1</v>
      </c>
      <c r="BL262" s="65">
        <v>1025900.29</v>
      </c>
      <c r="BM262" s="66">
        <v>1712048.39</v>
      </c>
      <c r="BN262" s="67" t="str">
        <f t="shared" si="71"/>
        <v>#REF!</v>
      </c>
      <c r="BO262" s="68" t="str">
        <f t="shared" si="72"/>
        <v>#REF!</v>
      </c>
      <c r="BP262" s="65">
        <v>563567.62</v>
      </c>
      <c r="BQ262" s="65">
        <v>831438.22</v>
      </c>
      <c r="BR262" s="66">
        <v>1395005.84</v>
      </c>
      <c r="BS262" s="67" t="str">
        <f t="shared" si="73"/>
        <v>#REF!</v>
      </c>
      <c r="BT262" s="68" t="str">
        <f>'[1]DATA CONSOLIDADA 2018-2025 '!$BR262-Hoja1!$BO262</f>
        <v>#REF!</v>
      </c>
      <c r="BU262" s="65">
        <v>668236.84</v>
      </c>
      <c r="BV262" s="65">
        <v>1017817.89</v>
      </c>
      <c r="BW262" s="66">
        <v>1686054.73</v>
      </c>
      <c r="BX262" s="67" t="str">
        <f t="shared" si="74"/>
        <v>#REF!</v>
      </c>
      <c r="BY262" s="68" t="str">
        <f t="shared" si="75"/>
        <v>#REF!</v>
      </c>
      <c r="BZ262" s="65">
        <v>500956.3</v>
      </c>
      <c r="CA262" s="65">
        <v>1857056.28</v>
      </c>
      <c r="CB262" s="66">
        <v>2358012.58</v>
      </c>
      <c r="CC262" s="67" t="str">
        <f t="shared" si="76"/>
        <v>#REF!</v>
      </c>
      <c r="CD262" s="68" t="str">
        <f>'[1]DATA CONSOLIDADA 2018-2025 '!$CB262-Hoja1!$BW262</f>
        <v>#REF!</v>
      </c>
      <c r="CE262" s="70">
        <v>561609.5618823997</v>
      </c>
      <c r="CF262" s="70">
        <v>553382.103</v>
      </c>
      <c r="CG262" s="71">
        <v>1114991.6648823996</v>
      </c>
      <c r="CH262" s="67" t="str">
        <f t="shared" si="77"/>
        <v>#REF!</v>
      </c>
      <c r="CI262" s="68" t="str">
        <f>'[1]DATA CONSOLIDADA 2018-2025 '!$CG262-Hoja1!$CB262</f>
        <v>#REF!</v>
      </c>
      <c r="CJ262" s="64" t="str">
        <f t="shared" si="68"/>
        <v>#REF!</v>
      </c>
      <c r="CK262" s="64">
        <v>532532.8742799999</v>
      </c>
      <c r="CL262" s="64">
        <v>1240703.8855</v>
      </c>
      <c r="CM262" s="64">
        <v>1773236.75978</v>
      </c>
      <c r="CN262" s="64" t="str">
        <f t="shared" si="12"/>
        <v>#REF!</v>
      </c>
      <c r="CO262" s="68" t="str">
        <f>'[1]DATA CONSOLIDADA 2018-2025 '!$CM262-Hoja1!$CG262</f>
        <v>#REF!</v>
      </c>
      <c r="CP262" s="70">
        <v>2522.399742</v>
      </c>
      <c r="CQ262" s="70">
        <v>0.0</v>
      </c>
      <c r="CR262" s="70">
        <v>0.0</v>
      </c>
      <c r="CS262" s="70">
        <v>2355490.181452</v>
      </c>
      <c r="CT262" s="70">
        <v>0.0</v>
      </c>
      <c r="CU262" s="70">
        <v>0.0</v>
      </c>
      <c r="CV262" s="64">
        <v>2358012.581194</v>
      </c>
      <c r="CW262" s="64">
        <v>359.99912</v>
      </c>
      <c r="CX262" s="64">
        <v>0.0</v>
      </c>
      <c r="CY262" s="64">
        <v>1114631.6657624</v>
      </c>
      <c r="CZ262" s="64">
        <v>0.0</v>
      </c>
      <c r="DA262" s="64">
        <v>0.0</v>
      </c>
      <c r="DB262" s="64">
        <v>1114991.6648824</v>
      </c>
      <c r="DC262" s="72">
        <v>1178.2394399999998</v>
      </c>
      <c r="DD262" s="72">
        <v>0.0</v>
      </c>
      <c r="DE262" s="72">
        <v>1772058.5203399998</v>
      </c>
      <c r="DF262" s="72">
        <v>0.0</v>
      </c>
      <c r="DG262" s="72">
        <v>0.0</v>
      </c>
      <c r="DH262" s="72">
        <v>1773236.7597799997</v>
      </c>
      <c r="DI262" s="73">
        <v>2.0525955843E10</v>
      </c>
      <c r="DJ262" s="74" t="s">
        <v>975</v>
      </c>
      <c r="DK262" s="74" t="s">
        <v>132</v>
      </c>
      <c r="DL262" s="75"/>
      <c r="DM262" s="75"/>
      <c r="DN262" s="75"/>
      <c r="DO262" s="75"/>
      <c r="DP262" s="75"/>
      <c r="DQ262" s="75"/>
      <c r="DR262" s="75"/>
      <c r="DS262" s="75"/>
      <c r="DT262" s="75"/>
      <c r="DU262" s="75"/>
      <c r="DV262" s="75"/>
      <c r="DW262" s="75"/>
      <c r="DX262" s="75"/>
      <c r="DY262" s="75"/>
      <c r="DZ262" s="75"/>
      <c r="EA262" s="75"/>
      <c r="EB262" s="75"/>
      <c r="EC262" s="75"/>
      <c r="ED262" s="75"/>
      <c r="EE262" s="75"/>
    </row>
    <row r="263" ht="47.25" customHeight="1">
      <c r="A263" s="55" t="s">
        <v>976</v>
      </c>
      <c r="B263" s="55" t="s">
        <v>146</v>
      </c>
      <c r="C263" s="55" t="s">
        <v>146</v>
      </c>
      <c r="D263" s="55" t="s">
        <v>967</v>
      </c>
      <c r="E263" s="55" t="s">
        <v>977</v>
      </c>
      <c r="F263" s="55" t="s">
        <v>967</v>
      </c>
      <c r="G263" s="55" t="s">
        <v>978</v>
      </c>
      <c r="H263" s="55" t="s">
        <v>979</v>
      </c>
      <c r="I263" s="56">
        <v>1.0</v>
      </c>
      <c r="J263" s="56">
        <v>1.0</v>
      </c>
      <c r="K263" s="56"/>
      <c r="L263" s="56"/>
      <c r="M263" s="56"/>
      <c r="N263" s="56"/>
      <c r="O263" s="56"/>
      <c r="P263" s="56"/>
      <c r="Q263" s="56" t="s">
        <v>131</v>
      </c>
      <c r="R263" s="58" t="str">
        <f t="shared" si="1"/>
        <v>2018-2019</v>
      </c>
      <c r="S263" s="59" t="str">
        <f>SUM(Hoja1!$I263:$P263)</f>
        <v>2</v>
      </c>
      <c r="T263" s="59" t="str">
        <f>IF(OR(Hoja1!$J263=1,Hoja1!$K263=1,Hoja1!$L263=1,Hoja1!$M263=1,Hoja1!$N263=1,Hoja1!$O263=1,Hoja1!$P263=1),"SI","NO")</f>
        <v>SI</v>
      </c>
      <c r="U263" s="59" t="str">
        <f>IF(OR(Hoja1!$K263=1,Hoja1!$L263=1,Hoja1!$M263=1,Hoja1!$N263=1,Hoja1!$O263=1,Hoja1!$P263=1),"SI","NO")</f>
        <v>NO</v>
      </c>
      <c r="V263" s="60">
        <v>43.0</v>
      </c>
      <c r="W263" s="61">
        <v>21.0</v>
      </c>
      <c r="X263" s="61">
        <v>4.0</v>
      </c>
      <c r="Y263" s="60">
        <v>25.0</v>
      </c>
      <c r="Z263" s="61">
        <v>0.0</v>
      </c>
      <c r="AA263" s="61">
        <v>0.0</v>
      </c>
      <c r="AB263" s="60">
        <v>0.0</v>
      </c>
      <c r="AC263" s="61">
        <v>0.0</v>
      </c>
      <c r="AD263" s="61">
        <v>0.0</v>
      </c>
      <c r="AE263" s="60">
        <v>0.0</v>
      </c>
      <c r="AF263" s="61">
        <v>0.0</v>
      </c>
      <c r="AG263" s="61">
        <v>0.0</v>
      </c>
      <c r="AH263" s="60">
        <v>0.0</v>
      </c>
      <c r="AI263" s="61">
        <v>0.0</v>
      </c>
      <c r="AJ263" s="61">
        <v>0.0</v>
      </c>
      <c r="AK263" s="60">
        <v>0.0</v>
      </c>
      <c r="AL263" s="61">
        <v>0.0</v>
      </c>
      <c r="AM263" s="61">
        <v>0.0</v>
      </c>
      <c r="AN263" s="60">
        <v>0.0</v>
      </c>
      <c r="AO263" s="62">
        <v>0.0</v>
      </c>
      <c r="AP263" s="62">
        <v>0.0</v>
      </c>
      <c r="AQ263" s="60">
        <v>0.0</v>
      </c>
      <c r="AR263" s="60" t="str">
        <f>IF(Hoja1!$AQ263&gt;0,Hoja1!$AQ263,IF(Hoja1!$AN263&gt;0,Hoja1!$AN263,IF(Hoja1!$AK263&gt;0,Hoja1!$AK263,IF(Hoja1!$AH263&gt;0,Hoja1!$AH263,IF(Hoja1!$AE263&gt;0,Hoja1!$AE263,IF(Hoja1!$AB263&gt;0,Hoja1!$AB263,IF(Hoja1!$Y263&gt;0,Hoja1!$Y263,IF(Hoja1!$V263&gt;0,Hoja1!$V263," ---"))))))))</f>
        <v>25</v>
      </c>
      <c r="AS263" s="63">
        <v>0.0</v>
      </c>
      <c r="AT263" s="63">
        <v>0.0</v>
      </c>
      <c r="AU263" s="63">
        <v>0.0</v>
      </c>
      <c r="AV263" s="63">
        <v>0.0</v>
      </c>
      <c r="AW263" s="63">
        <v>0.0</v>
      </c>
      <c r="AX263" s="63">
        <v>0.0</v>
      </c>
      <c r="AY263" s="63">
        <v>0.0</v>
      </c>
      <c r="AZ263" s="63">
        <v>0.0</v>
      </c>
      <c r="BA263" s="63">
        <v>0.0</v>
      </c>
      <c r="BB263" s="63">
        <v>0.0</v>
      </c>
      <c r="BC263" s="63">
        <v>0.0</v>
      </c>
      <c r="BD263" s="63">
        <v>0.0</v>
      </c>
      <c r="BE263" s="64">
        <v>0.0</v>
      </c>
      <c r="BF263" s="65">
        <v>0.0</v>
      </c>
      <c r="BG263" s="65">
        <v>0.0</v>
      </c>
      <c r="BH263" s="66">
        <v>0.0</v>
      </c>
      <c r="BI263" s="67" t="str">
        <f t="shared" si="69"/>
        <v>#REF!</v>
      </c>
      <c r="BJ263" s="68" t="str">
        <f t="shared" si="70"/>
        <v>#REF!</v>
      </c>
      <c r="BK263" s="65">
        <v>0.0</v>
      </c>
      <c r="BL263" s="65">
        <v>0.0</v>
      </c>
      <c r="BM263" s="66">
        <v>0.0</v>
      </c>
      <c r="BN263" s="67" t="str">
        <f t="shared" si="71"/>
        <v>#REF!</v>
      </c>
      <c r="BO263" s="68" t="str">
        <f t="shared" si="72"/>
        <v>#REF!</v>
      </c>
      <c r="BP263" s="65">
        <v>0.0</v>
      </c>
      <c r="BQ263" s="65">
        <v>0.0</v>
      </c>
      <c r="BR263" s="66">
        <v>0.0</v>
      </c>
      <c r="BS263" s="67" t="str">
        <f t="shared" si="73"/>
        <v>#REF!</v>
      </c>
      <c r="BT263" s="68" t="str">
        <f>'[1]DATA CONSOLIDADA 2018-2025 '!$BR263-Hoja1!$BO263</f>
        <v>#REF!</v>
      </c>
      <c r="BU263" s="65">
        <v>0.0</v>
      </c>
      <c r="BV263" s="65">
        <v>0.0</v>
      </c>
      <c r="BW263" s="66">
        <v>0.0</v>
      </c>
      <c r="BX263" s="67" t="str">
        <f t="shared" si="74"/>
        <v>#REF!</v>
      </c>
      <c r="BY263" s="68" t="str">
        <f t="shared" si="75"/>
        <v>#REF!</v>
      </c>
      <c r="BZ263" s="65">
        <v>0.0</v>
      </c>
      <c r="CA263" s="65">
        <v>0.0</v>
      </c>
      <c r="CB263" s="66">
        <v>0.0</v>
      </c>
      <c r="CC263" s="67" t="str">
        <f t="shared" si="76"/>
        <v>#REF!</v>
      </c>
      <c r="CD263" s="68" t="str">
        <f>'[1]DATA CONSOLIDADA 2018-2025 '!$CB263-Hoja1!$BW263</f>
        <v>#REF!</v>
      </c>
      <c r="CE263" s="70">
        <v>0.0</v>
      </c>
      <c r="CF263" s="70">
        <v>0.0</v>
      </c>
      <c r="CG263" s="71">
        <v>0.0</v>
      </c>
      <c r="CH263" s="67" t="str">
        <f t="shared" si="77"/>
        <v>#REF!</v>
      </c>
      <c r="CI263" s="68" t="str">
        <f>'[1]DATA CONSOLIDADA 2018-2025 '!$CG263-Hoja1!$CB263</f>
        <v>#REF!</v>
      </c>
      <c r="CJ263" s="64" t="str">
        <f t="shared" si="68"/>
        <v>#REF!</v>
      </c>
      <c r="CK263" s="64">
        <v>0.0</v>
      </c>
      <c r="CL263" s="64">
        <v>0.0</v>
      </c>
      <c r="CM263" s="64">
        <v>0.0</v>
      </c>
      <c r="CN263" s="64" t="str">
        <f t="shared" si="12"/>
        <v>#REF!</v>
      </c>
      <c r="CO263" s="68" t="str">
        <f>'[1]DATA CONSOLIDADA 2018-2025 '!$CM263-Hoja1!$CG263</f>
        <v>#REF!</v>
      </c>
      <c r="CP263" s="70">
        <v>0.0</v>
      </c>
      <c r="CQ263" s="70">
        <v>0.0</v>
      </c>
      <c r="CR263" s="70">
        <v>0.0</v>
      </c>
      <c r="CS263" s="70">
        <v>0.0</v>
      </c>
      <c r="CT263" s="70">
        <v>0.0</v>
      </c>
      <c r="CU263" s="70">
        <v>0.0</v>
      </c>
      <c r="CV263" s="64">
        <v>0.0</v>
      </c>
      <c r="CW263" s="64">
        <v>0.0</v>
      </c>
      <c r="CX263" s="64">
        <v>0.0</v>
      </c>
      <c r="CY263" s="64">
        <v>0.0</v>
      </c>
      <c r="CZ263" s="64">
        <v>0.0</v>
      </c>
      <c r="DA263" s="64">
        <v>0.0</v>
      </c>
      <c r="DB263" s="64">
        <v>0.0</v>
      </c>
      <c r="DC263" s="72">
        <v>0.0</v>
      </c>
      <c r="DD263" s="72">
        <v>0.0</v>
      </c>
      <c r="DE263" s="72">
        <v>0.0</v>
      </c>
      <c r="DF263" s="72">
        <v>0.0</v>
      </c>
      <c r="DG263" s="72">
        <v>0.0</v>
      </c>
      <c r="DH263" s="72">
        <v>0.0</v>
      </c>
      <c r="DI263" s="73">
        <v>2.0526514689E10</v>
      </c>
      <c r="DJ263" s="74" t="s">
        <v>976</v>
      </c>
      <c r="DK263" s="74" t="s">
        <v>138</v>
      </c>
      <c r="DL263" s="75"/>
      <c r="DM263" s="75"/>
      <c r="DN263" s="75"/>
      <c r="DO263" s="75"/>
      <c r="DP263" s="75"/>
      <c r="DQ263" s="75"/>
      <c r="DR263" s="75"/>
      <c r="DS263" s="75"/>
      <c r="DT263" s="75"/>
      <c r="DU263" s="75"/>
      <c r="DV263" s="75"/>
      <c r="DW263" s="75"/>
      <c r="DX263" s="75"/>
      <c r="DY263" s="75"/>
      <c r="DZ263" s="75"/>
      <c r="EA263" s="75"/>
      <c r="EB263" s="75"/>
      <c r="EC263" s="75"/>
      <c r="ED263" s="75"/>
      <c r="EE263" s="75"/>
    </row>
    <row r="264" ht="47.25" customHeight="1">
      <c r="A264" s="55" t="s">
        <v>980</v>
      </c>
      <c r="B264" s="55" t="s">
        <v>146</v>
      </c>
      <c r="C264" s="55" t="s">
        <v>146</v>
      </c>
      <c r="D264" s="55" t="s">
        <v>967</v>
      </c>
      <c r="E264" s="55" t="s">
        <v>981</v>
      </c>
      <c r="F264" s="55" t="s">
        <v>967</v>
      </c>
      <c r="G264" s="55" t="s">
        <v>978</v>
      </c>
      <c r="H264" s="55" t="s">
        <v>982</v>
      </c>
      <c r="I264" s="56">
        <v>1.0</v>
      </c>
      <c r="J264" s="56">
        <v>1.0</v>
      </c>
      <c r="K264" s="56"/>
      <c r="L264" s="56"/>
      <c r="M264" s="56"/>
      <c r="N264" s="56"/>
      <c r="O264" s="56"/>
      <c r="P264" s="56"/>
      <c r="Q264" s="56" t="s">
        <v>131</v>
      </c>
      <c r="R264" s="58" t="str">
        <f t="shared" si="1"/>
        <v>2018-2019</v>
      </c>
      <c r="S264" s="59" t="str">
        <f>SUM(Hoja1!$I264:$P264)</f>
        <v>2</v>
      </c>
      <c r="T264" s="59" t="str">
        <f>IF(OR(Hoja1!$J264=1,Hoja1!$K264=1,Hoja1!$L264=1,Hoja1!$M264=1,Hoja1!$N264=1,Hoja1!$O264=1,Hoja1!$P264=1),"SI","NO")</f>
        <v>SI</v>
      </c>
      <c r="U264" s="59" t="str">
        <f>IF(OR(Hoja1!$K264=1,Hoja1!$L264=1,Hoja1!$M264=1,Hoja1!$N264=1,Hoja1!$O264=1,Hoja1!$P264=1),"SI","NO")</f>
        <v>NO</v>
      </c>
      <c r="V264" s="60">
        <v>18.0</v>
      </c>
      <c r="W264" s="61">
        <v>18.0</v>
      </c>
      <c r="X264" s="61">
        <v>3.0</v>
      </c>
      <c r="Y264" s="60">
        <v>21.0</v>
      </c>
      <c r="Z264" s="61">
        <v>0.0</v>
      </c>
      <c r="AA264" s="61">
        <v>0.0</v>
      </c>
      <c r="AB264" s="60">
        <v>0.0</v>
      </c>
      <c r="AC264" s="61">
        <v>0.0</v>
      </c>
      <c r="AD264" s="61">
        <v>0.0</v>
      </c>
      <c r="AE264" s="60">
        <v>0.0</v>
      </c>
      <c r="AF264" s="61">
        <v>0.0</v>
      </c>
      <c r="AG264" s="61">
        <v>0.0</v>
      </c>
      <c r="AH264" s="60">
        <v>0.0</v>
      </c>
      <c r="AI264" s="61">
        <v>0.0</v>
      </c>
      <c r="AJ264" s="61">
        <v>0.0</v>
      </c>
      <c r="AK264" s="60">
        <v>0.0</v>
      </c>
      <c r="AL264" s="61">
        <v>0.0</v>
      </c>
      <c r="AM264" s="61">
        <v>0.0</v>
      </c>
      <c r="AN264" s="60">
        <v>0.0</v>
      </c>
      <c r="AO264" s="62">
        <v>0.0</v>
      </c>
      <c r="AP264" s="62">
        <v>0.0</v>
      </c>
      <c r="AQ264" s="60">
        <v>0.0</v>
      </c>
      <c r="AR264" s="60" t="str">
        <f>IF(Hoja1!$AQ264&gt;0,Hoja1!$AQ264,IF(Hoja1!$AN264&gt;0,Hoja1!$AN264,IF(Hoja1!$AK264&gt;0,Hoja1!$AK264,IF(Hoja1!$AH264&gt;0,Hoja1!$AH264,IF(Hoja1!$AE264&gt;0,Hoja1!$AE264,IF(Hoja1!$AB264&gt;0,Hoja1!$AB264,IF(Hoja1!$Y264&gt;0,Hoja1!$Y264,IF(Hoja1!$V264&gt;0,Hoja1!$V264," ---"))))))))</f>
        <v>21</v>
      </c>
      <c r="AS264" s="63">
        <v>0.0</v>
      </c>
      <c r="AT264" s="63">
        <v>0.0</v>
      </c>
      <c r="AU264" s="63">
        <v>0.0</v>
      </c>
      <c r="AV264" s="63">
        <v>0.0</v>
      </c>
      <c r="AW264" s="63">
        <v>0.0</v>
      </c>
      <c r="AX264" s="63">
        <v>0.0</v>
      </c>
      <c r="AY264" s="63">
        <v>0.0</v>
      </c>
      <c r="AZ264" s="63">
        <v>0.0</v>
      </c>
      <c r="BA264" s="63">
        <v>0.0</v>
      </c>
      <c r="BB264" s="63">
        <v>0.0</v>
      </c>
      <c r="BC264" s="63">
        <v>0.0</v>
      </c>
      <c r="BD264" s="63">
        <v>0.0</v>
      </c>
      <c r="BE264" s="64">
        <v>0.0</v>
      </c>
      <c r="BF264" s="65">
        <v>0.0</v>
      </c>
      <c r="BG264" s="65">
        <v>0.0</v>
      </c>
      <c r="BH264" s="66">
        <v>0.0</v>
      </c>
      <c r="BI264" s="67" t="str">
        <f t="shared" si="69"/>
        <v>#REF!</v>
      </c>
      <c r="BJ264" s="68" t="str">
        <f t="shared" si="70"/>
        <v>#REF!</v>
      </c>
      <c r="BK264" s="65">
        <v>0.0</v>
      </c>
      <c r="BL264" s="65">
        <v>0.0</v>
      </c>
      <c r="BM264" s="66">
        <v>0.0</v>
      </c>
      <c r="BN264" s="67" t="str">
        <f t="shared" si="71"/>
        <v>#REF!</v>
      </c>
      <c r="BO264" s="68" t="str">
        <f t="shared" si="72"/>
        <v>#REF!</v>
      </c>
      <c r="BP264" s="76">
        <v>0.0</v>
      </c>
      <c r="BQ264" s="76">
        <v>0.0</v>
      </c>
      <c r="BR264" s="66">
        <v>0.0</v>
      </c>
      <c r="BS264" s="67" t="str">
        <f t="shared" si="73"/>
        <v>#REF!</v>
      </c>
      <c r="BT264" s="68" t="str">
        <f>'[1]DATA CONSOLIDADA 2018-2025 '!$BR264-Hoja1!$BO264</f>
        <v>#REF!</v>
      </c>
      <c r="BU264" s="65">
        <v>0.0</v>
      </c>
      <c r="BV264" s="65">
        <v>0.0</v>
      </c>
      <c r="BW264" s="66">
        <v>0.0</v>
      </c>
      <c r="BX264" s="67" t="str">
        <f t="shared" si="74"/>
        <v>#REF!</v>
      </c>
      <c r="BY264" s="68" t="str">
        <f t="shared" si="75"/>
        <v>#REF!</v>
      </c>
      <c r="BZ264" s="65">
        <v>0.0</v>
      </c>
      <c r="CA264" s="65">
        <v>0.0</v>
      </c>
      <c r="CB264" s="66">
        <v>0.0</v>
      </c>
      <c r="CC264" s="67" t="str">
        <f t="shared" si="76"/>
        <v>#REF!</v>
      </c>
      <c r="CD264" s="68" t="str">
        <f>'[1]DATA CONSOLIDADA 2018-2025 '!$CB264-Hoja1!$BW264</f>
        <v>#REF!</v>
      </c>
      <c r="CE264" s="70">
        <v>0.0</v>
      </c>
      <c r="CF264" s="70">
        <v>0.0</v>
      </c>
      <c r="CG264" s="71">
        <v>0.0</v>
      </c>
      <c r="CH264" s="67" t="str">
        <f t="shared" si="77"/>
        <v>#REF!</v>
      </c>
      <c r="CI264" s="68" t="str">
        <f>'[1]DATA CONSOLIDADA 2018-2025 '!$CG264-Hoja1!$CB264</f>
        <v>#REF!</v>
      </c>
      <c r="CJ264" s="64" t="str">
        <f t="shared" si="68"/>
        <v>#REF!</v>
      </c>
      <c r="CK264" s="64">
        <v>0.0</v>
      </c>
      <c r="CL264" s="64">
        <v>0.0</v>
      </c>
      <c r="CM264" s="64">
        <v>0.0</v>
      </c>
      <c r="CN264" s="64" t="str">
        <f t="shared" si="12"/>
        <v>#REF!</v>
      </c>
      <c r="CO264" s="68" t="str">
        <f>'[1]DATA CONSOLIDADA 2018-2025 '!$CM264-Hoja1!$CG264</f>
        <v>#REF!</v>
      </c>
      <c r="CP264" s="70">
        <v>0.0</v>
      </c>
      <c r="CQ264" s="70">
        <v>0.0</v>
      </c>
      <c r="CR264" s="70">
        <v>0.0</v>
      </c>
      <c r="CS264" s="70">
        <v>0.0</v>
      </c>
      <c r="CT264" s="70">
        <v>0.0</v>
      </c>
      <c r="CU264" s="70">
        <v>0.0</v>
      </c>
      <c r="CV264" s="64">
        <v>0.0</v>
      </c>
      <c r="CW264" s="64">
        <v>0.0</v>
      </c>
      <c r="CX264" s="64">
        <v>0.0</v>
      </c>
      <c r="CY264" s="64">
        <v>0.0</v>
      </c>
      <c r="CZ264" s="64">
        <v>0.0</v>
      </c>
      <c r="DA264" s="64">
        <v>0.0</v>
      </c>
      <c r="DB264" s="64">
        <v>0.0</v>
      </c>
      <c r="DC264" s="72">
        <v>0.0</v>
      </c>
      <c r="DD264" s="72">
        <v>0.0</v>
      </c>
      <c r="DE264" s="72">
        <v>0.0</v>
      </c>
      <c r="DF264" s="72">
        <v>0.0</v>
      </c>
      <c r="DG264" s="72">
        <v>0.0</v>
      </c>
      <c r="DH264" s="72">
        <v>0.0</v>
      </c>
      <c r="DI264" s="73">
        <v>2.0602242464E10</v>
      </c>
      <c r="DJ264" s="74" t="s">
        <v>980</v>
      </c>
      <c r="DK264" s="74" t="s">
        <v>132</v>
      </c>
      <c r="DL264" s="75"/>
      <c r="DM264" s="75"/>
      <c r="DN264" s="75"/>
      <c r="DO264" s="75"/>
      <c r="DP264" s="75"/>
      <c r="DQ264" s="75"/>
      <c r="DR264" s="75"/>
      <c r="DS264" s="75"/>
      <c r="DT264" s="75"/>
      <c r="DU264" s="75"/>
      <c r="DV264" s="75"/>
      <c r="DW264" s="75"/>
      <c r="DX264" s="75"/>
      <c r="DY264" s="75"/>
      <c r="DZ264" s="75"/>
      <c r="EA264" s="75"/>
      <c r="EB264" s="75"/>
      <c r="EC264" s="75"/>
      <c r="ED264" s="75"/>
      <c r="EE264" s="75"/>
    </row>
    <row r="265" ht="47.25" hidden="1" customHeight="1">
      <c r="A265" s="55" t="s">
        <v>983</v>
      </c>
      <c r="B265" s="55" t="s">
        <v>126</v>
      </c>
      <c r="C265" s="55" t="s">
        <v>126</v>
      </c>
      <c r="D265" s="55" t="s">
        <v>967</v>
      </c>
      <c r="E265" s="55" t="s">
        <v>984</v>
      </c>
      <c r="F265" s="55" t="s">
        <v>967</v>
      </c>
      <c r="G265" s="55" t="s">
        <v>978</v>
      </c>
      <c r="H265" s="55" t="s">
        <v>985</v>
      </c>
      <c r="I265" s="56">
        <v>1.0</v>
      </c>
      <c r="J265" s="56">
        <v>1.0</v>
      </c>
      <c r="K265" s="56">
        <v>1.0</v>
      </c>
      <c r="L265" s="56"/>
      <c r="M265" s="56"/>
      <c r="N265" s="56"/>
      <c r="O265" s="56"/>
      <c r="P265" s="56"/>
      <c r="Q265" s="56" t="s">
        <v>131</v>
      </c>
      <c r="R265" s="58" t="str">
        <f t="shared" si="1"/>
        <v>2018-2019-2020</v>
      </c>
      <c r="S265" s="59" t="str">
        <f>SUM(Hoja1!$I265:$P265)</f>
        <v>3</v>
      </c>
      <c r="T265" s="59" t="str">
        <f>IF(OR(Hoja1!$J265=1,Hoja1!$K265=1,Hoja1!$L265=1,Hoja1!$M265=1,Hoja1!$N265=1,Hoja1!$O265=1,Hoja1!$P265=1),"SI","NO")</f>
        <v>SI</v>
      </c>
      <c r="U265" s="59" t="str">
        <f>IF(OR(Hoja1!$K265=1,Hoja1!$L265=1,Hoja1!$M265=1,Hoja1!$N265=1,Hoja1!$O265=1,Hoja1!$P265=1),"SI","NO")</f>
        <v>SI</v>
      </c>
      <c r="V265" s="60">
        <v>47.0</v>
      </c>
      <c r="W265" s="61">
        <v>32.0</v>
      </c>
      <c r="X265" s="61">
        <v>9.0</v>
      </c>
      <c r="Y265" s="60">
        <v>41.0</v>
      </c>
      <c r="Z265" s="61">
        <v>35.0</v>
      </c>
      <c r="AA265" s="61">
        <v>12.0</v>
      </c>
      <c r="AB265" s="60">
        <v>47.0</v>
      </c>
      <c r="AC265" s="61">
        <v>0.0</v>
      </c>
      <c r="AD265" s="61">
        <v>0.0</v>
      </c>
      <c r="AE265" s="60">
        <v>0.0</v>
      </c>
      <c r="AF265" s="61">
        <v>0.0</v>
      </c>
      <c r="AG265" s="61">
        <v>0.0</v>
      </c>
      <c r="AH265" s="60">
        <v>0.0</v>
      </c>
      <c r="AI265" s="61">
        <v>0.0</v>
      </c>
      <c r="AJ265" s="61">
        <v>0.0</v>
      </c>
      <c r="AK265" s="60">
        <v>0.0</v>
      </c>
      <c r="AL265" s="61">
        <v>0.0</v>
      </c>
      <c r="AM265" s="61">
        <v>0.0</v>
      </c>
      <c r="AN265" s="60">
        <v>0.0</v>
      </c>
      <c r="AO265" s="62">
        <v>0.0</v>
      </c>
      <c r="AP265" s="62">
        <v>0.0</v>
      </c>
      <c r="AQ265" s="60">
        <v>0.0</v>
      </c>
      <c r="AR265" s="60" t="str">
        <f>IF(Hoja1!$AQ265&gt;0,Hoja1!$AQ265,IF(Hoja1!$AN265&gt;0,Hoja1!$AN265,IF(Hoja1!$AK265&gt;0,Hoja1!$AK265,IF(Hoja1!$AH265&gt;0,Hoja1!$AH265,IF(Hoja1!$AE265&gt;0,Hoja1!$AE265,IF(Hoja1!$AB265&gt;0,Hoja1!$AB265,IF(Hoja1!$Y265&gt;0,Hoja1!$Y265,IF(Hoja1!$V265&gt;0,Hoja1!$V265," ---"))))))))</f>
        <v>47</v>
      </c>
      <c r="AS265" s="63">
        <v>0.0</v>
      </c>
      <c r="AT265" s="63">
        <v>9.0</v>
      </c>
      <c r="AU265" s="63">
        <v>0.0</v>
      </c>
      <c r="AV265" s="63">
        <v>0.0</v>
      </c>
      <c r="AW265" s="63">
        <v>0.0</v>
      </c>
      <c r="AX265" s="63">
        <v>0.0</v>
      </c>
      <c r="AY265" s="63">
        <v>0.0</v>
      </c>
      <c r="AZ265" s="63">
        <v>0.0</v>
      </c>
      <c r="BA265" s="63">
        <v>0.0</v>
      </c>
      <c r="BB265" s="63">
        <v>0.0</v>
      </c>
      <c r="BC265" s="63">
        <v>0.0</v>
      </c>
      <c r="BD265" s="63">
        <v>0.0</v>
      </c>
      <c r="BE265" s="64">
        <v>0.0</v>
      </c>
      <c r="BF265" s="65">
        <v>0.0</v>
      </c>
      <c r="BG265" s="65">
        <v>0.0</v>
      </c>
      <c r="BH265" s="66">
        <v>0.0</v>
      </c>
      <c r="BI265" s="67" t="str">
        <f t="shared" si="69"/>
        <v>#REF!</v>
      </c>
      <c r="BJ265" s="68" t="str">
        <f t="shared" si="70"/>
        <v>#REF!</v>
      </c>
      <c r="BK265" s="65">
        <v>762521.58</v>
      </c>
      <c r="BL265" s="65">
        <v>0.0</v>
      </c>
      <c r="BM265" s="66">
        <v>762521.58</v>
      </c>
      <c r="BN265" s="67" t="str">
        <f t="shared" si="71"/>
        <v>#REF!</v>
      </c>
      <c r="BO265" s="68" t="str">
        <f t="shared" si="72"/>
        <v>#REF!</v>
      </c>
      <c r="BP265" s="65">
        <v>0.0</v>
      </c>
      <c r="BQ265" s="65">
        <v>0.0</v>
      </c>
      <c r="BR265" s="66">
        <v>0.0</v>
      </c>
      <c r="BS265" s="67" t="str">
        <f t="shared" si="73"/>
        <v>#REF!</v>
      </c>
      <c r="BT265" s="68" t="str">
        <f>'[1]DATA CONSOLIDADA 2018-2025 '!$BR265-Hoja1!$BO265</f>
        <v>#REF!</v>
      </c>
      <c r="BU265" s="65">
        <v>0.0</v>
      </c>
      <c r="BV265" s="65">
        <v>0.0</v>
      </c>
      <c r="BW265" s="66">
        <v>0.0</v>
      </c>
      <c r="BX265" s="67" t="str">
        <f t="shared" si="74"/>
        <v>#REF!</v>
      </c>
      <c r="BY265" s="68" t="str">
        <f t="shared" si="75"/>
        <v>#REF!</v>
      </c>
      <c r="BZ265" s="65">
        <v>0.0</v>
      </c>
      <c r="CA265" s="65">
        <v>0.0</v>
      </c>
      <c r="CB265" s="66">
        <v>0.0</v>
      </c>
      <c r="CC265" s="67" t="str">
        <f t="shared" si="76"/>
        <v>#REF!</v>
      </c>
      <c r="CD265" s="68" t="str">
        <f>'[1]DATA CONSOLIDADA 2018-2025 '!$CB265-Hoja1!$BW265</f>
        <v>#REF!</v>
      </c>
      <c r="CE265" s="70">
        <v>0.0</v>
      </c>
      <c r="CF265" s="70">
        <v>0.0</v>
      </c>
      <c r="CG265" s="71">
        <v>0.0</v>
      </c>
      <c r="CH265" s="67" t="str">
        <f t="shared" si="77"/>
        <v>#REF!</v>
      </c>
      <c r="CI265" s="68" t="str">
        <f>'[1]DATA CONSOLIDADA 2018-2025 '!$CG265-Hoja1!$CB265</f>
        <v>#REF!</v>
      </c>
      <c r="CJ265" s="64" t="str">
        <f t="shared" si="68"/>
        <v>#REF!</v>
      </c>
      <c r="CK265" s="64">
        <v>0.0</v>
      </c>
      <c r="CL265" s="64">
        <v>0.0</v>
      </c>
      <c r="CM265" s="64">
        <v>0.0</v>
      </c>
      <c r="CN265" s="64" t="str">
        <f t="shared" si="12"/>
        <v>#REF!</v>
      </c>
      <c r="CO265" s="68" t="str">
        <f>'[1]DATA CONSOLIDADA 2018-2025 '!$CM265-Hoja1!$CG265</f>
        <v>#REF!</v>
      </c>
      <c r="CP265" s="70">
        <v>0.0</v>
      </c>
      <c r="CQ265" s="70">
        <v>0.0</v>
      </c>
      <c r="CR265" s="70">
        <v>0.0</v>
      </c>
      <c r="CS265" s="70">
        <v>0.0</v>
      </c>
      <c r="CT265" s="70">
        <v>0.0</v>
      </c>
      <c r="CU265" s="70">
        <v>0.0</v>
      </c>
      <c r="CV265" s="64">
        <v>0.0</v>
      </c>
      <c r="CW265" s="64">
        <v>0.0</v>
      </c>
      <c r="CX265" s="64">
        <v>0.0</v>
      </c>
      <c r="CY265" s="64">
        <v>0.0</v>
      </c>
      <c r="CZ265" s="64">
        <v>0.0</v>
      </c>
      <c r="DA265" s="64">
        <v>0.0</v>
      </c>
      <c r="DB265" s="64">
        <v>0.0</v>
      </c>
      <c r="DC265" s="72">
        <v>0.0</v>
      </c>
      <c r="DD265" s="72">
        <v>0.0</v>
      </c>
      <c r="DE265" s="72">
        <v>0.0</v>
      </c>
      <c r="DF265" s="72">
        <v>0.0</v>
      </c>
      <c r="DG265" s="72">
        <v>0.0</v>
      </c>
      <c r="DH265" s="72">
        <v>0.0</v>
      </c>
      <c r="DI265" s="73">
        <v>2.052982235E10</v>
      </c>
      <c r="DJ265" s="74" t="s">
        <v>983</v>
      </c>
      <c r="DK265" s="74" t="s">
        <v>138</v>
      </c>
      <c r="DL265" s="75"/>
      <c r="DM265" s="75"/>
      <c r="DN265" s="75"/>
      <c r="DO265" s="75"/>
      <c r="DP265" s="75"/>
      <c r="DQ265" s="75"/>
      <c r="DR265" s="75"/>
      <c r="DS265" s="75"/>
      <c r="DT265" s="75"/>
      <c r="DU265" s="75"/>
      <c r="DV265" s="75"/>
      <c r="DW265" s="75"/>
      <c r="DX265" s="75"/>
      <c r="DY265" s="75"/>
      <c r="DZ265" s="75"/>
      <c r="EA265" s="75"/>
      <c r="EB265" s="75"/>
      <c r="EC265" s="75"/>
      <c r="ED265" s="75"/>
      <c r="EE265" s="75"/>
    </row>
    <row r="266" ht="47.25" hidden="1" customHeight="1">
      <c r="A266" s="55" t="s">
        <v>980</v>
      </c>
      <c r="B266" s="55" t="s">
        <v>126</v>
      </c>
      <c r="C266" s="55" t="s">
        <v>126</v>
      </c>
      <c r="D266" s="55" t="s">
        <v>967</v>
      </c>
      <c r="E266" s="55" t="s">
        <v>981</v>
      </c>
      <c r="F266" s="55" t="s">
        <v>967</v>
      </c>
      <c r="G266" s="55" t="s">
        <v>978</v>
      </c>
      <c r="H266" s="55" t="s">
        <v>982</v>
      </c>
      <c r="I266" s="56">
        <v>1.0</v>
      </c>
      <c r="J266" s="56">
        <v>1.0</v>
      </c>
      <c r="K266" s="56"/>
      <c r="L266" s="56"/>
      <c r="M266" s="56"/>
      <c r="N266" s="56"/>
      <c r="O266" s="56"/>
      <c r="P266" s="56"/>
      <c r="Q266" s="56" t="s">
        <v>131</v>
      </c>
      <c r="R266" s="58" t="str">
        <f t="shared" si="1"/>
        <v>2018-2019</v>
      </c>
      <c r="S266" s="59" t="str">
        <f>SUM(Hoja1!$I266:$P266)</f>
        <v>2</v>
      </c>
      <c r="T266" s="59" t="str">
        <f>IF(OR(Hoja1!$J266=1,Hoja1!$K266=1,Hoja1!$L266=1,Hoja1!$M266=1,Hoja1!$N266=1,Hoja1!$O266=1,Hoja1!$P266=1),"SI","NO")</f>
        <v>SI</v>
      </c>
      <c r="U266" s="59" t="str">
        <f>IF(OR(Hoja1!$K266=1,Hoja1!$L266=1,Hoja1!$M266=1,Hoja1!$N266=1,Hoja1!$O266=1,Hoja1!$P266=1),"SI","NO")</f>
        <v>NO</v>
      </c>
      <c r="V266" s="60">
        <v>6.0</v>
      </c>
      <c r="W266" s="61">
        <v>22.0</v>
      </c>
      <c r="X266" s="61">
        <v>3.0</v>
      </c>
      <c r="Y266" s="60">
        <v>25.0</v>
      </c>
      <c r="Z266" s="61">
        <v>0.0</v>
      </c>
      <c r="AA266" s="61">
        <v>0.0</v>
      </c>
      <c r="AB266" s="60">
        <v>0.0</v>
      </c>
      <c r="AC266" s="61">
        <v>0.0</v>
      </c>
      <c r="AD266" s="61">
        <v>0.0</v>
      </c>
      <c r="AE266" s="60">
        <v>0.0</v>
      </c>
      <c r="AF266" s="61">
        <v>0.0</v>
      </c>
      <c r="AG266" s="61">
        <v>0.0</v>
      </c>
      <c r="AH266" s="60">
        <v>0.0</v>
      </c>
      <c r="AI266" s="61">
        <v>0.0</v>
      </c>
      <c r="AJ266" s="61">
        <v>0.0</v>
      </c>
      <c r="AK266" s="60">
        <v>0.0</v>
      </c>
      <c r="AL266" s="61">
        <v>0.0</v>
      </c>
      <c r="AM266" s="61">
        <v>0.0</v>
      </c>
      <c r="AN266" s="60">
        <v>0.0</v>
      </c>
      <c r="AO266" s="62">
        <v>0.0</v>
      </c>
      <c r="AP266" s="62">
        <v>0.0</v>
      </c>
      <c r="AQ266" s="60">
        <v>0.0</v>
      </c>
      <c r="AR266" s="60" t="str">
        <f>IF(Hoja1!$AQ266&gt;0,Hoja1!$AQ266,IF(Hoja1!$AN266&gt;0,Hoja1!$AN266,IF(Hoja1!$AK266&gt;0,Hoja1!$AK266,IF(Hoja1!$AH266&gt;0,Hoja1!$AH266,IF(Hoja1!$AE266&gt;0,Hoja1!$AE266,IF(Hoja1!$AB266&gt;0,Hoja1!$AB266,IF(Hoja1!$Y266&gt;0,Hoja1!$Y266,IF(Hoja1!$V266&gt;0,Hoja1!$V266," ---"))))))))</f>
        <v>25</v>
      </c>
      <c r="AS266" s="63">
        <v>0.0</v>
      </c>
      <c r="AT266" s="63">
        <v>0.0</v>
      </c>
      <c r="AU266" s="63">
        <v>0.0</v>
      </c>
      <c r="AV266" s="63">
        <v>0.0</v>
      </c>
      <c r="AW266" s="63">
        <v>0.0</v>
      </c>
      <c r="AX266" s="63">
        <v>0.0</v>
      </c>
      <c r="AY266" s="63">
        <v>0.0</v>
      </c>
      <c r="AZ266" s="63">
        <v>0.0</v>
      </c>
      <c r="BA266" s="63">
        <v>0.0</v>
      </c>
      <c r="BB266" s="63">
        <v>0.0</v>
      </c>
      <c r="BC266" s="63">
        <v>0.0</v>
      </c>
      <c r="BD266" s="63">
        <v>0.0</v>
      </c>
      <c r="BE266" s="64">
        <v>0.0</v>
      </c>
      <c r="BF266" s="65">
        <v>0.0</v>
      </c>
      <c r="BG266" s="65">
        <v>0.0</v>
      </c>
      <c r="BH266" s="66">
        <v>0.0</v>
      </c>
      <c r="BI266" s="67" t="str">
        <f t="shared" si="69"/>
        <v>#REF!</v>
      </c>
      <c r="BJ266" s="68" t="str">
        <f t="shared" si="70"/>
        <v>#REF!</v>
      </c>
      <c r="BK266" s="65">
        <v>0.0</v>
      </c>
      <c r="BL266" s="65">
        <v>0.0</v>
      </c>
      <c r="BM266" s="66">
        <v>0.0</v>
      </c>
      <c r="BN266" s="67" t="str">
        <f t="shared" si="71"/>
        <v>#REF!</v>
      </c>
      <c r="BO266" s="68" t="str">
        <f t="shared" si="72"/>
        <v>#REF!</v>
      </c>
      <c r="BP266" s="65">
        <v>0.0</v>
      </c>
      <c r="BQ266" s="65">
        <v>0.0</v>
      </c>
      <c r="BR266" s="66">
        <v>0.0</v>
      </c>
      <c r="BS266" s="67" t="str">
        <f t="shared" si="73"/>
        <v>#REF!</v>
      </c>
      <c r="BT266" s="68" t="str">
        <f>'[1]DATA CONSOLIDADA 2018-2025 '!$BR266-Hoja1!$BO266</f>
        <v>#REF!</v>
      </c>
      <c r="BU266" s="65">
        <v>0.0</v>
      </c>
      <c r="BV266" s="65">
        <v>0.0</v>
      </c>
      <c r="BW266" s="66">
        <v>0.0</v>
      </c>
      <c r="BX266" s="67" t="str">
        <f t="shared" si="74"/>
        <v>#REF!</v>
      </c>
      <c r="BY266" s="68" t="str">
        <f t="shared" si="75"/>
        <v>#REF!</v>
      </c>
      <c r="BZ266" s="65">
        <v>0.0</v>
      </c>
      <c r="CA266" s="65">
        <v>0.0</v>
      </c>
      <c r="CB266" s="66">
        <v>0.0</v>
      </c>
      <c r="CC266" s="67" t="str">
        <f t="shared" si="76"/>
        <v>#REF!</v>
      </c>
      <c r="CD266" s="68" t="str">
        <f>'[1]DATA CONSOLIDADA 2018-2025 '!$CB266-Hoja1!$BW266</f>
        <v>#REF!</v>
      </c>
      <c r="CE266" s="70">
        <v>0.0</v>
      </c>
      <c r="CF266" s="70">
        <v>0.0</v>
      </c>
      <c r="CG266" s="71">
        <v>0.0</v>
      </c>
      <c r="CH266" s="67" t="str">
        <f t="shared" si="77"/>
        <v>#REF!</v>
      </c>
      <c r="CI266" s="68" t="str">
        <f>'[1]DATA CONSOLIDADA 2018-2025 '!$CG266-Hoja1!$CB266</f>
        <v>#REF!</v>
      </c>
      <c r="CJ266" s="64" t="str">
        <f t="shared" si="68"/>
        <v>#REF!</v>
      </c>
      <c r="CK266" s="64">
        <v>0.0</v>
      </c>
      <c r="CL266" s="64">
        <v>0.0</v>
      </c>
      <c r="CM266" s="64">
        <v>0.0</v>
      </c>
      <c r="CN266" s="64" t="str">
        <f t="shared" si="12"/>
        <v>#REF!</v>
      </c>
      <c r="CO266" s="68" t="str">
        <f>'[1]DATA CONSOLIDADA 2018-2025 '!$CM266-Hoja1!$CG266</f>
        <v>#REF!</v>
      </c>
      <c r="CP266" s="70">
        <v>0.0</v>
      </c>
      <c r="CQ266" s="70">
        <v>0.0</v>
      </c>
      <c r="CR266" s="70">
        <v>0.0</v>
      </c>
      <c r="CS266" s="70">
        <v>0.0</v>
      </c>
      <c r="CT266" s="70">
        <v>0.0</v>
      </c>
      <c r="CU266" s="70">
        <v>0.0</v>
      </c>
      <c r="CV266" s="64">
        <v>0.0</v>
      </c>
      <c r="CW266" s="64">
        <v>0.0</v>
      </c>
      <c r="CX266" s="64">
        <v>0.0</v>
      </c>
      <c r="CY266" s="64">
        <v>0.0</v>
      </c>
      <c r="CZ266" s="64">
        <v>0.0</v>
      </c>
      <c r="DA266" s="64">
        <v>0.0</v>
      </c>
      <c r="DB266" s="64">
        <v>0.0</v>
      </c>
      <c r="DC266" s="72">
        <v>0.0</v>
      </c>
      <c r="DD266" s="72">
        <v>0.0</v>
      </c>
      <c r="DE266" s="72">
        <v>0.0</v>
      </c>
      <c r="DF266" s="72">
        <v>0.0</v>
      </c>
      <c r="DG266" s="72">
        <v>0.0</v>
      </c>
      <c r="DH266" s="72">
        <v>0.0</v>
      </c>
      <c r="DI266" s="73">
        <v>2.0602242464E10</v>
      </c>
      <c r="DJ266" s="74" t="s">
        <v>980</v>
      </c>
      <c r="DK266" s="74" t="s">
        <v>132</v>
      </c>
      <c r="DL266" s="75"/>
      <c r="DM266" s="75"/>
      <c r="DN266" s="75"/>
      <c r="DO266" s="75"/>
      <c r="DP266" s="75"/>
      <c r="DQ266" s="75"/>
      <c r="DR266" s="75"/>
      <c r="DS266" s="75"/>
      <c r="DT266" s="75"/>
      <c r="DU266" s="75"/>
      <c r="DV266" s="75"/>
      <c r="DW266" s="75"/>
      <c r="DX266" s="75"/>
      <c r="DY266" s="75"/>
      <c r="DZ266" s="75"/>
      <c r="EA266" s="75"/>
      <c r="EB266" s="75"/>
      <c r="EC266" s="75"/>
      <c r="ED266" s="75"/>
      <c r="EE266" s="75"/>
    </row>
    <row r="267" ht="47.25" customHeight="1">
      <c r="A267" s="55" t="s">
        <v>986</v>
      </c>
      <c r="B267" s="55" t="s">
        <v>146</v>
      </c>
      <c r="C267" s="55" t="s">
        <v>146</v>
      </c>
      <c r="D267" s="55" t="s">
        <v>481</v>
      </c>
      <c r="E267" s="55" t="s">
        <v>738</v>
      </c>
      <c r="F267" s="55" t="s">
        <v>481</v>
      </c>
      <c r="G267" s="55" t="s">
        <v>483</v>
      </c>
      <c r="H267" s="55" t="s">
        <v>739</v>
      </c>
      <c r="I267" s="56"/>
      <c r="J267" s="56"/>
      <c r="K267" s="56"/>
      <c r="L267" s="56">
        <v>1.0</v>
      </c>
      <c r="M267" s="56">
        <v>1.0</v>
      </c>
      <c r="N267" s="56">
        <v>1.0</v>
      </c>
      <c r="O267" s="56"/>
      <c r="P267" s="56"/>
      <c r="Q267" s="56" t="s">
        <v>131</v>
      </c>
      <c r="R267" s="58" t="str">
        <f t="shared" si="1"/>
        <v>2021-2022-2023</v>
      </c>
      <c r="S267" s="59" t="str">
        <f>SUM(Hoja1!$I267:$P267)</f>
        <v>3</v>
      </c>
      <c r="T267" s="59" t="str">
        <f>IF(OR(Hoja1!$J267=1,Hoja1!$K267=1,Hoja1!$L267=1,Hoja1!$M267=1,Hoja1!$N267=1,Hoja1!$O267=1,Hoja1!$P267=1),"SI","NO")</f>
        <v>SI</v>
      </c>
      <c r="U267" s="59" t="str">
        <f>IF(OR(Hoja1!$K267=1,Hoja1!$L267=1,Hoja1!$M267=1,Hoja1!$N267=1,Hoja1!$O267=1,Hoja1!$P267=1),"SI","NO")</f>
        <v>SI</v>
      </c>
      <c r="V267" s="60">
        <v>0.0</v>
      </c>
      <c r="W267" s="61">
        <v>0.0</v>
      </c>
      <c r="X267" s="61">
        <v>0.0</v>
      </c>
      <c r="Y267" s="60">
        <v>0.0</v>
      </c>
      <c r="Z267" s="61">
        <v>0.0</v>
      </c>
      <c r="AA267" s="61">
        <v>0.0</v>
      </c>
      <c r="AB267" s="60">
        <v>0.0</v>
      </c>
      <c r="AC267" s="61">
        <v>294.0</v>
      </c>
      <c r="AD267" s="61">
        <v>72.0</v>
      </c>
      <c r="AE267" s="60">
        <v>366.0</v>
      </c>
      <c r="AF267" s="61">
        <v>291.0</v>
      </c>
      <c r="AG267" s="61">
        <v>71.0</v>
      </c>
      <c r="AH267" s="60">
        <v>362.0</v>
      </c>
      <c r="AI267" s="61">
        <v>291.0</v>
      </c>
      <c r="AJ267" s="61">
        <v>71.0</v>
      </c>
      <c r="AK267" s="60">
        <v>362.0</v>
      </c>
      <c r="AL267" s="61">
        <v>0.0</v>
      </c>
      <c r="AM267" s="61">
        <v>0.0</v>
      </c>
      <c r="AN267" s="60">
        <v>0.0</v>
      </c>
      <c r="AO267" s="62">
        <v>0.0</v>
      </c>
      <c r="AP267" s="62">
        <v>0.0</v>
      </c>
      <c r="AQ267" s="60">
        <v>0.0</v>
      </c>
      <c r="AR267" s="60" t="str">
        <f>IF(Hoja1!$AQ267&gt;0,Hoja1!$AQ267,IF(Hoja1!$AN267&gt;0,Hoja1!$AN267,IF(Hoja1!$AK267&gt;0,Hoja1!$AK267,IF(Hoja1!$AH267&gt;0,Hoja1!$AH267,IF(Hoja1!$AE267&gt;0,Hoja1!$AE267,IF(Hoja1!$AB267&gt;0,Hoja1!$AB267,IF(Hoja1!$Y267&gt;0,Hoja1!$Y267,IF(Hoja1!$V267&gt;0,Hoja1!$V267," ---"))))))))</f>
        <v>362</v>
      </c>
      <c r="AS267" s="63">
        <v>0.0</v>
      </c>
      <c r="AT267" s="63">
        <v>0.0</v>
      </c>
      <c r="AU267" s="63">
        <v>16.0</v>
      </c>
      <c r="AV267" s="63">
        <v>10.0</v>
      </c>
      <c r="AW267" s="63">
        <v>26.0</v>
      </c>
      <c r="AX267" s="63">
        <v>11.0</v>
      </c>
      <c r="AY267" s="63">
        <v>17.0</v>
      </c>
      <c r="AZ267" s="63">
        <v>0.0</v>
      </c>
      <c r="BA267" s="63">
        <v>0.0</v>
      </c>
      <c r="BB267" s="63">
        <v>0.0</v>
      </c>
      <c r="BC267" s="63">
        <v>0.0</v>
      </c>
      <c r="BD267" s="63">
        <v>0.0</v>
      </c>
      <c r="BE267" s="64">
        <v>0.0</v>
      </c>
      <c r="BF267" s="69">
        <v>0.0</v>
      </c>
      <c r="BG267" s="69">
        <v>0.0</v>
      </c>
      <c r="BH267" s="64">
        <v>0.0</v>
      </c>
      <c r="BI267" s="67" t="str">
        <f>IF('[1]DATA CONSOLIDADA 2018-2025 '!$BH185&gt;'[1]DATA CONSOLIDADA 2018-2025 '!$AN185,"Incremento",IF('[1]DATA CONSOLIDADA 2018-2025 '!$AN185='[1]DATA CONSOLIDADA 2018-2025 '!$BH185,"Sin incremento",IF('[1]DATA CONSOLIDADA 2018-2025 '!$BH185&lt;'[1]DATA CONSOLIDADA 2018-2025 '!$AN185,"Disminución"," ---")))</f>
        <v>#REF!</v>
      </c>
      <c r="BJ267" s="68" t="str">
        <f>'[1]DATA CONSOLIDADA 2018-2025 '!$BH185-'[1]DATA CONSOLIDADA 2018-2025 '!$BE185</f>
        <v>#REF!</v>
      </c>
      <c r="BK267" s="69">
        <v>0.0</v>
      </c>
      <c r="BL267" s="69">
        <v>0.0</v>
      </c>
      <c r="BM267" s="66">
        <v>0.0</v>
      </c>
      <c r="BN267" s="67" t="str">
        <f>IF('[1]DATA CONSOLIDADA 2018-2025 '!$BM185&gt;'[1]DATA CONSOLIDADA 2018-2025 '!$BH185,"Incremento",IF('[1]DATA CONSOLIDADA 2018-2025 '!$BH185='[1]DATA CONSOLIDADA 2018-2025 '!$BM185,"Sin incremento",IF('[1]DATA CONSOLIDADA 2018-2025 '!$BM185&lt;'[1]DATA CONSOLIDADA 2018-2025 '!$BH185,"Disminución"," ---")))</f>
        <v>#REF!</v>
      </c>
      <c r="BO267" s="68" t="str">
        <f>'[1]DATA CONSOLIDADA 2018-2025 '!$BM185-'[1]DATA CONSOLIDADA 2018-2025 '!$BH185</f>
        <v>#REF!</v>
      </c>
      <c r="BP267" s="65">
        <v>220715.01</v>
      </c>
      <c r="BQ267" s="65">
        <v>0.0</v>
      </c>
      <c r="BR267" s="66">
        <v>220715.01</v>
      </c>
      <c r="BS267" s="67" t="str">
        <f>IF('[1]DATA CONSOLIDADA 2018-2025 '!$BR185&gt;'[1]DATA CONSOLIDADA 2018-2025 '!$BM185,"Incremento",IF('[1]DATA CONSOLIDADA 2018-2025 '!$BM185='[1]DATA CONSOLIDADA 2018-2025 '!$BR185,"Sin incremento",IF('[1]DATA CONSOLIDADA 2018-2025 '!$BR185&lt;'[1]DATA CONSOLIDADA 2018-2025 '!$BM185,"Disminución"," ---")))</f>
        <v>#REF!</v>
      </c>
      <c r="BT267" s="68" t="str">
        <f>'[1]DATA CONSOLIDADA 2018-2025 '!$BR267-Hoja1!$BO267</f>
        <v>#REF!</v>
      </c>
      <c r="BU267" s="65">
        <v>21496.5</v>
      </c>
      <c r="BV267" s="65">
        <v>368791.2</v>
      </c>
      <c r="BW267" s="66">
        <v>390287.7</v>
      </c>
      <c r="BX267" s="67" t="str">
        <f>IF('[1]DATA CONSOLIDADA 2018-2025 '!$BW185&gt;'[1]DATA CONSOLIDADA 2018-2025 '!$BR185,"Incremento",IF('[1]DATA CONSOLIDADA 2018-2025 '!$BR185='[1]DATA CONSOLIDADA 2018-2025 '!$BW185,"Sin incremento",IF('[1]DATA CONSOLIDADA 2018-2025 '!$BW185&lt;'[1]DATA CONSOLIDADA 2018-2025 '!$BR185,"Disminución"," ---")))</f>
        <v>#REF!</v>
      </c>
      <c r="BY267" s="68" t="str">
        <f>'[1]DATA CONSOLIDADA 2018-2025 '!$BW185-'[1]DATA CONSOLIDADA 2018-2025 '!$BR185</f>
        <v>#REF!</v>
      </c>
      <c r="BZ267" s="65">
        <v>249514.6</v>
      </c>
      <c r="CA267" s="65">
        <v>0.0</v>
      </c>
      <c r="CB267" s="66">
        <v>249514.6</v>
      </c>
      <c r="CC267" s="67" t="str">
        <f>IF('[1]DATA CONSOLIDADA 2018-2025 '!$CB185&gt;'[1]DATA CONSOLIDADA 2018-2025 '!$BW185,"Incremento",IF('[1]DATA CONSOLIDADA 2018-2025 '!$BW185='[1]DATA CONSOLIDADA 2018-2025 '!$CB185,"Sin incremento",IF('[1]DATA CONSOLIDADA 2018-2025 '!$CB185&lt;'[1]DATA CONSOLIDADA 2018-2025 '!$BW185,"Disminución"," ---")))</f>
        <v>#REF!</v>
      </c>
      <c r="CD267" s="68" t="str">
        <f>'[1]DATA CONSOLIDADA 2018-2025 '!$CB267-Hoja1!$BW267</f>
        <v>#REF!</v>
      </c>
      <c r="CE267" s="70">
        <v>0.0</v>
      </c>
      <c r="CF267" s="70">
        <v>0.0</v>
      </c>
      <c r="CG267" s="71">
        <v>0.0</v>
      </c>
      <c r="CH267" s="67" t="str">
        <f>IF('[1]DATA CONSOLIDADA 2018-2025 '!$CG185&gt;'[1]DATA CONSOLIDADA 2018-2025 '!$CB185,"Incremento",IF('[1]DATA CONSOLIDADA 2018-2025 '!$CB185='[1]DATA CONSOLIDADA 2018-2025 '!$CG185,"Sin incremento",IF('[1]DATA CONSOLIDADA 2018-2025 '!$CG185&lt;'[1]DATA CONSOLIDADA 2018-2025 '!$CB185,"Disminución"," ---")))</f>
        <v>#REF!</v>
      </c>
      <c r="CI267" s="68" t="str">
        <f>'[1]DATA CONSOLIDADA 2018-2025 '!$CG267-Hoja1!$CB267</f>
        <v>#REF!</v>
      </c>
      <c r="CJ267" s="64" t="str">
        <f t="shared" si="68"/>
        <v>#REF!</v>
      </c>
      <c r="CK267" s="64">
        <v>0.0</v>
      </c>
      <c r="CL267" s="64">
        <v>0.0</v>
      </c>
      <c r="CM267" s="64">
        <v>0.0</v>
      </c>
      <c r="CN267" s="64" t="str">
        <f t="shared" si="12"/>
        <v>#REF!</v>
      </c>
      <c r="CO267" s="68" t="str">
        <f>'[1]DATA CONSOLIDADA 2018-2025 '!$CM267-Hoja1!$CG267</f>
        <v>#REF!</v>
      </c>
      <c r="CP267" s="70">
        <v>0.0</v>
      </c>
      <c r="CQ267" s="70">
        <v>0.0</v>
      </c>
      <c r="CR267" s="70">
        <v>0.0</v>
      </c>
      <c r="CS267" s="70">
        <v>249514.6</v>
      </c>
      <c r="CT267" s="70">
        <v>0.0</v>
      </c>
      <c r="CU267" s="70">
        <v>0.0</v>
      </c>
      <c r="CV267" s="64">
        <v>249514.6</v>
      </c>
      <c r="CW267" s="64">
        <v>0.0</v>
      </c>
      <c r="CX267" s="64">
        <v>0.0</v>
      </c>
      <c r="CY267" s="64">
        <v>0.0</v>
      </c>
      <c r="CZ267" s="64">
        <v>0.0</v>
      </c>
      <c r="DA267" s="64">
        <v>0.0</v>
      </c>
      <c r="DB267" s="64">
        <v>0.0</v>
      </c>
      <c r="DC267" s="72">
        <v>0.0</v>
      </c>
      <c r="DD267" s="72">
        <v>0.0</v>
      </c>
      <c r="DE267" s="72">
        <v>0.0</v>
      </c>
      <c r="DF267" s="72">
        <v>0.0</v>
      </c>
      <c r="DG267" s="72">
        <v>0.0</v>
      </c>
      <c r="DH267" s="72">
        <v>0.0</v>
      </c>
      <c r="DI267" s="73">
        <v>2.056819045E10</v>
      </c>
      <c r="DJ267" s="74" t="s">
        <v>987</v>
      </c>
      <c r="DK267" s="74" t="s">
        <v>132</v>
      </c>
      <c r="DL267" s="75"/>
      <c r="DM267" s="75"/>
      <c r="DN267" s="75"/>
      <c r="DO267" s="75"/>
      <c r="DP267" s="75"/>
      <c r="DQ267" s="75"/>
      <c r="DR267" s="75"/>
      <c r="DS267" s="75"/>
      <c r="DT267" s="75"/>
      <c r="DU267" s="75"/>
      <c r="DV267" s="75"/>
      <c r="DW267" s="75"/>
      <c r="DX267" s="75"/>
      <c r="DY267" s="75"/>
      <c r="DZ267" s="75"/>
      <c r="EA267" s="75"/>
      <c r="EB267" s="75"/>
      <c r="EC267" s="75"/>
      <c r="ED267" s="75"/>
      <c r="EE267" s="75"/>
    </row>
    <row r="268" ht="47.25" hidden="1" customHeight="1">
      <c r="A268" s="55" t="s">
        <v>988</v>
      </c>
      <c r="B268" s="55" t="s">
        <v>126</v>
      </c>
      <c r="C268" s="55" t="s">
        <v>126</v>
      </c>
      <c r="D268" s="55" t="s">
        <v>967</v>
      </c>
      <c r="E268" s="55" t="s">
        <v>981</v>
      </c>
      <c r="F268" s="55" t="s">
        <v>967</v>
      </c>
      <c r="G268" s="55" t="s">
        <v>978</v>
      </c>
      <c r="H268" s="55" t="s">
        <v>982</v>
      </c>
      <c r="I268" s="56"/>
      <c r="J268" s="56">
        <v>1.0</v>
      </c>
      <c r="K268" s="56">
        <v>1.0</v>
      </c>
      <c r="L268" s="56"/>
      <c r="M268" s="56"/>
      <c r="N268" s="56"/>
      <c r="O268" s="56"/>
      <c r="P268" s="56"/>
      <c r="Q268" s="56" t="s">
        <v>131</v>
      </c>
      <c r="R268" s="58" t="str">
        <f t="shared" si="1"/>
        <v>2019-2020</v>
      </c>
      <c r="S268" s="59" t="str">
        <f>SUM(Hoja1!$I268:$P268)</f>
        <v>2</v>
      </c>
      <c r="T268" s="59" t="str">
        <f>IF(OR(Hoja1!$J268=1,Hoja1!$K268=1,Hoja1!$L268=1,Hoja1!$M268=1,Hoja1!$N268=1,Hoja1!$O268=1,Hoja1!$P268=1),"SI","NO")</f>
        <v>SI</v>
      </c>
      <c r="U268" s="59" t="str">
        <f>IF(OR(Hoja1!$K268=1,Hoja1!$L268=1,Hoja1!$M268=1,Hoja1!$N268=1,Hoja1!$O268=1,Hoja1!$P268=1),"SI","NO")</f>
        <v>SI</v>
      </c>
      <c r="V268" s="60">
        <v>0.0</v>
      </c>
      <c r="W268" s="61">
        <v>99.0</v>
      </c>
      <c r="X268" s="61">
        <v>16.0</v>
      </c>
      <c r="Y268" s="60">
        <v>115.0</v>
      </c>
      <c r="Z268" s="61">
        <v>210.0</v>
      </c>
      <c r="AA268" s="61">
        <v>52.0</v>
      </c>
      <c r="AB268" s="60">
        <v>262.0</v>
      </c>
      <c r="AC268" s="61">
        <v>0.0</v>
      </c>
      <c r="AD268" s="61">
        <v>0.0</v>
      </c>
      <c r="AE268" s="60">
        <v>0.0</v>
      </c>
      <c r="AF268" s="61">
        <v>0.0</v>
      </c>
      <c r="AG268" s="61">
        <v>0.0</v>
      </c>
      <c r="AH268" s="60">
        <v>0.0</v>
      </c>
      <c r="AI268" s="61">
        <v>0.0</v>
      </c>
      <c r="AJ268" s="61">
        <v>0.0</v>
      </c>
      <c r="AK268" s="60">
        <v>0.0</v>
      </c>
      <c r="AL268" s="61">
        <v>0.0</v>
      </c>
      <c r="AM268" s="61">
        <v>0.0</v>
      </c>
      <c r="AN268" s="60">
        <v>0.0</v>
      </c>
      <c r="AO268" s="62">
        <v>0.0</v>
      </c>
      <c r="AP268" s="62">
        <v>0.0</v>
      </c>
      <c r="AQ268" s="60">
        <v>0.0</v>
      </c>
      <c r="AR268" s="60" t="str">
        <f>IF(Hoja1!$AQ268&gt;0,Hoja1!$AQ268,IF(Hoja1!$AN268&gt;0,Hoja1!$AN268,IF(Hoja1!$AK268&gt;0,Hoja1!$AK268,IF(Hoja1!$AH268&gt;0,Hoja1!$AH268,IF(Hoja1!$AE268&gt;0,Hoja1!$AE268,IF(Hoja1!$AB268&gt;0,Hoja1!$AB268,IF(Hoja1!$Y268&gt;0,Hoja1!$Y268,IF(Hoja1!$V268&gt;0,Hoja1!$V268," ---"))))))))</f>
        <v>262</v>
      </c>
      <c r="AS268" s="63">
        <v>0.0</v>
      </c>
      <c r="AT268" s="63">
        <v>4.0</v>
      </c>
      <c r="AU268" s="63">
        <v>0.0</v>
      </c>
      <c r="AV268" s="63">
        <v>0.0</v>
      </c>
      <c r="AW268" s="63">
        <v>0.0</v>
      </c>
      <c r="AX268" s="63">
        <v>0.0</v>
      </c>
      <c r="AY268" s="63">
        <v>0.0</v>
      </c>
      <c r="AZ268" s="63">
        <v>0.0</v>
      </c>
      <c r="BA268" s="63">
        <v>0.0</v>
      </c>
      <c r="BB268" s="63">
        <v>0.0</v>
      </c>
      <c r="BC268" s="63">
        <v>0.0</v>
      </c>
      <c r="BD268" s="63">
        <v>0.0</v>
      </c>
      <c r="BE268" s="66">
        <v>0.0</v>
      </c>
      <c r="BF268" s="65">
        <v>0.0</v>
      </c>
      <c r="BG268" s="65">
        <v>0.0</v>
      </c>
      <c r="BH268" s="66">
        <v>0.0</v>
      </c>
      <c r="BI268" s="67" t="str">
        <f t="shared" ref="BI268:BI294" si="78">IF('[1]DATA CONSOLIDADA 2018-2025 '!$BH268&gt;'[1]DATA CONSOLIDADA 2018-2025 '!$AN268,"Incremento",IF('[1]DATA CONSOLIDADA 2018-2025 '!$AN268='[1]DATA CONSOLIDADA 2018-2025 '!$BH268,"Sin incremento",IF('[1]DATA CONSOLIDADA 2018-2025 '!$BH268&lt;'[1]DATA CONSOLIDADA 2018-2025 '!$AN268,"Disminución"," ---")))</f>
        <v>#REF!</v>
      </c>
      <c r="BJ268" s="68" t="str">
        <f t="shared" ref="BJ268:BJ294" si="79">'[1]DATA CONSOLIDADA 2018-2025 '!$BH268-'[1]DATA CONSOLIDADA 2018-2025 '!$BE268</f>
        <v>#REF!</v>
      </c>
      <c r="BK268" s="65">
        <v>1195712.0</v>
      </c>
      <c r="BL268" s="65">
        <v>0.0</v>
      </c>
      <c r="BM268" s="66">
        <v>1195712.0</v>
      </c>
      <c r="BN268" s="67" t="str">
        <f t="shared" ref="BN268:BN294" si="80">IF('[1]DATA CONSOLIDADA 2018-2025 '!$BM268&gt;'[1]DATA CONSOLIDADA 2018-2025 '!$BH268,"Incremento",IF('[1]DATA CONSOLIDADA 2018-2025 '!$BH268='[1]DATA CONSOLIDADA 2018-2025 '!$BM268,"Sin incremento",IF('[1]DATA CONSOLIDADA 2018-2025 '!$BM268&lt;'[1]DATA CONSOLIDADA 2018-2025 '!$BH268,"Disminución"," ---")))</f>
        <v>#REF!</v>
      </c>
      <c r="BO268" s="68" t="str">
        <f t="shared" ref="BO268:BO294" si="81">'[1]DATA CONSOLIDADA 2018-2025 '!$BM268-'[1]DATA CONSOLIDADA 2018-2025 '!$BH268</f>
        <v>#REF!</v>
      </c>
      <c r="BP268" s="65">
        <v>0.0</v>
      </c>
      <c r="BQ268" s="65">
        <v>0.0</v>
      </c>
      <c r="BR268" s="66">
        <v>0.0</v>
      </c>
      <c r="BS268" s="67" t="str">
        <f t="shared" ref="BS268:BS294" si="82">IF('[1]DATA CONSOLIDADA 2018-2025 '!$BR268&gt;'[1]DATA CONSOLIDADA 2018-2025 '!$BM268,"Incremento",IF('[1]DATA CONSOLIDADA 2018-2025 '!$BM268='[1]DATA CONSOLIDADA 2018-2025 '!$BR268,"Sin incremento",IF('[1]DATA CONSOLIDADA 2018-2025 '!$BR268&lt;'[1]DATA CONSOLIDADA 2018-2025 '!$BM268,"Disminución"," ---")))</f>
        <v>#REF!</v>
      </c>
      <c r="BT268" s="68" t="str">
        <f>'[1]DATA CONSOLIDADA 2018-2025 '!$BR268-Hoja1!$BO268</f>
        <v>#REF!</v>
      </c>
      <c r="BU268" s="65">
        <v>0.0</v>
      </c>
      <c r="BV268" s="65">
        <v>0.0</v>
      </c>
      <c r="BW268" s="66">
        <v>0.0</v>
      </c>
      <c r="BX268" s="67" t="str">
        <f t="shared" ref="BX268:BX294" si="83">IF('[1]DATA CONSOLIDADA 2018-2025 '!$BW268&gt;'[1]DATA CONSOLIDADA 2018-2025 '!$BR268,"Incremento",IF('[1]DATA CONSOLIDADA 2018-2025 '!$BR268='[1]DATA CONSOLIDADA 2018-2025 '!$BW268,"Sin incremento",IF('[1]DATA CONSOLIDADA 2018-2025 '!$BW268&lt;'[1]DATA CONSOLIDADA 2018-2025 '!$BR268,"Disminución"," ---")))</f>
        <v>#REF!</v>
      </c>
      <c r="BY268" s="68" t="str">
        <f t="shared" ref="BY268:BY294" si="84">'[1]DATA CONSOLIDADA 2018-2025 '!$BW268-'[1]DATA CONSOLIDADA 2018-2025 '!$BR268</f>
        <v>#REF!</v>
      </c>
      <c r="BZ268" s="65">
        <v>0.0</v>
      </c>
      <c r="CA268" s="65">
        <v>0.0</v>
      </c>
      <c r="CB268" s="66">
        <v>0.0</v>
      </c>
      <c r="CC268" s="67" t="str">
        <f t="shared" ref="CC268:CC294" si="85">IF('[1]DATA CONSOLIDADA 2018-2025 '!$CB268&gt;'[1]DATA CONSOLIDADA 2018-2025 '!$BW268,"Incremento",IF('[1]DATA CONSOLIDADA 2018-2025 '!$BW268='[1]DATA CONSOLIDADA 2018-2025 '!$CB268,"Sin incremento",IF('[1]DATA CONSOLIDADA 2018-2025 '!$CB268&lt;'[1]DATA CONSOLIDADA 2018-2025 '!$BW268,"Disminución"," ---")))</f>
        <v>#REF!</v>
      </c>
      <c r="CD268" s="68" t="str">
        <f>'[1]DATA CONSOLIDADA 2018-2025 '!$CB268-Hoja1!$BW268</f>
        <v>#REF!</v>
      </c>
      <c r="CE268" s="70">
        <v>0.0</v>
      </c>
      <c r="CF268" s="70">
        <v>0.0</v>
      </c>
      <c r="CG268" s="71">
        <v>0.0</v>
      </c>
      <c r="CH268" s="67" t="str">
        <f t="shared" ref="CH268:CH294" si="86">IF('[1]DATA CONSOLIDADA 2018-2025 '!$CG268&gt;'[1]DATA CONSOLIDADA 2018-2025 '!$CB268,"Incremento",IF('[1]DATA CONSOLIDADA 2018-2025 '!$CB268='[1]DATA CONSOLIDADA 2018-2025 '!$CG268,"Sin incremento",IF('[1]DATA CONSOLIDADA 2018-2025 '!$CG268&lt;'[1]DATA CONSOLIDADA 2018-2025 '!$CB268,"Disminución"," ---")))</f>
        <v>#REF!</v>
      </c>
      <c r="CI268" s="68" t="str">
        <f>'[1]DATA CONSOLIDADA 2018-2025 '!$CG268-Hoja1!$CB268</f>
        <v>#REF!</v>
      </c>
      <c r="CJ268" s="64" t="str">
        <f t="shared" si="68"/>
        <v>#REF!</v>
      </c>
      <c r="CK268" s="64">
        <v>0.0</v>
      </c>
      <c r="CL268" s="64">
        <v>0.0</v>
      </c>
      <c r="CM268" s="64">
        <v>0.0</v>
      </c>
      <c r="CN268" s="64" t="str">
        <f t="shared" si="12"/>
        <v>#REF!</v>
      </c>
      <c r="CO268" s="68" t="str">
        <f>'[1]DATA CONSOLIDADA 2018-2025 '!$CM268-Hoja1!$CG268</f>
        <v>#REF!</v>
      </c>
      <c r="CP268" s="70">
        <v>0.0</v>
      </c>
      <c r="CQ268" s="70">
        <v>0.0</v>
      </c>
      <c r="CR268" s="70">
        <v>0.0</v>
      </c>
      <c r="CS268" s="70">
        <v>0.0</v>
      </c>
      <c r="CT268" s="70">
        <v>0.0</v>
      </c>
      <c r="CU268" s="70">
        <v>0.0</v>
      </c>
      <c r="CV268" s="64">
        <v>0.0</v>
      </c>
      <c r="CW268" s="64">
        <v>0.0</v>
      </c>
      <c r="CX268" s="64">
        <v>0.0</v>
      </c>
      <c r="CY268" s="64">
        <v>0.0</v>
      </c>
      <c r="CZ268" s="64">
        <v>0.0</v>
      </c>
      <c r="DA268" s="64">
        <v>0.0</v>
      </c>
      <c r="DB268" s="64">
        <v>0.0</v>
      </c>
      <c r="DC268" s="72">
        <v>0.0</v>
      </c>
      <c r="DD268" s="72">
        <v>0.0</v>
      </c>
      <c r="DE268" s="72">
        <v>0.0</v>
      </c>
      <c r="DF268" s="72">
        <v>0.0</v>
      </c>
      <c r="DG268" s="72">
        <v>0.0</v>
      </c>
      <c r="DH268" s="72">
        <v>0.0</v>
      </c>
      <c r="DI268" s="73">
        <v>2.0604401187E10</v>
      </c>
      <c r="DJ268" s="74" t="s">
        <v>989</v>
      </c>
      <c r="DK268" s="74" t="s">
        <v>138</v>
      </c>
      <c r="DL268" s="75"/>
      <c r="DM268" s="75"/>
      <c r="DN268" s="75"/>
      <c r="DO268" s="75"/>
      <c r="DP268" s="75"/>
      <c r="DQ268" s="75"/>
      <c r="DR268" s="75"/>
      <c r="DS268" s="75"/>
      <c r="DT268" s="75"/>
      <c r="DU268" s="75"/>
      <c r="DV268" s="75"/>
      <c r="DW268" s="75"/>
      <c r="DX268" s="75"/>
      <c r="DY268" s="75"/>
      <c r="DZ268" s="75"/>
      <c r="EA268" s="75"/>
      <c r="EB268" s="75"/>
      <c r="EC268" s="75"/>
      <c r="ED268" s="75"/>
      <c r="EE268" s="75"/>
    </row>
    <row r="269" ht="47.25" customHeight="1">
      <c r="A269" s="55" t="s">
        <v>990</v>
      </c>
      <c r="B269" s="55" t="s">
        <v>146</v>
      </c>
      <c r="C269" s="55" t="s">
        <v>146</v>
      </c>
      <c r="D269" s="55" t="s">
        <v>967</v>
      </c>
      <c r="E269" s="55" t="s">
        <v>977</v>
      </c>
      <c r="F269" s="55" t="s">
        <v>967</v>
      </c>
      <c r="G269" s="55" t="s">
        <v>978</v>
      </c>
      <c r="H269" s="55" t="s">
        <v>979</v>
      </c>
      <c r="I269" s="56"/>
      <c r="J269" s="56">
        <v>1.0</v>
      </c>
      <c r="K269" s="56"/>
      <c r="L269" s="56"/>
      <c r="M269" s="56"/>
      <c r="N269" s="56"/>
      <c r="O269" s="56"/>
      <c r="P269" s="56"/>
      <c r="Q269" s="56" t="s">
        <v>131</v>
      </c>
      <c r="R269" s="58" t="str">
        <f t="shared" si="1"/>
        <v>2019</v>
      </c>
      <c r="S269" s="59" t="str">
        <f>SUM(Hoja1!$I269:$P269)</f>
        <v>1</v>
      </c>
      <c r="T269" s="59" t="str">
        <f>IF(OR(Hoja1!$J269=1,Hoja1!$K269=1,Hoja1!$L269=1,Hoja1!$M269=1,Hoja1!$N269=1,Hoja1!$O269=1,Hoja1!$P269=1),"SI","NO")</f>
        <v>SI</v>
      </c>
      <c r="U269" s="59" t="str">
        <f>IF(OR(Hoja1!$K269=1,Hoja1!$L269=1,Hoja1!$M269=1,Hoja1!$N269=1,Hoja1!$O269=1,Hoja1!$P269=1),"SI","NO")</f>
        <v>NO</v>
      </c>
      <c r="V269" s="60">
        <v>0.0</v>
      </c>
      <c r="W269" s="61">
        <v>17.0</v>
      </c>
      <c r="X269" s="61">
        <v>5.0</v>
      </c>
      <c r="Y269" s="60">
        <v>22.0</v>
      </c>
      <c r="Z269" s="61">
        <v>0.0</v>
      </c>
      <c r="AA269" s="61">
        <v>0.0</v>
      </c>
      <c r="AB269" s="60">
        <v>0.0</v>
      </c>
      <c r="AC269" s="61">
        <v>0.0</v>
      </c>
      <c r="AD269" s="61">
        <v>0.0</v>
      </c>
      <c r="AE269" s="60">
        <v>0.0</v>
      </c>
      <c r="AF269" s="61">
        <v>0.0</v>
      </c>
      <c r="AG269" s="61">
        <v>0.0</v>
      </c>
      <c r="AH269" s="60">
        <v>0.0</v>
      </c>
      <c r="AI269" s="61">
        <v>0.0</v>
      </c>
      <c r="AJ269" s="61">
        <v>0.0</v>
      </c>
      <c r="AK269" s="60">
        <v>0.0</v>
      </c>
      <c r="AL269" s="61">
        <v>0.0</v>
      </c>
      <c r="AM269" s="61">
        <v>0.0</v>
      </c>
      <c r="AN269" s="60">
        <v>0.0</v>
      </c>
      <c r="AO269" s="62">
        <v>0.0</v>
      </c>
      <c r="AP269" s="62">
        <v>0.0</v>
      </c>
      <c r="AQ269" s="60">
        <v>0.0</v>
      </c>
      <c r="AR269" s="60" t="str">
        <f>IF(Hoja1!$AQ269&gt;0,Hoja1!$AQ269,IF(Hoja1!$AN269&gt;0,Hoja1!$AN269,IF(Hoja1!$AK269&gt;0,Hoja1!$AK269,IF(Hoja1!$AH269&gt;0,Hoja1!$AH269,IF(Hoja1!$AE269&gt;0,Hoja1!$AE269,IF(Hoja1!$AB269&gt;0,Hoja1!$AB269,IF(Hoja1!$Y269&gt;0,Hoja1!$Y269,IF(Hoja1!$V269&gt;0,Hoja1!$V269," ---"))))))))</f>
        <v>22</v>
      </c>
      <c r="AS269" s="63">
        <v>0.0</v>
      </c>
      <c r="AT269" s="63">
        <v>0.0</v>
      </c>
      <c r="AU269" s="63">
        <v>0.0</v>
      </c>
      <c r="AV269" s="63">
        <v>0.0</v>
      </c>
      <c r="AW269" s="63">
        <v>0.0</v>
      </c>
      <c r="AX269" s="63">
        <v>0.0</v>
      </c>
      <c r="AY269" s="63">
        <v>0.0</v>
      </c>
      <c r="AZ269" s="63">
        <v>0.0</v>
      </c>
      <c r="BA269" s="63">
        <v>0.0</v>
      </c>
      <c r="BB269" s="63">
        <v>0.0</v>
      </c>
      <c r="BC269" s="63">
        <v>0.0</v>
      </c>
      <c r="BD269" s="63">
        <v>0.0</v>
      </c>
      <c r="BE269" s="66">
        <v>0.0</v>
      </c>
      <c r="BF269" s="65">
        <v>0.0</v>
      </c>
      <c r="BG269" s="65">
        <v>0.0</v>
      </c>
      <c r="BH269" s="66">
        <v>0.0</v>
      </c>
      <c r="BI269" s="67" t="str">
        <f t="shared" si="78"/>
        <v>#REF!</v>
      </c>
      <c r="BJ269" s="68" t="str">
        <f t="shared" si="79"/>
        <v>#REF!</v>
      </c>
      <c r="BK269" s="65">
        <v>0.0</v>
      </c>
      <c r="BL269" s="65">
        <v>0.0</v>
      </c>
      <c r="BM269" s="66">
        <v>0.0</v>
      </c>
      <c r="BN269" s="67" t="str">
        <f t="shared" si="80"/>
        <v>#REF!</v>
      </c>
      <c r="BO269" s="68" t="str">
        <f t="shared" si="81"/>
        <v>#REF!</v>
      </c>
      <c r="BP269" s="65">
        <v>0.0</v>
      </c>
      <c r="BQ269" s="65">
        <v>0.0</v>
      </c>
      <c r="BR269" s="66">
        <v>0.0</v>
      </c>
      <c r="BS269" s="67" t="str">
        <f t="shared" si="82"/>
        <v>#REF!</v>
      </c>
      <c r="BT269" s="68" t="str">
        <f>'[1]DATA CONSOLIDADA 2018-2025 '!$BR269-Hoja1!$BO269</f>
        <v>#REF!</v>
      </c>
      <c r="BU269" s="65">
        <v>0.0</v>
      </c>
      <c r="BV269" s="65">
        <v>0.0</v>
      </c>
      <c r="BW269" s="66">
        <v>0.0</v>
      </c>
      <c r="BX269" s="67" t="str">
        <f t="shared" si="83"/>
        <v>#REF!</v>
      </c>
      <c r="BY269" s="68" t="str">
        <f t="shared" si="84"/>
        <v>#REF!</v>
      </c>
      <c r="BZ269" s="65">
        <v>0.0</v>
      </c>
      <c r="CA269" s="65">
        <v>0.0</v>
      </c>
      <c r="CB269" s="66">
        <v>0.0</v>
      </c>
      <c r="CC269" s="67" t="str">
        <f t="shared" si="85"/>
        <v>#REF!</v>
      </c>
      <c r="CD269" s="68" t="str">
        <f>'[1]DATA CONSOLIDADA 2018-2025 '!$CB269-Hoja1!$BW269</f>
        <v>#REF!</v>
      </c>
      <c r="CE269" s="70">
        <v>0.0</v>
      </c>
      <c r="CF269" s="70">
        <v>0.0</v>
      </c>
      <c r="CG269" s="71">
        <v>0.0</v>
      </c>
      <c r="CH269" s="67" t="str">
        <f t="shared" si="86"/>
        <v>#REF!</v>
      </c>
      <c r="CI269" s="68" t="str">
        <f>'[1]DATA CONSOLIDADA 2018-2025 '!$CG269-Hoja1!$CB269</f>
        <v>#REF!</v>
      </c>
      <c r="CJ269" s="64" t="str">
        <f t="shared" si="68"/>
        <v>#REF!</v>
      </c>
      <c r="CK269" s="64">
        <v>0.0</v>
      </c>
      <c r="CL269" s="64">
        <v>0.0</v>
      </c>
      <c r="CM269" s="64">
        <v>0.0</v>
      </c>
      <c r="CN269" s="64" t="str">
        <f t="shared" si="12"/>
        <v>#REF!</v>
      </c>
      <c r="CO269" s="68" t="str">
        <f>'[1]DATA CONSOLIDADA 2018-2025 '!$CM269-Hoja1!$CG269</f>
        <v>#REF!</v>
      </c>
      <c r="CP269" s="70">
        <v>0.0</v>
      </c>
      <c r="CQ269" s="70">
        <v>0.0</v>
      </c>
      <c r="CR269" s="70">
        <v>0.0</v>
      </c>
      <c r="CS269" s="70">
        <v>0.0</v>
      </c>
      <c r="CT269" s="70">
        <v>0.0</v>
      </c>
      <c r="CU269" s="70">
        <v>0.0</v>
      </c>
      <c r="CV269" s="64">
        <v>0.0</v>
      </c>
      <c r="CW269" s="64">
        <v>0.0</v>
      </c>
      <c r="CX269" s="64">
        <v>0.0</v>
      </c>
      <c r="CY269" s="64">
        <v>0.0</v>
      </c>
      <c r="CZ269" s="64">
        <v>0.0</v>
      </c>
      <c r="DA269" s="64">
        <v>0.0</v>
      </c>
      <c r="DB269" s="64">
        <v>0.0</v>
      </c>
      <c r="DC269" s="72">
        <v>0.0</v>
      </c>
      <c r="DD269" s="72">
        <v>0.0</v>
      </c>
      <c r="DE269" s="72">
        <v>0.0</v>
      </c>
      <c r="DF269" s="72">
        <v>0.0</v>
      </c>
      <c r="DG269" s="72">
        <v>0.0</v>
      </c>
      <c r="DH269" s="72">
        <v>0.0</v>
      </c>
      <c r="DI269" s="73" t="s">
        <v>991</v>
      </c>
      <c r="DJ269" s="74" t="s">
        <v>194</v>
      </c>
      <c r="DK269" s="74" t="s">
        <v>138</v>
      </c>
      <c r="DL269" s="75"/>
      <c r="DM269" s="75"/>
      <c r="DN269" s="75"/>
      <c r="DO269" s="75"/>
      <c r="DP269" s="75"/>
      <c r="DQ269" s="75"/>
      <c r="DR269" s="75"/>
      <c r="DS269" s="75"/>
      <c r="DT269" s="75"/>
      <c r="DU269" s="75"/>
      <c r="DV269" s="75"/>
      <c r="DW269" s="75"/>
      <c r="DX269" s="75"/>
      <c r="DY269" s="75"/>
      <c r="DZ269" s="75"/>
      <c r="EA269" s="75"/>
      <c r="EB269" s="75"/>
      <c r="EC269" s="75"/>
      <c r="ED269" s="75"/>
      <c r="EE269" s="75"/>
    </row>
    <row r="270" ht="47.25" hidden="1" customHeight="1">
      <c r="A270" s="55" t="s">
        <v>992</v>
      </c>
      <c r="B270" s="55" t="s">
        <v>971</v>
      </c>
      <c r="C270" s="55" t="s">
        <v>971</v>
      </c>
      <c r="D270" s="55" t="s">
        <v>967</v>
      </c>
      <c r="E270" s="55" t="s">
        <v>993</v>
      </c>
      <c r="F270" s="55" t="s">
        <v>967</v>
      </c>
      <c r="G270" s="55" t="s">
        <v>969</v>
      </c>
      <c r="H270" s="55" t="s">
        <v>994</v>
      </c>
      <c r="I270" s="56"/>
      <c r="J270" s="56"/>
      <c r="K270" s="56"/>
      <c r="L270" s="56">
        <v>1.0</v>
      </c>
      <c r="M270" s="56">
        <v>1.0</v>
      </c>
      <c r="N270" s="56"/>
      <c r="O270" s="56"/>
      <c r="P270" s="56"/>
      <c r="Q270" s="56" t="s">
        <v>131</v>
      </c>
      <c r="R270" s="58" t="str">
        <f t="shared" si="1"/>
        <v>2021-2022</v>
      </c>
      <c r="S270" s="59" t="str">
        <f>SUM(Hoja1!$I270:$P270)</f>
        <v>2</v>
      </c>
      <c r="T270" s="59" t="str">
        <f>IF(OR(Hoja1!$J270=1,Hoja1!$K270=1,Hoja1!$L270=1,Hoja1!$M270=1,Hoja1!$N270=1,Hoja1!$O270=1,Hoja1!$P270=1),"SI","NO")</f>
        <v>SI</v>
      </c>
      <c r="U270" s="59" t="str">
        <f>IF(OR(Hoja1!$K270=1,Hoja1!$L270=1,Hoja1!$M270=1,Hoja1!$N270=1,Hoja1!$O270=1,Hoja1!$P270=1),"SI","NO")</f>
        <v>SI</v>
      </c>
      <c r="V270" s="60">
        <v>0.0</v>
      </c>
      <c r="W270" s="61">
        <v>0.0</v>
      </c>
      <c r="X270" s="61">
        <v>0.0</v>
      </c>
      <c r="Y270" s="60">
        <v>0.0</v>
      </c>
      <c r="Z270" s="61">
        <v>0.0</v>
      </c>
      <c r="AA270" s="61">
        <v>0.0</v>
      </c>
      <c r="AB270" s="60">
        <v>0.0</v>
      </c>
      <c r="AC270" s="61">
        <v>21.0</v>
      </c>
      <c r="AD270" s="61">
        <v>3.0</v>
      </c>
      <c r="AE270" s="60">
        <v>24.0</v>
      </c>
      <c r="AF270" s="61">
        <v>21.0</v>
      </c>
      <c r="AG270" s="61">
        <v>3.0</v>
      </c>
      <c r="AH270" s="60">
        <v>24.0</v>
      </c>
      <c r="AI270" s="61">
        <v>0.0</v>
      </c>
      <c r="AJ270" s="61">
        <v>0.0</v>
      </c>
      <c r="AK270" s="60">
        <v>0.0</v>
      </c>
      <c r="AL270" s="61">
        <v>0.0</v>
      </c>
      <c r="AM270" s="61">
        <v>0.0</v>
      </c>
      <c r="AN270" s="60">
        <v>0.0</v>
      </c>
      <c r="AO270" s="62">
        <v>0.0</v>
      </c>
      <c r="AP270" s="62">
        <v>0.0</v>
      </c>
      <c r="AQ270" s="60">
        <v>0.0</v>
      </c>
      <c r="AR270" s="60" t="str">
        <f>IF(Hoja1!$AQ270&gt;0,Hoja1!$AQ270,IF(Hoja1!$AN270&gt;0,Hoja1!$AN270,IF(Hoja1!$AK270&gt;0,Hoja1!$AK270,IF(Hoja1!$AH270&gt;0,Hoja1!$AH270,IF(Hoja1!$AE270&gt;0,Hoja1!$AE270,IF(Hoja1!$AB270&gt;0,Hoja1!$AB270,IF(Hoja1!$Y270&gt;0,Hoja1!$Y270,IF(Hoja1!$V270&gt;0,Hoja1!$V270," ---"))))))))</f>
        <v>24</v>
      </c>
      <c r="AS270" s="63">
        <v>0.0</v>
      </c>
      <c r="AT270" s="63">
        <v>0.0</v>
      </c>
      <c r="AU270" s="63">
        <v>96.0</v>
      </c>
      <c r="AV270" s="63">
        <v>11.0</v>
      </c>
      <c r="AW270" s="63">
        <v>27.0</v>
      </c>
      <c r="AX270" s="63">
        <v>4.0</v>
      </c>
      <c r="AY270" s="63">
        <v>0.0</v>
      </c>
      <c r="AZ270" s="63">
        <v>0.0</v>
      </c>
      <c r="BA270" s="63">
        <v>0.0</v>
      </c>
      <c r="BB270" s="63">
        <v>0.0</v>
      </c>
      <c r="BC270" s="63">
        <v>0.0</v>
      </c>
      <c r="BD270" s="63">
        <v>0.0</v>
      </c>
      <c r="BE270" s="64">
        <v>0.0</v>
      </c>
      <c r="BF270" s="69">
        <v>0.0</v>
      </c>
      <c r="BG270" s="69">
        <v>0.0</v>
      </c>
      <c r="BH270" s="64">
        <v>0.0</v>
      </c>
      <c r="BI270" s="67" t="str">
        <f t="shared" si="78"/>
        <v>#REF!</v>
      </c>
      <c r="BJ270" s="68" t="str">
        <f t="shared" si="79"/>
        <v>#REF!</v>
      </c>
      <c r="BK270" s="69">
        <v>0.0</v>
      </c>
      <c r="BL270" s="69">
        <v>0.0</v>
      </c>
      <c r="BM270" s="64">
        <v>0.0</v>
      </c>
      <c r="BN270" s="67" t="str">
        <f t="shared" si="80"/>
        <v>#REF!</v>
      </c>
      <c r="BO270" s="68" t="str">
        <f t="shared" si="81"/>
        <v>#REF!</v>
      </c>
      <c r="BP270" s="65">
        <v>58800.0</v>
      </c>
      <c r="BQ270" s="65">
        <v>0.0</v>
      </c>
      <c r="BR270" s="66">
        <v>58800.0</v>
      </c>
      <c r="BS270" s="67" t="str">
        <f t="shared" si="82"/>
        <v>#REF!</v>
      </c>
      <c r="BT270" s="68" t="str">
        <f>'[1]DATA CONSOLIDADA 2018-2025 '!$BR270-Hoja1!$BO270</f>
        <v>#REF!</v>
      </c>
      <c r="BU270" s="65">
        <v>0.0</v>
      </c>
      <c r="BV270" s="65">
        <v>0.0</v>
      </c>
      <c r="BW270" s="66">
        <v>0.0</v>
      </c>
      <c r="BX270" s="67" t="str">
        <f t="shared" si="83"/>
        <v>#REF!</v>
      </c>
      <c r="BY270" s="68" t="str">
        <f t="shared" si="84"/>
        <v>#REF!</v>
      </c>
      <c r="BZ270" s="65">
        <v>0.0</v>
      </c>
      <c r="CA270" s="65">
        <v>0.0</v>
      </c>
      <c r="CB270" s="66">
        <v>0.0</v>
      </c>
      <c r="CC270" s="67" t="str">
        <f t="shared" si="85"/>
        <v>#REF!</v>
      </c>
      <c r="CD270" s="68" t="str">
        <f>'[1]DATA CONSOLIDADA 2018-2025 '!$CB270-Hoja1!$BW270</f>
        <v>#REF!</v>
      </c>
      <c r="CE270" s="70">
        <v>0.0</v>
      </c>
      <c r="CF270" s="70">
        <v>0.0</v>
      </c>
      <c r="CG270" s="71">
        <v>0.0</v>
      </c>
      <c r="CH270" s="67" t="str">
        <f t="shared" si="86"/>
        <v>#REF!</v>
      </c>
      <c r="CI270" s="68" t="str">
        <f>'[1]DATA CONSOLIDADA 2018-2025 '!$CG270-Hoja1!$CB270</f>
        <v>#REF!</v>
      </c>
      <c r="CJ270" s="64" t="str">
        <f t="shared" si="68"/>
        <v>#REF!</v>
      </c>
      <c r="CK270" s="64">
        <v>0.0</v>
      </c>
      <c r="CL270" s="64">
        <v>0.0</v>
      </c>
      <c r="CM270" s="64">
        <v>0.0</v>
      </c>
      <c r="CN270" s="64" t="str">
        <f t="shared" si="12"/>
        <v>#REF!</v>
      </c>
      <c r="CO270" s="68" t="str">
        <f>'[1]DATA CONSOLIDADA 2018-2025 '!$CM270-Hoja1!$CG270</f>
        <v>#REF!</v>
      </c>
      <c r="CP270" s="70">
        <v>0.0</v>
      </c>
      <c r="CQ270" s="70">
        <v>0.0</v>
      </c>
      <c r="CR270" s="70">
        <v>0.0</v>
      </c>
      <c r="CS270" s="70">
        <v>0.0</v>
      </c>
      <c r="CT270" s="70">
        <v>0.0</v>
      </c>
      <c r="CU270" s="70">
        <v>0.0</v>
      </c>
      <c r="CV270" s="64">
        <v>0.0</v>
      </c>
      <c r="CW270" s="64">
        <v>0.0</v>
      </c>
      <c r="CX270" s="64">
        <v>0.0</v>
      </c>
      <c r="CY270" s="64">
        <v>0.0</v>
      </c>
      <c r="CZ270" s="64">
        <v>0.0</v>
      </c>
      <c r="DA270" s="64">
        <v>0.0</v>
      </c>
      <c r="DB270" s="64">
        <v>0.0</v>
      </c>
      <c r="DC270" s="72">
        <v>0.0</v>
      </c>
      <c r="DD270" s="72">
        <v>0.0</v>
      </c>
      <c r="DE270" s="72">
        <v>0.0</v>
      </c>
      <c r="DF270" s="72">
        <v>0.0</v>
      </c>
      <c r="DG270" s="72">
        <v>0.0</v>
      </c>
      <c r="DH270" s="72">
        <v>0.0</v>
      </c>
      <c r="DI270" s="73" t="s">
        <v>991</v>
      </c>
      <c r="DJ270" s="74" t="s">
        <v>194</v>
      </c>
      <c r="DK270" s="74" t="s">
        <v>138</v>
      </c>
      <c r="DL270" s="75"/>
      <c r="DM270" s="75"/>
      <c r="DN270" s="75"/>
      <c r="DO270" s="75"/>
      <c r="DP270" s="75"/>
      <c r="DQ270" s="75"/>
      <c r="DR270" s="75"/>
      <c r="DS270" s="75"/>
      <c r="DT270" s="75"/>
      <c r="DU270" s="75"/>
      <c r="DV270" s="75"/>
      <c r="DW270" s="75"/>
      <c r="DX270" s="75"/>
      <c r="DY270" s="75"/>
      <c r="DZ270" s="75"/>
      <c r="EA270" s="75"/>
      <c r="EB270" s="75"/>
      <c r="EC270" s="75"/>
      <c r="ED270" s="75"/>
      <c r="EE270" s="75"/>
    </row>
    <row r="271" ht="47.25" hidden="1" customHeight="1">
      <c r="A271" s="55" t="s">
        <v>970</v>
      </c>
      <c r="B271" s="55" t="s">
        <v>995</v>
      </c>
      <c r="C271" s="55" t="s">
        <v>995</v>
      </c>
      <c r="D271" s="55" t="s">
        <v>967</v>
      </c>
      <c r="E271" s="55" t="s">
        <v>996</v>
      </c>
      <c r="F271" s="55" t="s">
        <v>967</v>
      </c>
      <c r="G271" s="55" t="s">
        <v>973</v>
      </c>
      <c r="H271" s="55" t="s">
        <v>997</v>
      </c>
      <c r="I271" s="56"/>
      <c r="J271" s="56"/>
      <c r="K271" s="56"/>
      <c r="L271" s="56">
        <v>1.0</v>
      </c>
      <c r="M271" s="56">
        <v>1.0</v>
      </c>
      <c r="N271" s="56">
        <v>1.0</v>
      </c>
      <c r="O271" s="56">
        <v>1.0</v>
      </c>
      <c r="P271" s="56">
        <v>1.0</v>
      </c>
      <c r="Q271" s="56" t="s">
        <v>131</v>
      </c>
      <c r="R271" s="58" t="str">
        <f t="shared" si="1"/>
        <v>2021-2022-2023-2024 - 2025</v>
      </c>
      <c r="S271" s="59" t="str">
        <f>SUM(Hoja1!$I271:$P271)</f>
        <v>5</v>
      </c>
      <c r="T271" s="59" t="str">
        <f>IF(OR(Hoja1!$J271=1,Hoja1!$K271=1,Hoja1!$L271=1,Hoja1!$M271=1,Hoja1!$N271=1,Hoja1!$O271=1,Hoja1!$P271=1),"SI","NO")</f>
        <v>SI</v>
      </c>
      <c r="U271" s="59" t="str">
        <f>IF(OR(Hoja1!$K271=1,Hoja1!$L271=1,Hoja1!$M271=1,Hoja1!$N271=1,Hoja1!$O271=1,Hoja1!$P271=1),"SI","NO")</f>
        <v>SI</v>
      </c>
      <c r="V271" s="60">
        <v>0.0</v>
      </c>
      <c r="W271" s="61">
        <v>0.0</v>
      </c>
      <c r="X271" s="61">
        <v>0.0</v>
      </c>
      <c r="Y271" s="60">
        <v>0.0</v>
      </c>
      <c r="Z271" s="61">
        <v>0.0</v>
      </c>
      <c r="AA271" s="61">
        <v>0.0</v>
      </c>
      <c r="AB271" s="60">
        <v>0.0</v>
      </c>
      <c r="AC271" s="61">
        <v>25.0</v>
      </c>
      <c r="AD271" s="61">
        <v>3.0</v>
      </c>
      <c r="AE271" s="60">
        <v>28.0</v>
      </c>
      <c r="AF271" s="61">
        <v>25.0</v>
      </c>
      <c r="AG271" s="61">
        <v>3.0</v>
      </c>
      <c r="AH271" s="60">
        <v>28.0</v>
      </c>
      <c r="AI271" s="61">
        <v>25.0</v>
      </c>
      <c r="AJ271" s="61">
        <v>3.0</v>
      </c>
      <c r="AK271" s="60">
        <v>28.0</v>
      </c>
      <c r="AL271" s="61">
        <v>25.0</v>
      </c>
      <c r="AM271" s="61">
        <v>3.0</v>
      </c>
      <c r="AN271" s="60">
        <v>28.0</v>
      </c>
      <c r="AO271" s="62">
        <v>77.0</v>
      </c>
      <c r="AP271" s="62">
        <v>6.0</v>
      </c>
      <c r="AQ271" s="60">
        <v>83.0</v>
      </c>
      <c r="AR271" s="60" t="str">
        <f>IF(Hoja1!$AQ271&gt;0,Hoja1!$AQ271,IF(Hoja1!$AN271&gt;0,Hoja1!$AN271,IF(Hoja1!$AK271&gt;0,Hoja1!$AK271,IF(Hoja1!$AH271&gt;0,Hoja1!$AH271,IF(Hoja1!$AE271&gt;0,Hoja1!$AE271,IF(Hoja1!$AB271&gt;0,Hoja1!$AB271,IF(Hoja1!$Y271&gt;0,Hoja1!$Y271,IF(Hoja1!$V271&gt;0,Hoja1!$V271," ---"))))))))</f>
        <v>83</v>
      </c>
      <c r="AS271" s="63">
        <v>0.0</v>
      </c>
      <c r="AT271" s="63">
        <v>0.0</v>
      </c>
      <c r="AU271" s="63">
        <v>70.0</v>
      </c>
      <c r="AV271" s="63">
        <v>7.0</v>
      </c>
      <c r="AW271" s="63">
        <v>82.0</v>
      </c>
      <c r="AX271" s="63">
        <v>9.0</v>
      </c>
      <c r="AY271" s="63">
        <v>77.0</v>
      </c>
      <c r="AZ271" s="63">
        <v>7.0</v>
      </c>
      <c r="BA271" s="63">
        <v>69.0</v>
      </c>
      <c r="BB271" s="63">
        <v>4.0</v>
      </c>
      <c r="BC271" s="63">
        <v>52.0</v>
      </c>
      <c r="BD271" s="63">
        <v>2.0</v>
      </c>
      <c r="BE271" s="64">
        <v>0.0</v>
      </c>
      <c r="BF271" s="69">
        <v>0.0</v>
      </c>
      <c r="BG271" s="69">
        <v>0.0</v>
      </c>
      <c r="BH271" s="64">
        <v>0.0</v>
      </c>
      <c r="BI271" s="67" t="str">
        <f t="shared" si="78"/>
        <v>#REF!</v>
      </c>
      <c r="BJ271" s="68" t="str">
        <f t="shared" si="79"/>
        <v>#REF!</v>
      </c>
      <c r="BK271" s="69">
        <v>0.0</v>
      </c>
      <c r="BL271" s="69">
        <v>0.0</v>
      </c>
      <c r="BM271" s="64">
        <v>0.0</v>
      </c>
      <c r="BN271" s="67" t="str">
        <f t="shared" si="80"/>
        <v>#REF!</v>
      </c>
      <c r="BO271" s="68" t="str">
        <f t="shared" si="81"/>
        <v>#REF!</v>
      </c>
      <c r="BP271" s="65">
        <v>40036.84</v>
      </c>
      <c r="BQ271" s="65">
        <v>114050.72</v>
      </c>
      <c r="BR271" s="66">
        <v>154087.56</v>
      </c>
      <c r="BS271" s="67" t="str">
        <f t="shared" si="82"/>
        <v>#REF!</v>
      </c>
      <c r="BT271" s="68" t="str">
        <f>'[1]DATA CONSOLIDADA 2018-2025 '!$BR271-Hoja1!$BO271</f>
        <v>#REF!</v>
      </c>
      <c r="BU271" s="65">
        <v>177854.29</v>
      </c>
      <c r="BV271" s="65">
        <v>281140.43</v>
      </c>
      <c r="BW271" s="66">
        <v>458994.72</v>
      </c>
      <c r="BX271" s="67" t="str">
        <f t="shared" si="83"/>
        <v>#REF!</v>
      </c>
      <c r="BY271" s="68" t="str">
        <f t="shared" si="84"/>
        <v>#REF!</v>
      </c>
      <c r="BZ271" s="65">
        <v>78967.02</v>
      </c>
      <c r="CA271" s="65">
        <v>426060.18</v>
      </c>
      <c r="CB271" s="66">
        <v>505027.2</v>
      </c>
      <c r="CC271" s="67" t="str">
        <f t="shared" si="85"/>
        <v>#REF!</v>
      </c>
      <c r="CD271" s="68" t="str">
        <f>'[1]DATA CONSOLIDADA 2018-2025 '!$CB271-Hoja1!$BW271</f>
        <v>#REF!</v>
      </c>
      <c r="CE271" s="70">
        <v>61642.45242799999</v>
      </c>
      <c r="CF271" s="70">
        <v>997890.7536</v>
      </c>
      <c r="CG271" s="71">
        <v>1059533.206028</v>
      </c>
      <c r="CH271" s="67" t="str">
        <f t="shared" si="86"/>
        <v>#REF!</v>
      </c>
      <c r="CI271" s="68" t="str">
        <f>'[1]DATA CONSOLIDADA 2018-2025 '!$CG271-Hoja1!$CB271</f>
        <v>#REF!</v>
      </c>
      <c r="CJ271" s="64" t="str">
        <f t="shared" si="68"/>
        <v>#REF!</v>
      </c>
      <c r="CK271" s="64">
        <v>99108.95982000002</v>
      </c>
      <c r="CL271" s="64">
        <v>4266732.864</v>
      </c>
      <c r="CM271" s="64">
        <v>4365841.8238200005</v>
      </c>
      <c r="CN271" s="64" t="str">
        <f t="shared" si="12"/>
        <v>#REF!</v>
      </c>
      <c r="CO271" s="68" t="str">
        <f>'[1]DATA CONSOLIDADA 2018-2025 '!$CM271-Hoja1!$CG271</f>
        <v>#REF!</v>
      </c>
      <c r="CP271" s="70">
        <v>0.0</v>
      </c>
      <c r="CQ271" s="70">
        <v>0.0</v>
      </c>
      <c r="CR271" s="70">
        <v>0.0</v>
      </c>
      <c r="CS271" s="70">
        <v>505027.23210799997</v>
      </c>
      <c r="CT271" s="70">
        <v>0.0</v>
      </c>
      <c r="CU271" s="70">
        <v>0.0</v>
      </c>
      <c r="CV271" s="64">
        <v>505027.23210799997</v>
      </c>
      <c r="CW271" s="64">
        <v>0.0</v>
      </c>
      <c r="CX271" s="64">
        <v>0.0</v>
      </c>
      <c r="CY271" s="64">
        <v>1059533.206028</v>
      </c>
      <c r="CZ271" s="64">
        <v>0.0</v>
      </c>
      <c r="DA271" s="64">
        <v>0.0</v>
      </c>
      <c r="DB271" s="64">
        <v>1059533.206028</v>
      </c>
      <c r="DC271" s="72">
        <v>0.0</v>
      </c>
      <c r="DD271" s="72">
        <v>0.0</v>
      </c>
      <c r="DE271" s="72">
        <v>4365841.823819998</v>
      </c>
      <c r="DF271" s="72">
        <v>0.0</v>
      </c>
      <c r="DG271" s="72">
        <v>0.0</v>
      </c>
      <c r="DH271" s="72">
        <v>4365841.823819998</v>
      </c>
      <c r="DI271" s="73">
        <v>2.0525955843E10</v>
      </c>
      <c r="DJ271" s="74" t="s">
        <v>975</v>
      </c>
      <c r="DK271" s="74" t="s">
        <v>132</v>
      </c>
      <c r="DL271" s="75"/>
      <c r="DM271" s="75"/>
      <c r="DN271" s="75"/>
      <c r="DO271" s="75"/>
      <c r="DP271" s="75"/>
      <c r="DQ271" s="75"/>
      <c r="DR271" s="75"/>
      <c r="DS271" s="75"/>
      <c r="DT271" s="75"/>
      <c r="DU271" s="75"/>
      <c r="DV271" s="75"/>
      <c r="DW271" s="75"/>
      <c r="DX271" s="75"/>
      <c r="DY271" s="75"/>
      <c r="DZ271" s="75"/>
      <c r="EA271" s="75"/>
      <c r="EB271" s="75"/>
      <c r="EC271" s="75"/>
      <c r="ED271" s="75"/>
      <c r="EE271" s="75"/>
    </row>
    <row r="272" ht="47.25" hidden="1" customHeight="1">
      <c r="A272" s="55" t="s">
        <v>998</v>
      </c>
      <c r="B272" s="55" t="s">
        <v>126</v>
      </c>
      <c r="C272" s="55" t="s">
        <v>126</v>
      </c>
      <c r="D272" s="55" t="s">
        <v>967</v>
      </c>
      <c r="E272" s="55" t="s">
        <v>981</v>
      </c>
      <c r="F272" s="55" t="s">
        <v>967</v>
      </c>
      <c r="G272" s="55" t="s">
        <v>978</v>
      </c>
      <c r="H272" s="55" t="s">
        <v>982</v>
      </c>
      <c r="I272" s="56"/>
      <c r="J272" s="56"/>
      <c r="K272" s="56"/>
      <c r="L272" s="56">
        <v>1.0</v>
      </c>
      <c r="M272" s="56"/>
      <c r="N272" s="56">
        <v>1.0</v>
      </c>
      <c r="O272" s="56"/>
      <c r="P272" s="56"/>
      <c r="Q272" s="56" t="s">
        <v>131</v>
      </c>
      <c r="R272" s="58" t="str">
        <f t="shared" si="1"/>
        <v>2021-2023</v>
      </c>
      <c r="S272" s="59" t="str">
        <f>SUM(Hoja1!$I272:$P272)</f>
        <v>2</v>
      </c>
      <c r="T272" s="59" t="str">
        <f>IF(OR(Hoja1!$J272=1,Hoja1!$K272=1,Hoja1!$L272=1,Hoja1!$M272=1,Hoja1!$N272=1,Hoja1!$O272=1,Hoja1!$P272=1),"SI","NO")</f>
        <v>SI</v>
      </c>
      <c r="U272" s="59" t="str">
        <f>IF(OR(Hoja1!$K272=1,Hoja1!$L272=1,Hoja1!$M272=1,Hoja1!$N272=1,Hoja1!$O272=1,Hoja1!$P272=1),"SI","NO")</f>
        <v>SI</v>
      </c>
      <c r="V272" s="60">
        <v>0.0</v>
      </c>
      <c r="W272" s="61">
        <v>0.0</v>
      </c>
      <c r="X272" s="61">
        <v>0.0</v>
      </c>
      <c r="Y272" s="60">
        <v>0.0</v>
      </c>
      <c r="Z272" s="61">
        <v>0.0</v>
      </c>
      <c r="AA272" s="61">
        <v>0.0</v>
      </c>
      <c r="AB272" s="60">
        <v>0.0</v>
      </c>
      <c r="AC272" s="61">
        <v>97.0</v>
      </c>
      <c r="AD272" s="61">
        <v>49.0</v>
      </c>
      <c r="AE272" s="60">
        <v>146.0</v>
      </c>
      <c r="AF272" s="61">
        <v>97.0</v>
      </c>
      <c r="AG272" s="61">
        <v>49.0</v>
      </c>
      <c r="AH272" s="60">
        <v>146.0</v>
      </c>
      <c r="AI272" s="61">
        <v>97.0</v>
      </c>
      <c r="AJ272" s="61">
        <v>49.0</v>
      </c>
      <c r="AK272" s="60">
        <v>146.0</v>
      </c>
      <c r="AL272" s="61">
        <v>0.0</v>
      </c>
      <c r="AM272" s="61">
        <v>0.0</v>
      </c>
      <c r="AN272" s="60">
        <v>0.0</v>
      </c>
      <c r="AO272" s="62">
        <v>0.0</v>
      </c>
      <c r="AP272" s="62">
        <v>0.0</v>
      </c>
      <c r="AQ272" s="60">
        <v>0.0</v>
      </c>
      <c r="AR272" s="60" t="str">
        <f>IF(Hoja1!$AQ272&gt;0,Hoja1!$AQ272,IF(Hoja1!$AN272&gt;0,Hoja1!$AN272,IF(Hoja1!$AK272&gt;0,Hoja1!$AK272,IF(Hoja1!$AH272&gt;0,Hoja1!$AH272,IF(Hoja1!$AE272&gt;0,Hoja1!$AE272,IF(Hoja1!$AB272&gt;0,Hoja1!$AB272,IF(Hoja1!$Y272&gt;0,Hoja1!$Y272,IF(Hoja1!$V272&gt;0,Hoja1!$V272," ---"))))))))</f>
        <v>146</v>
      </c>
      <c r="AS272" s="63">
        <v>0.0</v>
      </c>
      <c r="AT272" s="63">
        <v>0.0</v>
      </c>
      <c r="AU272" s="63">
        <v>21.0</v>
      </c>
      <c r="AV272" s="63">
        <v>8.0</v>
      </c>
      <c r="AW272" s="63">
        <v>0.0</v>
      </c>
      <c r="AX272" s="63">
        <v>0.0</v>
      </c>
      <c r="AY272" s="63">
        <v>61.0</v>
      </c>
      <c r="AZ272" s="63">
        <v>0.0</v>
      </c>
      <c r="BA272" s="63">
        <v>0.0</v>
      </c>
      <c r="BB272" s="63">
        <v>0.0</v>
      </c>
      <c r="BC272" s="63">
        <v>0.0</v>
      </c>
      <c r="BD272" s="63">
        <v>0.0</v>
      </c>
      <c r="BE272" s="64">
        <v>0.0</v>
      </c>
      <c r="BF272" s="69">
        <v>0.0</v>
      </c>
      <c r="BG272" s="69">
        <v>0.0</v>
      </c>
      <c r="BH272" s="64">
        <v>0.0</v>
      </c>
      <c r="BI272" s="67" t="str">
        <f t="shared" si="78"/>
        <v>#REF!</v>
      </c>
      <c r="BJ272" s="68" t="str">
        <f t="shared" si="79"/>
        <v>#REF!</v>
      </c>
      <c r="BK272" s="69">
        <v>0.0</v>
      </c>
      <c r="BL272" s="69">
        <v>0.0</v>
      </c>
      <c r="BM272" s="66">
        <v>0.0</v>
      </c>
      <c r="BN272" s="67" t="str">
        <f t="shared" si="80"/>
        <v>#REF!</v>
      </c>
      <c r="BO272" s="68" t="str">
        <f t="shared" si="81"/>
        <v>#REF!</v>
      </c>
      <c r="BP272" s="65">
        <v>106838.51</v>
      </c>
      <c r="BQ272" s="65">
        <v>0.0</v>
      </c>
      <c r="BR272" s="66">
        <v>106838.51</v>
      </c>
      <c r="BS272" s="67" t="str">
        <f t="shared" si="82"/>
        <v>#REF!</v>
      </c>
      <c r="BT272" s="68" t="str">
        <f>'[1]DATA CONSOLIDADA 2018-2025 '!$BR272-Hoja1!$BO272</f>
        <v>#REF!</v>
      </c>
      <c r="BU272" s="65">
        <v>0.0</v>
      </c>
      <c r="BV272" s="65">
        <v>0.0</v>
      </c>
      <c r="BW272" s="66">
        <v>0.0</v>
      </c>
      <c r="BX272" s="67" t="str">
        <f t="shared" si="83"/>
        <v>#REF!</v>
      </c>
      <c r="BY272" s="68" t="str">
        <f t="shared" si="84"/>
        <v>#REF!</v>
      </c>
      <c r="BZ272" s="65">
        <v>0.0</v>
      </c>
      <c r="CA272" s="65">
        <v>0.0</v>
      </c>
      <c r="CB272" s="66">
        <v>0.0</v>
      </c>
      <c r="CC272" s="67" t="str">
        <f t="shared" si="85"/>
        <v>#REF!</v>
      </c>
      <c r="CD272" s="68" t="str">
        <f>'[1]DATA CONSOLIDADA 2018-2025 '!$CB272-Hoja1!$BW272</f>
        <v>#REF!</v>
      </c>
      <c r="CE272" s="70">
        <v>0.0</v>
      </c>
      <c r="CF272" s="70">
        <v>0.0</v>
      </c>
      <c r="CG272" s="71">
        <v>0.0</v>
      </c>
      <c r="CH272" s="67" t="str">
        <f t="shared" si="86"/>
        <v>#REF!</v>
      </c>
      <c r="CI272" s="68" t="str">
        <f>'[1]DATA CONSOLIDADA 2018-2025 '!$CG272-Hoja1!$CB272</f>
        <v>#REF!</v>
      </c>
      <c r="CJ272" s="64" t="str">
        <f t="shared" si="68"/>
        <v>#REF!</v>
      </c>
      <c r="CK272" s="64">
        <v>0.0</v>
      </c>
      <c r="CL272" s="64">
        <v>0.0</v>
      </c>
      <c r="CM272" s="64">
        <v>0.0</v>
      </c>
      <c r="CN272" s="64" t="str">
        <f t="shared" si="12"/>
        <v>#REF!</v>
      </c>
      <c r="CO272" s="68" t="str">
        <f>'[1]DATA CONSOLIDADA 2018-2025 '!$CM272-Hoja1!$CG272</f>
        <v>#REF!</v>
      </c>
      <c r="CP272" s="70">
        <v>0.0</v>
      </c>
      <c r="CQ272" s="70">
        <v>0.0</v>
      </c>
      <c r="CR272" s="70">
        <v>0.0</v>
      </c>
      <c r="CS272" s="70">
        <v>0.0</v>
      </c>
      <c r="CT272" s="70">
        <v>0.0</v>
      </c>
      <c r="CU272" s="70">
        <v>0.0</v>
      </c>
      <c r="CV272" s="64">
        <v>0.0</v>
      </c>
      <c r="CW272" s="64">
        <v>0.0</v>
      </c>
      <c r="CX272" s="64">
        <v>0.0</v>
      </c>
      <c r="CY272" s="64">
        <v>0.0</v>
      </c>
      <c r="CZ272" s="64">
        <v>0.0</v>
      </c>
      <c r="DA272" s="64">
        <v>0.0</v>
      </c>
      <c r="DB272" s="64">
        <v>0.0</v>
      </c>
      <c r="DC272" s="72">
        <v>0.0</v>
      </c>
      <c r="DD272" s="72">
        <v>0.0</v>
      </c>
      <c r="DE272" s="72">
        <v>0.0</v>
      </c>
      <c r="DF272" s="72">
        <v>0.0</v>
      </c>
      <c r="DG272" s="72">
        <v>0.0</v>
      </c>
      <c r="DH272" s="72">
        <v>0.0</v>
      </c>
      <c r="DI272" s="73">
        <v>2.0146696041E10</v>
      </c>
      <c r="DJ272" s="74" t="s">
        <v>999</v>
      </c>
      <c r="DK272" s="74" t="s">
        <v>132</v>
      </c>
      <c r="DL272" s="75"/>
      <c r="DM272" s="75"/>
      <c r="DN272" s="75"/>
      <c r="DO272" s="75"/>
      <c r="DP272" s="75"/>
      <c r="DQ272" s="75"/>
      <c r="DR272" s="75"/>
      <c r="DS272" s="75"/>
      <c r="DT272" s="75"/>
      <c r="DU272" s="75"/>
      <c r="DV272" s="75"/>
      <c r="DW272" s="75"/>
      <c r="DX272" s="75"/>
      <c r="DY272" s="75"/>
      <c r="DZ272" s="75"/>
      <c r="EA272" s="75"/>
      <c r="EB272" s="75"/>
      <c r="EC272" s="75"/>
      <c r="ED272" s="75"/>
      <c r="EE272" s="75"/>
    </row>
    <row r="273" ht="47.25" hidden="1" customHeight="1">
      <c r="A273" s="55" t="s">
        <v>1000</v>
      </c>
      <c r="B273" s="55" t="s">
        <v>287</v>
      </c>
      <c r="C273" s="55" t="s">
        <v>288</v>
      </c>
      <c r="D273" s="55" t="s">
        <v>1001</v>
      </c>
      <c r="E273" s="55" t="s">
        <v>1002</v>
      </c>
      <c r="F273" s="55" t="s">
        <v>1001</v>
      </c>
      <c r="G273" s="55" t="s">
        <v>1003</v>
      </c>
      <c r="H273" s="55" t="s">
        <v>1003</v>
      </c>
      <c r="I273" s="56">
        <v>1.0</v>
      </c>
      <c r="J273" s="56"/>
      <c r="K273" s="56"/>
      <c r="L273" s="56"/>
      <c r="M273" s="56"/>
      <c r="N273" s="56"/>
      <c r="O273" s="56"/>
      <c r="P273" s="56"/>
      <c r="Q273" s="56" t="s">
        <v>131</v>
      </c>
      <c r="R273" s="58" t="str">
        <f t="shared" si="1"/>
        <v>2018</v>
      </c>
      <c r="S273" s="59" t="str">
        <f>SUM(Hoja1!$I273:$P273)</f>
        <v>1</v>
      </c>
      <c r="T273" s="59" t="str">
        <f>IF(OR(Hoja1!$J273=1,Hoja1!$K273=1,Hoja1!$L273=1,Hoja1!$M273=1,Hoja1!$N273=1,Hoja1!$O273=1,Hoja1!$P273=1),"SI","NO")</f>
        <v>NO</v>
      </c>
      <c r="U273" s="59" t="str">
        <f>IF(OR(Hoja1!$K273=1,Hoja1!$L273=1,Hoja1!$M273=1,Hoja1!$N273=1,Hoja1!$O273=1,Hoja1!$P273=1),"SI","NO")</f>
        <v>NO</v>
      </c>
      <c r="V273" s="60">
        <v>86.0</v>
      </c>
      <c r="W273" s="61">
        <v>0.0</v>
      </c>
      <c r="X273" s="61">
        <v>0.0</v>
      </c>
      <c r="Y273" s="60">
        <v>0.0</v>
      </c>
      <c r="Z273" s="61">
        <v>0.0</v>
      </c>
      <c r="AA273" s="61">
        <v>0.0</v>
      </c>
      <c r="AB273" s="60">
        <v>0.0</v>
      </c>
      <c r="AC273" s="61">
        <v>0.0</v>
      </c>
      <c r="AD273" s="61">
        <v>0.0</v>
      </c>
      <c r="AE273" s="60">
        <v>0.0</v>
      </c>
      <c r="AF273" s="61">
        <v>0.0</v>
      </c>
      <c r="AG273" s="61">
        <v>0.0</v>
      </c>
      <c r="AH273" s="60">
        <v>0.0</v>
      </c>
      <c r="AI273" s="61">
        <v>0.0</v>
      </c>
      <c r="AJ273" s="61">
        <v>0.0</v>
      </c>
      <c r="AK273" s="60">
        <v>0.0</v>
      </c>
      <c r="AL273" s="61">
        <v>0.0</v>
      </c>
      <c r="AM273" s="61">
        <v>0.0</v>
      </c>
      <c r="AN273" s="60">
        <v>0.0</v>
      </c>
      <c r="AO273" s="62">
        <v>0.0</v>
      </c>
      <c r="AP273" s="62">
        <v>0.0</v>
      </c>
      <c r="AQ273" s="60">
        <v>0.0</v>
      </c>
      <c r="AR273" s="60" t="str">
        <f>IF(Hoja1!$AQ273&gt;0,Hoja1!$AQ273,IF(Hoja1!$AN273&gt;0,Hoja1!$AN273,IF(Hoja1!$AK273&gt;0,Hoja1!$AK273,IF(Hoja1!$AH273&gt;0,Hoja1!$AH273,IF(Hoja1!$AE273&gt;0,Hoja1!$AE273,IF(Hoja1!$AB273&gt;0,Hoja1!$AB273,IF(Hoja1!$Y273&gt;0,Hoja1!$Y273,IF(Hoja1!$V273&gt;0,Hoja1!$V273," ---"))))))))</f>
        <v>86</v>
      </c>
      <c r="AS273" s="63">
        <v>0.0</v>
      </c>
      <c r="AT273" s="63">
        <v>0.0</v>
      </c>
      <c r="AU273" s="63">
        <v>0.0</v>
      </c>
      <c r="AV273" s="63">
        <v>0.0</v>
      </c>
      <c r="AW273" s="63">
        <v>0.0</v>
      </c>
      <c r="AX273" s="63">
        <v>0.0</v>
      </c>
      <c r="AY273" s="63">
        <v>0.0</v>
      </c>
      <c r="AZ273" s="63">
        <v>0.0</v>
      </c>
      <c r="BA273" s="63">
        <v>0.0</v>
      </c>
      <c r="BB273" s="63">
        <v>0.0</v>
      </c>
      <c r="BC273" s="63">
        <v>0.0</v>
      </c>
      <c r="BD273" s="63">
        <v>0.0</v>
      </c>
      <c r="BE273" s="64">
        <v>0.0</v>
      </c>
      <c r="BF273" s="69">
        <v>0.0</v>
      </c>
      <c r="BG273" s="69">
        <v>0.0</v>
      </c>
      <c r="BH273" s="64">
        <v>0.0</v>
      </c>
      <c r="BI273" s="67" t="str">
        <f t="shared" si="78"/>
        <v>#REF!</v>
      </c>
      <c r="BJ273" s="68" t="str">
        <f t="shared" si="79"/>
        <v>#REF!</v>
      </c>
      <c r="BK273" s="69">
        <v>0.0</v>
      </c>
      <c r="BL273" s="69">
        <v>0.0</v>
      </c>
      <c r="BM273" s="64">
        <v>0.0</v>
      </c>
      <c r="BN273" s="67" t="str">
        <f t="shared" si="80"/>
        <v>#REF!</v>
      </c>
      <c r="BO273" s="68" t="str">
        <f t="shared" si="81"/>
        <v>#REF!</v>
      </c>
      <c r="BP273" s="65">
        <v>0.0</v>
      </c>
      <c r="BQ273" s="65">
        <v>0.0</v>
      </c>
      <c r="BR273" s="66">
        <v>0.0</v>
      </c>
      <c r="BS273" s="67" t="str">
        <f t="shared" si="82"/>
        <v>#REF!</v>
      </c>
      <c r="BT273" s="68" t="str">
        <f>'[1]DATA CONSOLIDADA 2018-2025 '!$BR273-Hoja1!$BO273</f>
        <v>#REF!</v>
      </c>
      <c r="BU273" s="65">
        <v>0.0</v>
      </c>
      <c r="BV273" s="65">
        <v>0.0</v>
      </c>
      <c r="BW273" s="66">
        <v>0.0</v>
      </c>
      <c r="BX273" s="67" t="str">
        <f t="shared" si="83"/>
        <v>#REF!</v>
      </c>
      <c r="BY273" s="68" t="str">
        <f t="shared" si="84"/>
        <v>#REF!</v>
      </c>
      <c r="BZ273" s="65">
        <v>0.0</v>
      </c>
      <c r="CA273" s="65">
        <v>0.0</v>
      </c>
      <c r="CB273" s="66">
        <v>0.0</v>
      </c>
      <c r="CC273" s="67" t="str">
        <f t="shared" si="85"/>
        <v>#REF!</v>
      </c>
      <c r="CD273" s="68" t="str">
        <f>'[1]DATA CONSOLIDADA 2018-2025 '!$CB273-Hoja1!$BW273</f>
        <v>#REF!</v>
      </c>
      <c r="CE273" s="70">
        <v>0.0</v>
      </c>
      <c r="CF273" s="70">
        <v>0.0</v>
      </c>
      <c r="CG273" s="71">
        <v>0.0</v>
      </c>
      <c r="CH273" s="67" t="str">
        <f t="shared" si="86"/>
        <v>#REF!</v>
      </c>
      <c r="CI273" s="68" t="str">
        <f>'[1]DATA CONSOLIDADA 2018-2025 '!$CG273-Hoja1!$CB273</f>
        <v>#REF!</v>
      </c>
      <c r="CJ273" s="64" t="str">
        <f t="shared" si="68"/>
        <v>#REF!</v>
      </c>
      <c r="CK273" s="64">
        <v>0.0</v>
      </c>
      <c r="CL273" s="64">
        <v>0.0</v>
      </c>
      <c r="CM273" s="64">
        <v>0.0</v>
      </c>
      <c r="CN273" s="64" t="str">
        <f t="shared" si="12"/>
        <v>#REF!</v>
      </c>
      <c r="CO273" s="68" t="str">
        <f>'[1]DATA CONSOLIDADA 2018-2025 '!$CM273-Hoja1!$CG273</f>
        <v>#REF!</v>
      </c>
      <c r="CP273" s="70">
        <v>0.0</v>
      </c>
      <c r="CQ273" s="70">
        <v>0.0</v>
      </c>
      <c r="CR273" s="70">
        <v>0.0</v>
      </c>
      <c r="CS273" s="70">
        <v>0.0</v>
      </c>
      <c r="CT273" s="70">
        <v>0.0</v>
      </c>
      <c r="CU273" s="70">
        <v>0.0</v>
      </c>
      <c r="CV273" s="64">
        <v>0.0</v>
      </c>
      <c r="CW273" s="64">
        <v>0.0</v>
      </c>
      <c r="CX273" s="64">
        <v>0.0</v>
      </c>
      <c r="CY273" s="64">
        <v>0.0</v>
      </c>
      <c r="CZ273" s="64">
        <v>0.0</v>
      </c>
      <c r="DA273" s="64">
        <v>0.0</v>
      </c>
      <c r="DB273" s="64">
        <v>0.0</v>
      </c>
      <c r="DC273" s="72">
        <v>0.0</v>
      </c>
      <c r="DD273" s="72">
        <v>0.0</v>
      </c>
      <c r="DE273" s="72">
        <v>0.0</v>
      </c>
      <c r="DF273" s="72">
        <v>0.0</v>
      </c>
      <c r="DG273" s="72">
        <v>0.0</v>
      </c>
      <c r="DH273" s="72">
        <v>0.0</v>
      </c>
      <c r="DI273" s="73">
        <v>2.0448748902E10</v>
      </c>
      <c r="DJ273" s="74" t="s">
        <v>1004</v>
      </c>
      <c r="DK273" s="74" t="s">
        <v>306</v>
      </c>
      <c r="DL273" s="75"/>
      <c r="DM273" s="75"/>
      <c r="DN273" s="75"/>
      <c r="DO273" s="75"/>
      <c r="DP273" s="75"/>
      <c r="DQ273" s="75"/>
      <c r="DR273" s="75"/>
      <c r="DS273" s="75"/>
      <c r="DT273" s="75"/>
      <c r="DU273" s="75"/>
      <c r="DV273" s="75"/>
      <c r="DW273" s="75"/>
      <c r="DX273" s="75"/>
      <c r="DY273" s="75"/>
      <c r="DZ273" s="75"/>
      <c r="EA273" s="75"/>
      <c r="EB273" s="75"/>
      <c r="EC273" s="75"/>
      <c r="ED273" s="75"/>
      <c r="EE273" s="75"/>
    </row>
    <row r="274" ht="47.25" hidden="1" customHeight="1">
      <c r="A274" s="55" t="s">
        <v>1005</v>
      </c>
      <c r="B274" s="55" t="s">
        <v>287</v>
      </c>
      <c r="C274" s="55" t="s">
        <v>288</v>
      </c>
      <c r="D274" s="55" t="s">
        <v>1001</v>
      </c>
      <c r="E274" s="55" t="s">
        <v>1006</v>
      </c>
      <c r="F274" s="55" t="s">
        <v>1001</v>
      </c>
      <c r="G274" s="55" t="s">
        <v>1007</v>
      </c>
      <c r="H274" s="55" t="s">
        <v>1008</v>
      </c>
      <c r="I274" s="56">
        <v>1.0</v>
      </c>
      <c r="J274" s="56"/>
      <c r="K274" s="56"/>
      <c r="L274" s="56"/>
      <c r="M274" s="56"/>
      <c r="N274" s="56"/>
      <c r="O274" s="56"/>
      <c r="P274" s="56"/>
      <c r="Q274" s="56" t="s">
        <v>131</v>
      </c>
      <c r="R274" s="58" t="str">
        <f t="shared" si="1"/>
        <v>2018</v>
      </c>
      <c r="S274" s="59" t="str">
        <f>SUM(Hoja1!$I274:$P274)</f>
        <v>1</v>
      </c>
      <c r="T274" s="59" t="str">
        <f>IF(OR(Hoja1!$J274=1,Hoja1!$K274=1,Hoja1!$L274=1,Hoja1!$M274=1,Hoja1!$N274=1,Hoja1!$O274=1,Hoja1!$P274=1),"SI","NO")</f>
        <v>NO</v>
      </c>
      <c r="U274" s="59" t="str">
        <f>IF(OR(Hoja1!$K274=1,Hoja1!$L274=1,Hoja1!$M274=1,Hoja1!$N274=1,Hoja1!$O274=1,Hoja1!$P274=1),"SI","NO")</f>
        <v>NO</v>
      </c>
      <c r="V274" s="60">
        <v>17.0</v>
      </c>
      <c r="W274" s="61">
        <v>0.0</v>
      </c>
      <c r="X274" s="61">
        <v>0.0</v>
      </c>
      <c r="Y274" s="60">
        <v>0.0</v>
      </c>
      <c r="Z274" s="61">
        <v>0.0</v>
      </c>
      <c r="AA274" s="61">
        <v>0.0</v>
      </c>
      <c r="AB274" s="60">
        <v>0.0</v>
      </c>
      <c r="AC274" s="61">
        <v>0.0</v>
      </c>
      <c r="AD274" s="61">
        <v>0.0</v>
      </c>
      <c r="AE274" s="60">
        <v>0.0</v>
      </c>
      <c r="AF274" s="61">
        <v>0.0</v>
      </c>
      <c r="AG274" s="61">
        <v>0.0</v>
      </c>
      <c r="AH274" s="60">
        <v>0.0</v>
      </c>
      <c r="AI274" s="61">
        <v>0.0</v>
      </c>
      <c r="AJ274" s="61">
        <v>0.0</v>
      </c>
      <c r="AK274" s="60">
        <v>0.0</v>
      </c>
      <c r="AL274" s="61">
        <v>0.0</v>
      </c>
      <c r="AM274" s="61">
        <v>0.0</v>
      </c>
      <c r="AN274" s="60">
        <v>0.0</v>
      </c>
      <c r="AO274" s="62">
        <v>0.0</v>
      </c>
      <c r="AP274" s="62">
        <v>0.0</v>
      </c>
      <c r="AQ274" s="60">
        <v>0.0</v>
      </c>
      <c r="AR274" s="60" t="str">
        <f>IF(Hoja1!$AQ274&gt;0,Hoja1!$AQ274,IF(Hoja1!$AN274&gt;0,Hoja1!$AN274,IF(Hoja1!$AK274&gt;0,Hoja1!$AK274,IF(Hoja1!$AH274&gt;0,Hoja1!$AH274,IF(Hoja1!$AE274&gt;0,Hoja1!$AE274,IF(Hoja1!$AB274&gt;0,Hoja1!$AB274,IF(Hoja1!$Y274&gt;0,Hoja1!$Y274,IF(Hoja1!$V274&gt;0,Hoja1!$V274," ---"))))))))</f>
        <v>17</v>
      </c>
      <c r="AS274" s="63">
        <v>0.0</v>
      </c>
      <c r="AT274" s="63">
        <v>0.0</v>
      </c>
      <c r="AU274" s="63">
        <v>0.0</v>
      </c>
      <c r="AV274" s="63">
        <v>0.0</v>
      </c>
      <c r="AW274" s="63">
        <v>0.0</v>
      </c>
      <c r="AX274" s="63">
        <v>0.0</v>
      </c>
      <c r="AY274" s="63">
        <v>0.0</v>
      </c>
      <c r="AZ274" s="63">
        <v>0.0</v>
      </c>
      <c r="BA274" s="63">
        <v>0.0</v>
      </c>
      <c r="BB274" s="63">
        <v>0.0</v>
      </c>
      <c r="BC274" s="63">
        <v>0.0</v>
      </c>
      <c r="BD274" s="63">
        <v>0.0</v>
      </c>
      <c r="BE274" s="64">
        <v>0.0</v>
      </c>
      <c r="BF274" s="69">
        <v>0.0</v>
      </c>
      <c r="BG274" s="69">
        <v>0.0</v>
      </c>
      <c r="BH274" s="64">
        <v>0.0</v>
      </c>
      <c r="BI274" s="67" t="str">
        <f t="shared" si="78"/>
        <v>#REF!</v>
      </c>
      <c r="BJ274" s="68" t="str">
        <f t="shared" si="79"/>
        <v>#REF!</v>
      </c>
      <c r="BK274" s="69">
        <v>0.0</v>
      </c>
      <c r="BL274" s="69">
        <v>0.0</v>
      </c>
      <c r="BM274" s="64">
        <v>0.0</v>
      </c>
      <c r="BN274" s="67" t="str">
        <f t="shared" si="80"/>
        <v>#REF!</v>
      </c>
      <c r="BO274" s="68" t="str">
        <f t="shared" si="81"/>
        <v>#REF!</v>
      </c>
      <c r="BP274" s="65">
        <v>0.0</v>
      </c>
      <c r="BQ274" s="65">
        <v>0.0</v>
      </c>
      <c r="BR274" s="66">
        <v>0.0</v>
      </c>
      <c r="BS274" s="67" t="str">
        <f t="shared" si="82"/>
        <v>#REF!</v>
      </c>
      <c r="BT274" s="68" t="str">
        <f>'[1]DATA CONSOLIDADA 2018-2025 '!$BR274-Hoja1!$BO274</f>
        <v>#REF!</v>
      </c>
      <c r="BU274" s="65">
        <v>0.0</v>
      </c>
      <c r="BV274" s="65">
        <v>0.0</v>
      </c>
      <c r="BW274" s="66">
        <v>0.0</v>
      </c>
      <c r="BX274" s="67" t="str">
        <f t="shared" si="83"/>
        <v>#REF!</v>
      </c>
      <c r="BY274" s="68" t="str">
        <f t="shared" si="84"/>
        <v>#REF!</v>
      </c>
      <c r="BZ274" s="65">
        <v>0.0</v>
      </c>
      <c r="CA274" s="65">
        <v>0.0</v>
      </c>
      <c r="CB274" s="66">
        <v>0.0</v>
      </c>
      <c r="CC274" s="67" t="str">
        <f t="shared" si="85"/>
        <v>#REF!</v>
      </c>
      <c r="CD274" s="68" t="str">
        <f>'[1]DATA CONSOLIDADA 2018-2025 '!$CB274-Hoja1!$BW274</f>
        <v>#REF!</v>
      </c>
      <c r="CE274" s="70">
        <v>0.0</v>
      </c>
      <c r="CF274" s="70">
        <v>0.0</v>
      </c>
      <c r="CG274" s="71">
        <v>0.0</v>
      </c>
      <c r="CH274" s="67" t="str">
        <f t="shared" si="86"/>
        <v>#REF!</v>
      </c>
      <c r="CI274" s="68" t="str">
        <f>'[1]DATA CONSOLIDADA 2018-2025 '!$CG274-Hoja1!$CB274</f>
        <v>#REF!</v>
      </c>
      <c r="CJ274" s="64" t="str">
        <f t="shared" si="68"/>
        <v>#REF!</v>
      </c>
      <c r="CK274" s="64">
        <v>0.0</v>
      </c>
      <c r="CL274" s="64">
        <v>0.0</v>
      </c>
      <c r="CM274" s="64">
        <v>0.0</v>
      </c>
      <c r="CN274" s="64" t="str">
        <f t="shared" si="12"/>
        <v>#REF!</v>
      </c>
      <c r="CO274" s="68" t="str">
        <f>'[1]DATA CONSOLIDADA 2018-2025 '!$CM274-Hoja1!$CG274</f>
        <v>#REF!</v>
      </c>
      <c r="CP274" s="70">
        <v>0.0</v>
      </c>
      <c r="CQ274" s="70">
        <v>0.0</v>
      </c>
      <c r="CR274" s="70">
        <v>0.0</v>
      </c>
      <c r="CS274" s="70">
        <v>0.0</v>
      </c>
      <c r="CT274" s="70">
        <v>0.0</v>
      </c>
      <c r="CU274" s="70">
        <v>0.0</v>
      </c>
      <c r="CV274" s="64">
        <v>0.0</v>
      </c>
      <c r="CW274" s="64">
        <v>0.0</v>
      </c>
      <c r="CX274" s="64">
        <v>0.0</v>
      </c>
      <c r="CY274" s="64">
        <v>0.0</v>
      </c>
      <c r="CZ274" s="64">
        <v>0.0</v>
      </c>
      <c r="DA274" s="64">
        <v>0.0</v>
      </c>
      <c r="DB274" s="64">
        <v>0.0</v>
      </c>
      <c r="DC274" s="72">
        <v>0.0</v>
      </c>
      <c r="DD274" s="72">
        <v>0.0</v>
      </c>
      <c r="DE274" s="72">
        <v>0.0</v>
      </c>
      <c r="DF274" s="72">
        <v>0.0</v>
      </c>
      <c r="DG274" s="72">
        <v>0.0</v>
      </c>
      <c r="DH274" s="72">
        <v>0.0</v>
      </c>
      <c r="DI274" s="73">
        <v>2.0601022444E10</v>
      </c>
      <c r="DJ274" s="74" t="s">
        <v>1009</v>
      </c>
      <c r="DK274" s="74" t="s">
        <v>306</v>
      </c>
      <c r="DL274" s="75"/>
      <c r="DM274" s="75"/>
      <c r="DN274" s="75"/>
      <c r="DO274" s="75"/>
      <c r="DP274" s="75"/>
      <c r="DQ274" s="75"/>
      <c r="DR274" s="75"/>
      <c r="DS274" s="75"/>
      <c r="DT274" s="75"/>
      <c r="DU274" s="75"/>
      <c r="DV274" s="75"/>
      <c r="DW274" s="75"/>
      <c r="DX274" s="75"/>
      <c r="DY274" s="75"/>
      <c r="DZ274" s="75"/>
      <c r="EA274" s="75"/>
      <c r="EB274" s="75"/>
      <c r="EC274" s="75"/>
      <c r="ED274" s="75"/>
      <c r="EE274" s="75"/>
    </row>
    <row r="275" ht="47.25" hidden="1" customHeight="1">
      <c r="A275" s="55" t="s">
        <v>1010</v>
      </c>
      <c r="B275" s="55" t="s">
        <v>287</v>
      </c>
      <c r="C275" s="55" t="s">
        <v>288</v>
      </c>
      <c r="D275" s="55" t="s">
        <v>1001</v>
      </c>
      <c r="E275" s="55" t="s">
        <v>1011</v>
      </c>
      <c r="F275" s="55" t="s">
        <v>1001</v>
      </c>
      <c r="G275" s="55" t="s">
        <v>1003</v>
      </c>
      <c r="H275" s="55" t="s">
        <v>1012</v>
      </c>
      <c r="I275" s="56">
        <v>1.0</v>
      </c>
      <c r="J275" s="56"/>
      <c r="K275" s="56"/>
      <c r="L275" s="56"/>
      <c r="M275" s="56"/>
      <c r="N275" s="56"/>
      <c r="O275" s="56"/>
      <c r="P275" s="56"/>
      <c r="Q275" s="56" t="s">
        <v>131</v>
      </c>
      <c r="R275" s="58" t="str">
        <f t="shared" si="1"/>
        <v>2018</v>
      </c>
      <c r="S275" s="59" t="str">
        <f>SUM(Hoja1!$I275:$P275)</f>
        <v>1</v>
      </c>
      <c r="T275" s="59" t="str">
        <f>IF(OR(Hoja1!$J275=1,Hoja1!$K275=1,Hoja1!$L275=1,Hoja1!$M275=1,Hoja1!$N275=1,Hoja1!$O275=1,Hoja1!$P275=1),"SI","NO")</f>
        <v>NO</v>
      </c>
      <c r="U275" s="59" t="str">
        <f>IF(OR(Hoja1!$K275=1,Hoja1!$L275=1,Hoja1!$M275=1,Hoja1!$N275=1,Hoja1!$O275=1,Hoja1!$P275=1),"SI","NO")</f>
        <v>NO</v>
      </c>
      <c r="V275" s="60">
        <v>52.0</v>
      </c>
      <c r="W275" s="61">
        <v>0.0</v>
      </c>
      <c r="X275" s="61">
        <v>0.0</v>
      </c>
      <c r="Y275" s="60">
        <v>0.0</v>
      </c>
      <c r="Z275" s="61">
        <v>0.0</v>
      </c>
      <c r="AA275" s="61">
        <v>0.0</v>
      </c>
      <c r="AB275" s="60">
        <v>0.0</v>
      </c>
      <c r="AC275" s="61">
        <v>0.0</v>
      </c>
      <c r="AD275" s="61">
        <v>0.0</v>
      </c>
      <c r="AE275" s="60">
        <v>0.0</v>
      </c>
      <c r="AF275" s="61">
        <v>0.0</v>
      </c>
      <c r="AG275" s="61">
        <v>0.0</v>
      </c>
      <c r="AH275" s="60">
        <v>0.0</v>
      </c>
      <c r="AI275" s="61">
        <v>0.0</v>
      </c>
      <c r="AJ275" s="61">
        <v>0.0</v>
      </c>
      <c r="AK275" s="60">
        <v>0.0</v>
      </c>
      <c r="AL275" s="61">
        <v>0.0</v>
      </c>
      <c r="AM275" s="61">
        <v>0.0</v>
      </c>
      <c r="AN275" s="60">
        <v>0.0</v>
      </c>
      <c r="AO275" s="62">
        <v>0.0</v>
      </c>
      <c r="AP275" s="62">
        <v>0.0</v>
      </c>
      <c r="AQ275" s="60">
        <v>0.0</v>
      </c>
      <c r="AR275" s="60" t="str">
        <f>IF(Hoja1!$AQ275&gt;0,Hoja1!$AQ275,IF(Hoja1!$AN275&gt;0,Hoja1!$AN275,IF(Hoja1!$AK275&gt;0,Hoja1!$AK275,IF(Hoja1!$AH275&gt;0,Hoja1!$AH275,IF(Hoja1!$AE275&gt;0,Hoja1!$AE275,IF(Hoja1!$AB275&gt;0,Hoja1!$AB275,IF(Hoja1!$Y275&gt;0,Hoja1!$Y275,IF(Hoja1!$V275&gt;0,Hoja1!$V275," ---"))))))))</f>
        <v>52</v>
      </c>
      <c r="AS275" s="63">
        <v>0.0</v>
      </c>
      <c r="AT275" s="63">
        <v>0.0</v>
      </c>
      <c r="AU275" s="63">
        <v>0.0</v>
      </c>
      <c r="AV275" s="63">
        <v>0.0</v>
      </c>
      <c r="AW275" s="63">
        <v>0.0</v>
      </c>
      <c r="AX275" s="63">
        <v>0.0</v>
      </c>
      <c r="AY275" s="63">
        <v>0.0</v>
      </c>
      <c r="AZ275" s="63">
        <v>0.0</v>
      </c>
      <c r="BA275" s="63">
        <v>0.0</v>
      </c>
      <c r="BB275" s="63">
        <v>0.0</v>
      </c>
      <c r="BC275" s="63">
        <v>0.0</v>
      </c>
      <c r="BD275" s="63">
        <v>0.0</v>
      </c>
      <c r="BE275" s="64">
        <v>0.0</v>
      </c>
      <c r="BF275" s="69">
        <v>0.0</v>
      </c>
      <c r="BG275" s="69">
        <v>0.0</v>
      </c>
      <c r="BH275" s="64">
        <v>0.0</v>
      </c>
      <c r="BI275" s="67" t="str">
        <f t="shared" si="78"/>
        <v>#REF!</v>
      </c>
      <c r="BJ275" s="68" t="str">
        <f t="shared" si="79"/>
        <v>#REF!</v>
      </c>
      <c r="BK275" s="69">
        <v>0.0</v>
      </c>
      <c r="BL275" s="69">
        <v>0.0</v>
      </c>
      <c r="BM275" s="64">
        <v>0.0</v>
      </c>
      <c r="BN275" s="67" t="str">
        <f t="shared" si="80"/>
        <v>#REF!</v>
      </c>
      <c r="BO275" s="68" t="str">
        <f t="shared" si="81"/>
        <v>#REF!</v>
      </c>
      <c r="BP275" s="65">
        <v>0.0</v>
      </c>
      <c r="BQ275" s="65">
        <v>0.0</v>
      </c>
      <c r="BR275" s="66">
        <v>0.0</v>
      </c>
      <c r="BS275" s="67" t="str">
        <f t="shared" si="82"/>
        <v>#REF!</v>
      </c>
      <c r="BT275" s="68" t="str">
        <f>'[1]DATA CONSOLIDADA 2018-2025 '!$BR275-Hoja1!$BO275</f>
        <v>#REF!</v>
      </c>
      <c r="BU275" s="65">
        <v>0.0</v>
      </c>
      <c r="BV275" s="65">
        <v>0.0</v>
      </c>
      <c r="BW275" s="66">
        <v>0.0</v>
      </c>
      <c r="BX275" s="67" t="str">
        <f t="shared" si="83"/>
        <v>#REF!</v>
      </c>
      <c r="BY275" s="68" t="str">
        <f t="shared" si="84"/>
        <v>#REF!</v>
      </c>
      <c r="BZ275" s="65">
        <v>0.0</v>
      </c>
      <c r="CA275" s="65">
        <v>0.0</v>
      </c>
      <c r="CB275" s="66">
        <v>0.0</v>
      </c>
      <c r="CC275" s="67" t="str">
        <f t="shared" si="85"/>
        <v>#REF!</v>
      </c>
      <c r="CD275" s="68" t="str">
        <f>'[1]DATA CONSOLIDADA 2018-2025 '!$CB275-Hoja1!$BW275</f>
        <v>#REF!</v>
      </c>
      <c r="CE275" s="70">
        <v>0.0</v>
      </c>
      <c r="CF275" s="70">
        <v>0.0</v>
      </c>
      <c r="CG275" s="71">
        <v>0.0</v>
      </c>
      <c r="CH275" s="67" t="str">
        <f t="shared" si="86"/>
        <v>#REF!</v>
      </c>
      <c r="CI275" s="68" t="str">
        <f>'[1]DATA CONSOLIDADA 2018-2025 '!$CG275-Hoja1!$CB275</f>
        <v>#REF!</v>
      </c>
      <c r="CJ275" s="64" t="str">
        <f t="shared" si="68"/>
        <v>#REF!</v>
      </c>
      <c r="CK275" s="64">
        <v>0.0</v>
      </c>
      <c r="CL275" s="64">
        <v>0.0</v>
      </c>
      <c r="CM275" s="64">
        <v>0.0</v>
      </c>
      <c r="CN275" s="64" t="str">
        <f t="shared" si="12"/>
        <v>#REF!</v>
      </c>
      <c r="CO275" s="68" t="str">
        <f>'[1]DATA CONSOLIDADA 2018-2025 '!$CM275-Hoja1!$CG275</f>
        <v>#REF!</v>
      </c>
      <c r="CP275" s="70">
        <v>0.0</v>
      </c>
      <c r="CQ275" s="70">
        <v>0.0</v>
      </c>
      <c r="CR275" s="70">
        <v>0.0</v>
      </c>
      <c r="CS275" s="70">
        <v>0.0</v>
      </c>
      <c r="CT275" s="70">
        <v>0.0</v>
      </c>
      <c r="CU275" s="70">
        <v>0.0</v>
      </c>
      <c r="CV275" s="64">
        <v>0.0</v>
      </c>
      <c r="CW275" s="64">
        <v>0.0</v>
      </c>
      <c r="CX275" s="64">
        <v>0.0</v>
      </c>
      <c r="CY275" s="64">
        <v>0.0</v>
      </c>
      <c r="CZ275" s="64">
        <v>0.0</v>
      </c>
      <c r="DA275" s="64">
        <v>0.0</v>
      </c>
      <c r="DB275" s="64">
        <v>0.0</v>
      </c>
      <c r="DC275" s="72">
        <v>0.0</v>
      </c>
      <c r="DD275" s="72">
        <v>0.0</v>
      </c>
      <c r="DE275" s="72">
        <v>0.0</v>
      </c>
      <c r="DF275" s="72">
        <v>0.0</v>
      </c>
      <c r="DG275" s="72">
        <v>0.0</v>
      </c>
      <c r="DH275" s="72">
        <v>0.0</v>
      </c>
      <c r="DI275" s="73">
        <v>2.054261748E10</v>
      </c>
      <c r="DJ275" s="74" t="s">
        <v>1013</v>
      </c>
      <c r="DK275" s="74" t="s">
        <v>306</v>
      </c>
      <c r="DL275" s="75"/>
      <c r="DM275" s="75"/>
      <c r="DN275" s="75"/>
      <c r="DO275" s="75"/>
      <c r="DP275" s="75"/>
      <c r="DQ275" s="75"/>
      <c r="DR275" s="75"/>
      <c r="DS275" s="75"/>
      <c r="DT275" s="75"/>
      <c r="DU275" s="75"/>
      <c r="DV275" s="75"/>
      <c r="DW275" s="75"/>
      <c r="DX275" s="75"/>
      <c r="DY275" s="75"/>
      <c r="DZ275" s="75"/>
      <c r="EA275" s="75"/>
      <c r="EB275" s="75"/>
      <c r="EC275" s="75"/>
      <c r="ED275" s="75"/>
      <c r="EE275" s="75"/>
    </row>
    <row r="276" ht="47.25" hidden="1" customHeight="1">
      <c r="A276" s="55" t="s">
        <v>1014</v>
      </c>
      <c r="B276" s="55" t="s">
        <v>236</v>
      </c>
      <c r="C276" s="55" t="s">
        <v>237</v>
      </c>
      <c r="D276" s="55" t="s">
        <v>1001</v>
      </c>
      <c r="E276" s="55" t="s">
        <v>1015</v>
      </c>
      <c r="F276" s="55" t="s">
        <v>1001</v>
      </c>
      <c r="G276" s="55" t="s">
        <v>1007</v>
      </c>
      <c r="H276" s="55" t="s">
        <v>1016</v>
      </c>
      <c r="I276" s="56">
        <v>1.0</v>
      </c>
      <c r="J276" s="56">
        <v>1.0</v>
      </c>
      <c r="K276" s="56">
        <v>1.0</v>
      </c>
      <c r="L276" s="56">
        <v>1.0</v>
      </c>
      <c r="M276" s="56">
        <v>1.0</v>
      </c>
      <c r="N276" s="56">
        <v>1.0</v>
      </c>
      <c r="O276" s="56">
        <v>1.0</v>
      </c>
      <c r="P276" s="56">
        <v>1.0</v>
      </c>
      <c r="Q276" s="56" t="s">
        <v>131</v>
      </c>
      <c r="R276" s="58" t="str">
        <f t="shared" si="1"/>
        <v>2018-2019-2020-2021-2022-2023-2024 - 2025</v>
      </c>
      <c r="S276" s="59" t="str">
        <f>SUM(Hoja1!$I276:$P276)</f>
        <v>8</v>
      </c>
      <c r="T276" s="59" t="str">
        <f>IF(OR(Hoja1!$J276=1,Hoja1!$K276=1,Hoja1!$L276=1,Hoja1!$M276=1,Hoja1!$N276=1,Hoja1!$O276=1,Hoja1!$P276=1),"SI","NO")</f>
        <v>SI</v>
      </c>
      <c r="U276" s="59" t="str">
        <f>IF(OR(Hoja1!$K276=1,Hoja1!$L276=1,Hoja1!$M276=1,Hoja1!$N276=1,Hoja1!$O276=1,Hoja1!$P276=1),"SI","NO")</f>
        <v>SI</v>
      </c>
      <c r="V276" s="60">
        <v>140.0</v>
      </c>
      <c r="W276" s="61">
        <v>77.0</v>
      </c>
      <c r="X276" s="61">
        <v>117.0</v>
      </c>
      <c r="Y276" s="60">
        <v>194.0</v>
      </c>
      <c r="Z276" s="61">
        <v>69.0</v>
      </c>
      <c r="AA276" s="61">
        <v>110.0</v>
      </c>
      <c r="AB276" s="60">
        <v>179.0</v>
      </c>
      <c r="AC276" s="61">
        <v>69.0</v>
      </c>
      <c r="AD276" s="61">
        <v>110.0</v>
      </c>
      <c r="AE276" s="60">
        <v>179.0</v>
      </c>
      <c r="AF276" s="61">
        <v>69.0</v>
      </c>
      <c r="AG276" s="61">
        <v>110.0</v>
      </c>
      <c r="AH276" s="60">
        <v>179.0</v>
      </c>
      <c r="AI276" s="61">
        <v>69.0</v>
      </c>
      <c r="AJ276" s="61">
        <v>110.0</v>
      </c>
      <c r="AK276" s="60">
        <v>179.0</v>
      </c>
      <c r="AL276" s="61">
        <v>52.0</v>
      </c>
      <c r="AM276" s="61">
        <v>124.0</v>
      </c>
      <c r="AN276" s="60">
        <v>176.0</v>
      </c>
      <c r="AO276" s="62">
        <v>60.0</v>
      </c>
      <c r="AP276" s="62">
        <v>110.0</v>
      </c>
      <c r="AQ276" s="60">
        <v>170.0</v>
      </c>
      <c r="AR276" s="60" t="str">
        <f>IF(Hoja1!$AQ276&gt;0,Hoja1!$AQ276,IF(Hoja1!$AN276&gt;0,Hoja1!$AN276,IF(Hoja1!$AK276&gt;0,Hoja1!$AK276,IF(Hoja1!$AH276&gt;0,Hoja1!$AH276,IF(Hoja1!$AE276&gt;0,Hoja1!$AE276,IF(Hoja1!$AB276&gt;0,Hoja1!$AB276,IF(Hoja1!$Y276&gt;0,Hoja1!$Y276,IF(Hoja1!$V276&gt;0,Hoja1!$V276," ---"))))))))</f>
        <v>170</v>
      </c>
      <c r="AS276" s="63">
        <v>11.0</v>
      </c>
      <c r="AT276" s="63">
        <v>7.0</v>
      </c>
      <c r="AU276" s="63">
        <v>77.0</v>
      </c>
      <c r="AV276" s="63">
        <v>10.0</v>
      </c>
      <c r="AW276" s="63">
        <v>48.0</v>
      </c>
      <c r="AX276" s="63">
        <v>8.0</v>
      </c>
      <c r="AY276" s="63">
        <v>112.0</v>
      </c>
      <c r="AZ276" s="63">
        <v>6.0</v>
      </c>
      <c r="BA276" s="63">
        <v>140.0</v>
      </c>
      <c r="BB276" s="63">
        <v>8.0</v>
      </c>
      <c r="BC276" s="63">
        <v>77.0</v>
      </c>
      <c r="BD276" s="63">
        <v>1.0</v>
      </c>
      <c r="BE276" s="66">
        <v>340680.0</v>
      </c>
      <c r="BF276" s="65">
        <v>672981.21</v>
      </c>
      <c r="BG276" s="65">
        <v>0.0</v>
      </c>
      <c r="BH276" s="66">
        <v>672981.21</v>
      </c>
      <c r="BI276" s="67" t="str">
        <f t="shared" si="78"/>
        <v>#REF!</v>
      </c>
      <c r="BJ276" s="68" t="str">
        <f t="shared" si="79"/>
        <v>#REF!</v>
      </c>
      <c r="BK276" s="65">
        <v>1165974.12</v>
      </c>
      <c r="BL276" s="65">
        <v>0.0</v>
      </c>
      <c r="BM276" s="66">
        <v>1165974.12</v>
      </c>
      <c r="BN276" s="67" t="str">
        <f t="shared" si="80"/>
        <v>#REF!</v>
      </c>
      <c r="BO276" s="68" t="str">
        <f t="shared" si="81"/>
        <v>#REF!</v>
      </c>
      <c r="BP276" s="65">
        <v>758037.66</v>
      </c>
      <c r="BQ276" s="65">
        <v>0.0</v>
      </c>
      <c r="BR276" s="66">
        <v>758037.66</v>
      </c>
      <c r="BS276" s="67" t="str">
        <f t="shared" si="82"/>
        <v>#REF!</v>
      </c>
      <c r="BT276" s="68" t="str">
        <f>'[1]DATA CONSOLIDADA 2018-2025 '!$BR276-Hoja1!$BO276</f>
        <v>#REF!</v>
      </c>
      <c r="BU276" s="65">
        <v>1408311.36</v>
      </c>
      <c r="BV276" s="65">
        <v>0.0</v>
      </c>
      <c r="BW276" s="66">
        <v>1408311.36</v>
      </c>
      <c r="BX276" s="67" t="str">
        <f t="shared" si="83"/>
        <v>#REF!</v>
      </c>
      <c r="BY276" s="68" t="str">
        <f t="shared" si="84"/>
        <v>#REF!</v>
      </c>
      <c r="BZ276" s="65">
        <v>1065685.4</v>
      </c>
      <c r="CA276" s="65">
        <v>0.0</v>
      </c>
      <c r="CB276" s="66">
        <v>1065685.4</v>
      </c>
      <c r="CC276" s="67" t="str">
        <f t="shared" si="85"/>
        <v>#REF!</v>
      </c>
      <c r="CD276" s="68" t="str">
        <f>'[1]DATA CONSOLIDADA 2018-2025 '!$CB276-Hoja1!$BW276</f>
        <v>#REF!</v>
      </c>
      <c r="CE276" s="70">
        <v>1417638.7956</v>
      </c>
      <c r="CF276" s="70">
        <v>0.0</v>
      </c>
      <c r="CG276" s="71">
        <v>1417638.7956</v>
      </c>
      <c r="CH276" s="67" t="str">
        <f t="shared" si="86"/>
        <v>#REF!</v>
      </c>
      <c r="CI276" s="68" t="str">
        <f>'[1]DATA CONSOLIDADA 2018-2025 '!$CG276-Hoja1!$CB276</f>
        <v>#REF!</v>
      </c>
      <c r="CJ276" s="64" t="str">
        <f t="shared" si="68"/>
        <v>#REF!</v>
      </c>
      <c r="CK276" s="64">
        <v>659739.7829999999</v>
      </c>
      <c r="CL276" s="64">
        <v>0.0</v>
      </c>
      <c r="CM276" s="64">
        <v>659739.7829999999</v>
      </c>
      <c r="CN276" s="64" t="str">
        <f t="shared" si="12"/>
        <v>#REF!</v>
      </c>
      <c r="CO276" s="68" t="str">
        <f>'[1]DATA CONSOLIDADA 2018-2025 '!$CM276-Hoja1!$CG276</f>
        <v>#REF!</v>
      </c>
      <c r="CP276" s="70">
        <v>0.0</v>
      </c>
      <c r="CQ276" s="70">
        <v>0.0</v>
      </c>
      <c r="CR276" s="70">
        <v>0.0</v>
      </c>
      <c r="CS276" s="70">
        <v>1065689.4</v>
      </c>
      <c r="CT276" s="70">
        <v>0.0</v>
      </c>
      <c r="CU276" s="70">
        <v>0.0</v>
      </c>
      <c r="CV276" s="64">
        <v>1065689.4</v>
      </c>
      <c r="CW276" s="64">
        <v>240.0</v>
      </c>
      <c r="CX276" s="64">
        <v>0.0</v>
      </c>
      <c r="CY276" s="64">
        <v>1417398.7956</v>
      </c>
      <c r="CZ276" s="64">
        <v>0.0</v>
      </c>
      <c r="DA276" s="64">
        <v>0.0</v>
      </c>
      <c r="DB276" s="64">
        <v>1417638.7956</v>
      </c>
      <c r="DC276" s="72">
        <v>0.0</v>
      </c>
      <c r="DD276" s="72">
        <v>476664.41</v>
      </c>
      <c r="DE276" s="72">
        <v>183075.373</v>
      </c>
      <c r="DF276" s="72">
        <v>0.0</v>
      </c>
      <c r="DG276" s="72">
        <v>0.0</v>
      </c>
      <c r="DH276" s="72">
        <v>659739.7829999999</v>
      </c>
      <c r="DI276" s="73">
        <v>2.0600801661E10</v>
      </c>
      <c r="DJ276" s="74" t="s">
        <v>1014</v>
      </c>
      <c r="DK276" s="74" t="s">
        <v>132</v>
      </c>
      <c r="DL276" s="75"/>
      <c r="DM276" s="75"/>
      <c r="DN276" s="75"/>
      <c r="DO276" s="75"/>
      <c r="DP276" s="75"/>
      <c r="DQ276" s="75"/>
      <c r="DR276" s="75"/>
      <c r="DS276" s="75"/>
      <c r="DT276" s="75"/>
      <c r="DU276" s="75"/>
      <c r="DV276" s="75"/>
      <c r="DW276" s="75"/>
      <c r="DX276" s="75"/>
      <c r="DY276" s="75"/>
      <c r="DZ276" s="75"/>
      <c r="EA276" s="75"/>
      <c r="EB276" s="75"/>
      <c r="EC276" s="75"/>
      <c r="ED276" s="75"/>
      <c r="EE276" s="75"/>
    </row>
    <row r="277" ht="47.25" hidden="1" customHeight="1">
      <c r="A277" s="55" t="s">
        <v>1017</v>
      </c>
      <c r="B277" s="55" t="s">
        <v>236</v>
      </c>
      <c r="C277" s="55" t="s">
        <v>237</v>
      </c>
      <c r="D277" s="55" t="s">
        <v>1001</v>
      </c>
      <c r="E277" s="55" t="s">
        <v>1018</v>
      </c>
      <c r="F277" s="55" t="s">
        <v>1001</v>
      </c>
      <c r="G277" s="55" t="s">
        <v>1001</v>
      </c>
      <c r="H277" s="55" t="s">
        <v>1001</v>
      </c>
      <c r="I277" s="56">
        <v>1.0</v>
      </c>
      <c r="J277" s="56">
        <v>1.0</v>
      </c>
      <c r="K277" s="56">
        <v>1.0</v>
      </c>
      <c r="L277" s="56">
        <v>1.0</v>
      </c>
      <c r="M277" s="56">
        <v>1.0</v>
      </c>
      <c r="N277" s="56">
        <v>1.0</v>
      </c>
      <c r="O277" s="56"/>
      <c r="P277" s="56"/>
      <c r="Q277" s="56" t="s">
        <v>131</v>
      </c>
      <c r="R277" s="58" t="str">
        <f t="shared" si="1"/>
        <v>2018-2019-2020-2021-2022-2023</v>
      </c>
      <c r="S277" s="59" t="str">
        <f>SUM(Hoja1!$I277:$P277)</f>
        <v>6</v>
      </c>
      <c r="T277" s="59" t="str">
        <f>IF(OR(Hoja1!$J277=1,Hoja1!$K277=1,Hoja1!$L277=1,Hoja1!$M277=1,Hoja1!$N277=1,Hoja1!$O277=1,Hoja1!$P277=1),"SI","NO")</f>
        <v>SI</v>
      </c>
      <c r="U277" s="59" t="str">
        <f>IF(OR(Hoja1!$K277=1,Hoja1!$L277=1,Hoja1!$M277=1,Hoja1!$N277=1,Hoja1!$O277=1,Hoja1!$P277=1),"SI","NO")</f>
        <v>SI</v>
      </c>
      <c r="V277" s="60">
        <v>96.0</v>
      </c>
      <c r="W277" s="61">
        <v>144.0</v>
      </c>
      <c r="X277" s="61">
        <v>264.0</v>
      </c>
      <c r="Y277" s="60">
        <v>408.0</v>
      </c>
      <c r="Z277" s="61">
        <v>138.0</v>
      </c>
      <c r="AA277" s="61">
        <v>259.0</v>
      </c>
      <c r="AB277" s="60">
        <v>397.0</v>
      </c>
      <c r="AC277" s="61">
        <v>138.0</v>
      </c>
      <c r="AD277" s="61">
        <v>259.0</v>
      </c>
      <c r="AE277" s="60">
        <v>397.0</v>
      </c>
      <c r="AF277" s="61">
        <v>138.0</v>
      </c>
      <c r="AG277" s="61">
        <v>259.0</v>
      </c>
      <c r="AH277" s="60">
        <v>397.0</v>
      </c>
      <c r="AI277" s="61">
        <v>138.0</v>
      </c>
      <c r="AJ277" s="61">
        <v>259.0</v>
      </c>
      <c r="AK277" s="60">
        <v>397.0</v>
      </c>
      <c r="AL277" s="61">
        <v>0.0</v>
      </c>
      <c r="AM277" s="61">
        <v>0.0</v>
      </c>
      <c r="AN277" s="60">
        <v>0.0</v>
      </c>
      <c r="AO277" s="62">
        <v>0.0</v>
      </c>
      <c r="AP277" s="62">
        <v>0.0</v>
      </c>
      <c r="AQ277" s="60">
        <v>0.0</v>
      </c>
      <c r="AR277" s="60" t="str">
        <f>IF(Hoja1!$AQ277&gt;0,Hoja1!$AQ277,IF(Hoja1!$AN277&gt;0,Hoja1!$AN277,IF(Hoja1!$AK277&gt;0,Hoja1!$AK277,IF(Hoja1!$AH277&gt;0,Hoja1!$AH277,IF(Hoja1!$AE277&gt;0,Hoja1!$AE277,IF(Hoja1!$AB277&gt;0,Hoja1!$AB277,IF(Hoja1!$Y277&gt;0,Hoja1!$Y277,IF(Hoja1!$V277&gt;0,Hoja1!$V277," ---"))))))))</f>
        <v>397</v>
      </c>
      <c r="AS277" s="63">
        <v>0.0</v>
      </c>
      <c r="AT277" s="63">
        <v>1.0</v>
      </c>
      <c r="AU277" s="63">
        <v>86.0</v>
      </c>
      <c r="AV277" s="63">
        <v>14.0</v>
      </c>
      <c r="AW277" s="63">
        <v>55.0</v>
      </c>
      <c r="AX277" s="63">
        <v>6.0</v>
      </c>
      <c r="AY277" s="63">
        <v>81.0</v>
      </c>
      <c r="AZ277" s="63">
        <v>2.0</v>
      </c>
      <c r="BA277" s="63">
        <v>0.0</v>
      </c>
      <c r="BB277" s="63">
        <v>0.0</v>
      </c>
      <c r="BC277" s="63">
        <v>0.0</v>
      </c>
      <c r="BD277" s="63">
        <v>0.0</v>
      </c>
      <c r="BE277" s="64">
        <v>0.0</v>
      </c>
      <c r="BF277" s="65">
        <v>0.0</v>
      </c>
      <c r="BG277" s="65">
        <v>0.0</v>
      </c>
      <c r="BH277" s="66">
        <v>0.0</v>
      </c>
      <c r="BI277" s="67" t="str">
        <f t="shared" si="78"/>
        <v>#REF!</v>
      </c>
      <c r="BJ277" s="68" t="str">
        <f t="shared" si="79"/>
        <v>#REF!</v>
      </c>
      <c r="BK277" s="65">
        <v>655290.02</v>
      </c>
      <c r="BL277" s="65">
        <v>0.0</v>
      </c>
      <c r="BM277" s="66">
        <v>655290.02</v>
      </c>
      <c r="BN277" s="67" t="str">
        <f t="shared" si="80"/>
        <v>#REF!</v>
      </c>
      <c r="BO277" s="68" t="str">
        <f t="shared" si="81"/>
        <v>#REF!</v>
      </c>
      <c r="BP277" s="65">
        <v>252200.69</v>
      </c>
      <c r="BQ277" s="65">
        <v>0.0</v>
      </c>
      <c r="BR277" s="66">
        <v>252200.69</v>
      </c>
      <c r="BS277" s="67" t="str">
        <f t="shared" si="82"/>
        <v>#REF!</v>
      </c>
      <c r="BT277" s="68" t="str">
        <f>'[1]DATA CONSOLIDADA 2018-2025 '!$BR277-Hoja1!$BO277</f>
        <v>#REF!</v>
      </c>
      <c r="BU277" s="65">
        <v>386657.21</v>
      </c>
      <c r="BV277" s="65">
        <v>0.0</v>
      </c>
      <c r="BW277" s="66">
        <v>386657.21</v>
      </c>
      <c r="BX277" s="67" t="str">
        <f t="shared" si="83"/>
        <v>#REF!</v>
      </c>
      <c r="BY277" s="68" t="str">
        <f t="shared" si="84"/>
        <v>#REF!</v>
      </c>
      <c r="BZ277" s="65">
        <v>152515.0</v>
      </c>
      <c r="CA277" s="65">
        <v>0.0</v>
      </c>
      <c r="CB277" s="66">
        <v>152515.0</v>
      </c>
      <c r="CC277" s="67" t="str">
        <f t="shared" si="85"/>
        <v>#REF!</v>
      </c>
      <c r="CD277" s="68" t="str">
        <f>'[1]DATA CONSOLIDADA 2018-2025 '!$CB277-Hoja1!$BW277</f>
        <v>#REF!</v>
      </c>
      <c r="CE277" s="70">
        <v>0.0</v>
      </c>
      <c r="CF277" s="70">
        <v>0.0</v>
      </c>
      <c r="CG277" s="71">
        <v>0.0</v>
      </c>
      <c r="CH277" s="67" t="str">
        <f t="shared" si="86"/>
        <v>#REF!</v>
      </c>
      <c r="CI277" s="68" t="str">
        <f>'[1]DATA CONSOLIDADA 2018-2025 '!$CG277-Hoja1!$CB277</f>
        <v>#REF!</v>
      </c>
      <c r="CJ277" s="64" t="str">
        <f t="shared" si="68"/>
        <v>#REF!</v>
      </c>
      <c r="CK277" s="64">
        <v>0.0</v>
      </c>
      <c r="CL277" s="64">
        <v>0.0</v>
      </c>
      <c r="CM277" s="64">
        <v>0.0</v>
      </c>
      <c r="CN277" s="64" t="str">
        <f t="shared" si="12"/>
        <v>#REF!</v>
      </c>
      <c r="CO277" s="68" t="str">
        <f>'[1]DATA CONSOLIDADA 2018-2025 '!$CM277-Hoja1!$CG277</f>
        <v>#REF!</v>
      </c>
      <c r="CP277" s="70">
        <v>0.0</v>
      </c>
      <c r="CQ277" s="70">
        <v>0.0</v>
      </c>
      <c r="CR277" s="70">
        <v>0.0</v>
      </c>
      <c r="CS277" s="70">
        <v>152515.0</v>
      </c>
      <c r="CT277" s="70">
        <v>0.0</v>
      </c>
      <c r="CU277" s="70">
        <v>0.0</v>
      </c>
      <c r="CV277" s="64">
        <v>152515.0</v>
      </c>
      <c r="CW277" s="64">
        <v>0.0</v>
      </c>
      <c r="CX277" s="64">
        <v>0.0</v>
      </c>
      <c r="CY277" s="64">
        <v>0.0</v>
      </c>
      <c r="CZ277" s="64">
        <v>0.0</v>
      </c>
      <c r="DA277" s="64">
        <v>0.0</v>
      </c>
      <c r="DB277" s="64">
        <v>0.0</v>
      </c>
      <c r="DC277" s="72">
        <v>0.0</v>
      </c>
      <c r="DD277" s="72">
        <v>0.0</v>
      </c>
      <c r="DE277" s="72">
        <v>0.0</v>
      </c>
      <c r="DF277" s="72">
        <v>0.0</v>
      </c>
      <c r="DG277" s="72">
        <v>0.0</v>
      </c>
      <c r="DH277" s="72">
        <v>0.0</v>
      </c>
      <c r="DI277" s="73">
        <v>2.0600483073E10</v>
      </c>
      <c r="DJ277" s="74" t="s">
        <v>1019</v>
      </c>
      <c r="DK277" s="74" t="s">
        <v>132</v>
      </c>
      <c r="DL277" s="75"/>
      <c r="DM277" s="75"/>
      <c r="DN277" s="75"/>
      <c r="DO277" s="75"/>
      <c r="DP277" s="75"/>
      <c r="DQ277" s="75"/>
      <c r="DR277" s="75"/>
      <c r="DS277" s="75"/>
      <c r="DT277" s="75"/>
      <c r="DU277" s="75"/>
      <c r="DV277" s="75"/>
      <c r="DW277" s="75"/>
      <c r="DX277" s="75"/>
      <c r="DY277" s="75"/>
      <c r="DZ277" s="75"/>
      <c r="EA277" s="75"/>
      <c r="EB277" s="75"/>
      <c r="EC277" s="75"/>
      <c r="ED277" s="75"/>
      <c r="EE277" s="75"/>
    </row>
    <row r="278" ht="47.25" hidden="1" customHeight="1">
      <c r="A278" s="55" t="s">
        <v>1020</v>
      </c>
      <c r="B278" s="55" t="s">
        <v>236</v>
      </c>
      <c r="C278" s="55" t="s">
        <v>237</v>
      </c>
      <c r="D278" s="55" t="s">
        <v>1001</v>
      </c>
      <c r="E278" s="55" t="s">
        <v>1015</v>
      </c>
      <c r="F278" s="55" t="s">
        <v>1001</v>
      </c>
      <c r="G278" s="55" t="s">
        <v>1007</v>
      </c>
      <c r="H278" s="55" t="s">
        <v>1016</v>
      </c>
      <c r="I278" s="56"/>
      <c r="J278" s="56">
        <v>1.0</v>
      </c>
      <c r="K278" s="56">
        <v>1.0</v>
      </c>
      <c r="L278" s="56">
        <v>1.0</v>
      </c>
      <c r="M278" s="56">
        <v>1.0</v>
      </c>
      <c r="N278" s="56">
        <v>1.0</v>
      </c>
      <c r="O278" s="56"/>
      <c r="P278" s="56"/>
      <c r="Q278" s="56" t="s">
        <v>131</v>
      </c>
      <c r="R278" s="58" t="str">
        <f t="shared" si="1"/>
        <v>2019-2020-2021-2022-2023</v>
      </c>
      <c r="S278" s="59" t="str">
        <f>SUM(Hoja1!$I278:$P278)</f>
        <v>5</v>
      </c>
      <c r="T278" s="59" t="str">
        <f>IF(OR(Hoja1!$J278=1,Hoja1!$K278=1,Hoja1!$L278=1,Hoja1!$M278=1,Hoja1!$N278=1,Hoja1!$O278=1,Hoja1!$P278=1),"SI","NO")</f>
        <v>SI</v>
      </c>
      <c r="U278" s="59" t="str">
        <f>IF(OR(Hoja1!$K278=1,Hoja1!$L278=1,Hoja1!$M278=1,Hoja1!$N278=1,Hoja1!$O278=1,Hoja1!$P278=1),"SI","NO")</f>
        <v>SI</v>
      </c>
      <c r="V278" s="60">
        <v>0.0</v>
      </c>
      <c r="W278" s="61">
        <v>180.0</v>
      </c>
      <c r="X278" s="61">
        <v>393.0</v>
      </c>
      <c r="Y278" s="60">
        <v>573.0</v>
      </c>
      <c r="Z278" s="61">
        <v>173.0</v>
      </c>
      <c r="AA278" s="61">
        <v>394.0</v>
      </c>
      <c r="AB278" s="60">
        <v>567.0</v>
      </c>
      <c r="AC278" s="61">
        <v>173.0</v>
      </c>
      <c r="AD278" s="61">
        <v>394.0</v>
      </c>
      <c r="AE278" s="60">
        <v>567.0</v>
      </c>
      <c r="AF278" s="61">
        <v>173.0</v>
      </c>
      <c r="AG278" s="61">
        <v>394.0</v>
      </c>
      <c r="AH278" s="60">
        <v>567.0</v>
      </c>
      <c r="AI278" s="61">
        <v>173.0</v>
      </c>
      <c r="AJ278" s="61">
        <v>394.0</v>
      </c>
      <c r="AK278" s="60">
        <v>567.0</v>
      </c>
      <c r="AL278" s="61">
        <v>0.0</v>
      </c>
      <c r="AM278" s="61">
        <v>0.0</v>
      </c>
      <c r="AN278" s="60">
        <v>0.0</v>
      </c>
      <c r="AO278" s="62">
        <v>0.0</v>
      </c>
      <c r="AP278" s="62">
        <v>0.0</v>
      </c>
      <c r="AQ278" s="60">
        <v>0.0</v>
      </c>
      <c r="AR278" s="60" t="str">
        <f>IF(Hoja1!$AQ278&gt;0,Hoja1!$AQ278,IF(Hoja1!$AN278&gt;0,Hoja1!$AN278,IF(Hoja1!$AK278&gt;0,Hoja1!$AK278,IF(Hoja1!$AH278&gt;0,Hoja1!$AH278,IF(Hoja1!$AE278&gt;0,Hoja1!$AE278,IF(Hoja1!$AB278&gt;0,Hoja1!$AB278,IF(Hoja1!$Y278&gt;0,Hoja1!$Y278,IF(Hoja1!$V278&gt;0,Hoja1!$V278," ---"))))))))</f>
        <v>567</v>
      </c>
      <c r="AS278" s="63">
        <v>1.0</v>
      </c>
      <c r="AT278" s="63">
        <v>7.0</v>
      </c>
      <c r="AU278" s="63">
        <v>123.0</v>
      </c>
      <c r="AV278" s="63">
        <v>12.0</v>
      </c>
      <c r="AW278" s="63">
        <v>63.0</v>
      </c>
      <c r="AX278" s="63">
        <v>6.0</v>
      </c>
      <c r="AY278" s="63">
        <v>90.0</v>
      </c>
      <c r="AZ278" s="63">
        <v>4.0</v>
      </c>
      <c r="BA278" s="63">
        <v>0.0</v>
      </c>
      <c r="BB278" s="63">
        <v>0.0</v>
      </c>
      <c r="BC278" s="63">
        <v>0.0</v>
      </c>
      <c r="BD278" s="63">
        <v>0.0</v>
      </c>
      <c r="BE278" s="64">
        <v>0.0</v>
      </c>
      <c r="BF278" s="65">
        <v>1608068.61</v>
      </c>
      <c r="BG278" s="65">
        <v>1064848.03</v>
      </c>
      <c r="BH278" s="66">
        <v>2672916.64</v>
      </c>
      <c r="BI278" s="67" t="str">
        <f t="shared" si="78"/>
        <v>#REF!</v>
      </c>
      <c r="BJ278" s="68" t="str">
        <f t="shared" si="79"/>
        <v>#REF!</v>
      </c>
      <c r="BK278" s="65">
        <v>798737.28</v>
      </c>
      <c r="BL278" s="65">
        <v>1443589.54</v>
      </c>
      <c r="BM278" s="66">
        <v>2242326.8200000003</v>
      </c>
      <c r="BN278" s="67" t="str">
        <f t="shared" si="80"/>
        <v>#REF!</v>
      </c>
      <c r="BO278" s="68" t="str">
        <f t="shared" si="81"/>
        <v>#REF!</v>
      </c>
      <c r="BP278" s="65">
        <v>2171.2</v>
      </c>
      <c r="BQ278" s="65">
        <v>525616.19</v>
      </c>
      <c r="BR278" s="66">
        <v>527787.3899999999</v>
      </c>
      <c r="BS278" s="67" t="str">
        <f t="shared" si="82"/>
        <v>#REF!</v>
      </c>
      <c r="BT278" s="68" t="str">
        <f>'[1]DATA CONSOLIDADA 2018-2025 '!$BR278-Hoja1!$BO278</f>
        <v>#REF!</v>
      </c>
      <c r="BU278" s="65">
        <v>820108.17</v>
      </c>
      <c r="BV278" s="65">
        <v>526818.17</v>
      </c>
      <c r="BW278" s="66">
        <v>1346926.34</v>
      </c>
      <c r="BX278" s="67" t="str">
        <f t="shared" si="83"/>
        <v>#REF!</v>
      </c>
      <c r="BY278" s="68" t="str">
        <f t="shared" si="84"/>
        <v>#REF!</v>
      </c>
      <c r="BZ278" s="65">
        <v>424800.0</v>
      </c>
      <c r="CA278" s="65">
        <v>274509.58</v>
      </c>
      <c r="CB278" s="66">
        <v>699309.58</v>
      </c>
      <c r="CC278" s="67" t="str">
        <f t="shared" si="85"/>
        <v>#REF!</v>
      </c>
      <c r="CD278" s="68" t="str">
        <f>'[1]DATA CONSOLIDADA 2018-2025 '!$CB278-Hoja1!$BW278</f>
        <v>#REF!</v>
      </c>
      <c r="CE278" s="70">
        <v>0.0</v>
      </c>
      <c r="CF278" s="70">
        <v>0.0</v>
      </c>
      <c r="CG278" s="71">
        <v>0.0</v>
      </c>
      <c r="CH278" s="67" t="str">
        <f t="shared" si="86"/>
        <v>#REF!</v>
      </c>
      <c r="CI278" s="68" t="str">
        <f>'[1]DATA CONSOLIDADA 2018-2025 '!$CG278-Hoja1!$CB278</f>
        <v>#REF!</v>
      </c>
      <c r="CJ278" s="64" t="str">
        <f t="shared" si="68"/>
        <v>#REF!</v>
      </c>
      <c r="CK278" s="64">
        <v>0.0</v>
      </c>
      <c r="CL278" s="64">
        <v>0.0</v>
      </c>
      <c r="CM278" s="64">
        <v>0.0</v>
      </c>
      <c r="CN278" s="64" t="str">
        <f t="shared" si="12"/>
        <v>#REF!</v>
      </c>
      <c r="CO278" s="68" t="str">
        <f>'[1]DATA CONSOLIDADA 2018-2025 '!$CM278-Hoja1!$CG278</f>
        <v>#REF!</v>
      </c>
      <c r="CP278" s="70">
        <v>0.0</v>
      </c>
      <c r="CQ278" s="70">
        <v>0.0</v>
      </c>
      <c r="CR278" s="70">
        <v>0.0</v>
      </c>
      <c r="CS278" s="70">
        <v>699309.58</v>
      </c>
      <c r="CT278" s="70">
        <v>0.0</v>
      </c>
      <c r="CU278" s="70">
        <v>0.0</v>
      </c>
      <c r="CV278" s="64">
        <v>699309.58</v>
      </c>
      <c r="CW278" s="64">
        <v>0.0</v>
      </c>
      <c r="CX278" s="64">
        <v>0.0</v>
      </c>
      <c r="CY278" s="64">
        <v>0.0</v>
      </c>
      <c r="CZ278" s="64">
        <v>0.0</v>
      </c>
      <c r="DA278" s="64">
        <v>0.0</v>
      </c>
      <c r="DB278" s="64">
        <v>0.0</v>
      </c>
      <c r="DC278" s="72">
        <v>0.0</v>
      </c>
      <c r="DD278" s="72">
        <v>0.0</v>
      </c>
      <c r="DE278" s="72">
        <v>0.0</v>
      </c>
      <c r="DF278" s="72">
        <v>0.0</v>
      </c>
      <c r="DG278" s="72">
        <v>0.0</v>
      </c>
      <c r="DH278" s="72">
        <v>0.0</v>
      </c>
      <c r="DI278" s="73">
        <v>2.0448277781E10</v>
      </c>
      <c r="DJ278" s="74" t="s">
        <v>1020</v>
      </c>
      <c r="DK278" s="74" t="s">
        <v>132</v>
      </c>
      <c r="DL278" s="75"/>
      <c r="DM278" s="75"/>
      <c r="DN278" s="75"/>
      <c r="DO278" s="75"/>
      <c r="DP278" s="75"/>
      <c r="DQ278" s="75"/>
      <c r="DR278" s="75"/>
      <c r="DS278" s="75"/>
      <c r="DT278" s="75"/>
      <c r="DU278" s="75"/>
      <c r="DV278" s="75"/>
      <c r="DW278" s="75"/>
      <c r="DX278" s="75"/>
      <c r="DY278" s="75"/>
      <c r="DZ278" s="75"/>
      <c r="EA278" s="75"/>
      <c r="EB278" s="75"/>
      <c r="EC278" s="75"/>
      <c r="ED278" s="75"/>
      <c r="EE278" s="75"/>
    </row>
    <row r="279" ht="47.25" hidden="1" customHeight="1">
      <c r="A279" s="55" t="s">
        <v>1021</v>
      </c>
      <c r="B279" s="55" t="s">
        <v>250</v>
      </c>
      <c r="C279" s="55" t="s">
        <v>250</v>
      </c>
      <c r="D279" s="55" t="s">
        <v>1001</v>
      </c>
      <c r="E279" s="55" t="s">
        <v>1006</v>
      </c>
      <c r="F279" s="55" t="s">
        <v>1001</v>
      </c>
      <c r="G279" s="55" t="s">
        <v>1007</v>
      </c>
      <c r="H279" s="55" t="s">
        <v>1008</v>
      </c>
      <c r="I279" s="56">
        <v>1.0</v>
      </c>
      <c r="J279" s="56">
        <v>1.0</v>
      </c>
      <c r="K279" s="56">
        <v>1.0</v>
      </c>
      <c r="L279" s="56">
        <v>1.0</v>
      </c>
      <c r="M279" s="56">
        <v>1.0</v>
      </c>
      <c r="N279" s="56">
        <v>1.0</v>
      </c>
      <c r="O279" s="56"/>
      <c r="P279" s="56"/>
      <c r="Q279" s="56" t="s">
        <v>131</v>
      </c>
      <c r="R279" s="58" t="str">
        <f t="shared" si="1"/>
        <v>2018-2019-2020-2021-2022-2023</v>
      </c>
      <c r="S279" s="59" t="str">
        <f>SUM(Hoja1!$I279:$P279)</f>
        <v>6</v>
      </c>
      <c r="T279" s="59" t="str">
        <f>IF(OR(Hoja1!$J279=1,Hoja1!$K279=1,Hoja1!$L279=1,Hoja1!$M279=1,Hoja1!$N279=1,Hoja1!$O279=1,Hoja1!$P279=1),"SI","NO")</f>
        <v>SI</v>
      </c>
      <c r="U279" s="59" t="str">
        <f>IF(OR(Hoja1!$K279=1,Hoja1!$L279=1,Hoja1!$M279=1,Hoja1!$N279=1,Hoja1!$O279=1,Hoja1!$P279=1),"SI","NO")</f>
        <v>SI</v>
      </c>
      <c r="V279" s="60">
        <v>127.0</v>
      </c>
      <c r="W279" s="61">
        <v>67.0</v>
      </c>
      <c r="X279" s="61">
        <v>39.0</v>
      </c>
      <c r="Y279" s="60">
        <v>106.0</v>
      </c>
      <c r="Z279" s="61">
        <v>10.0</v>
      </c>
      <c r="AA279" s="61">
        <v>7.0</v>
      </c>
      <c r="AB279" s="60">
        <v>17.0</v>
      </c>
      <c r="AC279" s="61">
        <v>66.0</v>
      </c>
      <c r="AD279" s="61">
        <v>39.0</v>
      </c>
      <c r="AE279" s="60">
        <v>105.0</v>
      </c>
      <c r="AF279" s="61">
        <v>81.0</v>
      </c>
      <c r="AG279" s="61">
        <v>55.0</v>
      </c>
      <c r="AH279" s="60">
        <v>136.0</v>
      </c>
      <c r="AI279" s="61">
        <v>81.0</v>
      </c>
      <c r="AJ279" s="61">
        <v>55.0</v>
      </c>
      <c r="AK279" s="60">
        <v>136.0</v>
      </c>
      <c r="AL279" s="61">
        <v>0.0</v>
      </c>
      <c r="AM279" s="61">
        <v>0.0</v>
      </c>
      <c r="AN279" s="60">
        <v>0.0</v>
      </c>
      <c r="AO279" s="62">
        <v>0.0</v>
      </c>
      <c r="AP279" s="62">
        <v>0.0</v>
      </c>
      <c r="AQ279" s="60">
        <v>0.0</v>
      </c>
      <c r="AR279" s="60" t="str">
        <f>IF(Hoja1!$AQ279&gt;0,Hoja1!$AQ279,IF(Hoja1!$AN279&gt;0,Hoja1!$AN279,IF(Hoja1!$AK279&gt;0,Hoja1!$AK279,IF(Hoja1!$AH279&gt;0,Hoja1!$AH279,IF(Hoja1!$AE279&gt;0,Hoja1!$AE279,IF(Hoja1!$AB279&gt;0,Hoja1!$AB279,IF(Hoja1!$Y279&gt;0,Hoja1!$Y279,IF(Hoja1!$V279&gt;0,Hoja1!$V279," ---"))))))))</f>
        <v>136</v>
      </c>
      <c r="AS279" s="63">
        <v>5.0</v>
      </c>
      <c r="AT279" s="63">
        <v>3.0</v>
      </c>
      <c r="AU279" s="63">
        <v>73.0</v>
      </c>
      <c r="AV279" s="63">
        <v>6.0</v>
      </c>
      <c r="AW279" s="63">
        <v>39.0</v>
      </c>
      <c r="AX279" s="63">
        <v>4.0</v>
      </c>
      <c r="AY279" s="63">
        <v>28.0</v>
      </c>
      <c r="AZ279" s="63">
        <v>3.0</v>
      </c>
      <c r="BA279" s="63">
        <v>0.0</v>
      </c>
      <c r="BB279" s="63">
        <v>0.0</v>
      </c>
      <c r="BC279" s="63">
        <v>0.0</v>
      </c>
      <c r="BD279" s="63">
        <v>0.0</v>
      </c>
      <c r="BE279" s="66">
        <v>590275.7</v>
      </c>
      <c r="BF279" s="65">
        <v>0.0</v>
      </c>
      <c r="BG279" s="65">
        <v>1745428.69</v>
      </c>
      <c r="BH279" s="66">
        <v>1745428.69</v>
      </c>
      <c r="BI279" s="67" t="str">
        <f t="shared" si="78"/>
        <v>#REF!</v>
      </c>
      <c r="BJ279" s="68" t="str">
        <f t="shared" si="79"/>
        <v>#REF!</v>
      </c>
      <c r="BK279" s="65">
        <v>0.0</v>
      </c>
      <c r="BL279" s="65">
        <v>763432.02</v>
      </c>
      <c r="BM279" s="66">
        <v>763432.02</v>
      </c>
      <c r="BN279" s="67" t="str">
        <f t="shared" si="80"/>
        <v>#REF!</v>
      </c>
      <c r="BO279" s="68" t="str">
        <f t="shared" si="81"/>
        <v>#REF!</v>
      </c>
      <c r="BP279" s="65">
        <v>238355.5</v>
      </c>
      <c r="BQ279" s="65">
        <v>269714.74</v>
      </c>
      <c r="BR279" s="66">
        <v>508070.24</v>
      </c>
      <c r="BS279" s="67" t="str">
        <f t="shared" si="82"/>
        <v>#REF!</v>
      </c>
      <c r="BT279" s="68" t="str">
        <f>'[1]DATA CONSOLIDADA 2018-2025 '!$BR279-Hoja1!$BO279</f>
        <v>#REF!</v>
      </c>
      <c r="BU279" s="65">
        <v>1124663.21</v>
      </c>
      <c r="BV279" s="65">
        <v>0.0</v>
      </c>
      <c r="BW279" s="66">
        <v>1124663.21</v>
      </c>
      <c r="BX279" s="67" t="str">
        <f t="shared" si="83"/>
        <v>#REF!</v>
      </c>
      <c r="BY279" s="68" t="str">
        <f t="shared" si="84"/>
        <v>#REF!</v>
      </c>
      <c r="BZ279" s="65">
        <v>1070795.64</v>
      </c>
      <c r="CA279" s="65">
        <v>0.0</v>
      </c>
      <c r="CB279" s="66">
        <v>1070795.64</v>
      </c>
      <c r="CC279" s="67" t="str">
        <f t="shared" si="85"/>
        <v>#REF!</v>
      </c>
      <c r="CD279" s="68" t="str">
        <f>'[1]DATA CONSOLIDADA 2018-2025 '!$CB279-Hoja1!$BW279</f>
        <v>#REF!</v>
      </c>
      <c r="CE279" s="70">
        <v>0.0</v>
      </c>
      <c r="CF279" s="70">
        <v>0.0</v>
      </c>
      <c r="CG279" s="71">
        <v>0.0</v>
      </c>
      <c r="CH279" s="67" t="str">
        <f t="shared" si="86"/>
        <v>#REF!</v>
      </c>
      <c r="CI279" s="68" t="str">
        <f>'[1]DATA CONSOLIDADA 2018-2025 '!$CG279-Hoja1!$CB279</f>
        <v>#REF!</v>
      </c>
      <c r="CJ279" s="64" t="str">
        <f t="shared" si="68"/>
        <v>#REF!</v>
      </c>
      <c r="CK279" s="64">
        <v>0.0</v>
      </c>
      <c r="CL279" s="64">
        <v>0.0</v>
      </c>
      <c r="CM279" s="64">
        <v>0.0</v>
      </c>
      <c r="CN279" s="64" t="str">
        <f t="shared" si="12"/>
        <v>#REF!</v>
      </c>
      <c r="CO279" s="68" t="str">
        <f>'[1]DATA CONSOLIDADA 2018-2025 '!$CM279-Hoja1!$CG279</f>
        <v>#REF!</v>
      </c>
      <c r="CP279" s="70">
        <v>0.0</v>
      </c>
      <c r="CQ279" s="70">
        <v>975257.246996</v>
      </c>
      <c r="CR279" s="70">
        <v>0.0</v>
      </c>
      <c r="CS279" s="70">
        <v>95538.375</v>
      </c>
      <c r="CT279" s="70">
        <v>0.0</v>
      </c>
      <c r="CU279" s="70">
        <v>0.0</v>
      </c>
      <c r="CV279" s="64">
        <v>1070795.621996</v>
      </c>
      <c r="CW279" s="64">
        <v>0.0</v>
      </c>
      <c r="CX279" s="64">
        <v>0.0</v>
      </c>
      <c r="CY279" s="64">
        <v>0.0</v>
      </c>
      <c r="CZ279" s="64">
        <v>0.0</v>
      </c>
      <c r="DA279" s="64">
        <v>0.0</v>
      </c>
      <c r="DB279" s="64">
        <v>0.0</v>
      </c>
      <c r="DC279" s="72">
        <v>0.0</v>
      </c>
      <c r="DD279" s="72">
        <v>0.0</v>
      </c>
      <c r="DE279" s="72">
        <v>0.0</v>
      </c>
      <c r="DF279" s="72">
        <v>0.0</v>
      </c>
      <c r="DG279" s="72">
        <v>0.0</v>
      </c>
      <c r="DH279" s="72">
        <v>0.0</v>
      </c>
      <c r="DI279" s="73">
        <v>2.04488075E10</v>
      </c>
      <c r="DJ279" s="74" t="s">
        <v>1021</v>
      </c>
      <c r="DK279" s="74" t="s">
        <v>306</v>
      </c>
      <c r="DL279" s="75"/>
      <c r="DM279" s="75"/>
      <c r="DN279" s="75"/>
      <c r="DO279" s="75"/>
      <c r="DP279" s="75"/>
      <c r="DQ279" s="75"/>
      <c r="DR279" s="75"/>
      <c r="DS279" s="75"/>
      <c r="DT279" s="75"/>
      <c r="DU279" s="75"/>
      <c r="DV279" s="75"/>
      <c r="DW279" s="75"/>
      <c r="DX279" s="75"/>
      <c r="DY279" s="75"/>
      <c r="DZ279" s="75"/>
      <c r="EA279" s="75"/>
      <c r="EB279" s="75"/>
      <c r="EC279" s="75"/>
      <c r="ED279" s="75"/>
      <c r="EE279" s="75"/>
    </row>
    <row r="280" ht="47.25" hidden="1" customHeight="1">
      <c r="A280" s="55" t="s">
        <v>1022</v>
      </c>
      <c r="B280" s="55" t="s">
        <v>250</v>
      </c>
      <c r="C280" s="55" t="s">
        <v>250</v>
      </c>
      <c r="D280" s="55" t="s">
        <v>1001</v>
      </c>
      <c r="E280" s="55" t="s">
        <v>1006</v>
      </c>
      <c r="F280" s="55" t="s">
        <v>1001</v>
      </c>
      <c r="G280" s="55" t="s">
        <v>1007</v>
      </c>
      <c r="H280" s="55" t="s">
        <v>1008</v>
      </c>
      <c r="I280" s="56">
        <v>1.0</v>
      </c>
      <c r="J280" s="56">
        <v>1.0</v>
      </c>
      <c r="K280" s="56">
        <v>1.0</v>
      </c>
      <c r="L280" s="56">
        <v>1.0</v>
      </c>
      <c r="M280" s="56"/>
      <c r="N280" s="56">
        <v>1.0</v>
      </c>
      <c r="O280" s="56"/>
      <c r="P280" s="56"/>
      <c r="Q280" s="56" t="s">
        <v>131</v>
      </c>
      <c r="R280" s="58" t="str">
        <f t="shared" si="1"/>
        <v>2018-2019-2020-2021-2023</v>
      </c>
      <c r="S280" s="59" t="str">
        <f>SUM(Hoja1!$I280:$P280)</f>
        <v>5</v>
      </c>
      <c r="T280" s="59" t="str">
        <f>IF(OR(Hoja1!$J280=1,Hoja1!$K280=1,Hoja1!$L280=1,Hoja1!$M280=1,Hoja1!$N280=1,Hoja1!$O280=1,Hoja1!$P280=1),"SI","NO")</f>
        <v>SI</v>
      </c>
      <c r="U280" s="59" t="str">
        <f>IF(OR(Hoja1!$K280=1,Hoja1!$L280=1,Hoja1!$M280=1,Hoja1!$N280=1,Hoja1!$O280=1,Hoja1!$P280=1),"SI","NO")</f>
        <v>SI</v>
      </c>
      <c r="V280" s="60">
        <v>284.0</v>
      </c>
      <c r="W280" s="61">
        <v>42.0</v>
      </c>
      <c r="X280" s="61">
        <v>33.0</v>
      </c>
      <c r="Y280" s="60">
        <v>75.0</v>
      </c>
      <c r="Z280" s="61">
        <v>42.0</v>
      </c>
      <c r="AA280" s="61">
        <v>33.0</v>
      </c>
      <c r="AB280" s="60">
        <v>75.0</v>
      </c>
      <c r="AC280" s="61">
        <v>42.0</v>
      </c>
      <c r="AD280" s="61">
        <v>33.0</v>
      </c>
      <c r="AE280" s="60">
        <v>75.0</v>
      </c>
      <c r="AF280" s="61">
        <v>0.0</v>
      </c>
      <c r="AG280" s="61">
        <v>0.0</v>
      </c>
      <c r="AH280" s="60">
        <v>0.0</v>
      </c>
      <c r="AI280" s="61">
        <v>60.0</v>
      </c>
      <c r="AJ280" s="61">
        <v>30.0</v>
      </c>
      <c r="AK280" s="60">
        <v>90.0</v>
      </c>
      <c r="AL280" s="61">
        <v>0.0</v>
      </c>
      <c r="AM280" s="61">
        <v>0.0</v>
      </c>
      <c r="AN280" s="60">
        <v>0.0</v>
      </c>
      <c r="AO280" s="62">
        <v>0.0</v>
      </c>
      <c r="AP280" s="62">
        <v>0.0</v>
      </c>
      <c r="AQ280" s="60">
        <v>0.0</v>
      </c>
      <c r="AR280" s="60" t="str">
        <f>IF(Hoja1!$AQ280&gt;0,Hoja1!$AQ280,IF(Hoja1!$AN280&gt;0,Hoja1!$AN280,IF(Hoja1!$AK280&gt;0,Hoja1!$AK280,IF(Hoja1!$AH280&gt;0,Hoja1!$AH280,IF(Hoja1!$AE280&gt;0,Hoja1!$AE280,IF(Hoja1!$AB280&gt;0,Hoja1!$AB280,IF(Hoja1!$Y280&gt;0,Hoja1!$Y280,IF(Hoja1!$V280&gt;0,Hoja1!$V280," ---"))))))))</f>
        <v>90</v>
      </c>
      <c r="AS280" s="63">
        <v>5.0</v>
      </c>
      <c r="AT280" s="63">
        <v>4.0</v>
      </c>
      <c r="AU280" s="63">
        <v>60.0</v>
      </c>
      <c r="AV280" s="63">
        <v>5.0</v>
      </c>
      <c r="AW280" s="63">
        <v>0.0</v>
      </c>
      <c r="AX280" s="63">
        <v>0.0</v>
      </c>
      <c r="AY280" s="63">
        <v>24.0</v>
      </c>
      <c r="AZ280" s="63">
        <v>3.0</v>
      </c>
      <c r="BA280" s="63">
        <v>0.0</v>
      </c>
      <c r="BB280" s="63">
        <v>0.0</v>
      </c>
      <c r="BC280" s="63">
        <v>0.0</v>
      </c>
      <c r="BD280" s="63">
        <v>0.0</v>
      </c>
      <c r="BE280" s="64">
        <v>0.0</v>
      </c>
      <c r="BF280" s="65">
        <v>850000.0</v>
      </c>
      <c r="BG280" s="65">
        <v>0.0</v>
      </c>
      <c r="BH280" s="66">
        <v>850000.0</v>
      </c>
      <c r="BI280" s="67" t="str">
        <f t="shared" si="78"/>
        <v>#REF!</v>
      </c>
      <c r="BJ280" s="68" t="str">
        <f t="shared" si="79"/>
        <v>#REF!</v>
      </c>
      <c r="BK280" s="65">
        <v>850000.0</v>
      </c>
      <c r="BL280" s="65">
        <v>0.0</v>
      </c>
      <c r="BM280" s="66">
        <v>850000.0</v>
      </c>
      <c r="BN280" s="67" t="str">
        <f t="shared" si="80"/>
        <v>#REF!</v>
      </c>
      <c r="BO280" s="68" t="str">
        <f t="shared" si="81"/>
        <v>#REF!</v>
      </c>
      <c r="BP280" s="65">
        <v>436600.0</v>
      </c>
      <c r="BQ280" s="65">
        <v>0.0</v>
      </c>
      <c r="BR280" s="66">
        <v>436600.0</v>
      </c>
      <c r="BS280" s="67" t="str">
        <f t="shared" si="82"/>
        <v>#REF!</v>
      </c>
      <c r="BT280" s="68" t="str">
        <f>'[1]DATA CONSOLIDADA 2018-2025 '!$BR280-Hoja1!$BO280</f>
        <v>#REF!</v>
      </c>
      <c r="BU280" s="65">
        <v>0.0</v>
      </c>
      <c r="BV280" s="65">
        <v>0.0</v>
      </c>
      <c r="BW280" s="66">
        <v>0.0</v>
      </c>
      <c r="BX280" s="67" t="str">
        <f t="shared" si="83"/>
        <v>#REF!</v>
      </c>
      <c r="BY280" s="68" t="str">
        <f t="shared" si="84"/>
        <v>#REF!</v>
      </c>
      <c r="BZ280" s="65">
        <v>85185.8</v>
      </c>
      <c r="CA280" s="65">
        <v>0.0</v>
      </c>
      <c r="CB280" s="66">
        <v>85185.8</v>
      </c>
      <c r="CC280" s="67" t="str">
        <f t="shared" si="85"/>
        <v>#REF!</v>
      </c>
      <c r="CD280" s="68" t="str">
        <f>'[1]DATA CONSOLIDADA 2018-2025 '!$CB280-Hoja1!$BW280</f>
        <v>#REF!</v>
      </c>
      <c r="CE280" s="70">
        <v>0.0</v>
      </c>
      <c r="CF280" s="70">
        <v>0.0</v>
      </c>
      <c r="CG280" s="71">
        <v>0.0</v>
      </c>
      <c r="CH280" s="67" t="str">
        <f t="shared" si="86"/>
        <v>#REF!</v>
      </c>
      <c r="CI280" s="68" t="str">
        <f>'[1]DATA CONSOLIDADA 2018-2025 '!$CG280-Hoja1!$CB280</f>
        <v>#REF!</v>
      </c>
      <c r="CJ280" s="64" t="str">
        <f t="shared" si="68"/>
        <v>#REF!</v>
      </c>
      <c r="CK280" s="64">
        <v>0.0</v>
      </c>
      <c r="CL280" s="64">
        <v>0.0</v>
      </c>
      <c r="CM280" s="64">
        <v>0.0</v>
      </c>
      <c r="CN280" s="64" t="str">
        <f t="shared" si="12"/>
        <v>#REF!</v>
      </c>
      <c r="CO280" s="68" t="str">
        <f>'[1]DATA CONSOLIDADA 2018-2025 '!$CM280-Hoja1!$CG280</f>
        <v>#REF!</v>
      </c>
      <c r="CP280" s="70">
        <v>0.0</v>
      </c>
      <c r="CQ280" s="70">
        <v>85185.8</v>
      </c>
      <c r="CR280" s="70">
        <v>0.0</v>
      </c>
      <c r="CS280" s="70">
        <v>0.0</v>
      </c>
      <c r="CT280" s="70">
        <v>0.0</v>
      </c>
      <c r="CU280" s="70">
        <v>0.0</v>
      </c>
      <c r="CV280" s="64">
        <v>85185.8</v>
      </c>
      <c r="CW280" s="64">
        <v>0.0</v>
      </c>
      <c r="CX280" s="64">
        <v>0.0</v>
      </c>
      <c r="CY280" s="64">
        <v>0.0</v>
      </c>
      <c r="CZ280" s="64">
        <v>0.0</v>
      </c>
      <c r="DA280" s="64">
        <v>0.0</v>
      </c>
      <c r="DB280" s="64">
        <v>0.0</v>
      </c>
      <c r="DC280" s="72">
        <v>0.0</v>
      </c>
      <c r="DD280" s="72">
        <v>0.0</v>
      </c>
      <c r="DE280" s="72">
        <v>0.0</v>
      </c>
      <c r="DF280" s="72">
        <v>0.0</v>
      </c>
      <c r="DG280" s="72">
        <v>0.0</v>
      </c>
      <c r="DH280" s="72">
        <v>0.0</v>
      </c>
      <c r="DI280" s="73">
        <v>2.0118588135E10</v>
      </c>
      <c r="DJ280" s="74" t="s">
        <v>1023</v>
      </c>
      <c r="DK280" s="74" t="s">
        <v>306</v>
      </c>
      <c r="DL280" s="75"/>
      <c r="DM280" s="75"/>
      <c r="DN280" s="75"/>
      <c r="DO280" s="75"/>
      <c r="DP280" s="75"/>
      <c r="DQ280" s="75"/>
      <c r="DR280" s="75"/>
      <c r="DS280" s="75"/>
      <c r="DT280" s="75"/>
      <c r="DU280" s="75"/>
      <c r="DV280" s="75"/>
      <c r="DW280" s="75"/>
      <c r="DX280" s="75"/>
      <c r="DY280" s="75"/>
      <c r="DZ280" s="75"/>
      <c r="EA280" s="75"/>
      <c r="EB280" s="75"/>
      <c r="EC280" s="75"/>
      <c r="ED280" s="75"/>
      <c r="EE280" s="75"/>
    </row>
    <row r="281" ht="47.25" hidden="1" customHeight="1">
      <c r="A281" s="55" t="s">
        <v>1024</v>
      </c>
      <c r="B281" s="55" t="s">
        <v>250</v>
      </c>
      <c r="C281" s="55" t="s">
        <v>250</v>
      </c>
      <c r="D281" s="55" t="s">
        <v>1001</v>
      </c>
      <c r="E281" s="55" t="s">
        <v>1025</v>
      </c>
      <c r="F281" s="55" t="s">
        <v>1001</v>
      </c>
      <c r="G281" s="55" t="s">
        <v>1026</v>
      </c>
      <c r="H281" s="55" t="s">
        <v>1027</v>
      </c>
      <c r="I281" s="56"/>
      <c r="J281" s="56">
        <v>1.0</v>
      </c>
      <c r="K281" s="56">
        <v>1.0</v>
      </c>
      <c r="L281" s="56">
        <v>1.0</v>
      </c>
      <c r="M281" s="56">
        <v>1.0</v>
      </c>
      <c r="N281" s="56">
        <v>1.0</v>
      </c>
      <c r="O281" s="56"/>
      <c r="P281" s="56"/>
      <c r="Q281" s="56" t="s">
        <v>131</v>
      </c>
      <c r="R281" s="58" t="str">
        <f t="shared" si="1"/>
        <v>2019-2020-2021-2022-2023</v>
      </c>
      <c r="S281" s="59" t="str">
        <f>SUM(Hoja1!$I281:$P281)</f>
        <v>5</v>
      </c>
      <c r="T281" s="59" t="str">
        <f>IF(OR(Hoja1!$J281=1,Hoja1!$K281=1,Hoja1!$L281=1,Hoja1!$M281=1,Hoja1!$N281=1,Hoja1!$O281=1,Hoja1!$P281=1),"SI","NO")</f>
        <v>SI</v>
      </c>
      <c r="U281" s="59" t="str">
        <f>IF(OR(Hoja1!$K281=1,Hoja1!$L281=1,Hoja1!$M281=1,Hoja1!$N281=1,Hoja1!$O281=1,Hoja1!$P281=1),"SI","NO")</f>
        <v>SI</v>
      </c>
      <c r="V281" s="60">
        <v>0.0</v>
      </c>
      <c r="W281" s="61">
        <v>36.0</v>
      </c>
      <c r="X281" s="61">
        <v>71.0</v>
      </c>
      <c r="Y281" s="60">
        <v>107.0</v>
      </c>
      <c r="Z281" s="61">
        <v>34.0</v>
      </c>
      <c r="AA281" s="61">
        <v>62.0</v>
      </c>
      <c r="AB281" s="60">
        <v>96.0</v>
      </c>
      <c r="AC281" s="61">
        <v>34.0</v>
      </c>
      <c r="AD281" s="61">
        <v>62.0</v>
      </c>
      <c r="AE281" s="60">
        <v>96.0</v>
      </c>
      <c r="AF281" s="61">
        <v>35.0</v>
      </c>
      <c r="AG281" s="61">
        <v>63.0</v>
      </c>
      <c r="AH281" s="60">
        <v>98.0</v>
      </c>
      <c r="AI281" s="61">
        <v>35.0</v>
      </c>
      <c r="AJ281" s="61">
        <v>63.0</v>
      </c>
      <c r="AK281" s="60">
        <v>98.0</v>
      </c>
      <c r="AL281" s="61">
        <v>0.0</v>
      </c>
      <c r="AM281" s="61">
        <v>0.0</v>
      </c>
      <c r="AN281" s="60">
        <v>0.0</v>
      </c>
      <c r="AO281" s="62">
        <v>0.0</v>
      </c>
      <c r="AP281" s="62">
        <v>0.0</v>
      </c>
      <c r="AQ281" s="60">
        <v>0.0</v>
      </c>
      <c r="AR281" s="60" t="str">
        <f>IF(Hoja1!$AQ281&gt;0,Hoja1!$AQ281,IF(Hoja1!$AN281&gt;0,Hoja1!$AN281,IF(Hoja1!$AK281&gt;0,Hoja1!$AK281,IF(Hoja1!$AH281&gt;0,Hoja1!$AH281,IF(Hoja1!$AE281&gt;0,Hoja1!$AE281,IF(Hoja1!$AB281&gt;0,Hoja1!$AB281,IF(Hoja1!$Y281&gt;0,Hoja1!$Y281,IF(Hoja1!$V281&gt;0,Hoja1!$V281," ---"))))))))</f>
        <v>98</v>
      </c>
      <c r="AS281" s="63">
        <v>3.0</v>
      </c>
      <c r="AT281" s="63">
        <v>4.0</v>
      </c>
      <c r="AU281" s="63">
        <v>55.0</v>
      </c>
      <c r="AV281" s="63">
        <v>5.0</v>
      </c>
      <c r="AW281" s="63">
        <v>40.0</v>
      </c>
      <c r="AX281" s="63">
        <v>4.0</v>
      </c>
      <c r="AY281" s="63">
        <v>29.0</v>
      </c>
      <c r="AZ281" s="63">
        <v>4.0</v>
      </c>
      <c r="BA281" s="63">
        <v>0.0</v>
      </c>
      <c r="BB281" s="63">
        <v>0.0</v>
      </c>
      <c r="BC281" s="63">
        <v>0.0</v>
      </c>
      <c r="BD281" s="63">
        <v>0.0</v>
      </c>
      <c r="BE281" s="64">
        <v>0.0</v>
      </c>
      <c r="BF281" s="65">
        <v>0.0</v>
      </c>
      <c r="BG281" s="65">
        <v>0.0</v>
      </c>
      <c r="BH281" s="66">
        <v>0.0</v>
      </c>
      <c r="BI281" s="67" t="str">
        <f t="shared" si="78"/>
        <v>#REF!</v>
      </c>
      <c r="BJ281" s="68" t="str">
        <f t="shared" si="79"/>
        <v>#REF!</v>
      </c>
      <c r="BK281" s="65">
        <v>500000.0</v>
      </c>
      <c r="BL281" s="65">
        <v>0.0</v>
      </c>
      <c r="BM281" s="66">
        <v>500000.0</v>
      </c>
      <c r="BN281" s="67" t="str">
        <f t="shared" si="80"/>
        <v>#REF!</v>
      </c>
      <c r="BO281" s="68" t="str">
        <f t="shared" si="81"/>
        <v>#REF!</v>
      </c>
      <c r="BP281" s="65">
        <v>815963.59</v>
      </c>
      <c r="BQ281" s="65">
        <v>0.0</v>
      </c>
      <c r="BR281" s="66">
        <v>815963.59</v>
      </c>
      <c r="BS281" s="67" t="str">
        <f t="shared" si="82"/>
        <v>#REF!</v>
      </c>
      <c r="BT281" s="68" t="str">
        <f>'[1]DATA CONSOLIDADA 2018-2025 '!$BR281-Hoja1!$BO281</f>
        <v>#REF!</v>
      </c>
      <c r="BU281" s="65">
        <v>735241.64</v>
      </c>
      <c r="BV281" s="65">
        <v>0.0</v>
      </c>
      <c r="BW281" s="66">
        <v>735241.64</v>
      </c>
      <c r="BX281" s="67" t="str">
        <f t="shared" si="83"/>
        <v>#REF!</v>
      </c>
      <c r="BY281" s="68" t="str">
        <f t="shared" si="84"/>
        <v>#REF!</v>
      </c>
      <c r="BZ281" s="65">
        <v>882289.91</v>
      </c>
      <c r="CA281" s="65">
        <v>0.0</v>
      </c>
      <c r="CB281" s="66">
        <v>882289.91</v>
      </c>
      <c r="CC281" s="67" t="str">
        <f t="shared" si="85"/>
        <v>#REF!</v>
      </c>
      <c r="CD281" s="68" t="str">
        <f>'[1]DATA CONSOLIDADA 2018-2025 '!$CB281-Hoja1!$BW281</f>
        <v>#REF!</v>
      </c>
      <c r="CE281" s="70">
        <v>0.0</v>
      </c>
      <c r="CF281" s="70">
        <v>0.0</v>
      </c>
      <c r="CG281" s="71">
        <v>0.0</v>
      </c>
      <c r="CH281" s="67" t="str">
        <f t="shared" si="86"/>
        <v>#REF!</v>
      </c>
      <c r="CI281" s="68" t="str">
        <f>'[1]DATA CONSOLIDADA 2018-2025 '!$CG281-Hoja1!$CB281</f>
        <v>#REF!</v>
      </c>
      <c r="CJ281" s="64" t="str">
        <f t="shared" si="68"/>
        <v>#REF!</v>
      </c>
      <c r="CK281" s="64">
        <v>0.0</v>
      </c>
      <c r="CL281" s="64">
        <v>0.0</v>
      </c>
      <c r="CM281" s="64">
        <v>0.0</v>
      </c>
      <c r="CN281" s="64" t="str">
        <f t="shared" si="12"/>
        <v>#REF!</v>
      </c>
      <c r="CO281" s="68" t="str">
        <f>'[1]DATA CONSOLIDADA 2018-2025 '!$CM281-Hoja1!$CG281</f>
        <v>#REF!</v>
      </c>
      <c r="CP281" s="70">
        <v>0.0</v>
      </c>
      <c r="CQ281" s="70">
        <v>882289.91</v>
      </c>
      <c r="CR281" s="70">
        <v>0.0</v>
      </c>
      <c r="CS281" s="70">
        <v>0.0</v>
      </c>
      <c r="CT281" s="70">
        <v>0.0</v>
      </c>
      <c r="CU281" s="70">
        <v>0.0</v>
      </c>
      <c r="CV281" s="64">
        <v>882289.91</v>
      </c>
      <c r="CW281" s="64">
        <v>0.0</v>
      </c>
      <c r="CX281" s="64">
        <v>0.0</v>
      </c>
      <c r="CY281" s="64">
        <v>0.0</v>
      </c>
      <c r="CZ281" s="64">
        <v>0.0</v>
      </c>
      <c r="DA281" s="64">
        <v>0.0</v>
      </c>
      <c r="DB281" s="64">
        <v>0.0</v>
      </c>
      <c r="DC281" s="72">
        <v>0.0</v>
      </c>
      <c r="DD281" s="72">
        <v>0.0</v>
      </c>
      <c r="DE281" s="72">
        <v>0.0</v>
      </c>
      <c r="DF281" s="72">
        <v>0.0</v>
      </c>
      <c r="DG281" s="72">
        <v>0.0</v>
      </c>
      <c r="DH281" s="72">
        <v>0.0</v>
      </c>
      <c r="DI281" s="73">
        <v>2.0406542671E10</v>
      </c>
      <c r="DJ281" s="74" t="s">
        <v>1028</v>
      </c>
      <c r="DK281" s="74" t="s">
        <v>138</v>
      </c>
      <c r="DL281" s="75"/>
      <c r="DM281" s="75"/>
      <c r="DN281" s="75"/>
      <c r="DO281" s="75"/>
      <c r="DP281" s="75"/>
      <c r="DQ281" s="75"/>
      <c r="DR281" s="75"/>
      <c r="DS281" s="75"/>
      <c r="DT281" s="75"/>
      <c r="DU281" s="75"/>
      <c r="DV281" s="75"/>
      <c r="DW281" s="75"/>
      <c r="DX281" s="75"/>
      <c r="DY281" s="75"/>
      <c r="DZ281" s="75"/>
      <c r="EA281" s="75"/>
      <c r="EB281" s="75"/>
      <c r="EC281" s="75"/>
      <c r="ED281" s="75"/>
      <c r="EE281" s="75"/>
    </row>
    <row r="282" ht="47.25" hidden="1" customHeight="1">
      <c r="A282" s="55" t="s">
        <v>1029</v>
      </c>
      <c r="B282" s="55" t="s">
        <v>1030</v>
      </c>
      <c r="C282" s="55" t="s">
        <v>1030</v>
      </c>
      <c r="D282" s="55" t="s">
        <v>1001</v>
      </c>
      <c r="E282" s="55" t="s">
        <v>1031</v>
      </c>
      <c r="F282" s="55" t="s">
        <v>1001</v>
      </c>
      <c r="G282" s="55" t="s">
        <v>1032</v>
      </c>
      <c r="H282" s="55" t="s">
        <v>1032</v>
      </c>
      <c r="I282" s="56">
        <v>1.0</v>
      </c>
      <c r="J282" s="56">
        <v>1.0</v>
      </c>
      <c r="K282" s="56">
        <v>1.0</v>
      </c>
      <c r="L282" s="56">
        <v>1.0</v>
      </c>
      <c r="M282" s="56">
        <v>1.0</v>
      </c>
      <c r="N282" s="56">
        <v>1.0</v>
      </c>
      <c r="O282" s="56"/>
      <c r="P282" s="56"/>
      <c r="Q282" s="56" t="s">
        <v>131</v>
      </c>
      <c r="R282" s="58" t="str">
        <f t="shared" si="1"/>
        <v>2018-2019-2020-2021-2022-2023</v>
      </c>
      <c r="S282" s="59" t="str">
        <f>SUM(Hoja1!$I282:$P282)</f>
        <v>6</v>
      </c>
      <c r="T282" s="59" t="str">
        <f>IF(OR(Hoja1!$J282=1,Hoja1!$K282=1,Hoja1!$L282=1,Hoja1!$M282=1,Hoja1!$N282=1,Hoja1!$O282=1,Hoja1!$P282=1),"SI","NO")</f>
        <v>SI</v>
      </c>
      <c r="U282" s="59" t="str">
        <f>IF(OR(Hoja1!$K282=1,Hoja1!$L282=1,Hoja1!$M282=1,Hoja1!$N282=1,Hoja1!$O282=1,Hoja1!$P282=1),"SI","NO")</f>
        <v>SI</v>
      </c>
      <c r="V282" s="60">
        <v>233.0</v>
      </c>
      <c r="W282" s="61">
        <v>126.0</v>
      </c>
      <c r="X282" s="61">
        <v>474.0</v>
      </c>
      <c r="Y282" s="60">
        <v>600.0</v>
      </c>
      <c r="Z282" s="61">
        <v>178.0</v>
      </c>
      <c r="AA282" s="61">
        <v>578.0</v>
      </c>
      <c r="AB282" s="60">
        <v>756.0</v>
      </c>
      <c r="AC282" s="61">
        <v>178.0</v>
      </c>
      <c r="AD282" s="61">
        <v>578.0</v>
      </c>
      <c r="AE282" s="60">
        <v>756.0</v>
      </c>
      <c r="AF282" s="61">
        <v>178.0</v>
      </c>
      <c r="AG282" s="61">
        <v>578.0</v>
      </c>
      <c r="AH282" s="60">
        <v>756.0</v>
      </c>
      <c r="AI282" s="61">
        <v>178.0</v>
      </c>
      <c r="AJ282" s="61">
        <v>578.0</v>
      </c>
      <c r="AK282" s="60">
        <v>756.0</v>
      </c>
      <c r="AL282" s="61">
        <v>0.0</v>
      </c>
      <c r="AM282" s="61">
        <v>0.0</v>
      </c>
      <c r="AN282" s="60">
        <v>0.0</v>
      </c>
      <c r="AO282" s="62">
        <v>0.0</v>
      </c>
      <c r="AP282" s="62">
        <v>0.0</v>
      </c>
      <c r="AQ282" s="60">
        <v>0.0</v>
      </c>
      <c r="AR282" s="60" t="str">
        <f>IF(Hoja1!$AQ282&gt;0,Hoja1!$AQ282,IF(Hoja1!$AN282&gt;0,Hoja1!$AN282,IF(Hoja1!$AK282&gt;0,Hoja1!$AK282,IF(Hoja1!$AH282&gt;0,Hoja1!$AH282,IF(Hoja1!$AE282&gt;0,Hoja1!$AE282,IF(Hoja1!$AB282&gt;0,Hoja1!$AB282,IF(Hoja1!$Y282&gt;0,Hoja1!$Y282,IF(Hoja1!$V282&gt;0,Hoja1!$V282," ---"))))))))</f>
        <v>756</v>
      </c>
      <c r="AS282" s="63">
        <v>20.0</v>
      </c>
      <c r="AT282" s="63">
        <v>14.0</v>
      </c>
      <c r="AU282" s="63">
        <v>141.0</v>
      </c>
      <c r="AV282" s="63">
        <v>19.0</v>
      </c>
      <c r="AW282" s="63">
        <v>110.0</v>
      </c>
      <c r="AX282" s="63">
        <v>14.0</v>
      </c>
      <c r="AY282" s="63">
        <v>87.0</v>
      </c>
      <c r="AZ282" s="63">
        <v>12.0</v>
      </c>
      <c r="BA282" s="63">
        <v>0.0</v>
      </c>
      <c r="BB282" s="63">
        <v>0.0</v>
      </c>
      <c r="BC282" s="63">
        <v>0.0</v>
      </c>
      <c r="BD282" s="63">
        <v>0.0</v>
      </c>
      <c r="BE282" s="64">
        <v>0.0</v>
      </c>
      <c r="BF282" s="65">
        <v>787685.61</v>
      </c>
      <c r="BG282" s="65">
        <v>0.0</v>
      </c>
      <c r="BH282" s="66">
        <v>787685.61</v>
      </c>
      <c r="BI282" s="67" t="str">
        <f t="shared" si="78"/>
        <v>#REF!</v>
      </c>
      <c r="BJ282" s="68" t="str">
        <f t="shared" si="79"/>
        <v>#REF!</v>
      </c>
      <c r="BK282" s="65">
        <v>1613755.82</v>
      </c>
      <c r="BL282" s="65">
        <v>0.0</v>
      </c>
      <c r="BM282" s="66">
        <v>1613755.82</v>
      </c>
      <c r="BN282" s="67" t="str">
        <f t="shared" si="80"/>
        <v>#REF!</v>
      </c>
      <c r="BO282" s="68" t="str">
        <f t="shared" si="81"/>
        <v>#REF!</v>
      </c>
      <c r="BP282" s="65">
        <v>540337.55</v>
      </c>
      <c r="BQ282" s="65">
        <v>0.0</v>
      </c>
      <c r="BR282" s="66">
        <v>540337.55</v>
      </c>
      <c r="BS282" s="67" t="str">
        <f t="shared" si="82"/>
        <v>#REF!</v>
      </c>
      <c r="BT282" s="68" t="str">
        <f>'[1]DATA CONSOLIDADA 2018-2025 '!$BR282-Hoja1!$BO282</f>
        <v>#REF!</v>
      </c>
      <c r="BU282" s="65">
        <v>55764.0</v>
      </c>
      <c r="BV282" s="65">
        <v>0.0</v>
      </c>
      <c r="BW282" s="66">
        <v>55764.0</v>
      </c>
      <c r="BX282" s="67" t="str">
        <f t="shared" si="83"/>
        <v>#REF!</v>
      </c>
      <c r="BY282" s="68" t="str">
        <f t="shared" si="84"/>
        <v>#REF!</v>
      </c>
      <c r="BZ282" s="65">
        <v>33318.8</v>
      </c>
      <c r="CA282" s="65">
        <v>0.0</v>
      </c>
      <c r="CB282" s="66">
        <v>33318.8</v>
      </c>
      <c r="CC282" s="67" t="str">
        <f t="shared" si="85"/>
        <v>#REF!</v>
      </c>
      <c r="CD282" s="68" t="str">
        <f>'[1]DATA CONSOLIDADA 2018-2025 '!$CB282-Hoja1!$BW282</f>
        <v>#REF!</v>
      </c>
      <c r="CE282" s="70">
        <v>0.0</v>
      </c>
      <c r="CF282" s="70">
        <v>0.0</v>
      </c>
      <c r="CG282" s="71">
        <v>0.0</v>
      </c>
      <c r="CH282" s="67" t="str">
        <f t="shared" si="86"/>
        <v>#REF!</v>
      </c>
      <c r="CI282" s="68" t="str">
        <f>'[1]DATA CONSOLIDADA 2018-2025 '!$CG282-Hoja1!$CB282</f>
        <v>#REF!</v>
      </c>
      <c r="CJ282" s="64" t="str">
        <f t="shared" si="68"/>
        <v>#REF!</v>
      </c>
      <c r="CK282" s="64">
        <v>0.0</v>
      </c>
      <c r="CL282" s="64">
        <v>0.0</v>
      </c>
      <c r="CM282" s="64">
        <v>0.0</v>
      </c>
      <c r="CN282" s="64" t="str">
        <f t="shared" si="12"/>
        <v>#REF!</v>
      </c>
      <c r="CO282" s="68" t="str">
        <f>'[1]DATA CONSOLIDADA 2018-2025 '!$CM282-Hoja1!$CG282</f>
        <v>#REF!</v>
      </c>
      <c r="CP282" s="70">
        <v>0.0</v>
      </c>
      <c r="CQ282" s="70">
        <v>33318.8</v>
      </c>
      <c r="CR282" s="70">
        <v>0.0</v>
      </c>
      <c r="CS282" s="70">
        <v>0.0</v>
      </c>
      <c r="CT282" s="70">
        <v>0.0</v>
      </c>
      <c r="CU282" s="70">
        <v>0.0</v>
      </c>
      <c r="CV282" s="64">
        <v>33318.8</v>
      </c>
      <c r="CW282" s="64">
        <v>0.0</v>
      </c>
      <c r="CX282" s="64">
        <v>0.0</v>
      </c>
      <c r="CY282" s="64">
        <v>0.0</v>
      </c>
      <c r="CZ282" s="64">
        <v>0.0</v>
      </c>
      <c r="DA282" s="64">
        <v>0.0</v>
      </c>
      <c r="DB282" s="64">
        <v>0.0</v>
      </c>
      <c r="DC282" s="72">
        <v>0.0</v>
      </c>
      <c r="DD282" s="72">
        <v>0.0</v>
      </c>
      <c r="DE282" s="72">
        <v>0.0</v>
      </c>
      <c r="DF282" s="72">
        <v>0.0</v>
      </c>
      <c r="DG282" s="72">
        <v>0.0</v>
      </c>
      <c r="DH282" s="72">
        <v>0.0</v>
      </c>
      <c r="DI282" s="73">
        <v>2.0448031358E10</v>
      </c>
      <c r="DJ282" s="74" t="s">
        <v>1033</v>
      </c>
      <c r="DK282" s="74" t="s">
        <v>138</v>
      </c>
      <c r="DL282" s="77"/>
      <c r="DM282" s="77"/>
      <c r="DN282" s="77"/>
      <c r="DO282" s="77"/>
      <c r="DP282" s="77"/>
      <c r="DQ282" s="77"/>
      <c r="DR282" s="77"/>
      <c r="DS282" s="77"/>
      <c r="DT282" s="77"/>
      <c r="DU282" s="77"/>
      <c r="DV282" s="77"/>
      <c r="DW282" s="77"/>
      <c r="DX282" s="77"/>
      <c r="DY282" s="77"/>
      <c r="DZ282" s="77"/>
      <c r="EA282" s="77"/>
      <c r="EB282" s="77"/>
      <c r="EC282" s="77"/>
      <c r="ED282" s="77"/>
      <c r="EE282" s="77"/>
    </row>
    <row r="283" ht="47.25" hidden="1" customHeight="1">
      <c r="A283" s="55" t="s">
        <v>1034</v>
      </c>
      <c r="B283" s="55" t="s">
        <v>287</v>
      </c>
      <c r="C283" s="55" t="s">
        <v>287</v>
      </c>
      <c r="D283" s="55" t="s">
        <v>1001</v>
      </c>
      <c r="E283" s="55" t="s">
        <v>1035</v>
      </c>
      <c r="F283" s="55" t="s">
        <v>1001</v>
      </c>
      <c r="G283" s="55" t="s">
        <v>1003</v>
      </c>
      <c r="H283" s="55" t="s">
        <v>1036</v>
      </c>
      <c r="I283" s="56">
        <v>1.0</v>
      </c>
      <c r="J283" s="56">
        <v>1.0</v>
      </c>
      <c r="K283" s="56">
        <v>1.0</v>
      </c>
      <c r="L283" s="56">
        <v>1.0</v>
      </c>
      <c r="M283" s="56">
        <v>1.0</v>
      </c>
      <c r="N283" s="56">
        <v>1.0</v>
      </c>
      <c r="O283" s="56"/>
      <c r="P283" s="56"/>
      <c r="Q283" s="56" t="s">
        <v>131</v>
      </c>
      <c r="R283" s="58" t="str">
        <f t="shared" si="1"/>
        <v>2018-2019-2020-2021-2022-2023</v>
      </c>
      <c r="S283" s="59" t="str">
        <f>SUM(Hoja1!$I283:$P283)</f>
        <v>6</v>
      </c>
      <c r="T283" s="59" t="str">
        <f>IF(OR(Hoja1!$J283=1,Hoja1!$K283=1,Hoja1!$L283=1,Hoja1!$M283=1,Hoja1!$N283=1,Hoja1!$O283=1,Hoja1!$P283=1),"SI","NO")</f>
        <v>SI</v>
      </c>
      <c r="U283" s="59" t="str">
        <f>IF(OR(Hoja1!$K283=1,Hoja1!$L283=1,Hoja1!$M283=1,Hoja1!$N283=1,Hoja1!$O283=1,Hoja1!$P283=1),"SI","NO")</f>
        <v>SI</v>
      </c>
      <c r="V283" s="60">
        <v>25.0</v>
      </c>
      <c r="W283" s="61">
        <v>5.0</v>
      </c>
      <c r="X283" s="61">
        <v>20.0</v>
      </c>
      <c r="Y283" s="60">
        <v>25.0</v>
      </c>
      <c r="Z283" s="61">
        <v>5.0</v>
      </c>
      <c r="AA283" s="61">
        <v>18.0</v>
      </c>
      <c r="AB283" s="60">
        <v>23.0</v>
      </c>
      <c r="AC283" s="61">
        <v>5.0</v>
      </c>
      <c r="AD283" s="61">
        <v>20.0</v>
      </c>
      <c r="AE283" s="60">
        <v>25.0</v>
      </c>
      <c r="AF283" s="61">
        <v>7.0</v>
      </c>
      <c r="AG283" s="61">
        <v>13.0</v>
      </c>
      <c r="AH283" s="60">
        <v>20.0</v>
      </c>
      <c r="AI283" s="61">
        <v>7.0</v>
      </c>
      <c r="AJ283" s="61">
        <v>13.0</v>
      </c>
      <c r="AK283" s="60">
        <v>20.0</v>
      </c>
      <c r="AL283" s="61">
        <v>0.0</v>
      </c>
      <c r="AM283" s="61">
        <v>0.0</v>
      </c>
      <c r="AN283" s="60">
        <v>0.0</v>
      </c>
      <c r="AO283" s="62">
        <v>0.0</v>
      </c>
      <c r="AP283" s="62">
        <v>0.0</v>
      </c>
      <c r="AQ283" s="60">
        <v>0.0</v>
      </c>
      <c r="AR283" s="60" t="str">
        <f>IF(Hoja1!$AQ283&gt;0,Hoja1!$AQ283,IF(Hoja1!$AN283&gt;0,Hoja1!$AN283,IF(Hoja1!$AK283&gt;0,Hoja1!$AK283,IF(Hoja1!$AH283&gt;0,Hoja1!$AH283,IF(Hoja1!$AE283&gt;0,Hoja1!$AE283,IF(Hoja1!$AB283&gt;0,Hoja1!$AB283,IF(Hoja1!$Y283&gt;0,Hoja1!$Y283,IF(Hoja1!$V283&gt;0,Hoja1!$V283," ---"))))))))</f>
        <v>20</v>
      </c>
      <c r="AS283" s="63">
        <v>10.0</v>
      </c>
      <c r="AT283" s="63">
        <v>10.0</v>
      </c>
      <c r="AU283" s="63">
        <v>52.0</v>
      </c>
      <c r="AV283" s="63">
        <v>7.0</v>
      </c>
      <c r="AW283" s="63">
        <v>38.0</v>
      </c>
      <c r="AX283" s="63">
        <v>5.0</v>
      </c>
      <c r="AY283" s="63">
        <v>35.0</v>
      </c>
      <c r="AZ283" s="63">
        <v>0.0</v>
      </c>
      <c r="BA283" s="63">
        <v>0.0</v>
      </c>
      <c r="BB283" s="63">
        <v>0.0</v>
      </c>
      <c r="BC283" s="63">
        <v>0.0</v>
      </c>
      <c r="BD283" s="63">
        <v>0.0</v>
      </c>
      <c r="BE283" s="64">
        <v>0.0</v>
      </c>
      <c r="BF283" s="65">
        <v>199312.33</v>
      </c>
      <c r="BG283" s="65">
        <v>0.0</v>
      </c>
      <c r="BH283" s="66">
        <v>199312.33</v>
      </c>
      <c r="BI283" s="67" t="str">
        <f t="shared" si="78"/>
        <v>#REF!</v>
      </c>
      <c r="BJ283" s="68" t="str">
        <f t="shared" si="79"/>
        <v>#REF!</v>
      </c>
      <c r="BK283" s="65">
        <v>126973.78</v>
      </c>
      <c r="BL283" s="65">
        <v>0.0</v>
      </c>
      <c r="BM283" s="66">
        <v>126973.78</v>
      </c>
      <c r="BN283" s="67" t="str">
        <f t="shared" si="80"/>
        <v>#REF!</v>
      </c>
      <c r="BO283" s="68" t="str">
        <f t="shared" si="81"/>
        <v>#REF!</v>
      </c>
      <c r="BP283" s="65">
        <v>362887.9</v>
      </c>
      <c r="BQ283" s="65">
        <v>0.0</v>
      </c>
      <c r="BR283" s="66">
        <v>362887.9</v>
      </c>
      <c r="BS283" s="67" t="str">
        <f t="shared" si="82"/>
        <v>#REF!</v>
      </c>
      <c r="BT283" s="68" t="str">
        <f>'[1]DATA CONSOLIDADA 2018-2025 '!$BR283-Hoja1!$BO283</f>
        <v>#REF!</v>
      </c>
      <c r="BU283" s="65">
        <v>136879.8</v>
      </c>
      <c r="BV283" s="65">
        <v>0.0</v>
      </c>
      <c r="BW283" s="66">
        <v>136879.8</v>
      </c>
      <c r="BX283" s="67" t="str">
        <f t="shared" si="83"/>
        <v>#REF!</v>
      </c>
      <c r="BY283" s="68" t="str">
        <f t="shared" si="84"/>
        <v>#REF!</v>
      </c>
      <c r="BZ283" s="65">
        <v>138237.1</v>
      </c>
      <c r="CA283" s="65">
        <v>0.0</v>
      </c>
      <c r="CB283" s="66">
        <v>138237.1</v>
      </c>
      <c r="CC283" s="67" t="str">
        <f t="shared" si="85"/>
        <v>#REF!</v>
      </c>
      <c r="CD283" s="68" t="str">
        <f>'[1]DATA CONSOLIDADA 2018-2025 '!$CB283-Hoja1!$BW283</f>
        <v>#REF!</v>
      </c>
      <c r="CE283" s="70">
        <v>0.0</v>
      </c>
      <c r="CF283" s="70">
        <v>0.0</v>
      </c>
      <c r="CG283" s="71">
        <v>0.0</v>
      </c>
      <c r="CH283" s="67" t="str">
        <f t="shared" si="86"/>
        <v>#REF!</v>
      </c>
      <c r="CI283" s="68" t="str">
        <f>'[1]DATA CONSOLIDADA 2018-2025 '!$CG283-Hoja1!$CB283</f>
        <v>#REF!</v>
      </c>
      <c r="CJ283" s="64" t="str">
        <f t="shared" si="68"/>
        <v>#REF!</v>
      </c>
      <c r="CK283" s="64">
        <v>0.0</v>
      </c>
      <c r="CL283" s="64">
        <v>0.0</v>
      </c>
      <c r="CM283" s="64">
        <v>0.0</v>
      </c>
      <c r="CN283" s="64" t="str">
        <f t="shared" si="12"/>
        <v>#REF!</v>
      </c>
      <c r="CO283" s="68" t="str">
        <f>'[1]DATA CONSOLIDADA 2018-2025 '!$CM283-Hoja1!$CG283</f>
        <v>#REF!</v>
      </c>
      <c r="CP283" s="70">
        <v>0.0</v>
      </c>
      <c r="CQ283" s="70">
        <v>138237.1</v>
      </c>
      <c r="CR283" s="70">
        <v>0.0</v>
      </c>
      <c r="CS283" s="70">
        <v>0.0</v>
      </c>
      <c r="CT283" s="70">
        <v>0.0</v>
      </c>
      <c r="CU283" s="70">
        <v>0.0</v>
      </c>
      <c r="CV283" s="64">
        <v>138237.1</v>
      </c>
      <c r="CW283" s="64">
        <v>0.0</v>
      </c>
      <c r="CX283" s="64">
        <v>0.0</v>
      </c>
      <c r="CY283" s="64">
        <v>0.0</v>
      </c>
      <c r="CZ283" s="64">
        <v>0.0</v>
      </c>
      <c r="DA283" s="64">
        <v>0.0</v>
      </c>
      <c r="DB283" s="64">
        <v>0.0</v>
      </c>
      <c r="DC283" s="72">
        <v>0.0</v>
      </c>
      <c r="DD283" s="72">
        <v>0.0</v>
      </c>
      <c r="DE283" s="72">
        <v>0.0</v>
      </c>
      <c r="DF283" s="72">
        <v>0.0</v>
      </c>
      <c r="DG283" s="72">
        <v>0.0</v>
      </c>
      <c r="DH283" s="72">
        <v>0.0</v>
      </c>
      <c r="DI283" s="73">
        <v>2.0600726596E10</v>
      </c>
      <c r="DJ283" s="74" t="s">
        <v>1037</v>
      </c>
      <c r="DK283" s="74" t="s">
        <v>138</v>
      </c>
      <c r="DL283" s="75"/>
      <c r="DM283" s="75"/>
      <c r="DN283" s="75"/>
      <c r="DO283" s="75"/>
      <c r="DP283" s="75"/>
      <c r="DQ283" s="75"/>
      <c r="DR283" s="75"/>
      <c r="DS283" s="75"/>
      <c r="DT283" s="75"/>
      <c r="DU283" s="75"/>
      <c r="DV283" s="75"/>
      <c r="DW283" s="75"/>
      <c r="DX283" s="75"/>
      <c r="DY283" s="75"/>
      <c r="DZ283" s="75"/>
      <c r="EA283" s="75"/>
      <c r="EB283" s="75"/>
      <c r="EC283" s="75"/>
      <c r="ED283" s="75"/>
      <c r="EE283" s="75"/>
    </row>
    <row r="284" ht="47.25" hidden="1" customHeight="1">
      <c r="A284" s="55" t="s">
        <v>1038</v>
      </c>
      <c r="B284" s="55" t="s">
        <v>126</v>
      </c>
      <c r="C284" s="55" t="s">
        <v>126</v>
      </c>
      <c r="D284" s="55" t="s">
        <v>1001</v>
      </c>
      <c r="E284" s="55" t="s">
        <v>1031</v>
      </c>
      <c r="F284" s="55" t="s">
        <v>1001</v>
      </c>
      <c r="G284" s="55" t="s">
        <v>1032</v>
      </c>
      <c r="H284" s="55" t="s">
        <v>1032</v>
      </c>
      <c r="I284" s="56">
        <v>1.0</v>
      </c>
      <c r="J284" s="56">
        <v>1.0</v>
      </c>
      <c r="K284" s="56">
        <v>1.0</v>
      </c>
      <c r="L284" s="56"/>
      <c r="M284" s="56"/>
      <c r="N284" s="56"/>
      <c r="O284" s="56"/>
      <c r="P284" s="56"/>
      <c r="Q284" s="56" t="s">
        <v>131</v>
      </c>
      <c r="R284" s="58" t="str">
        <f t="shared" si="1"/>
        <v>2018-2019-2020</v>
      </c>
      <c r="S284" s="59" t="str">
        <f>SUM(Hoja1!$I284:$P284)</f>
        <v>3</v>
      </c>
      <c r="T284" s="59" t="str">
        <f>IF(OR(Hoja1!$J284=1,Hoja1!$K284=1,Hoja1!$L284=1,Hoja1!$M284=1,Hoja1!$N284=1,Hoja1!$O284=1,Hoja1!$P284=1),"SI","NO")</f>
        <v>SI</v>
      </c>
      <c r="U284" s="59" t="str">
        <f>IF(OR(Hoja1!$K284=1,Hoja1!$L284=1,Hoja1!$M284=1,Hoja1!$N284=1,Hoja1!$O284=1,Hoja1!$P284=1),"SI","NO")</f>
        <v>SI</v>
      </c>
      <c r="V284" s="60">
        <v>24.0</v>
      </c>
      <c r="W284" s="61">
        <v>111.0</v>
      </c>
      <c r="X284" s="61">
        <v>21.0</v>
      </c>
      <c r="Y284" s="60">
        <v>132.0</v>
      </c>
      <c r="Z284" s="61">
        <v>106.0</v>
      </c>
      <c r="AA284" s="61">
        <v>22.0</v>
      </c>
      <c r="AB284" s="60">
        <v>128.0</v>
      </c>
      <c r="AC284" s="61">
        <v>0.0</v>
      </c>
      <c r="AD284" s="61">
        <v>0.0</v>
      </c>
      <c r="AE284" s="60">
        <v>0.0</v>
      </c>
      <c r="AF284" s="61">
        <v>0.0</v>
      </c>
      <c r="AG284" s="61">
        <v>0.0</v>
      </c>
      <c r="AH284" s="60">
        <v>0.0</v>
      </c>
      <c r="AI284" s="61">
        <v>0.0</v>
      </c>
      <c r="AJ284" s="61">
        <v>0.0</v>
      </c>
      <c r="AK284" s="60">
        <v>0.0</v>
      </c>
      <c r="AL284" s="61">
        <v>0.0</v>
      </c>
      <c r="AM284" s="61">
        <v>0.0</v>
      </c>
      <c r="AN284" s="60">
        <v>0.0</v>
      </c>
      <c r="AO284" s="62">
        <v>0.0</v>
      </c>
      <c r="AP284" s="62">
        <v>0.0</v>
      </c>
      <c r="AQ284" s="60">
        <v>0.0</v>
      </c>
      <c r="AR284" s="60" t="str">
        <f>IF(Hoja1!$AQ284&gt;0,Hoja1!$AQ284,IF(Hoja1!$AN284&gt;0,Hoja1!$AN284,IF(Hoja1!$AK284&gt;0,Hoja1!$AK284,IF(Hoja1!$AH284&gt;0,Hoja1!$AH284,IF(Hoja1!$AE284&gt;0,Hoja1!$AE284,IF(Hoja1!$AB284&gt;0,Hoja1!$AB284,IF(Hoja1!$Y284&gt;0,Hoja1!$Y284,IF(Hoja1!$V284&gt;0,Hoja1!$V284," ---"))))))))</f>
        <v>128</v>
      </c>
      <c r="AS284" s="63">
        <v>0.0</v>
      </c>
      <c r="AT284" s="63">
        <v>5.0</v>
      </c>
      <c r="AU284" s="63">
        <v>0.0</v>
      </c>
      <c r="AV284" s="63">
        <v>0.0</v>
      </c>
      <c r="AW284" s="63">
        <v>0.0</v>
      </c>
      <c r="AX284" s="63">
        <v>0.0</v>
      </c>
      <c r="AY284" s="63">
        <v>0.0</v>
      </c>
      <c r="AZ284" s="63">
        <v>0.0</v>
      </c>
      <c r="BA284" s="63">
        <v>0.0</v>
      </c>
      <c r="BB284" s="63">
        <v>0.0</v>
      </c>
      <c r="BC284" s="63">
        <v>0.0</v>
      </c>
      <c r="BD284" s="63">
        <v>0.0</v>
      </c>
      <c r="BE284" s="64">
        <v>0.0</v>
      </c>
      <c r="BF284" s="65">
        <v>0.0</v>
      </c>
      <c r="BG284" s="65">
        <v>0.0</v>
      </c>
      <c r="BH284" s="66">
        <v>0.0</v>
      </c>
      <c r="BI284" s="67" t="str">
        <f t="shared" si="78"/>
        <v>#REF!</v>
      </c>
      <c r="BJ284" s="68" t="str">
        <f t="shared" si="79"/>
        <v>#REF!</v>
      </c>
      <c r="BK284" s="65">
        <v>107187.5</v>
      </c>
      <c r="BL284" s="65">
        <v>0.0</v>
      </c>
      <c r="BM284" s="66">
        <v>107187.5</v>
      </c>
      <c r="BN284" s="67" t="str">
        <f t="shared" si="80"/>
        <v>#REF!</v>
      </c>
      <c r="BO284" s="68" t="str">
        <f t="shared" si="81"/>
        <v>#REF!</v>
      </c>
      <c r="BP284" s="65">
        <v>0.0</v>
      </c>
      <c r="BQ284" s="65">
        <v>0.0</v>
      </c>
      <c r="BR284" s="66">
        <v>0.0</v>
      </c>
      <c r="BS284" s="67" t="str">
        <f t="shared" si="82"/>
        <v>#REF!</v>
      </c>
      <c r="BT284" s="68" t="str">
        <f>'[1]DATA CONSOLIDADA 2018-2025 '!$BR284-Hoja1!$BO284</f>
        <v>#REF!</v>
      </c>
      <c r="BU284" s="65">
        <v>0.0</v>
      </c>
      <c r="BV284" s="65">
        <v>0.0</v>
      </c>
      <c r="BW284" s="66">
        <v>0.0</v>
      </c>
      <c r="BX284" s="67" t="str">
        <f t="shared" si="83"/>
        <v>#REF!</v>
      </c>
      <c r="BY284" s="68" t="str">
        <f t="shared" si="84"/>
        <v>#REF!</v>
      </c>
      <c r="BZ284" s="65">
        <v>0.0</v>
      </c>
      <c r="CA284" s="65">
        <v>0.0</v>
      </c>
      <c r="CB284" s="66">
        <v>0.0</v>
      </c>
      <c r="CC284" s="67" t="str">
        <f t="shared" si="85"/>
        <v>#REF!</v>
      </c>
      <c r="CD284" s="68" t="str">
        <f>'[1]DATA CONSOLIDADA 2018-2025 '!$CB284-Hoja1!$BW284</f>
        <v>#REF!</v>
      </c>
      <c r="CE284" s="70">
        <v>0.0</v>
      </c>
      <c r="CF284" s="70">
        <v>0.0</v>
      </c>
      <c r="CG284" s="71">
        <v>0.0</v>
      </c>
      <c r="CH284" s="67" t="str">
        <f t="shared" si="86"/>
        <v>#REF!</v>
      </c>
      <c r="CI284" s="68" t="str">
        <f>'[1]DATA CONSOLIDADA 2018-2025 '!$CG284-Hoja1!$CB284</f>
        <v>#REF!</v>
      </c>
      <c r="CJ284" s="64" t="str">
        <f t="shared" si="68"/>
        <v>#REF!</v>
      </c>
      <c r="CK284" s="64">
        <v>0.0</v>
      </c>
      <c r="CL284" s="64">
        <v>0.0</v>
      </c>
      <c r="CM284" s="64">
        <v>0.0</v>
      </c>
      <c r="CN284" s="64" t="str">
        <f t="shared" si="12"/>
        <v>#REF!</v>
      </c>
      <c r="CO284" s="68" t="str">
        <f>'[1]DATA CONSOLIDADA 2018-2025 '!$CM284-Hoja1!$CG284</f>
        <v>#REF!</v>
      </c>
      <c r="CP284" s="70">
        <v>0.0</v>
      </c>
      <c r="CQ284" s="70">
        <v>0.0</v>
      </c>
      <c r="CR284" s="70">
        <v>0.0</v>
      </c>
      <c r="CS284" s="70">
        <v>0.0</v>
      </c>
      <c r="CT284" s="70">
        <v>0.0</v>
      </c>
      <c r="CU284" s="70">
        <v>0.0</v>
      </c>
      <c r="CV284" s="64">
        <v>0.0</v>
      </c>
      <c r="CW284" s="64">
        <v>0.0</v>
      </c>
      <c r="CX284" s="64">
        <v>0.0</v>
      </c>
      <c r="CY284" s="64">
        <v>0.0</v>
      </c>
      <c r="CZ284" s="64">
        <v>0.0</v>
      </c>
      <c r="DA284" s="64">
        <v>0.0</v>
      </c>
      <c r="DB284" s="64">
        <v>0.0</v>
      </c>
      <c r="DC284" s="72">
        <v>0.0</v>
      </c>
      <c r="DD284" s="72">
        <v>0.0</v>
      </c>
      <c r="DE284" s="72">
        <v>0.0</v>
      </c>
      <c r="DF284" s="72">
        <v>0.0</v>
      </c>
      <c r="DG284" s="72">
        <v>0.0</v>
      </c>
      <c r="DH284" s="72">
        <v>0.0</v>
      </c>
      <c r="DI284" s="73">
        <v>2.0145484597E10</v>
      </c>
      <c r="DJ284" s="74" t="s">
        <v>1038</v>
      </c>
      <c r="DK284" s="74" t="s">
        <v>132</v>
      </c>
      <c r="DL284" s="75"/>
      <c r="DM284" s="75"/>
      <c r="DN284" s="75"/>
      <c r="DO284" s="75"/>
      <c r="DP284" s="75"/>
      <c r="DQ284" s="75"/>
      <c r="DR284" s="75"/>
      <c r="DS284" s="75"/>
      <c r="DT284" s="75"/>
      <c r="DU284" s="75"/>
      <c r="DV284" s="75"/>
      <c r="DW284" s="75"/>
      <c r="DX284" s="75"/>
      <c r="DY284" s="75"/>
      <c r="DZ284" s="75"/>
      <c r="EA284" s="75"/>
      <c r="EB284" s="75"/>
      <c r="EC284" s="75"/>
      <c r="ED284" s="75"/>
      <c r="EE284" s="75"/>
    </row>
    <row r="285" ht="47.25" hidden="1" customHeight="1">
      <c r="A285" s="55" t="s">
        <v>1039</v>
      </c>
      <c r="B285" s="55" t="s">
        <v>126</v>
      </c>
      <c r="C285" s="55" t="s">
        <v>126</v>
      </c>
      <c r="D285" s="55" t="s">
        <v>1001</v>
      </c>
      <c r="E285" s="55" t="s">
        <v>1040</v>
      </c>
      <c r="F285" s="55" t="s">
        <v>1001</v>
      </c>
      <c r="G285" s="55" t="s">
        <v>1032</v>
      </c>
      <c r="H285" s="55" t="s">
        <v>1041</v>
      </c>
      <c r="I285" s="56">
        <v>1.0</v>
      </c>
      <c r="J285" s="56">
        <v>1.0</v>
      </c>
      <c r="K285" s="56">
        <v>1.0</v>
      </c>
      <c r="L285" s="56">
        <v>1.0</v>
      </c>
      <c r="M285" s="56">
        <v>1.0</v>
      </c>
      <c r="N285" s="56">
        <v>1.0</v>
      </c>
      <c r="O285" s="56">
        <v>1.0</v>
      </c>
      <c r="P285" s="56">
        <v>1.0</v>
      </c>
      <c r="Q285" s="56" t="s">
        <v>131</v>
      </c>
      <c r="R285" s="58" t="str">
        <f t="shared" si="1"/>
        <v>2018-2019-2020-2021-2022-2023-2024 - 2025</v>
      </c>
      <c r="S285" s="59" t="str">
        <f>SUM(Hoja1!$I285:$P285)</f>
        <v>8</v>
      </c>
      <c r="T285" s="59" t="str">
        <f>IF(OR(Hoja1!$J285=1,Hoja1!$K285=1,Hoja1!$L285=1,Hoja1!$M285=1,Hoja1!$N285=1,Hoja1!$O285=1,Hoja1!$P285=1),"SI","NO")</f>
        <v>SI</v>
      </c>
      <c r="U285" s="59" t="str">
        <f>IF(OR(Hoja1!$K285=1,Hoja1!$L285=1,Hoja1!$M285=1,Hoja1!$N285=1,Hoja1!$O285=1,Hoja1!$P285=1),"SI","NO")</f>
        <v>SI</v>
      </c>
      <c r="V285" s="60">
        <v>2917.0</v>
      </c>
      <c r="W285" s="61">
        <v>1038.0</v>
      </c>
      <c r="X285" s="61">
        <v>168.0</v>
      </c>
      <c r="Y285" s="60">
        <v>1206.0</v>
      </c>
      <c r="Z285" s="61">
        <v>973.0</v>
      </c>
      <c r="AA285" s="61">
        <v>213.0</v>
      </c>
      <c r="AB285" s="60">
        <v>1186.0</v>
      </c>
      <c r="AC285" s="61">
        <v>973.0</v>
      </c>
      <c r="AD285" s="61">
        <v>203.0</v>
      </c>
      <c r="AE285" s="60">
        <v>1176.0</v>
      </c>
      <c r="AF285" s="61">
        <v>973.0</v>
      </c>
      <c r="AG285" s="61">
        <v>203.0</v>
      </c>
      <c r="AH285" s="60">
        <v>1176.0</v>
      </c>
      <c r="AI285" s="61">
        <v>973.0</v>
      </c>
      <c r="AJ285" s="61">
        <v>203.0</v>
      </c>
      <c r="AK285" s="60">
        <v>1176.0</v>
      </c>
      <c r="AL285" s="61">
        <v>1338.0</v>
      </c>
      <c r="AM285" s="61">
        <v>401.0</v>
      </c>
      <c r="AN285" s="60">
        <v>1739.0</v>
      </c>
      <c r="AO285" s="62">
        <v>1338.0</v>
      </c>
      <c r="AP285" s="62">
        <v>401.0</v>
      </c>
      <c r="AQ285" s="60">
        <v>1739.0</v>
      </c>
      <c r="AR285" s="60" t="str">
        <f>IF(Hoja1!$AQ285&gt;0,Hoja1!$AQ285,IF(Hoja1!$AN285&gt;0,Hoja1!$AN285,IF(Hoja1!$AK285&gt;0,Hoja1!$AK285,IF(Hoja1!$AH285&gt;0,Hoja1!$AH285,IF(Hoja1!$AE285&gt;0,Hoja1!$AE285,IF(Hoja1!$AB285&gt;0,Hoja1!$AB285,IF(Hoja1!$Y285&gt;0,Hoja1!$Y285,IF(Hoja1!$V285&gt;0,Hoja1!$V285," ---"))))))))</f>
        <v>1,739</v>
      </c>
      <c r="AS285" s="63">
        <v>0.0</v>
      </c>
      <c r="AT285" s="63">
        <v>4.0</v>
      </c>
      <c r="AU285" s="63">
        <v>157.0</v>
      </c>
      <c r="AV285" s="63">
        <v>13.0</v>
      </c>
      <c r="AW285" s="63">
        <v>131.0</v>
      </c>
      <c r="AX285" s="63">
        <v>14.0</v>
      </c>
      <c r="AY285" s="63">
        <v>263.0</v>
      </c>
      <c r="AZ285" s="63">
        <v>6.0</v>
      </c>
      <c r="BA285" s="63">
        <v>195.0</v>
      </c>
      <c r="BB285" s="63">
        <v>2.0</v>
      </c>
      <c r="BC285" s="63">
        <v>135.0</v>
      </c>
      <c r="BD285" s="63">
        <v>4.0</v>
      </c>
      <c r="BE285" s="64">
        <v>0.0</v>
      </c>
      <c r="BF285" s="65">
        <v>154791.84</v>
      </c>
      <c r="BG285" s="65">
        <v>449871.27</v>
      </c>
      <c r="BH285" s="66">
        <v>604663.11</v>
      </c>
      <c r="BI285" s="67" t="str">
        <f t="shared" si="78"/>
        <v>#REF!</v>
      </c>
      <c r="BJ285" s="68" t="str">
        <f t="shared" si="79"/>
        <v>#REF!</v>
      </c>
      <c r="BK285" s="65">
        <v>379238.0</v>
      </c>
      <c r="BL285" s="65">
        <v>1309480.63</v>
      </c>
      <c r="BM285" s="66">
        <v>1688718.63</v>
      </c>
      <c r="BN285" s="67" t="str">
        <f t="shared" si="80"/>
        <v>#REF!</v>
      </c>
      <c r="BO285" s="68" t="str">
        <f t="shared" si="81"/>
        <v>#REF!</v>
      </c>
      <c r="BP285" s="65">
        <v>202782.52</v>
      </c>
      <c r="BQ285" s="65">
        <v>1508331.49</v>
      </c>
      <c r="BR285" s="66">
        <v>1711114.01</v>
      </c>
      <c r="BS285" s="67" t="str">
        <f t="shared" si="82"/>
        <v>#REF!</v>
      </c>
      <c r="BT285" s="68" t="str">
        <f>'[1]DATA CONSOLIDADA 2018-2025 '!$BR285-Hoja1!$BO285</f>
        <v>#REF!</v>
      </c>
      <c r="BU285" s="65">
        <v>875382.84</v>
      </c>
      <c r="BV285" s="65">
        <v>1150886.06</v>
      </c>
      <c r="BW285" s="66">
        <v>2026268.9</v>
      </c>
      <c r="BX285" s="67" t="str">
        <f t="shared" si="83"/>
        <v>#REF!</v>
      </c>
      <c r="BY285" s="68" t="str">
        <f t="shared" si="84"/>
        <v>#REF!</v>
      </c>
      <c r="BZ285" s="65">
        <v>2529989.97</v>
      </c>
      <c r="CA285" s="65">
        <v>2342777.61</v>
      </c>
      <c r="CB285" s="66">
        <v>4872767.58</v>
      </c>
      <c r="CC285" s="67" t="str">
        <f t="shared" si="85"/>
        <v>#REF!</v>
      </c>
      <c r="CD285" s="68" t="str">
        <f>'[1]DATA CONSOLIDADA 2018-2025 '!$CB285-Hoja1!$BW285</f>
        <v>#REF!</v>
      </c>
      <c r="CE285" s="70">
        <v>1153393.7679800002</v>
      </c>
      <c r="CF285" s="70">
        <v>6266387.15345226</v>
      </c>
      <c r="CG285" s="71">
        <v>7419780.92143226</v>
      </c>
      <c r="CH285" s="67" t="str">
        <f t="shared" si="86"/>
        <v>#REF!</v>
      </c>
      <c r="CI285" s="68" t="str">
        <f>'[1]DATA CONSOLIDADA 2018-2025 '!$CG285-Hoja1!$CB285</f>
        <v>#REF!</v>
      </c>
      <c r="CJ285" s="64" t="str">
        <f t="shared" si="68"/>
        <v>#REF!</v>
      </c>
      <c r="CK285" s="64">
        <v>1816927.69921</v>
      </c>
      <c r="CL285" s="64">
        <v>7693699.162519059</v>
      </c>
      <c r="CM285" s="64">
        <v>9510626.86172906</v>
      </c>
      <c r="CN285" s="64" t="str">
        <f t="shared" si="12"/>
        <v>#REF!</v>
      </c>
      <c r="CO285" s="68" t="str">
        <f>'[1]DATA CONSOLIDADA 2018-2025 '!$CM285-Hoja1!$CG285</f>
        <v>#REF!</v>
      </c>
      <c r="CP285" s="70">
        <v>63500.34147733999</v>
      </c>
      <c r="CQ285" s="70">
        <v>0.0</v>
      </c>
      <c r="CR285" s="70">
        <v>0.0</v>
      </c>
      <c r="CS285" s="70">
        <v>4809267.088323612</v>
      </c>
      <c r="CT285" s="70">
        <v>0.0</v>
      </c>
      <c r="CU285" s="70">
        <v>0.0</v>
      </c>
      <c r="CV285" s="64">
        <v>4872767.429800952</v>
      </c>
      <c r="CW285" s="64">
        <v>60531.0</v>
      </c>
      <c r="CX285" s="64">
        <v>0.0</v>
      </c>
      <c r="CY285" s="64">
        <v>7359249.92143226</v>
      </c>
      <c r="CZ285" s="64">
        <v>0.0</v>
      </c>
      <c r="DA285" s="64">
        <v>0.0</v>
      </c>
      <c r="DB285" s="64">
        <v>7419780.92143226</v>
      </c>
      <c r="DC285" s="72">
        <v>73416.0</v>
      </c>
      <c r="DD285" s="72">
        <v>0.0</v>
      </c>
      <c r="DE285" s="72">
        <v>9437210.861729058</v>
      </c>
      <c r="DF285" s="72">
        <v>0.0</v>
      </c>
      <c r="DG285" s="72">
        <v>0.0</v>
      </c>
      <c r="DH285" s="72">
        <v>9510626.861729058</v>
      </c>
      <c r="DI285" s="73">
        <v>2.0118578415E10</v>
      </c>
      <c r="DJ285" s="74" t="s">
        <v>1042</v>
      </c>
      <c r="DK285" s="74" t="s">
        <v>132</v>
      </c>
      <c r="DL285" s="75"/>
      <c r="DM285" s="75"/>
      <c r="DN285" s="75"/>
      <c r="DO285" s="75"/>
      <c r="DP285" s="75"/>
      <c r="DQ285" s="75"/>
      <c r="DR285" s="75"/>
      <c r="DS285" s="75"/>
      <c r="DT285" s="75"/>
      <c r="DU285" s="75"/>
      <c r="DV285" s="75"/>
      <c r="DW285" s="75"/>
      <c r="DX285" s="75"/>
      <c r="DY285" s="75"/>
      <c r="DZ285" s="75"/>
      <c r="EA285" s="75"/>
      <c r="EB285" s="75"/>
      <c r="EC285" s="75"/>
      <c r="ED285" s="75"/>
      <c r="EE285" s="75"/>
    </row>
    <row r="286" ht="47.25" hidden="1" customHeight="1">
      <c r="A286" s="55" t="s">
        <v>1043</v>
      </c>
      <c r="B286" s="55" t="s">
        <v>491</v>
      </c>
      <c r="C286" s="55" t="s">
        <v>491</v>
      </c>
      <c r="D286" s="55" t="s">
        <v>1001</v>
      </c>
      <c r="E286" s="55" t="s">
        <v>1044</v>
      </c>
      <c r="F286" s="55" t="s">
        <v>1001</v>
      </c>
      <c r="G286" s="55" t="s">
        <v>1026</v>
      </c>
      <c r="H286" s="55" t="s">
        <v>1045</v>
      </c>
      <c r="I286" s="56"/>
      <c r="J286" s="56">
        <v>1.0</v>
      </c>
      <c r="K286" s="56"/>
      <c r="L286" s="56"/>
      <c r="M286" s="56"/>
      <c r="N286" s="56"/>
      <c r="O286" s="56"/>
      <c r="P286" s="56"/>
      <c r="Q286" s="56" t="s">
        <v>131</v>
      </c>
      <c r="R286" s="58" t="str">
        <f t="shared" si="1"/>
        <v>2019</v>
      </c>
      <c r="S286" s="59" t="str">
        <f>SUM(Hoja1!$I286:$P286)</f>
        <v>1</v>
      </c>
      <c r="T286" s="59" t="str">
        <f>IF(OR(Hoja1!$J286=1,Hoja1!$K286=1,Hoja1!$L286=1,Hoja1!$M286=1,Hoja1!$N286=1,Hoja1!$O286=1,Hoja1!$P286=1),"SI","NO")</f>
        <v>SI</v>
      </c>
      <c r="U286" s="59" t="str">
        <f>IF(OR(Hoja1!$K286=1,Hoja1!$L286=1,Hoja1!$M286=1,Hoja1!$N286=1,Hoja1!$O286=1,Hoja1!$P286=1),"SI","NO")</f>
        <v>NO</v>
      </c>
      <c r="V286" s="60">
        <v>0.0</v>
      </c>
      <c r="W286" s="61">
        <v>10.0</v>
      </c>
      <c r="X286" s="61">
        <v>10.0</v>
      </c>
      <c r="Y286" s="60">
        <v>20.0</v>
      </c>
      <c r="Z286" s="61">
        <v>0.0</v>
      </c>
      <c r="AA286" s="61">
        <v>0.0</v>
      </c>
      <c r="AB286" s="60">
        <v>0.0</v>
      </c>
      <c r="AC286" s="61">
        <v>0.0</v>
      </c>
      <c r="AD286" s="61">
        <v>0.0</v>
      </c>
      <c r="AE286" s="60">
        <v>0.0</v>
      </c>
      <c r="AF286" s="61">
        <v>0.0</v>
      </c>
      <c r="AG286" s="61">
        <v>0.0</v>
      </c>
      <c r="AH286" s="60">
        <v>0.0</v>
      </c>
      <c r="AI286" s="61">
        <v>0.0</v>
      </c>
      <c r="AJ286" s="61">
        <v>0.0</v>
      </c>
      <c r="AK286" s="60">
        <v>0.0</v>
      </c>
      <c r="AL286" s="61">
        <v>0.0</v>
      </c>
      <c r="AM286" s="61">
        <v>0.0</v>
      </c>
      <c r="AN286" s="60">
        <v>0.0</v>
      </c>
      <c r="AO286" s="62">
        <v>0.0</v>
      </c>
      <c r="AP286" s="62">
        <v>0.0</v>
      </c>
      <c r="AQ286" s="60">
        <v>0.0</v>
      </c>
      <c r="AR286" s="60" t="str">
        <f>IF(Hoja1!$AQ286&gt;0,Hoja1!$AQ286,IF(Hoja1!$AN286&gt;0,Hoja1!$AN286,IF(Hoja1!$AK286&gt;0,Hoja1!$AK286,IF(Hoja1!$AH286&gt;0,Hoja1!$AH286,IF(Hoja1!$AE286&gt;0,Hoja1!$AE286,IF(Hoja1!$AB286&gt;0,Hoja1!$AB286,IF(Hoja1!$Y286&gt;0,Hoja1!$Y286,IF(Hoja1!$V286&gt;0,Hoja1!$V286," ---"))))))))</f>
        <v>20</v>
      </c>
      <c r="AS286" s="63">
        <v>0.0</v>
      </c>
      <c r="AT286" s="63">
        <v>0.0</v>
      </c>
      <c r="AU286" s="63">
        <v>0.0</v>
      </c>
      <c r="AV286" s="63">
        <v>0.0</v>
      </c>
      <c r="AW286" s="63">
        <v>0.0</v>
      </c>
      <c r="AX286" s="63">
        <v>0.0</v>
      </c>
      <c r="AY286" s="63">
        <v>0.0</v>
      </c>
      <c r="AZ286" s="63">
        <v>0.0</v>
      </c>
      <c r="BA286" s="63">
        <v>0.0</v>
      </c>
      <c r="BB286" s="63">
        <v>0.0</v>
      </c>
      <c r="BC286" s="63">
        <v>0.0</v>
      </c>
      <c r="BD286" s="63">
        <v>0.0</v>
      </c>
      <c r="BE286" s="66">
        <v>0.0</v>
      </c>
      <c r="BF286" s="65">
        <v>0.0</v>
      </c>
      <c r="BG286" s="65">
        <v>0.0</v>
      </c>
      <c r="BH286" s="66">
        <v>0.0</v>
      </c>
      <c r="BI286" s="67" t="str">
        <f t="shared" si="78"/>
        <v>#REF!</v>
      </c>
      <c r="BJ286" s="68" t="str">
        <f t="shared" si="79"/>
        <v>#REF!</v>
      </c>
      <c r="BK286" s="65">
        <v>0.0</v>
      </c>
      <c r="BL286" s="65">
        <v>0.0</v>
      </c>
      <c r="BM286" s="66">
        <v>0.0</v>
      </c>
      <c r="BN286" s="67" t="str">
        <f t="shared" si="80"/>
        <v>#REF!</v>
      </c>
      <c r="BO286" s="68" t="str">
        <f t="shared" si="81"/>
        <v>#REF!</v>
      </c>
      <c r="BP286" s="65">
        <v>0.0</v>
      </c>
      <c r="BQ286" s="65">
        <v>0.0</v>
      </c>
      <c r="BR286" s="66">
        <v>0.0</v>
      </c>
      <c r="BS286" s="67" t="str">
        <f t="shared" si="82"/>
        <v>#REF!</v>
      </c>
      <c r="BT286" s="68" t="str">
        <f>'[1]DATA CONSOLIDADA 2018-2025 '!$BR286-Hoja1!$BO286</f>
        <v>#REF!</v>
      </c>
      <c r="BU286" s="65">
        <v>0.0</v>
      </c>
      <c r="BV286" s="65">
        <v>0.0</v>
      </c>
      <c r="BW286" s="66">
        <v>0.0</v>
      </c>
      <c r="BX286" s="67" t="str">
        <f t="shared" si="83"/>
        <v>#REF!</v>
      </c>
      <c r="BY286" s="68" t="str">
        <f t="shared" si="84"/>
        <v>#REF!</v>
      </c>
      <c r="BZ286" s="65">
        <v>0.0</v>
      </c>
      <c r="CA286" s="65">
        <v>0.0</v>
      </c>
      <c r="CB286" s="66">
        <v>0.0</v>
      </c>
      <c r="CC286" s="67" t="str">
        <f t="shared" si="85"/>
        <v>#REF!</v>
      </c>
      <c r="CD286" s="68" t="str">
        <f>'[1]DATA CONSOLIDADA 2018-2025 '!$CB286-Hoja1!$BW286</f>
        <v>#REF!</v>
      </c>
      <c r="CE286" s="70">
        <v>0.0</v>
      </c>
      <c r="CF286" s="70">
        <v>0.0</v>
      </c>
      <c r="CG286" s="71">
        <v>0.0</v>
      </c>
      <c r="CH286" s="67" t="str">
        <f t="shared" si="86"/>
        <v>#REF!</v>
      </c>
      <c r="CI286" s="68" t="str">
        <f>'[1]DATA CONSOLIDADA 2018-2025 '!$CG286-Hoja1!$CB286</f>
        <v>#REF!</v>
      </c>
      <c r="CJ286" s="64" t="str">
        <f t="shared" si="68"/>
        <v>#REF!</v>
      </c>
      <c r="CK286" s="64">
        <v>0.0</v>
      </c>
      <c r="CL286" s="64">
        <v>0.0</v>
      </c>
      <c r="CM286" s="64">
        <v>0.0</v>
      </c>
      <c r="CN286" s="64" t="str">
        <f t="shared" si="12"/>
        <v>#REF!</v>
      </c>
      <c r="CO286" s="68" t="str">
        <f>'[1]DATA CONSOLIDADA 2018-2025 '!$CM286-Hoja1!$CG286</f>
        <v>#REF!</v>
      </c>
      <c r="CP286" s="70">
        <v>0.0</v>
      </c>
      <c r="CQ286" s="70">
        <v>0.0</v>
      </c>
      <c r="CR286" s="70">
        <v>0.0</v>
      </c>
      <c r="CS286" s="70">
        <v>0.0</v>
      </c>
      <c r="CT286" s="70">
        <v>0.0</v>
      </c>
      <c r="CU286" s="70">
        <v>0.0</v>
      </c>
      <c r="CV286" s="64">
        <v>0.0</v>
      </c>
      <c r="CW286" s="64">
        <v>0.0</v>
      </c>
      <c r="CX286" s="64">
        <v>0.0</v>
      </c>
      <c r="CY286" s="64">
        <v>0.0</v>
      </c>
      <c r="CZ286" s="64">
        <v>0.0</v>
      </c>
      <c r="DA286" s="64">
        <v>0.0</v>
      </c>
      <c r="DB286" s="64">
        <v>0.0</v>
      </c>
      <c r="DC286" s="72">
        <v>0.0</v>
      </c>
      <c r="DD286" s="72">
        <v>0.0</v>
      </c>
      <c r="DE286" s="72">
        <v>0.0</v>
      </c>
      <c r="DF286" s="72">
        <v>0.0</v>
      </c>
      <c r="DG286" s="72">
        <v>0.0</v>
      </c>
      <c r="DH286" s="72">
        <v>0.0</v>
      </c>
      <c r="DI286" s="73">
        <v>2.0447686407E10</v>
      </c>
      <c r="DJ286" s="74" t="s">
        <v>1043</v>
      </c>
      <c r="DK286" s="74" t="s">
        <v>138</v>
      </c>
      <c r="DL286" s="75"/>
      <c r="DM286" s="75"/>
      <c r="DN286" s="75"/>
      <c r="DO286" s="75"/>
      <c r="DP286" s="75"/>
      <c r="DQ286" s="75"/>
      <c r="DR286" s="75"/>
      <c r="DS286" s="75"/>
      <c r="DT286" s="75"/>
      <c r="DU286" s="75"/>
      <c r="DV286" s="75"/>
      <c r="DW286" s="75"/>
      <c r="DX286" s="75"/>
      <c r="DY286" s="75"/>
      <c r="DZ286" s="75"/>
      <c r="EA286" s="75"/>
      <c r="EB286" s="75"/>
      <c r="EC286" s="75"/>
      <c r="ED286" s="75"/>
      <c r="EE286" s="75"/>
    </row>
    <row r="287" ht="47.25" hidden="1" customHeight="1">
      <c r="A287" s="55" t="s">
        <v>1046</v>
      </c>
      <c r="B287" s="55" t="s">
        <v>250</v>
      </c>
      <c r="C287" s="55" t="s">
        <v>250</v>
      </c>
      <c r="D287" s="55" t="s">
        <v>1001</v>
      </c>
      <c r="E287" s="55" t="s">
        <v>1047</v>
      </c>
      <c r="F287" s="55" t="s">
        <v>1001</v>
      </c>
      <c r="G287" s="55" t="s">
        <v>1001</v>
      </c>
      <c r="H287" s="55" t="s">
        <v>1048</v>
      </c>
      <c r="I287" s="56"/>
      <c r="J287" s="56"/>
      <c r="K287" s="56"/>
      <c r="L287" s="56">
        <v>1.0</v>
      </c>
      <c r="M287" s="56">
        <v>1.0</v>
      </c>
      <c r="N287" s="56">
        <v>1.0</v>
      </c>
      <c r="O287" s="56">
        <v>1.0</v>
      </c>
      <c r="P287" s="56"/>
      <c r="Q287" s="56" t="s">
        <v>131</v>
      </c>
      <c r="R287" s="58" t="str">
        <f t="shared" si="1"/>
        <v>2021-2022-2023-2024</v>
      </c>
      <c r="S287" s="59" t="str">
        <f>SUM(Hoja1!$I287:$P287)</f>
        <v>4</v>
      </c>
      <c r="T287" s="59" t="str">
        <f>IF(OR(Hoja1!$J287=1,Hoja1!$K287=1,Hoja1!$L287=1,Hoja1!$M287=1,Hoja1!$N287=1,Hoja1!$O287=1,Hoja1!$P287=1),"SI","NO")</f>
        <v>SI</v>
      </c>
      <c r="U287" s="59" t="str">
        <f>IF(OR(Hoja1!$K287=1,Hoja1!$L287=1,Hoja1!$M287=1,Hoja1!$N287=1,Hoja1!$O287=1,Hoja1!$P287=1),"SI","NO")</f>
        <v>SI</v>
      </c>
      <c r="V287" s="60">
        <v>0.0</v>
      </c>
      <c r="W287" s="61">
        <v>0.0</v>
      </c>
      <c r="X287" s="61">
        <v>0.0</v>
      </c>
      <c r="Y287" s="60">
        <v>0.0</v>
      </c>
      <c r="Z287" s="61">
        <v>0.0</v>
      </c>
      <c r="AA287" s="61">
        <v>0.0</v>
      </c>
      <c r="AB287" s="60">
        <v>0.0</v>
      </c>
      <c r="AC287" s="61">
        <v>6.0</v>
      </c>
      <c r="AD287" s="61">
        <v>20.0</v>
      </c>
      <c r="AE287" s="60">
        <v>26.0</v>
      </c>
      <c r="AF287" s="61">
        <v>23.0</v>
      </c>
      <c r="AG287" s="61">
        <v>0.0</v>
      </c>
      <c r="AH287" s="60">
        <v>23.0</v>
      </c>
      <c r="AI287" s="61">
        <v>23.0</v>
      </c>
      <c r="AJ287" s="61">
        <v>0.0</v>
      </c>
      <c r="AK287" s="60">
        <v>23.0</v>
      </c>
      <c r="AL287" s="61">
        <v>20.0</v>
      </c>
      <c r="AM287" s="61">
        <v>16.0</v>
      </c>
      <c r="AN287" s="60">
        <v>36.0</v>
      </c>
      <c r="AO287" s="62">
        <v>0.0</v>
      </c>
      <c r="AP287" s="62">
        <v>0.0</v>
      </c>
      <c r="AQ287" s="60">
        <v>0.0</v>
      </c>
      <c r="AR287" s="60" t="str">
        <f>IF(Hoja1!$AQ287&gt;0,Hoja1!$AQ287,IF(Hoja1!$AN287&gt;0,Hoja1!$AN287,IF(Hoja1!$AK287&gt;0,Hoja1!$AK287,IF(Hoja1!$AH287&gt;0,Hoja1!$AH287,IF(Hoja1!$AE287&gt;0,Hoja1!$AE287,IF(Hoja1!$AB287&gt;0,Hoja1!$AB287,IF(Hoja1!$Y287&gt;0,Hoja1!$Y287,IF(Hoja1!$V287&gt;0,Hoja1!$V287," ---"))))))))</f>
        <v>36</v>
      </c>
      <c r="AS287" s="63">
        <v>0.0</v>
      </c>
      <c r="AT287" s="63">
        <v>0.0</v>
      </c>
      <c r="AU287" s="63">
        <v>10.0</v>
      </c>
      <c r="AV287" s="63">
        <v>1.0</v>
      </c>
      <c r="AW287" s="63">
        <v>37.0</v>
      </c>
      <c r="AX287" s="63">
        <v>4.0</v>
      </c>
      <c r="AY287" s="63">
        <v>27.0</v>
      </c>
      <c r="AZ287" s="63">
        <v>4.0</v>
      </c>
      <c r="BA287" s="63">
        <v>52.0</v>
      </c>
      <c r="BB287" s="63">
        <v>2.0</v>
      </c>
      <c r="BC287" s="63">
        <v>0.0</v>
      </c>
      <c r="BD287" s="63">
        <v>0.0</v>
      </c>
      <c r="BE287" s="64">
        <v>0.0</v>
      </c>
      <c r="BF287" s="69">
        <v>0.0</v>
      </c>
      <c r="BG287" s="69">
        <v>0.0</v>
      </c>
      <c r="BH287" s="64">
        <v>0.0</v>
      </c>
      <c r="BI287" s="67" t="str">
        <f t="shared" si="78"/>
        <v>#REF!</v>
      </c>
      <c r="BJ287" s="68" t="str">
        <f t="shared" si="79"/>
        <v>#REF!</v>
      </c>
      <c r="BK287" s="69">
        <v>0.0</v>
      </c>
      <c r="BL287" s="69">
        <v>0.0</v>
      </c>
      <c r="BM287" s="66">
        <v>0.0</v>
      </c>
      <c r="BN287" s="67" t="str">
        <f t="shared" si="80"/>
        <v>#REF!</v>
      </c>
      <c r="BO287" s="68" t="str">
        <f t="shared" si="81"/>
        <v>#REF!</v>
      </c>
      <c r="BP287" s="65">
        <v>0.0</v>
      </c>
      <c r="BQ287" s="65">
        <v>0.0</v>
      </c>
      <c r="BR287" s="66">
        <v>0.0</v>
      </c>
      <c r="BS287" s="67" t="str">
        <f t="shared" si="82"/>
        <v>#REF!</v>
      </c>
      <c r="BT287" s="68" t="str">
        <f>'[1]DATA CONSOLIDADA 2018-2025 '!$BR287-Hoja1!$BO287</f>
        <v>#REF!</v>
      </c>
      <c r="BU287" s="65">
        <v>235277.29</v>
      </c>
      <c r="BV287" s="65">
        <v>0.0</v>
      </c>
      <c r="BW287" s="66">
        <v>235277.29</v>
      </c>
      <c r="BX287" s="67" t="str">
        <f t="shared" si="83"/>
        <v>#REF!</v>
      </c>
      <c r="BY287" s="68" t="str">
        <f t="shared" si="84"/>
        <v>#REF!</v>
      </c>
      <c r="BZ287" s="65">
        <v>320478.31</v>
      </c>
      <c r="CA287" s="65">
        <v>0.0</v>
      </c>
      <c r="CB287" s="66">
        <v>320478.31</v>
      </c>
      <c r="CC287" s="67" t="str">
        <f t="shared" si="85"/>
        <v>#REF!</v>
      </c>
      <c r="CD287" s="68" t="str">
        <f>'[1]DATA CONSOLIDADA 2018-2025 '!$CB287-Hoja1!$BW287</f>
        <v>#REF!</v>
      </c>
      <c r="CE287" s="70">
        <v>210938.03999999998</v>
      </c>
      <c r="CF287" s="70">
        <v>0.0</v>
      </c>
      <c r="CG287" s="71">
        <v>210938.03999999998</v>
      </c>
      <c r="CH287" s="67" t="str">
        <f t="shared" si="86"/>
        <v>#REF!</v>
      </c>
      <c r="CI287" s="68" t="str">
        <f>'[1]DATA CONSOLIDADA 2018-2025 '!$CG287-Hoja1!$CB287</f>
        <v>#REF!</v>
      </c>
      <c r="CJ287" s="64" t="str">
        <f t="shared" si="68"/>
        <v>#REF!</v>
      </c>
      <c r="CK287" s="64">
        <v>0.0</v>
      </c>
      <c r="CL287" s="64">
        <v>0.0</v>
      </c>
      <c r="CM287" s="64">
        <v>0.0</v>
      </c>
      <c r="CN287" s="64" t="str">
        <f t="shared" si="12"/>
        <v>#REF!</v>
      </c>
      <c r="CO287" s="68" t="str">
        <f>'[1]DATA CONSOLIDADA 2018-2025 '!$CM287-Hoja1!$CG287</f>
        <v>#REF!</v>
      </c>
      <c r="CP287" s="70">
        <v>0.0</v>
      </c>
      <c r="CQ287" s="70">
        <v>320478.31</v>
      </c>
      <c r="CR287" s="70">
        <v>0.0</v>
      </c>
      <c r="CS287" s="70">
        <v>0.0</v>
      </c>
      <c r="CT287" s="70">
        <v>0.0</v>
      </c>
      <c r="CU287" s="70">
        <v>0.0</v>
      </c>
      <c r="CV287" s="64">
        <v>320478.31</v>
      </c>
      <c r="CW287" s="64">
        <v>0.0</v>
      </c>
      <c r="CX287" s="64">
        <v>210938.03999999998</v>
      </c>
      <c r="CY287" s="64">
        <v>0.0</v>
      </c>
      <c r="CZ287" s="64">
        <v>0.0</v>
      </c>
      <c r="DA287" s="64">
        <v>0.0</v>
      </c>
      <c r="DB287" s="64">
        <v>210938.03999999998</v>
      </c>
      <c r="DC287" s="72">
        <v>0.0</v>
      </c>
      <c r="DD287" s="72">
        <v>0.0</v>
      </c>
      <c r="DE287" s="72">
        <v>0.0</v>
      </c>
      <c r="DF287" s="72">
        <v>0.0</v>
      </c>
      <c r="DG287" s="72">
        <v>0.0</v>
      </c>
      <c r="DH287" s="72">
        <v>0.0</v>
      </c>
      <c r="DI287" s="73">
        <v>2.060156851E10</v>
      </c>
      <c r="DJ287" s="74" t="s">
        <v>1046</v>
      </c>
      <c r="DK287" s="74" t="s">
        <v>138</v>
      </c>
      <c r="DL287" s="75"/>
      <c r="DM287" s="75"/>
      <c r="DN287" s="75"/>
      <c r="DO287" s="75"/>
      <c r="DP287" s="75"/>
      <c r="DQ287" s="75"/>
      <c r="DR287" s="75"/>
      <c r="DS287" s="75"/>
      <c r="DT287" s="75"/>
      <c r="DU287" s="75"/>
      <c r="DV287" s="75"/>
      <c r="DW287" s="75"/>
      <c r="DX287" s="75"/>
      <c r="DY287" s="75"/>
      <c r="DZ287" s="75"/>
      <c r="EA287" s="75"/>
      <c r="EB287" s="75"/>
      <c r="EC287" s="75"/>
      <c r="ED287" s="75"/>
      <c r="EE287" s="75"/>
    </row>
    <row r="288" ht="47.25" hidden="1" customHeight="1">
      <c r="A288" s="55" t="s">
        <v>1049</v>
      </c>
      <c r="B288" s="55" t="s">
        <v>250</v>
      </c>
      <c r="C288" s="55" t="s">
        <v>250</v>
      </c>
      <c r="D288" s="55" t="s">
        <v>1001</v>
      </c>
      <c r="E288" s="55" t="s">
        <v>1050</v>
      </c>
      <c r="F288" s="55" t="s">
        <v>1001</v>
      </c>
      <c r="G288" s="55" t="s">
        <v>1051</v>
      </c>
      <c r="H288" s="55" t="s">
        <v>1052</v>
      </c>
      <c r="I288" s="56"/>
      <c r="J288" s="56"/>
      <c r="K288" s="56"/>
      <c r="L288" s="56">
        <v>1.0</v>
      </c>
      <c r="M288" s="56">
        <v>1.0</v>
      </c>
      <c r="N288" s="56">
        <v>1.0</v>
      </c>
      <c r="O288" s="56">
        <v>1.0</v>
      </c>
      <c r="P288" s="56"/>
      <c r="Q288" s="56" t="s">
        <v>131</v>
      </c>
      <c r="R288" s="58" t="str">
        <f t="shared" si="1"/>
        <v>2021-2022-2023-2024</v>
      </c>
      <c r="S288" s="59" t="str">
        <f>SUM(Hoja1!$I288:$P288)</f>
        <v>4</v>
      </c>
      <c r="T288" s="59" t="str">
        <f>IF(OR(Hoja1!$J288=1,Hoja1!$K288=1,Hoja1!$L288=1,Hoja1!$M288=1,Hoja1!$N288=1,Hoja1!$O288=1,Hoja1!$P288=1),"SI","NO")</f>
        <v>SI</v>
      </c>
      <c r="U288" s="59" t="str">
        <f>IF(OR(Hoja1!$K288=1,Hoja1!$L288=1,Hoja1!$M288=1,Hoja1!$N288=1,Hoja1!$O288=1,Hoja1!$P288=1),"SI","NO")</f>
        <v>SI</v>
      </c>
      <c r="V288" s="60">
        <v>0.0</v>
      </c>
      <c r="W288" s="61">
        <v>0.0</v>
      </c>
      <c r="X288" s="61">
        <v>0.0</v>
      </c>
      <c r="Y288" s="60">
        <v>0.0</v>
      </c>
      <c r="Z288" s="61">
        <v>0.0</v>
      </c>
      <c r="AA288" s="61">
        <v>0.0</v>
      </c>
      <c r="AB288" s="60">
        <v>0.0</v>
      </c>
      <c r="AC288" s="61">
        <v>41.0</v>
      </c>
      <c r="AD288" s="61">
        <v>10.0</v>
      </c>
      <c r="AE288" s="60">
        <v>51.0</v>
      </c>
      <c r="AF288" s="61">
        <v>43.0</v>
      </c>
      <c r="AG288" s="61">
        <v>10.0</v>
      </c>
      <c r="AH288" s="60">
        <v>53.0</v>
      </c>
      <c r="AI288" s="61">
        <v>43.0</v>
      </c>
      <c r="AJ288" s="61">
        <v>10.0</v>
      </c>
      <c r="AK288" s="60">
        <v>53.0</v>
      </c>
      <c r="AL288" s="61">
        <v>66.0</v>
      </c>
      <c r="AM288" s="61">
        <v>15.0</v>
      </c>
      <c r="AN288" s="60">
        <v>81.0</v>
      </c>
      <c r="AO288" s="62">
        <v>0.0</v>
      </c>
      <c r="AP288" s="62">
        <v>0.0</v>
      </c>
      <c r="AQ288" s="60">
        <v>0.0</v>
      </c>
      <c r="AR288" s="60" t="str">
        <f>IF(Hoja1!$AQ288&gt;0,Hoja1!$AQ288,IF(Hoja1!$AN288&gt;0,Hoja1!$AN288,IF(Hoja1!$AK288&gt;0,Hoja1!$AK288,IF(Hoja1!$AH288&gt;0,Hoja1!$AH288,IF(Hoja1!$AE288&gt;0,Hoja1!$AE288,IF(Hoja1!$AB288&gt;0,Hoja1!$AB288,IF(Hoja1!$Y288&gt;0,Hoja1!$Y288,IF(Hoja1!$V288&gt;0,Hoja1!$V288," ---"))))))))</f>
        <v>81</v>
      </c>
      <c r="AS288" s="63">
        <v>0.0</v>
      </c>
      <c r="AT288" s="63">
        <v>0.0</v>
      </c>
      <c r="AU288" s="63">
        <v>10.0</v>
      </c>
      <c r="AV288" s="63">
        <v>1.0</v>
      </c>
      <c r="AW288" s="63">
        <v>40.0</v>
      </c>
      <c r="AX288" s="63">
        <v>3.0</v>
      </c>
      <c r="AY288" s="63">
        <v>28.0</v>
      </c>
      <c r="AZ288" s="63">
        <v>3.0</v>
      </c>
      <c r="BA288" s="63">
        <v>52.0</v>
      </c>
      <c r="BB288" s="63">
        <v>2.0</v>
      </c>
      <c r="BC288" s="63">
        <v>0.0</v>
      </c>
      <c r="BD288" s="63">
        <v>0.0</v>
      </c>
      <c r="BE288" s="64">
        <v>0.0</v>
      </c>
      <c r="BF288" s="69">
        <v>0.0</v>
      </c>
      <c r="BG288" s="69">
        <v>0.0</v>
      </c>
      <c r="BH288" s="64">
        <v>0.0</v>
      </c>
      <c r="BI288" s="67" t="str">
        <f t="shared" si="78"/>
        <v>#REF!</v>
      </c>
      <c r="BJ288" s="68" t="str">
        <f t="shared" si="79"/>
        <v>#REF!</v>
      </c>
      <c r="BK288" s="69">
        <v>0.0</v>
      </c>
      <c r="BL288" s="69">
        <v>0.0</v>
      </c>
      <c r="BM288" s="64">
        <v>0.0</v>
      </c>
      <c r="BN288" s="67" t="str">
        <f t="shared" si="80"/>
        <v>#REF!</v>
      </c>
      <c r="BO288" s="68" t="str">
        <f t="shared" si="81"/>
        <v>#REF!</v>
      </c>
      <c r="BP288" s="65">
        <v>0.0</v>
      </c>
      <c r="BQ288" s="65">
        <v>0.0</v>
      </c>
      <c r="BR288" s="66">
        <v>0.0</v>
      </c>
      <c r="BS288" s="67" t="str">
        <f t="shared" si="82"/>
        <v>#REF!</v>
      </c>
      <c r="BT288" s="68" t="str">
        <f>'[1]DATA CONSOLIDADA 2018-2025 '!$BR288-Hoja1!$BO288</f>
        <v>#REF!</v>
      </c>
      <c r="BU288" s="65">
        <v>294096.54</v>
      </c>
      <c r="BV288" s="65">
        <v>0.0</v>
      </c>
      <c r="BW288" s="66">
        <v>294096.54</v>
      </c>
      <c r="BX288" s="67" t="str">
        <f t="shared" si="83"/>
        <v>#REF!</v>
      </c>
      <c r="BY288" s="68" t="str">
        <f t="shared" si="84"/>
        <v>#REF!</v>
      </c>
      <c r="BZ288" s="65">
        <v>209143.65</v>
      </c>
      <c r="CA288" s="65">
        <v>0.0</v>
      </c>
      <c r="CB288" s="66">
        <v>209143.65</v>
      </c>
      <c r="CC288" s="67" t="str">
        <f t="shared" si="85"/>
        <v>#REF!</v>
      </c>
      <c r="CD288" s="68" t="str">
        <f>'[1]DATA CONSOLIDADA 2018-2025 '!$CB288-Hoja1!$BW288</f>
        <v>#REF!</v>
      </c>
      <c r="CE288" s="70">
        <v>278884.65</v>
      </c>
      <c r="CF288" s="70">
        <v>0.0</v>
      </c>
      <c r="CG288" s="71">
        <v>278884.65</v>
      </c>
      <c r="CH288" s="67" t="str">
        <f t="shared" si="86"/>
        <v>#REF!</v>
      </c>
      <c r="CI288" s="68" t="str">
        <f>'[1]DATA CONSOLIDADA 2018-2025 '!$CG288-Hoja1!$CB288</f>
        <v>#REF!</v>
      </c>
      <c r="CJ288" s="64" t="str">
        <f t="shared" si="68"/>
        <v>#REF!</v>
      </c>
      <c r="CK288" s="64">
        <v>0.0</v>
      </c>
      <c r="CL288" s="64">
        <v>0.0</v>
      </c>
      <c r="CM288" s="64">
        <v>0.0</v>
      </c>
      <c r="CN288" s="64" t="str">
        <f t="shared" si="12"/>
        <v>#REF!</v>
      </c>
      <c r="CO288" s="68" t="str">
        <f>'[1]DATA CONSOLIDADA 2018-2025 '!$CM288-Hoja1!$CG288</f>
        <v>#REF!</v>
      </c>
      <c r="CP288" s="70">
        <v>0.0</v>
      </c>
      <c r="CQ288" s="70">
        <v>209143.65</v>
      </c>
      <c r="CR288" s="70">
        <v>0.0</v>
      </c>
      <c r="CS288" s="70">
        <v>0.0</v>
      </c>
      <c r="CT288" s="70">
        <v>0.0</v>
      </c>
      <c r="CU288" s="70">
        <v>0.0</v>
      </c>
      <c r="CV288" s="64">
        <v>209143.65</v>
      </c>
      <c r="CW288" s="64">
        <v>0.0</v>
      </c>
      <c r="CX288" s="64">
        <v>278884.65</v>
      </c>
      <c r="CY288" s="64">
        <v>0.0</v>
      </c>
      <c r="CZ288" s="64">
        <v>0.0</v>
      </c>
      <c r="DA288" s="64">
        <v>0.0</v>
      </c>
      <c r="DB288" s="64">
        <v>278884.65</v>
      </c>
      <c r="DC288" s="72">
        <v>0.0</v>
      </c>
      <c r="DD288" s="72">
        <v>0.0</v>
      </c>
      <c r="DE288" s="72">
        <v>0.0</v>
      </c>
      <c r="DF288" s="72">
        <v>0.0</v>
      </c>
      <c r="DG288" s="72">
        <v>0.0</v>
      </c>
      <c r="DH288" s="72">
        <v>0.0</v>
      </c>
      <c r="DI288" s="73">
        <v>2.0605910573E10</v>
      </c>
      <c r="DJ288" s="74" t="s">
        <v>1049</v>
      </c>
      <c r="DK288" s="74" t="s">
        <v>138</v>
      </c>
      <c r="DL288" s="75"/>
      <c r="DM288" s="75"/>
      <c r="DN288" s="75"/>
      <c r="DO288" s="75"/>
      <c r="DP288" s="75"/>
      <c r="DQ288" s="75"/>
      <c r="DR288" s="75"/>
      <c r="DS288" s="75"/>
      <c r="DT288" s="75"/>
      <c r="DU288" s="75"/>
      <c r="DV288" s="75"/>
      <c r="DW288" s="75"/>
      <c r="DX288" s="75"/>
      <c r="DY288" s="75"/>
      <c r="DZ288" s="75"/>
      <c r="EA288" s="75"/>
      <c r="EB288" s="75"/>
      <c r="EC288" s="75"/>
      <c r="ED288" s="75"/>
      <c r="EE288" s="75"/>
    </row>
    <row r="289" ht="47.25" hidden="1" customHeight="1">
      <c r="A289" s="55" t="s">
        <v>1053</v>
      </c>
      <c r="B289" s="55" t="s">
        <v>287</v>
      </c>
      <c r="C289" s="55" t="s">
        <v>287</v>
      </c>
      <c r="D289" s="55" t="s">
        <v>1001</v>
      </c>
      <c r="E289" s="55" t="s">
        <v>1054</v>
      </c>
      <c r="F289" s="55" t="s">
        <v>1001</v>
      </c>
      <c r="G289" s="55" t="s">
        <v>1055</v>
      </c>
      <c r="H289" s="55" t="s">
        <v>1056</v>
      </c>
      <c r="I289" s="56"/>
      <c r="J289" s="56"/>
      <c r="K289" s="56"/>
      <c r="L289" s="56">
        <v>1.0</v>
      </c>
      <c r="M289" s="56"/>
      <c r="N289" s="56"/>
      <c r="O289" s="56"/>
      <c r="P289" s="56"/>
      <c r="Q289" s="56" t="s">
        <v>131</v>
      </c>
      <c r="R289" s="58" t="str">
        <f t="shared" si="1"/>
        <v>2021</v>
      </c>
      <c r="S289" s="59" t="str">
        <f>SUM(Hoja1!$I289:$P289)</f>
        <v>1</v>
      </c>
      <c r="T289" s="59" t="str">
        <f>IF(OR(Hoja1!$J289=1,Hoja1!$K289=1,Hoja1!$L289=1,Hoja1!$M289=1,Hoja1!$N289=1,Hoja1!$O289=1,Hoja1!$P289=1),"SI","NO")</f>
        <v>SI</v>
      </c>
      <c r="U289" s="59" t="str">
        <f>IF(OR(Hoja1!$K289=1,Hoja1!$L289=1,Hoja1!$M289=1,Hoja1!$N289=1,Hoja1!$O289=1,Hoja1!$P289=1),"SI","NO")</f>
        <v>SI</v>
      </c>
      <c r="V289" s="60">
        <v>0.0</v>
      </c>
      <c r="W289" s="61">
        <v>0.0</v>
      </c>
      <c r="X289" s="61">
        <v>0.0</v>
      </c>
      <c r="Y289" s="60">
        <v>0.0</v>
      </c>
      <c r="Z289" s="61">
        <v>0.0</v>
      </c>
      <c r="AA289" s="61">
        <v>0.0</v>
      </c>
      <c r="AB289" s="60">
        <v>0.0</v>
      </c>
      <c r="AC289" s="61">
        <v>19.0</v>
      </c>
      <c r="AD289" s="61">
        <v>9.0</v>
      </c>
      <c r="AE289" s="60">
        <v>28.0</v>
      </c>
      <c r="AF289" s="61">
        <v>0.0</v>
      </c>
      <c r="AG289" s="61">
        <v>0.0</v>
      </c>
      <c r="AH289" s="60">
        <v>0.0</v>
      </c>
      <c r="AI289" s="61">
        <v>0.0</v>
      </c>
      <c r="AJ289" s="61">
        <v>0.0</v>
      </c>
      <c r="AK289" s="60">
        <v>0.0</v>
      </c>
      <c r="AL289" s="61">
        <v>0.0</v>
      </c>
      <c r="AM289" s="61">
        <v>0.0</v>
      </c>
      <c r="AN289" s="60">
        <v>0.0</v>
      </c>
      <c r="AO289" s="62">
        <v>0.0</v>
      </c>
      <c r="AP289" s="62">
        <v>0.0</v>
      </c>
      <c r="AQ289" s="60">
        <v>0.0</v>
      </c>
      <c r="AR289" s="60" t="str">
        <f>IF(Hoja1!$AQ289&gt;0,Hoja1!$AQ289,IF(Hoja1!$AN289&gt;0,Hoja1!$AN289,IF(Hoja1!$AK289&gt;0,Hoja1!$AK289,IF(Hoja1!$AH289&gt;0,Hoja1!$AH289,IF(Hoja1!$AE289&gt;0,Hoja1!$AE289,IF(Hoja1!$AB289&gt;0,Hoja1!$AB289,IF(Hoja1!$Y289&gt;0,Hoja1!$Y289,IF(Hoja1!$V289&gt;0,Hoja1!$V289," ---"))))))))</f>
        <v>28</v>
      </c>
      <c r="AS289" s="63">
        <v>0.0</v>
      </c>
      <c r="AT289" s="63">
        <v>0.0</v>
      </c>
      <c r="AU289" s="63">
        <v>4.0</v>
      </c>
      <c r="AV289" s="63">
        <v>0.0</v>
      </c>
      <c r="AW289" s="63">
        <v>0.0</v>
      </c>
      <c r="AX289" s="63">
        <v>0.0</v>
      </c>
      <c r="AY289" s="63">
        <v>0.0</v>
      </c>
      <c r="AZ289" s="63">
        <v>0.0</v>
      </c>
      <c r="BA289" s="63">
        <v>0.0</v>
      </c>
      <c r="BB289" s="63">
        <v>0.0</v>
      </c>
      <c r="BC289" s="63">
        <v>0.0</v>
      </c>
      <c r="BD289" s="63">
        <v>0.0</v>
      </c>
      <c r="BE289" s="64">
        <v>0.0</v>
      </c>
      <c r="BF289" s="69">
        <v>0.0</v>
      </c>
      <c r="BG289" s="69">
        <v>0.0</v>
      </c>
      <c r="BH289" s="64">
        <v>0.0</v>
      </c>
      <c r="BI289" s="67" t="str">
        <f t="shared" si="78"/>
        <v>#REF!</v>
      </c>
      <c r="BJ289" s="68" t="str">
        <f t="shared" si="79"/>
        <v>#REF!</v>
      </c>
      <c r="BK289" s="69">
        <v>0.0</v>
      </c>
      <c r="BL289" s="69">
        <v>0.0</v>
      </c>
      <c r="BM289" s="64">
        <v>0.0</v>
      </c>
      <c r="BN289" s="67" t="str">
        <f t="shared" si="80"/>
        <v>#REF!</v>
      </c>
      <c r="BO289" s="68" t="str">
        <f t="shared" si="81"/>
        <v>#REF!</v>
      </c>
      <c r="BP289" s="65">
        <v>76486.5</v>
      </c>
      <c r="BQ289" s="65">
        <v>0.0</v>
      </c>
      <c r="BR289" s="66">
        <v>76486.5</v>
      </c>
      <c r="BS289" s="67" t="str">
        <f t="shared" si="82"/>
        <v>#REF!</v>
      </c>
      <c r="BT289" s="68" t="str">
        <f>'[1]DATA CONSOLIDADA 2018-2025 '!$BR289-Hoja1!$BO289</f>
        <v>#REF!</v>
      </c>
      <c r="BU289" s="65">
        <v>0.0</v>
      </c>
      <c r="BV289" s="65">
        <v>0.0</v>
      </c>
      <c r="BW289" s="66">
        <v>0.0</v>
      </c>
      <c r="BX289" s="67" t="str">
        <f t="shared" si="83"/>
        <v>#REF!</v>
      </c>
      <c r="BY289" s="68" t="str">
        <f t="shared" si="84"/>
        <v>#REF!</v>
      </c>
      <c r="BZ289" s="65">
        <v>0.0</v>
      </c>
      <c r="CA289" s="65">
        <v>0.0</v>
      </c>
      <c r="CB289" s="66">
        <v>0.0</v>
      </c>
      <c r="CC289" s="67" t="str">
        <f t="shared" si="85"/>
        <v>#REF!</v>
      </c>
      <c r="CD289" s="68" t="str">
        <f>'[1]DATA CONSOLIDADA 2018-2025 '!$CB289-Hoja1!$BW289</f>
        <v>#REF!</v>
      </c>
      <c r="CE289" s="70">
        <v>0.0</v>
      </c>
      <c r="CF289" s="70">
        <v>0.0</v>
      </c>
      <c r="CG289" s="71">
        <v>0.0</v>
      </c>
      <c r="CH289" s="67" t="str">
        <f t="shared" si="86"/>
        <v>#REF!</v>
      </c>
      <c r="CI289" s="68" t="str">
        <f>'[1]DATA CONSOLIDADA 2018-2025 '!$CG289-Hoja1!$CB289</f>
        <v>#REF!</v>
      </c>
      <c r="CJ289" s="64" t="str">
        <f t="shared" si="68"/>
        <v>#REF!</v>
      </c>
      <c r="CK289" s="64">
        <v>0.0</v>
      </c>
      <c r="CL289" s="64">
        <v>0.0</v>
      </c>
      <c r="CM289" s="64">
        <v>0.0</v>
      </c>
      <c r="CN289" s="64" t="str">
        <f t="shared" si="12"/>
        <v>#REF!</v>
      </c>
      <c r="CO289" s="68" t="str">
        <f>'[1]DATA CONSOLIDADA 2018-2025 '!$CM289-Hoja1!$CG289</f>
        <v>#REF!</v>
      </c>
      <c r="CP289" s="70">
        <v>0.0</v>
      </c>
      <c r="CQ289" s="70">
        <v>0.0</v>
      </c>
      <c r="CR289" s="70">
        <v>0.0</v>
      </c>
      <c r="CS289" s="70">
        <v>0.0</v>
      </c>
      <c r="CT289" s="70">
        <v>0.0</v>
      </c>
      <c r="CU289" s="70">
        <v>0.0</v>
      </c>
      <c r="CV289" s="64">
        <v>0.0</v>
      </c>
      <c r="CW289" s="64">
        <v>0.0</v>
      </c>
      <c r="CX289" s="64">
        <v>0.0</v>
      </c>
      <c r="CY289" s="64">
        <v>0.0</v>
      </c>
      <c r="CZ289" s="64">
        <v>0.0</v>
      </c>
      <c r="DA289" s="64">
        <v>0.0</v>
      </c>
      <c r="DB289" s="64">
        <v>0.0</v>
      </c>
      <c r="DC289" s="72">
        <v>0.0</v>
      </c>
      <c r="DD289" s="72">
        <v>0.0</v>
      </c>
      <c r="DE289" s="72">
        <v>0.0</v>
      </c>
      <c r="DF289" s="72">
        <v>0.0</v>
      </c>
      <c r="DG289" s="72">
        <v>0.0</v>
      </c>
      <c r="DH289" s="72">
        <v>0.0</v>
      </c>
      <c r="DI289" s="73">
        <v>2.0607754579E10</v>
      </c>
      <c r="DJ289" s="74" t="s">
        <v>1057</v>
      </c>
      <c r="DK289" s="74" t="s">
        <v>138</v>
      </c>
      <c r="DL289" s="75"/>
      <c r="DM289" s="75"/>
      <c r="DN289" s="75"/>
      <c r="DO289" s="75"/>
      <c r="DP289" s="75"/>
      <c r="DQ289" s="75"/>
      <c r="DR289" s="75"/>
      <c r="DS289" s="75"/>
      <c r="DT289" s="75"/>
      <c r="DU289" s="75"/>
      <c r="DV289" s="75"/>
      <c r="DW289" s="75"/>
      <c r="DX289" s="75"/>
      <c r="DY289" s="75"/>
      <c r="DZ289" s="75"/>
      <c r="EA289" s="75"/>
      <c r="EB289" s="75"/>
      <c r="EC289" s="75"/>
      <c r="ED289" s="75"/>
      <c r="EE289" s="75"/>
    </row>
    <row r="290" ht="47.25" hidden="1" customHeight="1">
      <c r="A290" s="55" t="s">
        <v>1058</v>
      </c>
      <c r="B290" s="55" t="s">
        <v>287</v>
      </c>
      <c r="C290" s="55" t="s">
        <v>287</v>
      </c>
      <c r="D290" s="55" t="s">
        <v>1001</v>
      </c>
      <c r="E290" s="55" t="s">
        <v>1011</v>
      </c>
      <c r="F290" s="55" t="s">
        <v>1001</v>
      </c>
      <c r="G290" s="55" t="s">
        <v>1003</v>
      </c>
      <c r="H290" s="55" t="s">
        <v>1012</v>
      </c>
      <c r="I290" s="56"/>
      <c r="J290" s="56"/>
      <c r="K290" s="56"/>
      <c r="L290" s="56">
        <v>1.0</v>
      </c>
      <c r="M290" s="56">
        <v>1.0</v>
      </c>
      <c r="N290" s="56">
        <v>1.0</v>
      </c>
      <c r="O290" s="56">
        <v>1.0</v>
      </c>
      <c r="P290" s="56"/>
      <c r="Q290" s="56" t="s">
        <v>131</v>
      </c>
      <c r="R290" s="58" t="str">
        <f t="shared" si="1"/>
        <v>2021-2022-2023-2024</v>
      </c>
      <c r="S290" s="59" t="str">
        <f>SUM(Hoja1!$I290:$P290)</f>
        <v>4</v>
      </c>
      <c r="T290" s="59" t="str">
        <f>IF(OR(Hoja1!$J290=1,Hoja1!$K290=1,Hoja1!$L290=1,Hoja1!$M290=1,Hoja1!$N290=1,Hoja1!$O290=1,Hoja1!$P290=1),"SI","NO")</f>
        <v>SI</v>
      </c>
      <c r="U290" s="59" t="str">
        <f>IF(OR(Hoja1!$K290=1,Hoja1!$L290=1,Hoja1!$M290=1,Hoja1!$N290=1,Hoja1!$O290=1,Hoja1!$P290=1),"SI","NO")</f>
        <v>SI</v>
      </c>
      <c r="V290" s="60">
        <v>0.0</v>
      </c>
      <c r="W290" s="61">
        <v>0.0</v>
      </c>
      <c r="X290" s="61">
        <v>0.0</v>
      </c>
      <c r="Y290" s="60">
        <v>0.0</v>
      </c>
      <c r="Z290" s="61">
        <v>0.0</v>
      </c>
      <c r="AA290" s="61">
        <v>0.0</v>
      </c>
      <c r="AB290" s="60">
        <v>0.0</v>
      </c>
      <c r="AC290" s="61">
        <v>20.0</v>
      </c>
      <c r="AD290" s="61">
        <v>40.0</v>
      </c>
      <c r="AE290" s="60">
        <v>60.0</v>
      </c>
      <c r="AF290" s="61">
        <v>20.0</v>
      </c>
      <c r="AG290" s="61">
        <v>40.0</v>
      </c>
      <c r="AH290" s="60">
        <v>60.0</v>
      </c>
      <c r="AI290" s="61">
        <v>20.0</v>
      </c>
      <c r="AJ290" s="61">
        <v>40.0</v>
      </c>
      <c r="AK290" s="60">
        <v>60.0</v>
      </c>
      <c r="AL290" s="61">
        <v>20.0</v>
      </c>
      <c r="AM290" s="61">
        <v>40.0</v>
      </c>
      <c r="AN290" s="60">
        <v>60.0</v>
      </c>
      <c r="AO290" s="62">
        <v>0.0</v>
      </c>
      <c r="AP290" s="62">
        <v>0.0</v>
      </c>
      <c r="AQ290" s="60">
        <v>0.0</v>
      </c>
      <c r="AR290" s="60" t="str">
        <f>IF(Hoja1!$AQ290&gt;0,Hoja1!$AQ290,IF(Hoja1!$AN290&gt;0,Hoja1!$AN290,IF(Hoja1!$AK290&gt;0,Hoja1!$AK290,IF(Hoja1!$AH290&gt;0,Hoja1!$AH290,IF(Hoja1!$AE290&gt;0,Hoja1!$AE290,IF(Hoja1!$AB290&gt;0,Hoja1!$AB290,IF(Hoja1!$Y290&gt;0,Hoja1!$Y290,IF(Hoja1!$V290&gt;0,Hoja1!$V290," ---"))))))))</f>
        <v>60</v>
      </c>
      <c r="AS290" s="63">
        <v>0.0</v>
      </c>
      <c r="AT290" s="63">
        <v>0.0</v>
      </c>
      <c r="AU290" s="63">
        <v>4.0</v>
      </c>
      <c r="AV290" s="63">
        <v>0.0</v>
      </c>
      <c r="AW290" s="63">
        <v>41.0</v>
      </c>
      <c r="AX290" s="63">
        <v>5.0</v>
      </c>
      <c r="AY290" s="63">
        <v>48.0</v>
      </c>
      <c r="AZ290" s="63">
        <v>0.0</v>
      </c>
      <c r="BA290" s="63">
        <v>37.0</v>
      </c>
      <c r="BB290" s="63">
        <v>1.0</v>
      </c>
      <c r="BC290" s="63">
        <v>0.0</v>
      </c>
      <c r="BD290" s="63">
        <v>0.0</v>
      </c>
      <c r="BE290" s="64">
        <v>0.0</v>
      </c>
      <c r="BF290" s="69">
        <v>0.0</v>
      </c>
      <c r="BG290" s="69">
        <v>0.0</v>
      </c>
      <c r="BH290" s="64">
        <v>0.0</v>
      </c>
      <c r="BI290" s="67" t="str">
        <f t="shared" si="78"/>
        <v>#REF!</v>
      </c>
      <c r="BJ290" s="68" t="str">
        <f t="shared" si="79"/>
        <v>#REF!</v>
      </c>
      <c r="BK290" s="69">
        <v>0.0</v>
      </c>
      <c r="BL290" s="69">
        <v>0.0</v>
      </c>
      <c r="BM290" s="66">
        <v>0.0</v>
      </c>
      <c r="BN290" s="67" t="str">
        <f t="shared" si="80"/>
        <v>#REF!</v>
      </c>
      <c r="BO290" s="68" t="str">
        <f t="shared" si="81"/>
        <v>#REF!</v>
      </c>
      <c r="BP290" s="65">
        <v>94363.2</v>
      </c>
      <c r="BQ290" s="65">
        <v>0.0</v>
      </c>
      <c r="BR290" s="66">
        <v>94363.2</v>
      </c>
      <c r="BS290" s="67" t="str">
        <f t="shared" si="82"/>
        <v>#REF!</v>
      </c>
      <c r="BT290" s="68" t="str">
        <f>'[1]DATA CONSOLIDADA 2018-2025 '!$BR290-Hoja1!$BO290</f>
        <v>#REF!</v>
      </c>
      <c r="BU290" s="65">
        <v>87790.45</v>
      </c>
      <c r="BV290" s="65">
        <v>0.0</v>
      </c>
      <c r="BW290" s="66">
        <v>87790.45</v>
      </c>
      <c r="BX290" s="67" t="str">
        <f t="shared" si="83"/>
        <v>#REF!</v>
      </c>
      <c r="BY290" s="68" t="str">
        <f t="shared" si="84"/>
        <v>#REF!</v>
      </c>
      <c r="BZ290" s="65">
        <v>75883.0</v>
      </c>
      <c r="CA290" s="65">
        <v>0.0</v>
      </c>
      <c r="CB290" s="66">
        <v>75883.0</v>
      </c>
      <c r="CC290" s="67" t="str">
        <f t="shared" si="85"/>
        <v>#REF!</v>
      </c>
      <c r="CD290" s="68" t="str">
        <f>'[1]DATA CONSOLIDADA 2018-2025 '!$CB290-Hoja1!$BW290</f>
        <v>#REF!</v>
      </c>
      <c r="CE290" s="70">
        <v>207915.0</v>
      </c>
      <c r="CF290" s="70">
        <v>0.0</v>
      </c>
      <c r="CG290" s="71">
        <v>207915.0</v>
      </c>
      <c r="CH290" s="67" t="str">
        <f t="shared" si="86"/>
        <v>#REF!</v>
      </c>
      <c r="CI290" s="68" t="str">
        <f>'[1]DATA CONSOLIDADA 2018-2025 '!$CG290-Hoja1!$CB290</f>
        <v>#REF!</v>
      </c>
      <c r="CJ290" s="64" t="str">
        <f t="shared" si="68"/>
        <v>#REF!</v>
      </c>
      <c r="CK290" s="64">
        <v>0.0</v>
      </c>
      <c r="CL290" s="64">
        <v>0.0</v>
      </c>
      <c r="CM290" s="64">
        <v>0.0</v>
      </c>
      <c r="CN290" s="64" t="str">
        <f t="shared" si="12"/>
        <v>#REF!</v>
      </c>
      <c r="CO290" s="68" t="str">
        <f>'[1]DATA CONSOLIDADA 2018-2025 '!$CM290-Hoja1!$CG290</f>
        <v>#REF!</v>
      </c>
      <c r="CP290" s="70">
        <v>0.0</v>
      </c>
      <c r="CQ290" s="70">
        <v>75883.0</v>
      </c>
      <c r="CR290" s="70">
        <v>0.0</v>
      </c>
      <c r="CS290" s="70">
        <v>0.0</v>
      </c>
      <c r="CT290" s="70">
        <v>0.0</v>
      </c>
      <c r="CU290" s="70">
        <v>0.0</v>
      </c>
      <c r="CV290" s="64">
        <v>75883.0</v>
      </c>
      <c r="CW290" s="64">
        <v>0.0</v>
      </c>
      <c r="CX290" s="64">
        <v>207915.0</v>
      </c>
      <c r="CY290" s="64">
        <v>0.0</v>
      </c>
      <c r="CZ290" s="64">
        <v>0.0</v>
      </c>
      <c r="DA290" s="64">
        <v>0.0</v>
      </c>
      <c r="DB290" s="64">
        <v>207915.0</v>
      </c>
      <c r="DC290" s="72">
        <v>0.0</v>
      </c>
      <c r="DD290" s="72">
        <v>0.0</v>
      </c>
      <c r="DE290" s="72">
        <v>0.0</v>
      </c>
      <c r="DF290" s="72">
        <v>0.0</v>
      </c>
      <c r="DG290" s="72">
        <v>0.0</v>
      </c>
      <c r="DH290" s="72">
        <v>0.0</v>
      </c>
      <c r="DI290" s="73">
        <v>2.0601460166E10</v>
      </c>
      <c r="DJ290" s="74" t="s">
        <v>1058</v>
      </c>
      <c r="DK290" s="74" t="s">
        <v>138</v>
      </c>
      <c r="DL290" s="75"/>
      <c r="DM290" s="75"/>
      <c r="DN290" s="75"/>
      <c r="DO290" s="75"/>
      <c r="DP290" s="75"/>
      <c r="DQ290" s="75"/>
      <c r="DR290" s="75"/>
      <c r="DS290" s="75"/>
      <c r="DT290" s="75"/>
      <c r="DU290" s="75"/>
      <c r="DV290" s="75"/>
      <c r="DW290" s="75"/>
      <c r="DX290" s="75"/>
      <c r="DY290" s="75"/>
      <c r="DZ290" s="75"/>
      <c r="EA290" s="75"/>
      <c r="EB290" s="75"/>
      <c r="EC290" s="75"/>
      <c r="ED290" s="75"/>
      <c r="EE290" s="75"/>
    </row>
    <row r="291" ht="47.25" customHeight="1">
      <c r="A291" s="55" t="s">
        <v>1059</v>
      </c>
      <c r="B291" s="55" t="s">
        <v>146</v>
      </c>
      <c r="C291" s="55" t="s">
        <v>146</v>
      </c>
      <c r="D291" s="55" t="s">
        <v>1060</v>
      </c>
      <c r="E291" s="55" t="s">
        <v>1061</v>
      </c>
      <c r="F291" s="55" t="s">
        <v>1060</v>
      </c>
      <c r="G291" s="55" t="s">
        <v>1062</v>
      </c>
      <c r="H291" s="55" t="s">
        <v>1063</v>
      </c>
      <c r="I291" s="56">
        <v>1.0</v>
      </c>
      <c r="J291" s="56">
        <v>1.0</v>
      </c>
      <c r="K291" s="56">
        <v>1.0</v>
      </c>
      <c r="L291" s="56"/>
      <c r="M291" s="56"/>
      <c r="N291" s="56"/>
      <c r="O291" s="56"/>
      <c r="P291" s="56"/>
      <c r="Q291" s="56" t="s">
        <v>131</v>
      </c>
      <c r="R291" s="58" t="str">
        <f t="shared" si="1"/>
        <v>2018-2019-2020</v>
      </c>
      <c r="S291" s="59" t="str">
        <f>SUM(Hoja1!$I291:$P291)</f>
        <v>3</v>
      </c>
      <c r="T291" s="59" t="str">
        <f>IF(OR(Hoja1!$J291=1,Hoja1!$K291=1,Hoja1!$L291=1,Hoja1!$M291=1,Hoja1!$N291=1,Hoja1!$O291=1,Hoja1!$P291=1),"SI","NO")</f>
        <v>SI</v>
      </c>
      <c r="U291" s="59" t="str">
        <f>IF(OR(Hoja1!$K291=1,Hoja1!$L291=1,Hoja1!$M291=1,Hoja1!$N291=1,Hoja1!$O291=1,Hoja1!$P291=1),"SI","NO")</f>
        <v>SI</v>
      </c>
      <c r="V291" s="60">
        <v>29.0</v>
      </c>
      <c r="W291" s="61">
        <v>0.0</v>
      </c>
      <c r="X291" s="61">
        <v>29.0</v>
      </c>
      <c r="Y291" s="60">
        <v>29.0</v>
      </c>
      <c r="Z291" s="61">
        <v>0.0</v>
      </c>
      <c r="AA291" s="61">
        <v>29.0</v>
      </c>
      <c r="AB291" s="60">
        <v>29.0</v>
      </c>
      <c r="AC291" s="61">
        <v>0.0</v>
      </c>
      <c r="AD291" s="61">
        <v>0.0</v>
      </c>
      <c r="AE291" s="60">
        <v>0.0</v>
      </c>
      <c r="AF291" s="61">
        <v>0.0</v>
      </c>
      <c r="AG291" s="61">
        <v>0.0</v>
      </c>
      <c r="AH291" s="60">
        <v>0.0</v>
      </c>
      <c r="AI291" s="61">
        <v>0.0</v>
      </c>
      <c r="AJ291" s="61">
        <v>0.0</v>
      </c>
      <c r="AK291" s="60">
        <v>0.0</v>
      </c>
      <c r="AL291" s="61">
        <v>0.0</v>
      </c>
      <c r="AM291" s="61">
        <v>0.0</v>
      </c>
      <c r="AN291" s="60">
        <v>0.0</v>
      </c>
      <c r="AO291" s="62">
        <v>0.0</v>
      </c>
      <c r="AP291" s="62">
        <v>0.0</v>
      </c>
      <c r="AQ291" s="60">
        <v>0.0</v>
      </c>
      <c r="AR291" s="60" t="str">
        <f>IF(Hoja1!$AQ291&gt;0,Hoja1!$AQ291,IF(Hoja1!$AN291&gt;0,Hoja1!$AN291,IF(Hoja1!$AK291&gt;0,Hoja1!$AK291,IF(Hoja1!$AH291&gt;0,Hoja1!$AH291,IF(Hoja1!$AE291&gt;0,Hoja1!$AE291,IF(Hoja1!$AB291&gt;0,Hoja1!$AB291,IF(Hoja1!$Y291&gt;0,Hoja1!$Y291,IF(Hoja1!$V291&gt;0,Hoja1!$V291," ---"))))))))</f>
        <v>29</v>
      </c>
      <c r="AS291" s="63">
        <v>0.0</v>
      </c>
      <c r="AT291" s="63">
        <v>1.0</v>
      </c>
      <c r="AU291" s="63">
        <v>0.0</v>
      </c>
      <c r="AV291" s="63">
        <v>0.0</v>
      </c>
      <c r="AW291" s="63">
        <v>0.0</v>
      </c>
      <c r="AX291" s="63">
        <v>0.0</v>
      </c>
      <c r="AY291" s="63">
        <v>0.0</v>
      </c>
      <c r="AZ291" s="63">
        <v>0.0</v>
      </c>
      <c r="BA291" s="63">
        <v>0.0</v>
      </c>
      <c r="BB291" s="63">
        <v>0.0</v>
      </c>
      <c r="BC291" s="63">
        <v>0.0</v>
      </c>
      <c r="BD291" s="63">
        <v>0.0</v>
      </c>
      <c r="BE291" s="64">
        <v>0.0</v>
      </c>
      <c r="BF291" s="65">
        <v>9089.28</v>
      </c>
      <c r="BG291" s="65">
        <v>0.0</v>
      </c>
      <c r="BH291" s="66">
        <v>9089.28</v>
      </c>
      <c r="BI291" s="67" t="str">
        <f t="shared" si="78"/>
        <v>#REF!</v>
      </c>
      <c r="BJ291" s="68" t="str">
        <f t="shared" si="79"/>
        <v>#REF!</v>
      </c>
      <c r="BK291" s="65">
        <v>19627.8</v>
      </c>
      <c r="BL291" s="65">
        <v>0.0</v>
      </c>
      <c r="BM291" s="66">
        <v>19627.8</v>
      </c>
      <c r="BN291" s="67" t="str">
        <f t="shared" si="80"/>
        <v>#REF!</v>
      </c>
      <c r="BO291" s="68" t="str">
        <f t="shared" si="81"/>
        <v>#REF!</v>
      </c>
      <c r="BP291" s="65">
        <v>0.0</v>
      </c>
      <c r="BQ291" s="65">
        <v>0.0</v>
      </c>
      <c r="BR291" s="66">
        <v>0.0</v>
      </c>
      <c r="BS291" s="67" t="str">
        <f t="shared" si="82"/>
        <v>#REF!</v>
      </c>
      <c r="BT291" s="68" t="str">
        <f>'[1]DATA CONSOLIDADA 2018-2025 '!$BR291-Hoja1!$BO291</f>
        <v>#REF!</v>
      </c>
      <c r="BU291" s="65">
        <v>0.0</v>
      </c>
      <c r="BV291" s="65">
        <v>0.0</v>
      </c>
      <c r="BW291" s="66">
        <v>0.0</v>
      </c>
      <c r="BX291" s="67" t="str">
        <f t="shared" si="83"/>
        <v>#REF!</v>
      </c>
      <c r="BY291" s="68" t="str">
        <f t="shared" si="84"/>
        <v>#REF!</v>
      </c>
      <c r="BZ291" s="65">
        <v>0.0</v>
      </c>
      <c r="CA291" s="65">
        <v>0.0</v>
      </c>
      <c r="CB291" s="66">
        <v>0.0</v>
      </c>
      <c r="CC291" s="67" t="str">
        <f t="shared" si="85"/>
        <v>#REF!</v>
      </c>
      <c r="CD291" s="68" t="str">
        <f>'[1]DATA CONSOLIDADA 2018-2025 '!$CB291-Hoja1!$BW291</f>
        <v>#REF!</v>
      </c>
      <c r="CE291" s="70">
        <v>0.0</v>
      </c>
      <c r="CF291" s="70">
        <v>0.0</v>
      </c>
      <c r="CG291" s="71">
        <v>0.0</v>
      </c>
      <c r="CH291" s="67" t="str">
        <f t="shared" si="86"/>
        <v>#REF!</v>
      </c>
      <c r="CI291" s="68" t="str">
        <f>'[1]DATA CONSOLIDADA 2018-2025 '!$CG291-Hoja1!$CB291</f>
        <v>#REF!</v>
      </c>
      <c r="CJ291" s="64" t="str">
        <f t="shared" si="68"/>
        <v>#REF!</v>
      </c>
      <c r="CK291" s="64">
        <v>0.0</v>
      </c>
      <c r="CL291" s="64">
        <v>0.0</v>
      </c>
      <c r="CM291" s="64">
        <v>0.0</v>
      </c>
      <c r="CN291" s="64" t="str">
        <f t="shared" si="12"/>
        <v>#REF!</v>
      </c>
      <c r="CO291" s="68" t="str">
        <f>'[1]DATA CONSOLIDADA 2018-2025 '!$CM291-Hoja1!$CG291</f>
        <v>#REF!</v>
      </c>
      <c r="CP291" s="70">
        <v>0.0</v>
      </c>
      <c r="CQ291" s="70">
        <v>0.0</v>
      </c>
      <c r="CR291" s="70">
        <v>0.0</v>
      </c>
      <c r="CS291" s="70">
        <v>0.0</v>
      </c>
      <c r="CT291" s="70">
        <v>0.0</v>
      </c>
      <c r="CU291" s="70">
        <v>0.0</v>
      </c>
      <c r="CV291" s="64">
        <v>0.0</v>
      </c>
      <c r="CW291" s="64">
        <v>0.0</v>
      </c>
      <c r="CX291" s="64">
        <v>0.0</v>
      </c>
      <c r="CY291" s="64">
        <v>0.0</v>
      </c>
      <c r="CZ291" s="64">
        <v>0.0</v>
      </c>
      <c r="DA291" s="64">
        <v>0.0</v>
      </c>
      <c r="DB291" s="64">
        <v>0.0</v>
      </c>
      <c r="DC291" s="72">
        <v>0.0</v>
      </c>
      <c r="DD291" s="72">
        <v>0.0</v>
      </c>
      <c r="DE291" s="72">
        <v>0.0</v>
      </c>
      <c r="DF291" s="72">
        <v>0.0</v>
      </c>
      <c r="DG291" s="72">
        <v>0.0</v>
      </c>
      <c r="DH291" s="72">
        <v>0.0</v>
      </c>
      <c r="DI291" s="73">
        <v>2.054225199E10</v>
      </c>
      <c r="DJ291" s="74" t="s">
        <v>1059</v>
      </c>
      <c r="DK291" s="74" t="s">
        <v>138</v>
      </c>
      <c r="DL291" s="75"/>
      <c r="DM291" s="75"/>
      <c r="DN291" s="75"/>
      <c r="DO291" s="75"/>
      <c r="DP291" s="75"/>
      <c r="DQ291" s="75"/>
      <c r="DR291" s="75"/>
      <c r="DS291" s="75"/>
      <c r="DT291" s="75"/>
      <c r="DU291" s="75"/>
      <c r="DV291" s="75"/>
      <c r="DW291" s="75"/>
      <c r="DX291" s="75"/>
      <c r="DY291" s="75"/>
      <c r="DZ291" s="75"/>
      <c r="EA291" s="75"/>
      <c r="EB291" s="75"/>
      <c r="EC291" s="75"/>
      <c r="ED291" s="75"/>
      <c r="EE291" s="75"/>
    </row>
    <row r="292" ht="47.25" customHeight="1">
      <c r="A292" s="55" t="s">
        <v>1064</v>
      </c>
      <c r="B292" s="55" t="s">
        <v>146</v>
      </c>
      <c r="C292" s="55" t="s">
        <v>146</v>
      </c>
      <c r="D292" s="55" t="s">
        <v>1060</v>
      </c>
      <c r="E292" s="55" t="s">
        <v>1065</v>
      </c>
      <c r="F292" s="55" t="s">
        <v>1060</v>
      </c>
      <c r="G292" s="55" t="s">
        <v>1062</v>
      </c>
      <c r="H292" s="55" t="s">
        <v>1066</v>
      </c>
      <c r="I292" s="56"/>
      <c r="J292" s="56">
        <v>1.0</v>
      </c>
      <c r="K292" s="56">
        <v>1.0</v>
      </c>
      <c r="L292" s="56"/>
      <c r="M292" s="56"/>
      <c r="N292" s="56"/>
      <c r="O292" s="56"/>
      <c r="P292" s="56"/>
      <c r="Q292" s="56" t="s">
        <v>131</v>
      </c>
      <c r="R292" s="58" t="str">
        <f t="shared" si="1"/>
        <v>2019-2020</v>
      </c>
      <c r="S292" s="59" t="str">
        <f>SUM(Hoja1!$I292:$P292)</f>
        <v>2</v>
      </c>
      <c r="T292" s="59" t="str">
        <f>IF(OR(Hoja1!$J292=1,Hoja1!$K292=1,Hoja1!$L292=1,Hoja1!$M292=1,Hoja1!$N292=1,Hoja1!$O292=1,Hoja1!$P292=1),"SI","NO")</f>
        <v>SI</v>
      </c>
      <c r="U292" s="59" t="str">
        <f>IF(OR(Hoja1!$K292=1,Hoja1!$L292=1,Hoja1!$M292=1,Hoja1!$N292=1,Hoja1!$O292=1,Hoja1!$P292=1),"SI","NO")</f>
        <v>SI</v>
      </c>
      <c r="V292" s="60">
        <v>0.0</v>
      </c>
      <c r="W292" s="61">
        <v>144.0</v>
      </c>
      <c r="X292" s="61">
        <v>60.0</v>
      </c>
      <c r="Y292" s="60">
        <v>204.0</v>
      </c>
      <c r="Z292" s="61">
        <v>145.0</v>
      </c>
      <c r="AA292" s="61">
        <v>60.0</v>
      </c>
      <c r="AB292" s="60">
        <v>205.0</v>
      </c>
      <c r="AC292" s="61">
        <v>0.0</v>
      </c>
      <c r="AD292" s="61">
        <v>0.0</v>
      </c>
      <c r="AE292" s="60">
        <v>0.0</v>
      </c>
      <c r="AF292" s="61">
        <v>0.0</v>
      </c>
      <c r="AG292" s="61">
        <v>0.0</v>
      </c>
      <c r="AH292" s="60">
        <v>0.0</v>
      </c>
      <c r="AI292" s="61">
        <v>0.0</v>
      </c>
      <c r="AJ292" s="61">
        <v>0.0</v>
      </c>
      <c r="AK292" s="60">
        <v>0.0</v>
      </c>
      <c r="AL292" s="61">
        <v>0.0</v>
      </c>
      <c r="AM292" s="61">
        <v>0.0</v>
      </c>
      <c r="AN292" s="60">
        <v>0.0</v>
      </c>
      <c r="AO292" s="62">
        <v>0.0</v>
      </c>
      <c r="AP292" s="62">
        <v>0.0</v>
      </c>
      <c r="AQ292" s="60">
        <v>0.0</v>
      </c>
      <c r="AR292" s="60" t="str">
        <f>IF(Hoja1!$AQ292&gt;0,Hoja1!$AQ292,IF(Hoja1!$AN292&gt;0,Hoja1!$AN292,IF(Hoja1!$AK292&gt;0,Hoja1!$AK292,IF(Hoja1!$AH292&gt;0,Hoja1!$AH292,IF(Hoja1!$AE292&gt;0,Hoja1!$AE292,IF(Hoja1!$AB292&gt;0,Hoja1!$AB292,IF(Hoja1!$Y292&gt;0,Hoja1!$Y292,IF(Hoja1!$V292&gt;0,Hoja1!$V292," ---"))))))))</f>
        <v>205</v>
      </c>
      <c r="AS292" s="63">
        <v>0.0</v>
      </c>
      <c r="AT292" s="63">
        <v>0.0</v>
      </c>
      <c r="AU292" s="63">
        <v>0.0</v>
      </c>
      <c r="AV292" s="63">
        <v>0.0</v>
      </c>
      <c r="AW292" s="63">
        <v>0.0</v>
      </c>
      <c r="AX292" s="63">
        <v>0.0</v>
      </c>
      <c r="AY292" s="63">
        <v>0.0</v>
      </c>
      <c r="AZ292" s="63">
        <v>0.0</v>
      </c>
      <c r="BA292" s="63">
        <v>0.0</v>
      </c>
      <c r="BB292" s="63">
        <v>0.0</v>
      </c>
      <c r="BC292" s="63">
        <v>0.0</v>
      </c>
      <c r="BD292" s="63">
        <v>0.0</v>
      </c>
      <c r="BE292" s="66">
        <v>0.0</v>
      </c>
      <c r="BF292" s="65">
        <v>480664.8</v>
      </c>
      <c r="BG292" s="65">
        <v>0.0</v>
      </c>
      <c r="BH292" s="66">
        <v>480664.8</v>
      </c>
      <c r="BI292" s="67" t="str">
        <f t="shared" si="78"/>
        <v>#REF!</v>
      </c>
      <c r="BJ292" s="68" t="str">
        <f t="shared" si="79"/>
        <v>#REF!</v>
      </c>
      <c r="BK292" s="65">
        <v>19346.96</v>
      </c>
      <c r="BL292" s="65">
        <v>0.0</v>
      </c>
      <c r="BM292" s="66">
        <v>19346.96</v>
      </c>
      <c r="BN292" s="67" t="str">
        <f t="shared" si="80"/>
        <v>#REF!</v>
      </c>
      <c r="BO292" s="68" t="str">
        <f t="shared" si="81"/>
        <v>#REF!</v>
      </c>
      <c r="BP292" s="65">
        <v>0.0</v>
      </c>
      <c r="BQ292" s="65">
        <v>0.0</v>
      </c>
      <c r="BR292" s="66">
        <v>0.0</v>
      </c>
      <c r="BS292" s="67" t="str">
        <f t="shared" si="82"/>
        <v>#REF!</v>
      </c>
      <c r="BT292" s="68" t="str">
        <f>'[1]DATA CONSOLIDADA 2018-2025 '!$BR292-Hoja1!$BO292</f>
        <v>#REF!</v>
      </c>
      <c r="BU292" s="65">
        <v>0.0</v>
      </c>
      <c r="BV292" s="65">
        <v>0.0</v>
      </c>
      <c r="BW292" s="66">
        <v>0.0</v>
      </c>
      <c r="BX292" s="67" t="str">
        <f t="shared" si="83"/>
        <v>#REF!</v>
      </c>
      <c r="BY292" s="68" t="str">
        <f t="shared" si="84"/>
        <v>#REF!</v>
      </c>
      <c r="BZ292" s="65">
        <v>0.0</v>
      </c>
      <c r="CA292" s="65">
        <v>0.0</v>
      </c>
      <c r="CB292" s="66">
        <v>0.0</v>
      </c>
      <c r="CC292" s="67" t="str">
        <f t="shared" si="85"/>
        <v>#REF!</v>
      </c>
      <c r="CD292" s="68" t="str">
        <f>'[1]DATA CONSOLIDADA 2018-2025 '!$CB292-Hoja1!$BW292</f>
        <v>#REF!</v>
      </c>
      <c r="CE292" s="70">
        <v>0.0</v>
      </c>
      <c r="CF292" s="70">
        <v>0.0</v>
      </c>
      <c r="CG292" s="71">
        <v>0.0</v>
      </c>
      <c r="CH292" s="67" t="str">
        <f t="shared" si="86"/>
        <v>#REF!</v>
      </c>
      <c r="CI292" s="68" t="str">
        <f>'[1]DATA CONSOLIDADA 2018-2025 '!$CG292-Hoja1!$CB292</f>
        <v>#REF!</v>
      </c>
      <c r="CJ292" s="64" t="str">
        <f t="shared" si="68"/>
        <v>#REF!</v>
      </c>
      <c r="CK292" s="64">
        <v>0.0</v>
      </c>
      <c r="CL292" s="64">
        <v>0.0</v>
      </c>
      <c r="CM292" s="64">
        <v>0.0</v>
      </c>
      <c r="CN292" s="64" t="str">
        <f t="shared" si="12"/>
        <v>#REF!</v>
      </c>
      <c r="CO292" s="68" t="str">
        <f>'[1]DATA CONSOLIDADA 2018-2025 '!$CM292-Hoja1!$CG292</f>
        <v>#REF!</v>
      </c>
      <c r="CP292" s="70">
        <v>0.0</v>
      </c>
      <c r="CQ292" s="70">
        <v>0.0</v>
      </c>
      <c r="CR292" s="70">
        <v>0.0</v>
      </c>
      <c r="CS292" s="70">
        <v>0.0</v>
      </c>
      <c r="CT292" s="70">
        <v>0.0</v>
      </c>
      <c r="CU292" s="70">
        <v>0.0</v>
      </c>
      <c r="CV292" s="64">
        <v>0.0</v>
      </c>
      <c r="CW292" s="64">
        <v>0.0</v>
      </c>
      <c r="CX292" s="64">
        <v>0.0</v>
      </c>
      <c r="CY292" s="64">
        <v>0.0</v>
      </c>
      <c r="CZ292" s="64">
        <v>0.0</v>
      </c>
      <c r="DA292" s="64">
        <v>0.0</v>
      </c>
      <c r="DB292" s="64">
        <v>0.0</v>
      </c>
      <c r="DC292" s="72">
        <v>0.0</v>
      </c>
      <c r="DD292" s="72">
        <v>0.0</v>
      </c>
      <c r="DE292" s="72">
        <v>0.0</v>
      </c>
      <c r="DF292" s="72">
        <v>0.0</v>
      </c>
      <c r="DG292" s="72">
        <v>0.0</v>
      </c>
      <c r="DH292" s="72">
        <v>0.0</v>
      </c>
      <c r="DI292" s="73">
        <v>2.0450207544E10</v>
      </c>
      <c r="DJ292" s="74" t="s">
        <v>1064</v>
      </c>
      <c r="DK292" s="74" t="s">
        <v>132</v>
      </c>
      <c r="DL292" s="75"/>
      <c r="DM292" s="75"/>
      <c r="DN292" s="75"/>
      <c r="DO292" s="75"/>
      <c r="DP292" s="75"/>
      <c r="DQ292" s="75"/>
      <c r="DR292" s="75"/>
      <c r="DS292" s="75"/>
      <c r="DT292" s="75"/>
      <c r="DU292" s="75"/>
      <c r="DV292" s="75"/>
      <c r="DW292" s="75"/>
      <c r="DX292" s="75"/>
      <c r="DY292" s="75"/>
      <c r="DZ292" s="75"/>
      <c r="EA292" s="75"/>
      <c r="EB292" s="75"/>
      <c r="EC292" s="75"/>
      <c r="ED292" s="75"/>
      <c r="EE292" s="75"/>
    </row>
    <row r="293" ht="47.25" hidden="1" customHeight="1">
      <c r="A293" s="55" t="s">
        <v>1067</v>
      </c>
      <c r="B293" s="55" t="s">
        <v>126</v>
      </c>
      <c r="C293" s="55" t="s">
        <v>126</v>
      </c>
      <c r="D293" s="55" t="s">
        <v>1060</v>
      </c>
      <c r="E293" s="55" t="s">
        <v>1068</v>
      </c>
      <c r="F293" s="55" t="s">
        <v>1060</v>
      </c>
      <c r="G293" s="55" t="s">
        <v>1069</v>
      </c>
      <c r="H293" s="55" t="s">
        <v>1070</v>
      </c>
      <c r="I293" s="56">
        <v>1.0</v>
      </c>
      <c r="J293" s="56">
        <v>1.0</v>
      </c>
      <c r="K293" s="56">
        <v>1.0</v>
      </c>
      <c r="L293" s="56">
        <v>1.0</v>
      </c>
      <c r="M293" s="56">
        <v>1.0</v>
      </c>
      <c r="N293" s="56"/>
      <c r="O293" s="56"/>
      <c r="P293" s="56"/>
      <c r="Q293" s="56" t="s">
        <v>131</v>
      </c>
      <c r="R293" s="58" t="str">
        <f t="shared" si="1"/>
        <v>2018-2019-2020-2021-2022</v>
      </c>
      <c r="S293" s="59" t="str">
        <f>SUM(Hoja1!$I293:$P293)</f>
        <v>5</v>
      </c>
      <c r="T293" s="59" t="str">
        <f>IF(OR(Hoja1!$J293=1,Hoja1!$K293=1,Hoja1!$L293=1,Hoja1!$M293=1,Hoja1!$N293=1,Hoja1!$O293=1,Hoja1!$P293=1),"SI","NO")</f>
        <v>SI</v>
      </c>
      <c r="U293" s="59" t="str">
        <f>IF(OR(Hoja1!$K293=1,Hoja1!$L293=1,Hoja1!$M293=1,Hoja1!$N293=1,Hoja1!$O293=1,Hoja1!$P293=1),"SI","NO")</f>
        <v>SI</v>
      </c>
      <c r="V293" s="60">
        <v>139.0</v>
      </c>
      <c r="W293" s="61">
        <v>112.0</v>
      </c>
      <c r="X293" s="61">
        <v>25.0</v>
      </c>
      <c r="Y293" s="60">
        <v>137.0</v>
      </c>
      <c r="Z293" s="61">
        <v>121.0</v>
      </c>
      <c r="AA293" s="61">
        <v>25.0</v>
      </c>
      <c r="AB293" s="60">
        <v>146.0</v>
      </c>
      <c r="AC293" s="61">
        <v>142.0</v>
      </c>
      <c r="AD293" s="61">
        <v>27.0</v>
      </c>
      <c r="AE293" s="60">
        <v>169.0</v>
      </c>
      <c r="AF293" s="61">
        <v>123.0</v>
      </c>
      <c r="AG293" s="61">
        <v>25.0</v>
      </c>
      <c r="AH293" s="60">
        <v>148.0</v>
      </c>
      <c r="AI293" s="61">
        <v>0.0</v>
      </c>
      <c r="AJ293" s="61">
        <v>0.0</v>
      </c>
      <c r="AK293" s="60">
        <v>0.0</v>
      </c>
      <c r="AL293" s="61">
        <v>0.0</v>
      </c>
      <c r="AM293" s="61">
        <v>0.0</v>
      </c>
      <c r="AN293" s="60">
        <v>0.0</v>
      </c>
      <c r="AO293" s="62">
        <v>0.0</v>
      </c>
      <c r="AP293" s="62">
        <v>0.0</v>
      </c>
      <c r="AQ293" s="60">
        <v>0.0</v>
      </c>
      <c r="AR293" s="60" t="str">
        <f>IF(Hoja1!$AQ293&gt;0,Hoja1!$AQ293,IF(Hoja1!$AN293&gt;0,Hoja1!$AN293,IF(Hoja1!$AK293&gt;0,Hoja1!$AK293,IF(Hoja1!$AH293&gt;0,Hoja1!$AH293,IF(Hoja1!$AE293&gt;0,Hoja1!$AE293,IF(Hoja1!$AB293&gt;0,Hoja1!$AB293,IF(Hoja1!$Y293&gt;0,Hoja1!$Y293,IF(Hoja1!$V293&gt;0,Hoja1!$V293," ---"))))))))</f>
        <v>148</v>
      </c>
      <c r="AS293" s="63">
        <v>0.0</v>
      </c>
      <c r="AT293" s="63">
        <v>0.0</v>
      </c>
      <c r="AU293" s="63">
        <v>26.0</v>
      </c>
      <c r="AV293" s="63">
        <v>7.0</v>
      </c>
      <c r="AW293" s="63">
        <v>18.0</v>
      </c>
      <c r="AX293" s="63">
        <v>1.0</v>
      </c>
      <c r="AY293" s="63">
        <v>0.0</v>
      </c>
      <c r="AZ293" s="63">
        <v>0.0</v>
      </c>
      <c r="BA293" s="63">
        <v>0.0</v>
      </c>
      <c r="BB293" s="63">
        <v>0.0</v>
      </c>
      <c r="BC293" s="63">
        <v>0.0</v>
      </c>
      <c r="BD293" s="63">
        <v>0.0</v>
      </c>
      <c r="BE293" s="64">
        <v>0.0</v>
      </c>
      <c r="BF293" s="65">
        <v>236440.0</v>
      </c>
      <c r="BG293" s="65">
        <v>0.0</v>
      </c>
      <c r="BH293" s="66">
        <v>236440.0</v>
      </c>
      <c r="BI293" s="67" t="str">
        <f t="shared" si="78"/>
        <v>#REF!</v>
      </c>
      <c r="BJ293" s="68" t="str">
        <f t="shared" si="79"/>
        <v>#REF!</v>
      </c>
      <c r="BK293" s="65">
        <v>111034.44</v>
      </c>
      <c r="BL293" s="65">
        <v>0.0</v>
      </c>
      <c r="BM293" s="66">
        <v>111034.44</v>
      </c>
      <c r="BN293" s="67" t="str">
        <f t="shared" si="80"/>
        <v>#REF!</v>
      </c>
      <c r="BO293" s="68" t="str">
        <f t="shared" si="81"/>
        <v>#REF!</v>
      </c>
      <c r="BP293" s="65">
        <v>185789.78</v>
      </c>
      <c r="BQ293" s="65">
        <v>826441.95</v>
      </c>
      <c r="BR293" s="66">
        <v>1012231.73</v>
      </c>
      <c r="BS293" s="67" t="str">
        <f t="shared" si="82"/>
        <v>#REF!</v>
      </c>
      <c r="BT293" s="68" t="str">
        <f>'[1]DATA CONSOLIDADA 2018-2025 '!$BR293-Hoja1!$BO293</f>
        <v>#REF!</v>
      </c>
      <c r="BU293" s="65">
        <v>4360.0</v>
      </c>
      <c r="BV293" s="65">
        <v>462189.05</v>
      </c>
      <c r="BW293" s="66">
        <v>466549.05</v>
      </c>
      <c r="BX293" s="67" t="str">
        <f t="shared" si="83"/>
        <v>#REF!</v>
      </c>
      <c r="BY293" s="68" t="str">
        <f t="shared" si="84"/>
        <v>#REF!</v>
      </c>
      <c r="BZ293" s="65">
        <v>0.0</v>
      </c>
      <c r="CA293" s="65">
        <v>0.0</v>
      </c>
      <c r="CB293" s="66">
        <v>0.0</v>
      </c>
      <c r="CC293" s="67" t="str">
        <f t="shared" si="85"/>
        <v>#REF!</v>
      </c>
      <c r="CD293" s="68" t="str">
        <f>'[1]DATA CONSOLIDADA 2018-2025 '!$CB293-Hoja1!$BW293</f>
        <v>#REF!</v>
      </c>
      <c r="CE293" s="70">
        <v>0.0</v>
      </c>
      <c r="CF293" s="70">
        <v>0.0</v>
      </c>
      <c r="CG293" s="71">
        <v>0.0</v>
      </c>
      <c r="CH293" s="67" t="str">
        <f t="shared" si="86"/>
        <v>#REF!</v>
      </c>
      <c r="CI293" s="68" t="str">
        <f>'[1]DATA CONSOLIDADA 2018-2025 '!$CG293-Hoja1!$CB293</f>
        <v>#REF!</v>
      </c>
      <c r="CJ293" s="64" t="str">
        <f t="shared" si="68"/>
        <v>#REF!</v>
      </c>
      <c r="CK293" s="64">
        <v>0.0</v>
      </c>
      <c r="CL293" s="64">
        <v>0.0</v>
      </c>
      <c r="CM293" s="64">
        <v>0.0</v>
      </c>
      <c r="CN293" s="64" t="str">
        <f t="shared" si="12"/>
        <v>#REF!</v>
      </c>
      <c r="CO293" s="68" t="str">
        <f>'[1]DATA CONSOLIDADA 2018-2025 '!$CM293-Hoja1!$CG293</f>
        <v>#REF!</v>
      </c>
      <c r="CP293" s="70">
        <v>0.0</v>
      </c>
      <c r="CQ293" s="70">
        <v>0.0</v>
      </c>
      <c r="CR293" s="70">
        <v>0.0</v>
      </c>
      <c r="CS293" s="70">
        <v>0.0</v>
      </c>
      <c r="CT293" s="70">
        <v>0.0</v>
      </c>
      <c r="CU293" s="70">
        <v>0.0</v>
      </c>
      <c r="CV293" s="64">
        <v>0.0</v>
      </c>
      <c r="CW293" s="64">
        <v>0.0</v>
      </c>
      <c r="CX293" s="64">
        <v>0.0</v>
      </c>
      <c r="CY293" s="64">
        <v>0.0</v>
      </c>
      <c r="CZ293" s="64">
        <v>0.0</v>
      </c>
      <c r="DA293" s="64">
        <v>0.0</v>
      </c>
      <c r="DB293" s="64">
        <v>0.0</v>
      </c>
      <c r="DC293" s="72">
        <v>0.0</v>
      </c>
      <c r="DD293" s="72">
        <v>0.0</v>
      </c>
      <c r="DE293" s="72">
        <v>0.0</v>
      </c>
      <c r="DF293" s="72">
        <v>0.0</v>
      </c>
      <c r="DG293" s="72">
        <v>0.0</v>
      </c>
      <c r="DH293" s="72">
        <v>0.0</v>
      </c>
      <c r="DI293" s="73">
        <v>2.0531405723E10</v>
      </c>
      <c r="DJ293" s="74" t="s">
        <v>1067</v>
      </c>
      <c r="DK293" s="74" t="s">
        <v>132</v>
      </c>
      <c r="DL293" s="75"/>
      <c r="DM293" s="75"/>
      <c r="DN293" s="75"/>
      <c r="DO293" s="75"/>
      <c r="DP293" s="75"/>
      <c r="DQ293" s="75"/>
      <c r="DR293" s="75"/>
      <c r="DS293" s="75"/>
      <c r="DT293" s="75"/>
      <c r="DU293" s="75"/>
      <c r="DV293" s="75"/>
      <c r="DW293" s="75"/>
      <c r="DX293" s="75"/>
      <c r="DY293" s="75"/>
      <c r="DZ293" s="75"/>
      <c r="EA293" s="75"/>
      <c r="EB293" s="75"/>
      <c r="EC293" s="75"/>
      <c r="ED293" s="75"/>
      <c r="EE293" s="75"/>
    </row>
    <row r="294" ht="47.25" customHeight="1">
      <c r="A294" s="55" t="s">
        <v>1071</v>
      </c>
      <c r="B294" s="55" t="s">
        <v>146</v>
      </c>
      <c r="C294" s="55" t="s">
        <v>146</v>
      </c>
      <c r="D294" s="55" t="s">
        <v>1060</v>
      </c>
      <c r="E294" s="55" t="s">
        <v>1072</v>
      </c>
      <c r="F294" s="55" t="s">
        <v>1060</v>
      </c>
      <c r="G294" s="55" t="s">
        <v>1073</v>
      </c>
      <c r="H294" s="55" t="s">
        <v>1074</v>
      </c>
      <c r="I294" s="56">
        <v>1.0</v>
      </c>
      <c r="J294" s="56">
        <v>1.0</v>
      </c>
      <c r="K294" s="56">
        <v>1.0</v>
      </c>
      <c r="L294" s="56">
        <v>1.0</v>
      </c>
      <c r="M294" s="56">
        <v>1.0</v>
      </c>
      <c r="N294" s="56">
        <v>1.0</v>
      </c>
      <c r="O294" s="56"/>
      <c r="P294" s="56"/>
      <c r="Q294" s="56" t="s">
        <v>131</v>
      </c>
      <c r="R294" s="58" t="str">
        <f t="shared" si="1"/>
        <v>2018-2019-2020-2021-2022-2023</v>
      </c>
      <c r="S294" s="59" t="str">
        <f>SUM(Hoja1!$I294:$P294)</f>
        <v>6</v>
      </c>
      <c r="T294" s="59" t="str">
        <f>IF(OR(Hoja1!$J294=1,Hoja1!$K294=1,Hoja1!$L294=1,Hoja1!$M294=1,Hoja1!$N294=1,Hoja1!$O294=1,Hoja1!$P294=1),"SI","NO")</f>
        <v>SI</v>
      </c>
      <c r="U294" s="59" t="str">
        <f>IF(OR(Hoja1!$K294=1,Hoja1!$L294=1,Hoja1!$M294=1,Hoja1!$N294=1,Hoja1!$O294=1,Hoja1!$P294=1),"SI","NO")</f>
        <v>SI</v>
      </c>
      <c r="V294" s="60">
        <v>117.0</v>
      </c>
      <c r="W294" s="61">
        <v>14.0</v>
      </c>
      <c r="X294" s="61">
        <v>7.0</v>
      </c>
      <c r="Y294" s="60">
        <v>21.0</v>
      </c>
      <c r="Z294" s="61">
        <v>116.0</v>
      </c>
      <c r="AA294" s="61">
        <v>23.0</v>
      </c>
      <c r="AB294" s="60">
        <v>139.0</v>
      </c>
      <c r="AC294" s="61">
        <v>115.0</v>
      </c>
      <c r="AD294" s="61">
        <v>24.0</v>
      </c>
      <c r="AE294" s="60">
        <v>139.0</v>
      </c>
      <c r="AF294" s="61">
        <v>115.0</v>
      </c>
      <c r="AG294" s="61">
        <v>24.0</v>
      </c>
      <c r="AH294" s="60">
        <v>139.0</v>
      </c>
      <c r="AI294" s="61">
        <v>115.0</v>
      </c>
      <c r="AJ294" s="61">
        <v>24.0</v>
      </c>
      <c r="AK294" s="60">
        <v>139.0</v>
      </c>
      <c r="AL294" s="61">
        <v>0.0</v>
      </c>
      <c r="AM294" s="61">
        <v>0.0</v>
      </c>
      <c r="AN294" s="60">
        <v>0.0</v>
      </c>
      <c r="AO294" s="62">
        <v>0.0</v>
      </c>
      <c r="AP294" s="62">
        <v>0.0</v>
      </c>
      <c r="AQ294" s="60">
        <v>0.0</v>
      </c>
      <c r="AR294" s="60" t="str">
        <f>IF(Hoja1!$AQ294&gt;0,Hoja1!$AQ294,IF(Hoja1!$AN294&gt;0,Hoja1!$AN294,IF(Hoja1!$AK294&gt;0,Hoja1!$AK294,IF(Hoja1!$AH294&gt;0,Hoja1!$AH294,IF(Hoja1!$AE294&gt;0,Hoja1!$AE294,IF(Hoja1!$AB294&gt;0,Hoja1!$AB294,IF(Hoja1!$Y294&gt;0,Hoja1!$Y294,IF(Hoja1!$V294&gt;0,Hoja1!$V294," ---"))))))))</f>
        <v>139</v>
      </c>
      <c r="AS294" s="63">
        <v>0.0</v>
      </c>
      <c r="AT294" s="63">
        <v>0.0</v>
      </c>
      <c r="AU294" s="63">
        <v>29.0</v>
      </c>
      <c r="AV294" s="63">
        <v>11.0</v>
      </c>
      <c r="AW294" s="63">
        <v>25.0</v>
      </c>
      <c r="AX294" s="63">
        <v>6.0</v>
      </c>
      <c r="AY294" s="63">
        <v>21.0</v>
      </c>
      <c r="AZ294" s="63">
        <v>5.0</v>
      </c>
      <c r="BA294" s="63">
        <v>0.0</v>
      </c>
      <c r="BB294" s="63">
        <v>0.0</v>
      </c>
      <c r="BC294" s="63">
        <v>0.0</v>
      </c>
      <c r="BD294" s="63">
        <v>0.0</v>
      </c>
      <c r="BE294" s="64">
        <v>0.0</v>
      </c>
      <c r="BF294" s="65">
        <v>238771.31</v>
      </c>
      <c r="BG294" s="65">
        <v>0.0</v>
      </c>
      <c r="BH294" s="66">
        <v>238771.31</v>
      </c>
      <c r="BI294" s="67" t="str">
        <f t="shared" si="78"/>
        <v>#REF!</v>
      </c>
      <c r="BJ294" s="68" t="str">
        <f t="shared" si="79"/>
        <v>#REF!</v>
      </c>
      <c r="BK294" s="65">
        <v>318916.71</v>
      </c>
      <c r="BL294" s="65">
        <v>0.0</v>
      </c>
      <c r="BM294" s="66">
        <v>318916.71</v>
      </c>
      <c r="BN294" s="67" t="str">
        <f t="shared" si="80"/>
        <v>#REF!</v>
      </c>
      <c r="BO294" s="68" t="str">
        <f t="shared" si="81"/>
        <v>#REF!</v>
      </c>
      <c r="BP294" s="65">
        <v>1054461.65</v>
      </c>
      <c r="BQ294" s="65">
        <v>0.0</v>
      </c>
      <c r="BR294" s="66">
        <v>1054461.65</v>
      </c>
      <c r="BS294" s="67" t="str">
        <f t="shared" si="82"/>
        <v>#REF!</v>
      </c>
      <c r="BT294" s="68" t="str">
        <f>'[1]DATA CONSOLIDADA 2018-2025 '!$BR294-Hoja1!$BO294</f>
        <v>#REF!</v>
      </c>
      <c r="BU294" s="65">
        <v>4331730.9</v>
      </c>
      <c r="BV294" s="65">
        <v>0.0</v>
      </c>
      <c r="BW294" s="66">
        <v>4331730.9</v>
      </c>
      <c r="BX294" s="67" t="str">
        <f t="shared" si="83"/>
        <v>#REF!</v>
      </c>
      <c r="BY294" s="68" t="str">
        <f t="shared" si="84"/>
        <v>#REF!</v>
      </c>
      <c r="BZ294" s="65">
        <v>1204863.18</v>
      </c>
      <c r="CA294" s="65">
        <v>0.0</v>
      </c>
      <c r="CB294" s="66">
        <v>1204863.18</v>
      </c>
      <c r="CC294" s="67" t="str">
        <f t="shared" si="85"/>
        <v>#REF!</v>
      </c>
      <c r="CD294" s="68" t="str">
        <f>'[1]DATA CONSOLIDADA 2018-2025 '!$CB294-Hoja1!$BW294</f>
        <v>#REF!</v>
      </c>
      <c r="CE294" s="70">
        <v>0.0</v>
      </c>
      <c r="CF294" s="70">
        <v>0.0</v>
      </c>
      <c r="CG294" s="71">
        <v>0.0</v>
      </c>
      <c r="CH294" s="67" t="str">
        <f t="shared" si="86"/>
        <v>#REF!</v>
      </c>
      <c r="CI294" s="68" t="str">
        <f>'[1]DATA CONSOLIDADA 2018-2025 '!$CG294-Hoja1!$CB294</f>
        <v>#REF!</v>
      </c>
      <c r="CJ294" s="64" t="str">
        <f t="shared" si="68"/>
        <v>#REF!</v>
      </c>
      <c r="CK294" s="64">
        <v>0.0</v>
      </c>
      <c r="CL294" s="64">
        <v>0.0</v>
      </c>
      <c r="CM294" s="64">
        <v>0.0</v>
      </c>
      <c r="CN294" s="64" t="str">
        <f t="shared" si="12"/>
        <v>#REF!</v>
      </c>
      <c r="CO294" s="68" t="str">
        <f>'[1]DATA CONSOLIDADA 2018-2025 '!$CM294-Hoja1!$CG294</f>
        <v>#REF!</v>
      </c>
      <c r="CP294" s="70">
        <v>0.0</v>
      </c>
      <c r="CQ294" s="70">
        <v>0.0</v>
      </c>
      <c r="CR294" s="70">
        <v>0.0</v>
      </c>
      <c r="CS294" s="70">
        <v>1204863.175</v>
      </c>
      <c r="CT294" s="70">
        <v>0.0</v>
      </c>
      <c r="CU294" s="70">
        <v>0.0</v>
      </c>
      <c r="CV294" s="64">
        <v>1204863.175</v>
      </c>
      <c r="CW294" s="64">
        <v>0.0</v>
      </c>
      <c r="CX294" s="64">
        <v>0.0</v>
      </c>
      <c r="CY294" s="64">
        <v>0.0</v>
      </c>
      <c r="CZ294" s="64">
        <v>0.0</v>
      </c>
      <c r="DA294" s="64">
        <v>0.0</v>
      </c>
      <c r="DB294" s="64">
        <v>0.0</v>
      </c>
      <c r="DC294" s="72">
        <v>0.0</v>
      </c>
      <c r="DD294" s="72">
        <v>0.0</v>
      </c>
      <c r="DE294" s="72">
        <v>0.0</v>
      </c>
      <c r="DF294" s="72">
        <v>0.0</v>
      </c>
      <c r="DG294" s="72">
        <v>0.0</v>
      </c>
      <c r="DH294" s="72">
        <v>0.0</v>
      </c>
      <c r="DI294" s="73">
        <v>2.0493934822E10</v>
      </c>
      <c r="DJ294" s="74" t="s">
        <v>1071</v>
      </c>
      <c r="DK294" s="74" t="s">
        <v>132</v>
      </c>
      <c r="DL294" s="75"/>
      <c r="DM294" s="75"/>
      <c r="DN294" s="75"/>
      <c r="DO294" s="75"/>
      <c r="DP294" s="75"/>
      <c r="DQ294" s="75"/>
      <c r="DR294" s="75"/>
      <c r="DS294" s="75"/>
      <c r="DT294" s="75"/>
      <c r="DU294" s="75"/>
      <c r="DV294" s="75"/>
      <c r="DW294" s="75"/>
      <c r="DX294" s="75"/>
      <c r="DY294" s="75"/>
      <c r="DZ294" s="75"/>
      <c r="EA294" s="75"/>
      <c r="EB294" s="75"/>
      <c r="EC294" s="75"/>
      <c r="ED294" s="75"/>
      <c r="EE294" s="75"/>
    </row>
    <row r="295" ht="47.25" customHeight="1">
      <c r="A295" s="55" t="s">
        <v>1075</v>
      </c>
      <c r="B295" s="55" t="s">
        <v>146</v>
      </c>
      <c r="C295" s="55" t="s">
        <v>146</v>
      </c>
      <c r="D295" s="55" t="s">
        <v>846</v>
      </c>
      <c r="E295" s="55" t="s">
        <v>1076</v>
      </c>
      <c r="F295" s="55" t="s">
        <v>846</v>
      </c>
      <c r="G295" s="55" t="s">
        <v>1077</v>
      </c>
      <c r="H295" s="55" t="s">
        <v>1077</v>
      </c>
      <c r="I295" s="56"/>
      <c r="J295" s="56"/>
      <c r="K295" s="56"/>
      <c r="L295" s="56"/>
      <c r="M295" s="56"/>
      <c r="N295" s="56"/>
      <c r="O295" s="56">
        <v>1.0</v>
      </c>
      <c r="P295" s="56">
        <v>1.0</v>
      </c>
      <c r="Q295" s="56" t="s">
        <v>131</v>
      </c>
      <c r="R295" s="58" t="str">
        <f t="shared" si="1"/>
        <v>2024 - 2025</v>
      </c>
      <c r="S295" s="59" t="str">
        <f>SUM(Hoja1!$I295:$P295)</f>
        <v>2</v>
      </c>
      <c r="T295" s="59" t="str">
        <f>IF(OR(Hoja1!$J295=1,Hoja1!$K295=1,Hoja1!$L295=1,Hoja1!$M295=1,Hoja1!$N295=1,Hoja1!$O295=1,Hoja1!$P295=1),"SI","NO")</f>
        <v>SI</v>
      </c>
      <c r="U295" s="59" t="str">
        <f>IF(OR(Hoja1!$K295=1,Hoja1!$L295=1,Hoja1!$M295=1,Hoja1!$N295=1,Hoja1!$O295=1,Hoja1!$P295=1),"SI","NO")</f>
        <v>SI</v>
      </c>
      <c r="V295" s="60">
        <v>0.0</v>
      </c>
      <c r="W295" s="61">
        <v>0.0</v>
      </c>
      <c r="X295" s="61">
        <v>0.0</v>
      </c>
      <c r="Y295" s="60">
        <v>0.0</v>
      </c>
      <c r="Z295" s="61">
        <v>0.0</v>
      </c>
      <c r="AA295" s="61">
        <v>0.0</v>
      </c>
      <c r="AB295" s="60">
        <v>0.0</v>
      </c>
      <c r="AC295" s="61">
        <v>0.0</v>
      </c>
      <c r="AD295" s="61">
        <v>0.0</v>
      </c>
      <c r="AE295" s="60">
        <v>0.0</v>
      </c>
      <c r="AF295" s="61">
        <v>0.0</v>
      </c>
      <c r="AG295" s="61">
        <v>0.0</v>
      </c>
      <c r="AH295" s="60">
        <v>0.0</v>
      </c>
      <c r="AI295" s="61">
        <v>0.0</v>
      </c>
      <c r="AJ295" s="61">
        <v>0.0</v>
      </c>
      <c r="AK295" s="60">
        <v>0.0</v>
      </c>
      <c r="AL295" s="61">
        <v>19.0</v>
      </c>
      <c r="AM295" s="61">
        <v>6.0</v>
      </c>
      <c r="AN295" s="60">
        <v>25.0</v>
      </c>
      <c r="AO295" s="62">
        <v>20.0</v>
      </c>
      <c r="AP295" s="62">
        <v>5.0</v>
      </c>
      <c r="AQ295" s="60">
        <v>25.0</v>
      </c>
      <c r="AR295" s="60" t="str">
        <f>IF(Hoja1!$AQ295&gt;0,Hoja1!$AQ295,IF(Hoja1!$AN295&gt;0,Hoja1!$AN295,IF(Hoja1!$AK295&gt;0,Hoja1!$AK295,IF(Hoja1!$AH295&gt;0,Hoja1!$AH295,IF(Hoja1!$AE295&gt;0,Hoja1!$AE295,IF(Hoja1!$AB295&gt;0,Hoja1!$AB295,IF(Hoja1!$Y295&gt;0,Hoja1!$Y295,IF(Hoja1!$V295&gt;0,Hoja1!$V295," ---"))))))))</f>
        <v>25</v>
      </c>
      <c r="AS295" s="63">
        <v>0.0</v>
      </c>
      <c r="AT295" s="63">
        <v>0.0</v>
      </c>
      <c r="AU295" s="63">
        <v>0.0</v>
      </c>
      <c r="AV295" s="63">
        <v>0.0</v>
      </c>
      <c r="AW295" s="63">
        <v>0.0</v>
      </c>
      <c r="AX295" s="63">
        <v>0.0</v>
      </c>
      <c r="AY295" s="63">
        <v>0.0</v>
      </c>
      <c r="AZ295" s="63">
        <v>0.0</v>
      </c>
      <c r="BA295" s="63">
        <v>41.0</v>
      </c>
      <c r="BB295" s="63">
        <v>0.0</v>
      </c>
      <c r="BC295" s="63">
        <v>14.0</v>
      </c>
      <c r="BD295" s="63">
        <v>0.0</v>
      </c>
      <c r="BE295" s="64">
        <v>0.0</v>
      </c>
      <c r="BF295" s="69">
        <v>0.0</v>
      </c>
      <c r="BG295" s="69">
        <v>0.0</v>
      </c>
      <c r="BH295" s="64">
        <v>0.0</v>
      </c>
      <c r="BI295" s="67" t="str">
        <f>IF('[1]DATA CONSOLIDADA 2018-2025 '!$BH483&gt;'[1]DATA CONSOLIDADA 2018-2025 '!$AN483,"Incremento",IF('[1]DATA CONSOLIDADA 2018-2025 '!$AN483='[1]DATA CONSOLIDADA 2018-2025 '!$BH483,"Sin incremento",IF('[1]DATA CONSOLIDADA 2018-2025 '!$BH483&lt;'[1]DATA CONSOLIDADA 2018-2025 '!$AN483,"Disminución"," ---")))</f>
        <v>#REF!</v>
      </c>
      <c r="BJ295" s="68" t="str">
        <f>'[1]DATA CONSOLIDADA 2018-2025 '!$BH483-'[1]DATA CONSOLIDADA 2018-2025 '!$BE483</f>
        <v>#REF!</v>
      </c>
      <c r="BK295" s="69">
        <v>0.0</v>
      </c>
      <c r="BL295" s="69">
        <v>0.0</v>
      </c>
      <c r="BM295" s="64">
        <v>0.0</v>
      </c>
      <c r="BN295" s="67" t="str">
        <f>IF('[1]DATA CONSOLIDADA 2018-2025 '!$BM483&gt;'[1]DATA CONSOLIDADA 2018-2025 '!$BH483,"Incremento",IF('[1]DATA CONSOLIDADA 2018-2025 '!$BH483='[1]DATA CONSOLIDADA 2018-2025 '!$BM483,"Sin incremento",IF('[1]DATA CONSOLIDADA 2018-2025 '!$BM483&lt;'[1]DATA CONSOLIDADA 2018-2025 '!$BH483,"Disminución"," ---")))</f>
        <v>#REF!</v>
      </c>
      <c r="BO295" s="68" t="str">
        <f>'[1]DATA CONSOLIDADA 2018-2025 '!$BM483-'[1]DATA CONSOLIDADA 2018-2025 '!$BH483</f>
        <v>#REF!</v>
      </c>
      <c r="BP295" s="65">
        <v>0.0</v>
      </c>
      <c r="BQ295" s="65">
        <v>0.0</v>
      </c>
      <c r="BR295" s="66">
        <v>0.0</v>
      </c>
      <c r="BS295" s="67" t="str">
        <f>IF('[1]DATA CONSOLIDADA 2018-2025 '!$BR483&gt;'[1]DATA CONSOLIDADA 2018-2025 '!$BM483,"Incremento",IF('[1]DATA CONSOLIDADA 2018-2025 '!$BM483='[1]DATA CONSOLIDADA 2018-2025 '!$BR483,"Sin incremento",IF('[1]DATA CONSOLIDADA 2018-2025 '!$BR483&lt;'[1]DATA CONSOLIDADA 2018-2025 '!$BM483,"Disminución"," ---")))</f>
        <v>#REF!</v>
      </c>
      <c r="BT295" s="68" t="str">
        <f>'[1]DATA CONSOLIDADA 2018-2025 '!$BR295-Hoja1!$BO295</f>
        <v>#REF!</v>
      </c>
      <c r="BU295" s="69">
        <v>0.0</v>
      </c>
      <c r="BV295" s="65">
        <v>0.0</v>
      </c>
      <c r="BW295" s="66">
        <v>0.0</v>
      </c>
      <c r="BX295" s="67" t="str">
        <f>IF('[1]DATA CONSOLIDADA 2018-2025 '!$BW483&gt;'[1]DATA CONSOLIDADA 2018-2025 '!$BR483,"Incremento",IF('[1]DATA CONSOLIDADA 2018-2025 '!$BR483='[1]DATA CONSOLIDADA 2018-2025 '!$BW483,"Sin incremento",IF('[1]DATA CONSOLIDADA 2018-2025 '!$BW483&lt;'[1]DATA CONSOLIDADA 2018-2025 '!$BR483,"Disminución"," ---")))</f>
        <v>#REF!</v>
      </c>
      <c r="BY295" s="68" t="str">
        <f>'[1]DATA CONSOLIDADA 2018-2025 '!$BW483-'[1]DATA CONSOLIDADA 2018-2025 '!$BR483</f>
        <v>#REF!</v>
      </c>
      <c r="BZ295" s="65">
        <v>0.0</v>
      </c>
      <c r="CA295" s="65">
        <v>0.0</v>
      </c>
      <c r="CB295" s="66">
        <v>0.0</v>
      </c>
      <c r="CC295" s="67" t="str">
        <f>IF('[1]DATA CONSOLIDADA 2018-2025 '!$CB483&gt;'[1]DATA CONSOLIDADA 2018-2025 '!$BW483,"Incremento",IF('[1]DATA CONSOLIDADA 2018-2025 '!$BW483='[1]DATA CONSOLIDADA 2018-2025 '!$CB483,"Sin incremento",IF('[1]DATA CONSOLIDADA 2018-2025 '!$CB483&lt;'[1]DATA CONSOLIDADA 2018-2025 '!$BW483,"Disminución"," ---")))</f>
        <v>#REF!</v>
      </c>
      <c r="CD295" s="68" t="str">
        <f>'[1]DATA CONSOLIDADA 2018-2025 '!$CB295-Hoja1!$BW295</f>
        <v>#REF!</v>
      </c>
      <c r="CE295" s="70">
        <v>221490.0</v>
      </c>
      <c r="CF295" s="70">
        <v>0.0</v>
      </c>
      <c r="CG295" s="71">
        <v>221490.0</v>
      </c>
      <c r="CH295" s="67" t="str">
        <f>IF('[1]DATA CONSOLIDADA 2018-2025 '!$CG483&gt;'[1]DATA CONSOLIDADA 2018-2025 '!$CB483,"Incremento",IF('[1]DATA CONSOLIDADA 2018-2025 '!$CB483='[1]DATA CONSOLIDADA 2018-2025 '!$CG483,"Sin incremento",IF('[1]DATA CONSOLIDADA 2018-2025 '!$CG483&lt;'[1]DATA CONSOLIDADA 2018-2025 '!$CB483,"Disminución"," ---")))</f>
        <v>#REF!</v>
      </c>
      <c r="CI295" s="68" t="str">
        <f>'[1]DATA CONSOLIDADA 2018-2025 '!$CG295-Hoja1!$CB295</f>
        <v>#REF!</v>
      </c>
      <c r="CJ295" s="64" t="str">
        <f t="shared" si="68"/>
        <v>#REF!</v>
      </c>
      <c r="CK295" s="64">
        <v>29730.75</v>
      </c>
      <c r="CL295" s="64">
        <v>0.0</v>
      </c>
      <c r="CM295" s="64">
        <v>29730.75</v>
      </c>
      <c r="CN295" s="64" t="str">
        <f t="shared" si="12"/>
        <v>#REF!</v>
      </c>
      <c r="CO295" s="68" t="str">
        <f>'[1]DATA CONSOLIDADA 2018-2025 '!$CM295-Hoja1!$CG295</f>
        <v>#REF!</v>
      </c>
      <c r="CP295" s="70">
        <v>0.0</v>
      </c>
      <c r="CQ295" s="70">
        <v>0.0</v>
      </c>
      <c r="CR295" s="70">
        <v>0.0</v>
      </c>
      <c r="CS295" s="70">
        <v>0.0</v>
      </c>
      <c r="CT295" s="70">
        <v>0.0</v>
      </c>
      <c r="CU295" s="70">
        <v>0.0</v>
      </c>
      <c r="CV295" s="64">
        <v>0.0</v>
      </c>
      <c r="CW295" s="64">
        <v>0.0</v>
      </c>
      <c r="CX295" s="64">
        <v>221490.0</v>
      </c>
      <c r="CY295" s="64">
        <v>0.0</v>
      </c>
      <c r="CZ295" s="64">
        <v>0.0</v>
      </c>
      <c r="DA295" s="64">
        <v>0.0</v>
      </c>
      <c r="DB295" s="64">
        <v>221490.0</v>
      </c>
      <c r="DC295" s="72">
        <v>0.0</v>
      </c>
      <c r="DD295" s="72">
        <v>29730.75</v>
      </c>
      <c r="DE295" s="72">
        <v>0.0</v>
      </c>
      <c r="DF295" s="72">
        <v>0.0</v>
      </c>
      <c r="DG295" s="72">
        <v>0.0</v>
      </c>
      <c r="DH295" s="72">
        <v>29730.75</v>
      </c>
      <c r="DI295" s="73">
        <v>2.0608235648E10</v>
      </c>
      <c r="DJ295" s="74" t="s">
        <v>1078</v>
      </c>
      <c r="DK295" s="74" t="s">
        <v>138</v>
      </c>
      <c r="DL295" s="75"/>
      <c r="DM295" s="75"/>
      <c r="DN295" s="75"/>
      <c r="DO295" s="75"/>
      <c r="DP295" s="75"/>
      <c r="DQ295" s="75"/>
      <c r="DR295" s="75"/>
      <c r="DS295" s="75"/>
      <c r="DT295" s="75"/>
      <c r="DU295" s="75"/>
      <c r="DV295" s="75"/>
      <c r="DW295" s="75"/>
      <c r="DX295" s="75"/>
      <c r="DY295" s="75"/>
      <c r="DZ295" s="75"/>
      <c r="EA295" s="75"/>
      <c r="EB295" s="75"/>
      <c r="EC295" s="75"/>
      <c r="ED295" s="75"/>
      <c r="EE295" s="75"/>
    </row>
    <row r="296" ht="47.25" hidden="1" customHeight="1">
      <c r="A296" s="55" t="s">
        <v>1079</v>
      </c>
      <c r="B296" s="55" t="s">
        <v>126</v>
      </c>
      <c r="C296" s="55" t="s">
        <v>126</v>
      </c>
      <c r="D296" s="55" t="s">
        <v>1060</v>
      </c>
      <c r="E296" s="55" t="s">
        <v>1080</v>
      </c>
      <c r="F296" s="55" t="s">
        <v>1060</v>
      </c>
      <c r="G296" s="55" t="s">
        <v>1081</v>
      </c>
      <c r="H296" s="55" t="s">
        <v>1082</v>
      </c>
      <c r="I296" s="56">
        <v>1.0</v>
      </c>
      <c r="J296" s="56">
        <v>1.0</v>
      </c>
      <c r="K296" s="56"/>
      <c r="L296" s="56"/>
      <c r="M296" s="56"/>
      <c r="N296" s="56"/>
      <c r="O296" s="56"/>
      <c r="P296" s="56"/>
      <c r="Q296" s="56" t="s">
        <v>131</v>
      </c>
      <c r="R296" s="58" t="str">
        <f t="shared" si="1"/>
        <v>2018-2019</v>
      </c>
      <c r="S296" s="59" t="str">
        <f>SUM(Hoja1!$I296:$P296)</f>
        <v>2</v>
      </c>
      <c r="T296" s="59" t="str">
        <f>IF(OR(Hoja1!$J296=1,Hoja1!$K296=1,Hoja1!$L296=1,Hoja1!$M296=1,Hoja1!$N296=1,Hoja1!$O296=1,Hoja1!$P296=1),"SI","NO")</f>
        <v>SI</v>
      </c>
      <c r="U296" s="59" t="str">
        <f>IF(OR(Hoja1!$K296=1,Hoja1!$L296=1,Hoja1!$M296=1,Hoja1!$N296=1,Hoja1!$O296=1,Hoja1!$P296=1),"SI","NO")</f>
        <v>NO</v>
      </c>
      <c r="V296" s="60">
        <v>362.0</v>
      </c>
      <c r="W296" s="61">
        <v>203.0</v>
      </c>
      <c r="X296" s="61">
        <v>49.0</v>
      </c>
      <c r="Y296" s="60">
        <v>252.0</v>
      </c>
      <c r="Z296" s="61">
        <v>0.0</v>
      </c>
      <c r="AA296" s="61">
        <v>0.0</v>
      </c>
      <c r="AB296" s="60">
        <v>0.0</v>
      </c>
      <c r="AC296" s="61">
        <v>0.0</v>
      </c>
      <c r="AD296" s="61">
        <v>0.0</v>
      </c>
      <c r="AE296" s="60">
        <v>0.0</v>
      </c>
      <c r="AF296" s="61">
        <v>0.0</v>
      </c>
      <c r="AG296" s="61">
        <v>0.0</v>
      </c>
      <c r="AH296" s="60">
        <v>0.0</v>
      </c>
      <c r="AI296" s="61">
        <v>0.0</v>
      </c>
      <c r="AJ296" s="61">
        <v>0.0</v>
      </c>
      <c r="AK296" s="60">
        <v>0.0</v>
      </c>
      <c r="AL296" s="61">
        <v>0.0</v>
      </c>
      <c r="AM296" s="61">
        <v>0.0</v>
      </c>
      <c r="AN296" s="60">
        <v>0.0</v>
      </c>
      <c r="AO296" s="62">
        <v>0.0</v>
      </c>
      <c r="AP296" s="62">
        <v>0.0</v>
      </c>
      <c r="AQ296" s="60">
        <v>0.0</v>
      </c>
      <c r="AR296" s="60" t="str">
        <f>IF(Hoja1!$AQ296&gt;0,Hoja1!$AQ296,IF(Hoja1!$AN296&gt;0,Hoja1!$AN296,IF(Hoja1!$AK296&gt;0,Hoja1!$AK296,IF(Hoja1!$AH296&gt;0,Hoja1!$AH296,IF(Hoja1!$AE296&gt;0,Hoja1!$AE296,IF(Hoja1!$AB296&gt;0,Hoja1!$AB296,IF(Hoja1!$Y296&gt;0,Hoja1!$Y296,IF(Hoja1!$V296&gt;0,Hoja1!$V296," ---"))))))))</f>
        <v>252</v>
      </c>
      <c r="AS296" s="63">
        <v>0.0</v>
      </c>
      <c r="AT296" s="63">
        <v>0.0</v>
      </c>
      <c r="AU296" s="63">
        <v>0.0</v>
      </c>
      <c r="AV296" s="63">
        <v>0.0</v>
      </c>
      <c r="AW296" s="63">
        <v>0.0</v>
      </c>
      <c r="AX296" s="63">
        <v>0.0</v>
      </c>
      <c r="AY296" s="63">
        <v>0.0</v>
      </c>
      <c r="AZ296" s="63">
        <v>0.0</v>
      </c>
      <c r="BA296" s="63">
        <v>0.0</v>
      </c>
      <c r="BB296" s="63">
        <v>0.0</v>
      </c>
      <c r="BC296" s="63">
        <v>0.0</v>
      </c>
      <c r="BD296" s="63">
        <v>0.0</v>
      </c>
      <c r="BE296" s="64">
        <v>0.0</v>
      </c>
      <c r="BF296" s="65">
        <v>331735.79</v>
      </c>
      <c r="BG296" s="65">
        <v>0.0</v>
      </c>
      <c r="BH296" s="66">
        <v>331735.79</v>
      </c>
      <c r="BI296" s="67" t="str">
        <f t="shared" ref="BI296:BI297" si="87">IF('[1]DATA CONSOLIDADA 2018-2025 '!$BH296&gt;'[1]DATA CONSOLIDADA 2018-2025 '!$AN296,"Incremento",IF('[1]DATA CONSOLIDADA 2018-2025 '!$AN296='[1]DATA CONSOLIDADA 2018-2025 '!$BH296,"Sin incremento",IF('[1]DATA CONSOLIDADA 2018-2025 '!$BH296&lt;'[1]DATA CONSOLIDADA 2018-2025 '!$AN296,"Disminución"," ---")))</f>
        <v>#REF!</v>
      </c>
      <c r="BJ296" s="68" t="str">
        <f t="shared" ref="BJ296:BJ297" si="88">'[1]DATA CONSOLIDADA 2018-2025 '!$BH296-'[1]DATA CONSOLIDADA 2018-2025 '!$BE296</f>
        <v>#REF!</v>
      </c>
      <c r="BK296" s="65">
        <v>0.0</v>
      </c>
      <c r="BL296" s="65">
        <v>0.0</v>
      </c>
      <c r="BM296" s="66">
        <v>0.0</v>
      </c>
      <c r="BN296" s="67" t="str">
        <f t="shared" ref="BN296:BN297" si="89">IF('[1]DATA CONSOLIDADA 2018-2025 '!$BM296&gt;'[1]DATA CONSOLIDADA 2018-2025 '!$BH296,"Incremento",IF('[1]DATA CONSOLIDADA 2018-2025 '!$BH296='[1]DATA CONSOLIDADA 2018-2025 '!$BM296,"Sin incremento",IF('[1]DATA CONSOLIDADA 2018-2025 '!$BM296&lt;'[1]DATA CONSOLIDADA 2018-2025 '!$BH296,"Disminución"," ---")))</f>
        <v>#REF!</v>
      </c>
      <c r="BO296" s="68" t="str">
        <f t="shared" ref="BO296:BO297" si="90">'[1]DATA CONSOLIDADA 2018-2025 '!$BM296-'[1]DATA CONSOLIDADA 2018-2025 '!$BH296</f>
        <v>#REF!</v>
      </c>
      <c r="BP296" s="65">
        <v>0.0</v>
      </c>
      <c r="BQ296" s="65">
        <v>0.0</v>
      </c>
      <c r="BR296" s="66">
        <v>0.0</v>
      </c>
      <c r="BS296" s="67" t="str">
        <f t="shared" ref="BS296:BS297" si="91">IF('[1]DATA CONSOLIDADA 2018-2025 '!$BR296&gt;'[1]DATA CONSOLIDADA 2018-2025 '!$BM296,"Incremento",IF('[1]DATA CONSOLIDADA 2018-2025 '!$BM296='[1]DATA CONSOLIDADA 2018-2025 '!$BR296,"Sin incremento",IF('[1]DATA CONSOLIDADA 2018-2025 '!$BR296&lt;'[1]DATA CONSOLIDADA 2018-2025 '!$BM296,"Disminución"," ---")))</f>
        <v>#REF!</v>
      </c>
      <c r="BT296" s="68" t="str">
        <f>'[1]DATA CONSOLIDADA 2018-2025 '!$BR296-Hoja1!$BO296</f>
        <v>#REF!</v>
      </c>
      <c r="BU296" s="65">
        <v>0.0</v>
      </c>
      <c r="BV296" s="65">
        <v>0.0</v>
      </c>
      <c r="BW296" s="66">
        <v>0.0</v>
      </c>
      <c r="BX296" s="67" t="str">
        <f t="shared" ref="BX296:BX297" si="92">IF('[1]DATA CONSOLIDADA 2018-2025 '!$BW296&gt;'[1]DATA CONSOLIDADA 2018-2025 '!$BR296,"Incremento",IF('[1]DATA CONSOLIDADA 2018-2025 '!$BR296='[1]DATA CONSOLIDADA 2018-2025 '!$BW296,"Sin incremento",IF('[1]DATA CONSOLIDADA 2018-2025 '!$BW296&lt;'[1]DATA CONSOLIDADA 2018-2025 '!$BR296,"Disminución"," ---")))</f>
        <v>#REF!</v>
      </c>
      <c r="BY296" s="68" t="str">
        <f t="shared" ref="BY296:BY297" si="93">'[1]DATA CONSOLIDADA 2018-2025 '!$BW296-'[1]DATA CONSOLIDADA 2018-2025 '!$BR296</f>
        <v>#REF!</v>
      </c>
      <c r="BZ296" s="65">
        <v>0.0</v>
      </c>
      <c r="CA296" s="65">
        <v>0.0</v>
      </c>
      <c r="CB296" s="66">
        <v>0.0</v>
      </c>
      <c r="CC296" s="67" t="str">
        <f t="shared" ref="CC296:CC297" si="94">IF('[1]DATA CONSOLIDADA 2018-2025 '!$CB296&gt;'[1]DATA CONSOLIDADA 2018-2025 '!$BW296,"Incremento",IF('[1]DATA CONSOLIDADA 2018-2025 '!$BW296='[1]DATA CONSOLIDADA 2018-2025 '!$CB296,"Sin incremento",IF('[1]DATA CONSOLIDADA 2018-2025 '!$CB296&lt;'[1]DATA CONSOLIDADA 2018-2025 '!$BW296,"Disminución"," ---")))</f>
        <v>#REF!</v>
      </c>
      <c r="CD296" s="68" t="str">
        <f>'[1]DATA CONSOLIDADA 2018-2025 '!$CB296-Hoja1!$BW296</f>
        <v>#REF!</v>
      </c>
      <c r="CE296" s="70">
        <v>0.0</v>
      </c>
      <c r="CF296" s="70">
        <v>0.0</v>
      </c>
      <c r="CG296" s="71">
        <v>0.0</v>
      </c>
      <c r="CH296" s="67" t="str">
        <f t="shared" ref="CH296:CH297" si="95">IF('[1]DATA CONSOLIDADA 2018-2025 '!$CG296&gt;'[1]DATA CONSOLIDADA 2018-2025 '!$CB296,"Incremento",IF('[1]DATA CONSOLIDADA 2018-2025 '!$CB296='[1]DATA CONSOLIDADA 2018-2025 '!$CG296,"Sin incremento",IF('[1]DATA CONSOLIDADA 2018-2025 '!$CG296&lt;'[1]DATA CONSOLIDADA 2018-2025 '!$CB296,"Disminución"," ---")))</f>
        <v>#REF!</v>
      </c>
      <c r="CI296" s="68" t="str">
        <f>'[1]DATA CONSOLIDADA 2018-2025 '!$CG296-Hoja1!$CB296</f>
        <v>#REF!</v>
      </c>
      <c r="CJ296" s="64" t="str">
        <f t="shared" si="68"/>
        <v>#REF!</v>
      </c>
      <c r="CK296" s="64">
        <v>0.0</v>
      </c>
      <c r="CL296" s="64">
        <v>0.0</v>
      </c>
      <c r="CM296" s="64">
        <v>0.0</v>
      </c>
      <c r="CN296" s="64" t="str">
        <f t="shared" si="12"/>
        <v>#REF!</v>
      </c>
      <c r="CO296" s="68" t="str">
        <f>'[1]DATA CONSOLIDADA 2018-2025 '!$CM296-Hoja1!$CG296</f>
        <v>#REF!</v>
      </c>
      <c r="CP296" s="70">
        <v>0.0</v>
      </c>
      <c r="CQ296" s="70">
        <v>0.0</v>
      </c>
      <c r="CR296" s="70">
        <v>0.0</v>
      </c>
      <c r="CS296" s="70">
        <v>0.0</v>
      </c>
      <c r="CT296" s="70">
        <v>0.0</v>
      </c>
      <c r="CU296" s="70">
        <v>0.0</v>
      </c>
      <c r="CV296" s="64">
        <v>0.0</v>
      </c>
      <c r="CW296" s="64">
        <v>0.0</v>
      </c>
      <c r="CX296" s="64">
        <v>0.0</v>
      </c>
      <c r="CY296" s="64">
        <v>0.0</v>
      </c>
      <c r="CZ296" s="64">
        <v>0.0</v>
      </c>
      <c r="DA296" s="64">
        <v>0.0</v>
      </c>
      <c r="DB296" s="64">
        <v>0.0</v>
      </c>
      <c r="DC296" s="72">
        <v>0.0</v>
      </c>
      <c r="DD296" s="72">
        <v>0.0</v>
      </c>
      <c r="DE296" s="72">
        <v>0.0</v>
      </c>
      <c r="DF296" s="72">
        <v>0.0</v>
      </c>
      <c r="DG296" s="72">
        <v>0.0</v>
      </c>
      <c r="DH296" s="72">
        <v>0.0</v>
      </c>
      <c r="DI296" s="73">
        <v>2.0450319423E10</v>
      </c>
      <c r="DJ296" s="74" t="s">
        <v>1079</v>
      </c>
      <c r="DK296" s="74" t="s">
        <v>132</v>
      </c>
      <c r="DL296" s="75"/>
      <c r="DM296" s="75"/>
      <c r="DN296" s="75"/>
      <c r="DO296" s="75"/>
      <c r="DP296" s="75"/>
      <c r="DQ296" s="75"/>
      <c r="DR296" s="75"/>
      <c r="DS296" s="75"/>
      <c r="DT296" s="75"/>
      <c r="DU296" s="75"/>
      <c r="DV296" s="75"/>
      <c r="DW296" s="75"/>
      <c r="DX296" s="75"/>
      <c r="DY296" s="75"/>
      <c r="DZ296" s="75"/>
      <c r="EA296" s="75"/>
      <c r="EB296" s="75"/>
      <c r="EC296" s="75"/>
      <c r="ED296" s="75"/>
      <c r="EE296" s="75"/>
    </row>
    <row r="297" ht="47.25" hidden="1" customHeight="1">
      <c r="A297" s="55" t="s">
        <v>1083</v>
      </c>
      <c r="B297" s="55" t="s">
        <v>1084</v>
      </c>
      <c r="C297" s="55" t="s">
        <v>1084</v>
      </c>
      <c r="D297" s="55" t="s">
        <v>1060</v>
      </c>
      <c r="E297" s="55" t="s">
        <v>1085</v>
      </c>
      <c r="F297" s="55" t="s">
        <v>1060</v>
      </c>
      <c r="G297" s="55" t="s">
        <v>1073</v>
      </c>
      <c r="H297" s="55" t="s">
        <v>1086</v>
      </c>
      <c r="I297" s="56"/>
      <c r="J297" s="56">
        <v>1.0</v>
      </c>
      <c r="K297" s="56">
        <v>1.0</v>
      </c>
      <c r="L297" s="56">
        <v>1.0</v>
      </c>
      <c r="M297" s="56">
        <v>1.0</v>
      </c>
      <c r="N297" s="56">
        <v>1.0</v>
      </c>
      <c r="O297" s="56"/>
      <c r="P297" s="56"/>
      <c r="Q297" s="56" t="s">
        <v>131</v>
      </c>
      <c r="R297" s="58" t="str">
        <f t="shared" si="1"/>
        <v>2019-2020-2021-2022-2023</v>
      </c>
      <c r="S297" s="59" t="str">
        <f>SUM(Hoja1!$I297:$P297)</f>
        <v>5</v>
      </c>
      <c r="T297" s="59" t="str">
        <f>IF(OR(Hoja1!$J297=1,Hoja1!$K297=1,Hoja1!$L297=1,Hoja1!$M297=1,Hoja1!$N297=1,Hoja1!$O297=1,Hoja1!$P297=1),"SI","NO")</f>
        <v>SI</v>
      </c>
      <c r="U297" s="59" t="str">
        <f>IF(OR(Hoja1!$K297=1,Hoja1!$L297=1,Hoja1!$M297=1,Hoja1!$N297=1,Hoja1!$O297=1,Hoja1!$P297=1),"SI","NO")</f>
        <v>SI</v>
      </c>
      <c r="V297" s="60">
        <v>0.0</v>
      </c>
      <c r="W297" s="61">
        <v>227.0</v>
      </c>
      <c r="X297" s="61">
        <v>66.0</v>
      </c>
      <c r="Y297" s="60">
        <v>293.0</v>
      </c>
      <c r="Z297" s="61">
        <v>225.0</v>
      </c>
      <c r="AA297" s="61">
        <v>68.0</v>
      </c>
      <c r="AB297" s="60">
        <v>293.0</v>
      </c>
      <c r="AC297" s="61">
        <v>179.0</v>
      </c>
      <c r="AD297" s="61">
        <v>65.0</v>
      </c>
      <c r="AE297" s="60">
        <v>244.0</v>
      </c>
      <c r="AF297" s="61">
        <v>179.0</v>
      </c>
      <c r="AG297" s="61">
        <v>65.0</v>
      </c>
      <c r="AH297" s="60">
        <v>244.0</v>
      </c>
      <c r="AI297" s="61">
        <v>179.0</v>
      </c>
      <c r="AJ297" s="61">
        <v>65.0</v>
      </c>
      <c r="AK297" s="60">
        <v>244.0</v>
      </c>
      <c r="AL297" s="61">
        <v>0.0</v>
      </c>
      <c r="AM297" s="61">
        <v>0.0</v>
      </c>
      <c r="AN297" s="60">
        <v>0.0</v>
      </c>
      <c r="AO297" s="62">
        <v>0.0</v>
      </c>
      <c r="AP297" s="62">
        <v>0.0</v>
      </c>
      <c r="AQ297" s="60">
        <v>0.0</v>
      </c>
      <c r="AR297" s="60" t="str">
        <f>IF(Hoja1!$AQ297&gt;0,Hoja1!$AQ297,IF(Hoja1!$AN297&gt;0,Hoja1!$AN297,IF(Hoja1!$AK297&gt;0,Hoja1!$AK297,IF(Hoja1!$AH297&gt;0,Hoja1!$AH297,IF(Hoja1!$AE297&gt;0,Hoja1!$AE297,IF(Hoja1!$AB297&gt;0,Hoja1!$AB297,IF(Hoja1!$Y297&gt;0,Hoja1!$Y297,IF(Hoja1!$V297&gt;0,Hoja1!$V297," ---"))))))))</f>
        <v>244</v>
      </c>
      <c r="AS297" s="63">
        <v>0.0</v>
      </c>
      <c r="AT297" s="63">
        <v>0.0</v>
      </c>
      <c r="AU297" s="63">
        <v>15.0</v>
      </c>
      <c r="AV297" s="63">
        <v>10.0</v>
      </c>
      <c r="AW297" s="63">
        <v>24.0</v>
      </c>
      <c r="AX297" s="63">
        <v>4.0</v>
      </c>
      <c r="AY297" s="63">
        <v>27.0</v>
      </c>
      <c r="AZ297" s="63">
        <v>6.0</v>
      </c>
      <c r="BA297" s="63">
        <v>0.0</v>
      </c>
      <c r="BB297" s="63">
        <v>0.0</v>
      </c>
      <c r="BC297" s="63">
        <v>0.0</v>
      </c>
      <c r="BD297" s="63">
        <v>0.0</v>
      </c>
      <c r="BE297" s="66">
        <v>0.0</v>
      </c>
      <c r="BF297" s="65">
        <v>1951.06</v>
      </c>
      <c r="BG297" s="65">
        <v>1060177.85</v>
      </c>
      <c r="BH297" s="66">
        <v>1062128.91</v>
      </c>
      <c r="BI297" s="67" t="str">
        <f t="shared" si="87"/>
        <v>#REF!</v>
      </c>
      <c r="BJ297" s="68" t="str">
        <f t="shared" si="88"/>
        <v>#REF!</v>
      </c>
      <c r="BK297" s="65">
        <v>222038.73</v>
      </c>
      <c r="BL297" s="65">
        <v>2738491.27</v>
      </c>
      <c r="BM297" s="66">
        <v>2960530.0</v>
      </c>
      <c r="BN297" s="67" t="str">
        <f t="shared" si="89"/>
        <v>#REF!</v>
      </c>
      <c r="BO297" s="68" t="str">
        <f t="shared" si="90"/>
        <v>#REF!</v>
      </c>
      <c r="BP297" s="65">
        <v>203881.64</v>
      </c>
      <c r="BQ297" s="65">
        <v>4127043.02</v>
      </c>
      <c r="BR297" s="66">
        <v>4330924.66</v>
      </c>
      <c r="BS297" s="67" t="str">
        <f t="shared" si="91"/>
        <v>#REF!</v>
      </c>
      <c r="BT297" s="68" t="str">
        <f>'[1]DATA CONSOLIDADA 2018-2025 '!$BR297-Hoja1!$BO297</f>
        <v>#REF!</v>
      </c>
      <c r="BU297" s="65">
        <v>462353.08</v>
      </c>
      <c r="BV297" s="65">
        <v>6094745.73</v>
      </c>
      <c r="BW297" s="66">
        <v>6557098.81</v>
      </c>
      <c r="BX297" s="67" t="str">
        <f t="shared" si="92"/>
        <v>#REF!</v>
      </c>
      <c r="BY297" s="68" t="str">
        <f t="shared" si="93"/>
        <v>#REF!</v>
      </c>
      <c r="BZ297" s="65">
        <v>258422.28</v>
      </c>
      <c r="CA297" s="65">
        <v>6726161.72</v>
      </c>
      <c r="CB297" s="66">
        <v>6984584.0</v>
      </c>
      <c r="CC297" s="67" t="str">
        <f t="shared" si="94"/>
        <v>#REF!</v>
      </c>
      <c r="CD297" s="68" t="str">
        <f>'[1]DATA CONSOLIDADA 2018-2025 '!$CB297-Hoja1!$BW297</f>
        <v>#REF!</v>
      </c>
      <c r="CE297" s="70">
        <v>0.0</v>
      </c>
      <c r="CF297" s="70">
        <v>0.0</v>
      </c>
      <c r="CG297" s="71">
        <v>0.0</v>
      </c>
      <c r="CH297" s="67" t="str">
        <f t="shared" si="95"/>
        <v>#REF!</v>
      </c>
      <c r="CI297" s="68" t="str">
        <f>'[1]DATA CONSOLIDADA 2018-2025 '!$CG297-Hoja1!$CB297</f>
        <v>#REF!</v>
      </c>
      <c r="CJ297" s="64" t="str">
        <f t="shared" si="68"/>
        <v>#REF!</v>
      </c>
      <c r="CK297" s="64">
        <v>0.0</v>
      </c>
      <c r="CL297" s="64">
        <v>0.0</v>
      </c>
      <c r="CM297" s="64">
        <v>0.0</v>
      </c>
      <c r="CN297" s="64" t="str">
        <f t="shared" si="12"/>
        <v>#REF!</v>
      </c>
      <c r="CO297" s="68" t="str">
        <f>'[1]DATA CONSOLIDADA 2018-2025 '!$CM297-Hoja1!$CG297</f>
        <v>#REF!</v>
      </c>
      <c r="CP297" s="70">
        <v>722.3600000000001</v>
      </c>
      <c r="CQ297" s="70">
        <v>0.0</v>
      </c>
      <c r="CR297" s="70">
        <v>0.0</v>
      </c>
      <c r="CS297" s="70">
        <v>6990274.290620001</v>
      </c>
      <c r="CT297" s="70">
        <v>0.0</v>
      </c>
      <c r="CU297" s="70">
        <v>0.0</v>
      </c>
      <c r="CV297" s="64">
        <v>6990996.650620001</v>
      </c>
      <c r="CW297" s="64">
        <v>0.0</v>
      </c>
      <c r="CX297" s="64">
        <v>0.0</v>
      </c>
      <c r="CY297" s="64">
        <v>0.0</v>
      </c>
      <c r="CZ297" s="64">
        <v>0.0</v>
      </c>
      <c r="DA297" s="64">
        <v>0.0</v>
      </c>
      <c r="DB297" s="64">
        <v>0.0</v>
      </c>
      <c r="DC297" s="72">
        <v>0.0</v>
      </c>
      <c r="DD297" s="72">
        <v>0.0</v>
      </c>
      <c r="DE297" s="72">
        <v>0.0</v>
      </c>
      <c r="DF297" s="72">
        <v>0.0</v>
      </c>
      <c r="DG297" s="72">
        <v>0.0</v>
      </c>
      <c r="DH297" s="72">
        <v>0.0</v>
      </c>
      <c r="DI297" s="73">
        <v>2.0450105113E10</v>
      </c>
      <c r="DJ297" s="74" t="s">
        <v>1087</v>
      </c>
      <c r="DK297" s="74" t="s">
        <v>132</v>
      </c>
      <c r="DL297" s="75"/>
      <c r="DM297" s="75"/>
      <c r="DN297" s="75"/>
      <c r="DO297" s="75"/>
      <c r="DP297" s="75"/>
      <c r="DQ297" s="75"/>
      <c r="DR297" s="75"/>
      <c r="DS297" s="75"/>
      <c r="DT297" s="75"/>
      <c r="DU297" s="75"/>
      <c r="DV297" s="75"/>
      <c r="DW297" s="75"/>
      <c r="DX297" s="75"/>
      <c r="DY297" s="75"/>
      <c r="DZ297" s="75"/>
      <c r="EA297" s="75"/>
      <c r="EB297" s="75"/>
      <c r="EC297" s="75"/>
      <c r="ED297" s="75"/>
      <c r="EE297" s="75"/>
    </row>
    <row r="298" ht="47.25" customHeight="1">
      <c r="A298" s="55" t="s">
        <v>1088</v>
      </c>
      <c r="B298" s="55" t="s">
        <v>146</v>
      </c>
      <c r="C298" s="55" t="s">
        <v>146</v>
      </c>
      <c r="D298" s="55" t="s">
        <v>846</v>
      </c>
      <c r="E298" s="55" t="s">
        <v>1089</v>
      </c>
      <c r="F298" s="55" t="s">
        <v>846</v>
      </c>
      <c r="G298" s="55" t="s">
        <v>848</v>
      </c>
      <c r="H298" s="55" t="s">
        <v>1090</v>
      </c>
      <c r="I298" s="56">
        <v>1.0</v>
      </c>
      <c r="J298" s="56">
        <v>1.0</v>
      </c>
      <c r="K298" s="56"/>
      <c r="L298" s="56"/>
      <c r="M298" s="56"/>
      <c r="N298" s="56"/>
      <c r="O298" s="56"/>
      <c r="P298" s="56"/>
      <c r="Q298" s="56" t="s">
        <v>131</v>
      </c>
      <c r="R298" s="58" t="str">
        <f t="shared" si="1"/>
        <v>2018-2019</v>
      </c>
      <c r="S298" s="59" t="str">
        <f>SUM(Hoja1!$I298:$P298)</f>
        <v>2</v>
      </c>
      <c r="T298" s="59" t="str">
        <f>IF(OR(Hoja1!$J298=1,Hoja1!$K298=1,Hoja1!$L298=1,Hoja1!$M298=1,Hoja1!$N298=1,Hoja1!$O298=1,Hoja1!$P298=1),"SI","NO")</f>
        <v>SI</v>
      </c>
      <c r="U298" s="59" t="str">
        <f>IF(OR(Hoja1!$K298=1,Hoja1!$L298=1,Hoja1!$M298=1,Hoja1!$N298=1,Hoja1!$O298=1,Hoja1!$P298=1),"SI","NO")</f>
        <v>NO</v>
      </c>
      <c r="V298" s="60">
        <v>13.0</v>
      </c>
      <c r="W298" s="61">
        <v>9.0</v>
      </c>
      <c r="X298" s="61">
        <v>4.0</v>
      </c>
      <c r="Y298" s="60">
        <v>13.0</v>
      </c>
      <c r="Z298" s="61">
        <v>0.0</v>
      </c>
      <c r="AA298" s="61">
        <v>0.0</v>
      </c>
      <c r="AB298" s="60">
        <v>0.0</v>
      </c>
      <c r="AC298" s="61">
        <v>0.0</v>
      </c>
      <c r="AD298" s="61">
        <v>0.0</v>
      </c>
      <c r="AE298" s="60">
        <v>0.0</v>
      </c>
      <c r="AF298" s="61">
        <v>0.0</v>
      </c>
      <c r="AG298" s="61">
        <v>0.0</v>
      </c>
      <c r="AH298" s="60">
        <v>0.0</v>
      </c>
      <c r="AI298" s="61">
        <v>0.0</v>
      </c>
      <c r="AJ298" s="61">
        <v>0.0</v>
      </c>
      <c r="AK298" s="60">
        <v>0.0</v>
      </c>
      <c r="AL298" s="61">
        <v>0.0</v>
      </c>
      <c r="AM298" s="61">
        <v>0.0</v>
      </c>
      <c r="AN298" s="60">
        <v>0.0</v>
      </c>
      <c r="AO298" s="62">
        <v>0.0</v>
      </c>
      <c r="AP298" s="62">
        <v>0.0</v>
      </c>
      <c r="AQ298" s="60">
        <v>0.0</v>
      </c>
      <c r="AR298" s="60" t="str">
        <f>IF(Hoja1!$AQ298&gt;0,Hoja1!$AQ298,IF(Hoja1!$AN298&gt;0,Hoja1!$AN298,IF(Hoja1!$AK298&gt;0,Hoja1!$AK298,IF(Hoja1!$AH298&gt;0,Hoja1!$AH298,IF(Hoja1!$AE298&gt;0,Hoja1!$AE298,IF(Hoja1!$AB298&gt;0,Hoja1!$AB298,IF(Hoja1!$Y298&gt;0,Hoja1!$Y298,IF(Hoja1!$V298&gt;0,Hoja1!$V298," ---"))))))))</f>
        <v>13</v>
      </c>
      <c r="AS298" s="63">
        <v>0.0</v>
      </c>
      <c r="AT298" s="63">
        <v>0.0</v>
      </c>
      <c r="AU298" s="63">
        <v>0.0</v>
      </c>
      <c r="AV298" s="63">
        <v>0.0</v>
      </c>
      <c r="AW298" s="63">
        <v>0.0</v>
      </c>
      <c r="AX298" s="63">
        <v>0.0</v>
      </c>
      <c r="AY298" s="63">
        <v>0.0</v>
      </c>
      <c r="AZ298" s="63">
        <v>0.0</v>
      </c>
      <c r="BA298" s="63">
        <v>0.0</v>
      </c>
      <c r="BB298" s="63">
        <v>0.0</v>
      </c>
      <c r="BC298" s="63">
        <v>0.0</v>
      </c>
      <c r="BD298" s="63">
        <v>0.0</v>
      </c>
      <c r="BE298" s="64">
        <v>0.0</v>
      </c>
      <c r="BF298" s="65">
        <v>44643.2</v>
      </c>
      <c r="BG298" s="65">
        <v>0.0</v>
      </c>
      <c r="BH298" s="66">
        <v>44643.2</v>
      </c>
      <c r="BI298" s="67" t="str">
        <f>IF('[1]DATA CONSOLIDADA 2018-2025 '!$BH215&gt;'[1]DATA CONSOLIDADA 2018-2025 '!$AN215,"Incremento",IF('[1]DATA CONSOLIDADA 2018-2025 '!$AN215='[1]DATA CONSOLIDADA 2018-2025 '!$BH215,"Sin incremento",IF('[1]DATA CONSOLIDADA 2018-2025 '!$BH215&lt;'[1]DATA CONSOLIDADA 2018-2025 '!$AN215,"Disminución"," ---")))</f>
        <v>#REF!</v>
      </c>
      <c r="BJ298" s="68" t="str">
        <f>'[1]DATA CONSOLIDADA 2018-2025 '!$BH215-'[1]DATA CONSOLIDADA 2018-2025 '!$BE215</f>
        <v>#REF!</v>
      </c>
      <c r="BK298" s="65">
        <v>0.0</v>
      </c>
      <c r="BL298" s="65">
        <v>0.0</v>
      </c>
      <c r="BM298" s="66">
        <v>0.0</v>
      </c>
      <c r="BN298" s="67" t="str">
        <f>IF('[1]DATA CONSOLIDADA 2018-2025 '!$BM215&gt;'[1]DATA CONSOLIDADA 2018-2025 '!$BH215,"Incremento",IF('[1]DATA CONSOLIDADA 2018-2025 '!$BH215='[1]DATA CONSOLIDADA 2018-2025 '!$BM215,"Sin incremento",IF('[1]DATA CONSOLIDADA 2018-2025 '!$BM215&lt;'[1]DATA CONSOLIDADA 2018-2025 '!$BH215,"Disminución"," ---")))</f>
        <v>#REF!</v>
      </c>
      <c r="BO298" s="68" t="str">
        <f>'[1]DATA CONSOLIDADA 2018-2025 '!$BM215-'[1]DATA CONSOLIDADA 2018-2025 '!$BH215</f>
        <v>#REF!</v>
      </c>
      <c r="BP298" s="65">
        <v>0.0</v>
      </c>
      <c r="BQ298" s="65">
        <v>0.0</v>
      </c>
      <c r="BR298" s="66">
        <v>0.0</v>
      </c>
      <c r="BS298" s="67" t="str">
        <f>IF('[1]DATA CONSOLIDADA 2018-2025 '!$BR215&gt;'[1]DATA CONSOLIDADA 2018-2025 '!$BM215,"Incremento",IF('[1]DATA CONSOLIDADA 2018-2025 '!$BM215='[1]DATA CONSOLIDADA 2018-2025 '!$BR215,"Sin incremento",IF('[1]DATA CONSOLIDADA 2018-2025 '!$BR215&lt;'[1]DATA CONSOLIDADA 2018-2025 '!$BM215,"Disminución"," ---")))</f>
        <v>#REF!</v>
      </c>
      <c r="BT298" s="68" t="str">
        <f>'[1]DATA CONSOLIDADA 2018-2025 '!$BR298-Hoja1!$BO298</f>
        <v>#REF!</v>
      </c>
      <c r="BU298" s="65">
        <v>0.0</v>
      </c>
      <c r="BV298" s="65">
        <v>0.0</v>
      </c>
      <c r="BW298" s="66">
        <v>0.0</v>
      </c>
      <c r="BX298" s="67" t="str">
        <f>IF('[1]DATA CONSOLIDADA 2018-2025 '!$BW215&gt;'[1]DATA CONSOLIDADA 2018-2025 '!$BR215,"Incremento",IF('[1]DATA CONSOLIDADA 2018-2025 '!$BR215='[1]DATA CONSOLIDADA 2018-2025 '!$BW215,"Sin incremento",IF('[1]DATA CONSOLIDADA 2018-2025 '!$BW215&lt;'[1]DATA CONSOLIDADA 2018-2025 '!$BR215,"Disminución"," ---")))</f>
        <v>#REF!</v>
      </c>
      <c r="BY298" s="68" t="str">
        <f>'[1]DATA CONSOLIDADA 2018-2025 '!$BW215-'[1]DATA CONSOLIDADA 2018-2025 '!$BR215</f>
        <v>#REF!</v>
      </c>
      <c r="BZ298" s="65">
        <v>0.0</v>
      </c>
      <c r="CA298" s="65">
        <v>0.0</v>
      </c>
      <c r="CB298" s="66">
        <v>0.0</v>
      </c>
      <c r="CC298" s="67" t="str">
        <f>IF('[1]DATA CONSOLIDADA 2018-2025 '!$CB215&gt;'[1]DATA CONSOLIDADA 2018-2025 '!$BW215,"Incremento",IF('[1]DATA CONSOLIDADA 2018-2025 '!$BW215='[1]DATA CONSOLIDADA 2018-2025 '!$CB215,"Sin incremento",IF('[1]DATA CONSOLIDADA 2018-2025 '!$CB215&lt;'[1]DATA CONSOLIDADA 2018-2025 '!$BW215,"Disminución"," ---")))</f>
        <v>#REF!</v>
      </c>
      <c r="CD298" s="68" t="str">
        <f>'[1]DATA CONSOLIDADA 2018-2025 '!$CB298-Hoja1!$BW298</f>
        <v>#REF!</v>
      </c>
      <c r="CE298" s="70">
        <v>0.0</v>
      </c>
      <c r="CF298" s="70">
        <v>0.0</v>
      </c>
      <c r="CG298" s="71">
        <v>0.0</v>
      </c>
      <c r="CH298" s="67" t="str">
        <f>IF('[1]DATA CONSOLIDADA 2018-2025 '!$CG215&gt;'[1]DATA CONSOLIDADA 2018-2025 '!$CB215,"Incremento",IF('[1]DATA CONSOLIDADA 2018-2025 '!$CB215='[1]DATA CONSOLIDADA 2018-2025 '!$CG215,"Sin incremento",IF('[1]DATA CONSOLIDADA 2018-2025 '!$CG215&lt;'[1]DATA CONSOLIDADA 2018-2025 '!$CB215,"Disminución"," ---")))</f>
        <v>#REF!</v>
      </c>
      <c r="CI298" s="68" t="str">
        <f>'[1]DATA CONSOLIDADA 2018-2025 '!$CG298-Hoja1!$CB298</f>
        <v>#REF!</v>
      </c>
      <c r="CJ298" s="64" t="str">
        <f t="shared" si="68"/>
        <v>#REF!</v>
      </c>
      <c r="CK298" s="64">
        <v>0.0</v>
      </c>
      <c r="CL298" s="64">
        <v>0.0</v>
      </c>
      <c r="CM298" s="64">
        <v>0.0</v>
      </c>
      <c r="CN298" s="64" t="str">
        <f t="shared" si="12"/>
        <v>#REF!</v>
      </c>
      <c r="CO298" s="68" t="str">
        <f>'[1]DATA CONSOLIDADA 2018-2025 '!$CM298-Hoja1!$CG298</f>
        <v>#REF!</v>
      </c>
      <c r="CP298" s="70">
        <v>0.0</v>
      </c>
      <c r="CQ298" s="70">
        <v>0.0</v>
      </c>
      <c r="CR298" s="70">
        <v>0.0</v>
      </c>
      <c r="CS298" s="70">
        <v>0.0</v>
      </c>
      <c r="CT298" s="70">
        <v>0.0</v>
      </c>
      <c r="CU298" s="70">
        <v>0.0</v>
      </c>
      <c r="CV298" s="64">
        <v>0.0</v>
      </c>
      <c r="CW298" s="64">
        <v>0.0</v>
      </c>
      <c r="CX298" s="64">
        <v>0.0</v>
      </c>
      <c r="CY298" s="64">
        <v>0.0</v>
      </c>
      <c r="CZ298" s="64">
        <v>0.0</v>
      </c>
      <c r="DA298" s="64">
        <v>0.0</v>
      </c>
      <c r="DB298" s="64">
        <v>0.0</v>
      </c>
      <c r="DC298" s="72">
        <v>0.0</v>
      </c>
      <c r="DD298" s="72">
        <v>0.0</v>
      </c>
      <c r="DE298" s="72">
        <v>0.0</v>
      </c>
      <c r="DF298" s="72">
        <v>0.0</v>
      </c>
      <c r="DG298" s="72">
        <v>0.0</v>
      </c>
      <c r="DH298" s="72">
        <v>0.0</v>
      </c>
      <c r="DI298" s="73">
        <v>2.0600796683E10</v>
      </c>
      <c r="DJ298" s="74" t="s">
        <v>1091</v>
      </c>
      <c r="DK298" s="74" t="s">
        <v>138</v>
      </c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</row>
    <row r="299" ht="47.25" hidden="1" customHeight="1">
      <c r="A299" s="55" t="s">
        <v>1092</v>
      </c>
      <c r="B299" s="55" t="s">
        <v>530</v>
      </c>
      <c r="C299" s="55" t="s">
        <v>530</v>
      </c>
      <c r="D299" s="55" t="s">
        <v>1060</v>
      </c>
      <c r="E299" s="55" t="s">
        <v>1093</v>
      </c>
      <c r="F299" s="55" t="s">
        <v>1060</v>
      </c>
      <c r="G299" s="55" t="s">
        <v>1094</v>
      </c>
      <c r="H299" s="55" t="s">
        <v>1095</v>
      </c>
      <c r="I299" s="56"/>
      <c r="J299" s="56">
        <v>1.0</v>
      </c>
      <c r="K299" s="56"/>
      <c r="L299" s="56"/>
      <c r="M299" s="56"/>
      <c r="N299" s="56"/>
      <c r="O299" s="56"/>
      <c r="P299" s="56"/>
      <c r="Q299" s="56" t="s">
        <v>131</v>
      </c>
      <c r="R299" s="58" t="str">
        <f t="shared" si="1"/>
        <v>2019</v>
      </c>
      <c r="S299" s="59" t="str">
        <f>SUM(Hoja1!$I299:$P299)</f>
        <v>1</v>
      </c>
      <c r="T299" s="59" t="str">
        <f>IF(OR(Hoja1!$J299=1,Hoja1!$K299=1,Hoja1!$L299=1,Hoja1!$M299=1,Hoja1!$N299=1,Hoja1!$O299=1,Hoja1!$P299=1),"SI","NO")</f>
        <v>SI</v>
      </c>
      <c r="U299" s="59" t="str">
        <f>IF(OR(Hoja1!$K299=1,Hoja1!$L299=1,Hoja1!$M299=1,Hoja1!$N299=1,Hoja1!$O299=1,Hoja1!$P299=1),"SI","NO")</f>
        <v>NO</v>
      </c>
      <c r="V299" s="60">
        <v>0.0</v>
      </c>
      <c r="W299" s="61">
        <v>0.0</v>
      </c>
      <c r="X299" s="61">
        <v>0.0</v>
      </c>
      <c r="Y299" s="60">
        <v>0.0</v>
      </c>
      <c r="Z299" s="61">
        <v>0.0</v>
      </c>
      <c r="AA299" s="61">
        <v>0.0</v>
      </c>
      <c r="AB299" s="60">
        <v>0.0</v>
      </c>
      <c r="AC299" s="61">
        <v>0.0</v>
      </c>
      <c r="AD299" s="61">
        <v>0.0</v>
      </c>
      <c r="AE299" s="60">
        <v>0.0</v>
      </c>
      <c r="AF299" s="61">
        <v>0.0</v>
      </c>
      <c r="AG299" s="61">
        <v>0.0</v>
      </c>
      <c r="AH299" s="60">
        <v>0.0</v>
      </c>
      <c r="AI299" s="61">
        <v>0.0</v>
      </c>
      <c r="AJ299" s="61">
        <v>0.0</v>
      </c>
      <c r="AK299" s="60">
        <v>0.0</v>
      </c>
      <c r="AL299" s="61">
        <v>0.0</v>
      </c>
      <c r="AM299" s="61">
        <v>0.0</v>
      </c>
      <c r="AN299" s="60">
        <v>0.0</v>
      </c>
      <c r="AO299" s="62">
        <v>0.0</v>
      </c>
      <c r="AP299" s="62">
        <v>0.0</v>
      </c>
      <c r="AQ299" s="60">
        <v>0.0</v>
      </c>
      <c r="AR299" s="60" t="str">
        <f>IF(Hoja1!$AQ299&gt;0,Hoja1!$AQ299,IF(Hoja1!$AN299&gt;0,Hoja1!$AN299,IF(Hoja1!$AK299&gt;0,Hoja1!$AK299,IF(Hoja1!$AH299&gt;0,Hoja1!$AH299,IF(Hoja1!$AE299&gt;0,Hoja1!$AE299,IF(Hoja1!$AB299&gt;0,Hoja1!$AB299,IF(Hoja1!$Y299&gt;0,Hoja1!$Y299,IF(Hoja1!$V299&gt;0,Hoja1!$V299," ---"))))))))</f>
        <v> ---</v>
      </c>
      <c r="AS299" s="63">
        <v>0.0</v>
      </c>
      <c r="AT299" s="63">
        <v>0.0</v>
      </c>
      <c r="AU299" s="63">
        <v>0.0</v>
      </c>
      <c r="AV299" s="63">
        <v>0.0</v>
      </c>
      <c r="AW299" s="63">
        <v>0.0</v>
      </c>
      <c r="AX299" s="63">
        <v>0.0</v>
      </c>
      <c r="AY299" s="63">
        <v>0.0</v>
      </c>
      <c r="AZ299" s="63">
        <v>0.0</v>
      </c>
      <c r="BA299" s="63">
        <v>0.0</v>
      </c>
      <c r="BB299" s="63">
        <v>0.0</v>
      </c>
      <c r="BC299" s="63">
        <v>0.0</v>
      </c>
      <c r="BD299" s="63">
        <v>0.0</v>
      </c>
      <c r="BE299" s="66">
        <v>0.0</v>
      </c>
      <c r="BF299" s="65">
        <v>0.0</v>
      </c>
      <c r="BG299" s="65">
        <v>0.0</v>
      </c>
      <c r="BH299" s="66">
        <v>0.0</v>
      </c>
      <c r="BI299" s="67" t="str">
        <f t="shared" ref="BI299:BI301" si="96">IF('[1]DATA CONSOLIDADA 2018-2025 '!$BH299&gt;'[1]DATA CONSOLIDADA 2018-2025 '!$AN299,"Incremento",IF('[1]DATA CONSOLIDADA 2018-2025 '!$AN299='[1]DATA CONSOLIDADA 2018-2025 '!$BH299,"Sin incremento",IF('[1]DATA CONSOLIDADA 2018-2025 '!$BH299&lt;'[1]DATA CONSOLIDADA 2018-2025 '!$AN299,"Disminución"," ---")))</f>
        <v>#REF!</v>
      </c>
      <c r="BJ299" s="68" t="str">
        <f t="shared" ref="BJ299:BJ301" si="97">'[1]DATA CONSOLIDADA 2018-2025 '!$BH299-'[1]DATA CONSOLIDADA 2018-2025 '!$BE299</f>
        <v>#REF!</v>
      </c>
      <c r="BK299" s="65">
        <v>0.0</v>
      </c>
      <c r="BL299" s="65">
        <v>0.0</v>
      </c>
      <c r="BM299" s="66">
        <v>0.0</v>
      </c>
      <c r="BN299" s="67" t="str">
        <f t="shared" ref="BN299:BN301" si="98">IF('[1]DATA CONSOLIDADA 2018-2025 '!$BM299&gt;'[1]DATA CONSOLIDADA 2018-2025 '!$BH299,"Incremento",IF('[1]DATA CONSOLIDADA 2018-2025 '!$BH299='[1]DATA CONSOLIDADA 2018-2025 '!$BM299,"Sin incremento",IF('[1]DATA CONSOLIDADA 2018-2025 '!$BM299&lt;'[1]DATA CONSOLIDADA 2018-2025 '!$BH299,"Disminución"," ---")))</f>
        <v>#REF!</v>
      </c>
      <c r="BO299" s="68" t="str">
        <f t="shared" ref="BO299:BO301" si="99">'[1]DATA CONSOLIDADA 2018-2025 '!$BM299-'[1]DATA CONSOLIDADA 2018-2025 '!$BH299</f>
        <v>#REF!</v>
      </c>
      <c r="BP299" s="65">
        <v>0.0</v>
      </c>
      <c r="BQ299" s="65">
        <v>0.0</v>
      </c>
      <c r="BR299" s="66">
        <v>0.0</v>
      </c>
      <c r="BS299" s="67" t="str">
        <f t="shared" ref="BS299:BS301" si="100">IF('[1]DATA CONSOLIDADA 2018-2025 '!$BR299&gt;'[1]DATA CONSOLIDADA 2018-2025 '!$BM299,"Incremento",IF('[1]DATA CONSOLIDADA 2018-2025 '!$BM299='[1]DATA CONSOLIDADA 2018-2025 '!$BR299,"Sin incremento",IF('[1]DATA CONSOLIDADA 2018-2025 '!$BR299&lt;'[1]DATA CONSOLIDADA 2018-2025 '!$BM299,"Disminución"," ---")))</f>
        <v>#REF!</v>
      </c>
      <c r="BT299" s="68" t="str">
        <f>'[1]DATA CONSOLIDADA 2018-2025 '!$BR299-Hoja1!$BO299</f>
        <v>#REF!</v>
      </c>
      <c r="BU299" s="65">
        <v>0.0</v>
      </c>
      <c r="BV299" s="65">
        <v>0.0</v>
      </c>
      <c r="BW299" s="66">
        <v>0.0</v>
      </c>
      <c r="BX299" s="67" t="str">
        <f t="shared" ref="BX299:BX301" si="101">IF('[1]DATA CONSOLIDADA 2018-2025 '!$BW299&gt;'[1]DATA CONSOLIDADA 2018-2025 '!$BR299,"Incremento",IF('[1]DATA CONSOLIDADA 2018-2025 '!$BR299='[1]DATA CONSOLIDADA 2018-2025 '!$BW299,"Sin incremento",IF('[1]DATA CONSOLIDADA 2018-2025 '!$BW299&lt;'[1]DATA CONSOLIDADA 2018-2025 '!$BR299,"Disminución"," ---")))</f>
        <v>#REF!</v>
      </c>
      <c r="BY299" s="68" t="str">
        <f t="shared" ref="BY299:BY301" si="102">'[1]DATA CONSOLIDADA 2018-2025 '!$BW299-'[1]DATA CONSOLIDADA 2018-2025 '!$BR299</f>
        <v>#REF!</v>
      </c>
      <c r="BZ299" s="65">
        <v>0.0</v>
      </c>
      <c r="CA299" s="65">
        <v>0.0</v>
      </c>
      <c r="CB299" s="66">
        <v>0.0</v>
      </c>
      <c r="CC299" s="67" t="str">
        <f t="shared" ref="CC299:CC301" si="103">IF('[1]DATA CONSOLIDADA 2018-2025 '!$CB299&gt;'[1]DATA CONSOLIDADA 2018-2025 '!$BW299,"Incremento",IF('[1]DATA CONSOLIDADA 2018-2025 '!$BW299='[1]DATA CONSOLIDADA 2018-2025 '!$CB299,"Sin incremento",IF('[1]DATA CONSOLIDADA 2018-2025 '!$CB299&lt;'[1]DATA CONSOLIDADA 2018-2025 '!$BW299,"Disminución"," ---")))</f>
        <v>#REF!</v>
      </c>
      <c r="CD299" s="68" t="str">
        <f>'[1]DATA CONSOLIDADA 2018-2025 '!$CB299-Hoja1!$BW299</f>
        <v>#REF!</v>
      </c>
      <c r="CE299" s="70">
        <v>0.0</v>
      </c>
      <c r="CF299" s="70">
        <v>0.0</v>
      </c>
      <c r="CG299" s="71">
        <v>0.0</v>
      </c>
      <c r="CH299" s="67" t="str">
        <f t="shared" ref="CH299:CH301" si="104">IF('[1]DATA CONSOLIDADA 2018-2025 '!$CG299&gt;'[1]DATA CONSOLIDADA 2018-2025 '!$CB299,"Incremento",IF('[1]DATA CONSOLIDADA 2018-2025 '!$CB299='[1]DATA CONSOLIDADA 2018-2025 '!$CG299,"Sin incremento",IF('[1]DATA CONSOLIDADA 2018-2025 '!$CG299&lt;'[1]DATA CONSOLIDADA 2018-2025 '!$CB299,"Disminución"," ---")))</f>
        <v>#REF!</v>
      </c>
      <c r="CI299" s="68" t="str">
        <f>'[1]DATA CONSOLIDADA 2018-2025 '!$CG299-Hoja1!$CB299</f>
        <v>#REF!</v>
      </c>
      <c r="CJ299" s="64" t="str">
        <f t="shared" si="68"/>
        <v>#REF!</v>
      </c>
      <c r="CK299" s="64">
        <v>0.0</v>
      </c>
      <c r="CL299" s="64">
        <v>0.0</v>
      </c>
      <c r="CM299" s="64">
        <v>0.0</v>
      </c>
      <c r="CN299" s="64" t="str">
        <f t="shared" si="12"/>
        <v>#REF!</v>
      </c>
      <c r="CO299" s="68" t="str">
        <f>'[1]DATA CONSOLIDADA 2018-2025 '!$CM299-Hoja1!$CG299</f>
        <v>#REF!</v>
      </c>
      <c r="CP299" s="70">
        <v>0.0</v>
      </c>
      <c r="CQ299" s="70">
        <v>0.0</v>
      </c>
      <c r="CR299" s="70">
        <v>0.0</v>
      </c>
      <c r="CS299" s="70">
        <v>0.0</v>
      </c>
      <c r="CT299" s="70">
        <v>0.0</v>
      </c>
      <c r="CU299" s="70">
        <v>0.0</v>
      </c>
      <c r="CV299" s="64">
        <v>0.0</v>
      </c>
      <c r="CW299" s="64">
        <v>0.0</v>
      </c>
      <c r="CX299" s="64">
        <v>0.0</v>
      </c>
      <c r="CY299" s="64">
        <v>0.0</v>
      </c>
      <c r="CZ299" s="64">
        <v>0.0</v>
      </c>
      <c r="DA299" s="64">
        <v>0.0</v>
      </c>
      <c r="DB299" s="64">
        <v>0.0</v>
      </c>
      <c r="DC299" s="72">
        <v>0.0</v>
      </c>
      <c r="DD299" s="72">
        <v>0.0</v>
      </c>
      <c r="DE299" s="72">
        <v>0.0</v>
      </c>
      <c r="DF299" s="72">
        <v>0.0</v>
      </c>
      <c r="DG299" s="72">
        <v>0.0</v>
      </c>
      <c r="DH299" s="72">
        <v>0.0</v>
      </c>
      <c r="DI299" s="73">
        <v>2.0542242222E10</v>
      </c>
      <c r="DJ299" s="74" t="s">
        <v>1092</v>
      </c>
      <c r="DK299" s="74" t="s">
        <v>132</v>
      </c>
      <c r="DL299" s="75"/>
      <c r="DM299" s="75"/>
      <c r="DN299" s="75"/>
      <c r="DO299" s="75"/>
      <c r="DP299" s="75"/>
      <c r="DQ299" s="75"/>
      <c r="DR299" s="75"/>
      <c r="DS299" s="75"/>
      <c r="DT299" s="75"/>
      <c r="DU299" s="75"/>
      <c r="DV299" s="75"/>
      <c r="DW299" s="75"/>
      <c r="DX299" s="75"/>
      <c r="DY299" s="75"/>
      <c r="DZ299" s="75"/>
      <c r="EA299" s="75"/>
      <c r="EB299" s="75"/>
      <c r="EC299" s="75"/>
      <c r="ED299" s="75"/>
      <c r="EE299" s="75"/>
    </row>
    <row r="300" ht="47.25" customHeight="1">
      <c r="A300" s="55" t="s">
        <v>1096</v>
      </c>
      <c r="B300" s="55" t="s">
        <v>146</v>
      </c>
      <c r="C300" s="55" t="s">
        <v>146</v>
      </c>
      <c r="D300" s="55" t="s">
        <v>1060</v>
      </c>
      <c r="E300" s="55" t="s">
        <v>1097</v>
      </c>
      <c r="F300" s="55" t="s">
        <v>1060</v>
      </c>
      <c r="G300" s="55" t="s">
        <v>1098</v>
      </c>
      <c r="H300" s="55" t="s">
        <v>1098</v>
      </c>
      <c r="I300" s="56"/>
      <c r="J300" s="56">
        <v>1.0</v>
      </c>
      <c r="K300" s="56"/>
      <c r="L300" s="56"/>
      <c r="M300" s="56"/>
      <c r="N300" s="56"/>
      <c r="O300" s="56"/>
      <c r="P300" s="56"/>
      <c r="Q300" s="56" t="s">
        <v>131</v>
      </c>
      <c r="R300" s="58" t="str">
        <f t="shared" si="1"/>
        <v>2019</v>
      </c>
      <c r="S300" s="59" t="str">
        <f>SUM(Hoja1!$I300:$P300)</f>
        <v>1</v>
      </c>
      <c r="T300" s="59" t="str">
        <f>IF(OR(Hoja1!$J300=1,Hoja1!$K300=1,Hoja1!$L300=1,Hoja1!$M300=1,Hoja1!$N300=1,Hoja1!$O300=1,Hoja1!$P300=1),"SI","NO")</f>
        <v>SI</v>
      </c>
      <c r="U300" s="59" t="str">
        <f>IF(OR(Hoja1!$K300=1,Hoja1!$L300=1,Hoja1!$M300=1,Hoja1!$N300=1,Hoja1!$O300=1,Hoja1!$P300=1),"SI","NO")</f>
        <v>NO</v>
      </c>
      <c r="V300" s="60">
        <v>0.0</v>
      </c>
      <c r="W300" s="61">
        <v>49.0</v>
      </c>
      <c r="X300" s="61">
        <v>0.0</v>
      </c>
      <c r="Y300" s="60">
        <v>49.0</v>
      </c>
      <c r="Z300" s="61">
        <v>0.0</v>
      </c>
      <c r="AA300" s="61">
        <v>0.0</v>
      </c>
      <c r="AB300" s="60">
        <v>0.0</v>
      </c>
      <c r="AC300" s="61">
        <v>0.0</v>
      </c>
      <c r="AD300" s="61">
        <v>0.0</v>
      </c>
      <c r="AE300" s="60">
        <v>0.0</v>
      </c>
      <c r="AF300" s="61">
        <v>0.0</v>
      </c>
      <c r="AG300" s="61">
        <v>0.0</v>
      </c>
      <c r="AH300" s="60">
        <v>0.0</v>
      </c>
      <c r="AI300" s="61">
        <v>0.0</v>
      </c>
      <c r="AJ300" s="61">
        <v>0.0</v>
      </c>
      <c r="AK300" s="60">
        <v>0.0</v>
      </c>
      <c r="AL300" s="61">
        <v>0.0</v>
      </c>
      <c r="AM300" s="61">
        <v>0.0</v>
      </c>
      <c r="AN300" s="60">
        <v>0.0</v>
      </c>
      <c r="AO300" s="62">
        <v>0.0</v>
      </c>
      <c r="AP300" s="62">
        <v>0.0</v>
      </c>
      <c r="AQ300" s="60">
        <v>0.0</v>
      </c>
      <c r="AR300" s="60" t="str">
        <f>IF(Hoja1!$AQ300&gt;0,Hoja1!$AQ300,IF(Hoja1!$AN300&gt;0,Hoja1!$AN300,IF(Hoja1!$AK300&gt;0,Hoja1!$AK300,IF(Hoja1!$AH300&gt;0,Hoja1!$AH300,IF(Hoja1!$AE300&gt;0,Hoja1!$AE300,IF(Hoja1!$AB300&gt;0,Hoja1!$AB300,IF(Hoja1!$Y300&gt;0,Hoja1!$Y300,IF(Hoja1!$V300&gt;0,Hoja1!$V300," ---"))))))))</f>
        <v>49</v>
      </c>
      <c r="AS300" s="63">
        <v>0.0</v>
      </c>
      <c r="AT300" s="63">
        <v>0.0</v>
      </c>
      <c r="AU300" s="63">
        <v>0.0</v>
      </c>
      <c r="AV300" s="63">
        <v>0.0</v>
      </c>
      <c r="AW300" s="63">
        <v>0.0</v>
      </c>
      <c r="AX300" s="63">
        <v>0.0</v>
      </c>
      <c r="AY300" s="63">
        <v>0.0</v>
      </c>
      <c r="AZ300" s="63">
        <v>0.0</v>
      </c>
      <c r="BA300" s="63">
        <v>0.0</v>
      </c>
      <c r="BB300" s="63">
        <v>0.0</v>
      </c>
      <c r="BC300" s="63">
        <v>0.0</v>
      </c>
      <c r="BD300" s="63">
        <v>0.0</v>
      </c>
      <c r="BE300" s="66">
        <v>0.0</v>
      </c>
      <c r="BF300" s="65">
        <v>0.0</v>
      </c>
      <c r="BG300" s="65">
        <v>0.0</v>
      </c>
      <c r="BH300" s="66">
        <v>0.0</v>
      </c>
      <c r="BI300" s="67" t="str">
        <f t="shared" si="96"/>
        <v>#REF!</v>
      </c>
      <c r="BJ300" s="68" t="str">
        <f t="shared" si="97"/>
        <v>#REF!</v>
      </c>
      <c r="BK300" s="65">
        <v>0.0</v>
      </c>
      <c r="BL300" s="65">
        <v>0.0</v>
      </c>
      <c r="BM300" s="66">
        <v>0.0</v>
      </c>
      <c r="BN300" s="67" t="str">
        <f t="shared" si="98"/>
        <v>#REF!</v>
      </c>
      <c r="BO300" s="68" t="str">
        <f t="shared" si="99"/>
        <v>#REF!</v>
      </c>
      <c r="BP300" s="65">
        <v>0.0</v>
      </c>
      <c r="BQ300" s="65">
        <v>0.0</v>
      </c>
      <c r="BR300" s="66">
        <v>0.0</v>
      </c>
      <c r="BS300" s="67" t="str">
        <f t="shared" si="100"/>
        <v>#REF!</v>
      </c>
      <c r="BT300" s="68" t="str">
        <f>'[1]DATA CONSOLIDADA 2018-2025 '!$BR300-Hoja1!$BO300</f>
        <v>#REF!</v>
      </c>
      <c r="BU300" s="65">
        <v>0.0</v>
      </c>
      <c r="BV300" s="65">
        <v>0.0</v>
      </c>
      <c r="BW300" s="66">
        <v>0.0</v>
      </c>
      <c r="BX300" s="67" t="str">
        <f t="shared" si="101"/>
        <v>#REF!</v>
      </c>
      <c r="BY300" s="68" t="str">
        <f t="shared" si="102"/>
        <v>#REF!</v>
      </c>
      <c r="BZ300" s="65">
        <v>0.0</v>
      </c>
      <c r="CA300" s="65">
        <v>0.0</v>
      </c>
      <c r="CB300" s="66">
        <v>0.0</v>
      </c>
      <c r="CC300" s="67" t="str">
        <f t="shared" si="103"/>
        <v>#REF!</v>
      </c>
      <c r="CD300" s="68" t="str">
        <f>'[1]DATA CONSOLIDADA 2018-2025 '!$CB300-Hoja1!$BW300</f>
        <v>#REF!</v>
      </c>
      <c r="CE300" s="70">
        <v>0.0</v>
      </c>
      <c r="CF300" s="70">
        <v>0.0</v>
      </c>
      <c r="CG300" s="71">
        <v>0.0</v>
      </c>
      <c r="CH300" s="67" t="str">
        <f t="shared" si="104"/>
        <v>#REF!</v>
      </c>
      <c r="CI300" s="68" t="str">
        <f>'[1]DATA CONSOLIDADA 2018-2025 '!$CG300-Hoja1!$CB300</f>
        <v>#REF!</v>
      </c>
      <c r="CJ300" s="64" t="str">
        <f t="shared" si="68"/>
        <v>#REF!</v>
      </c>
      <c r="CK300" s="64">
        <v>0.0</v>
      </c>
      <c r="CL300" s="64">
        <v>0.0</v>
      </c>
      <c r="CM300" s="64">
        <v>0.0</v>
      </c>
      <c r="CN300" s="64" t="str">
        <f t="shared" si="12"/>
        <v>#REF!</v>
      </c>
      <c r="CO300" s="68" t="str">
        <f>'[1]DATA CONSOLIDADA 2018-2025 '!$CM300-Hoja1!$CG300</f>
        <v>#REF!</v>
      </c>
      <c r="CP300" s="70">
        <v>0.0</v>
      </c>
      <c r="CQ300" s="70">
        <v>0.0</v>
      </c>
      <c r="CR300" s="70">
        <v>0.0</v>
      </c>
      <c r="CS300" s="70">
        <v>0.0</v>
      </c>
      <c r="CT300" s="70">
        <v>0.0</v>
      </c>
      <c r="CU300" s="70">
        <v>0.0</v>
      </c>
      <c r="CV300" s="64">
        <v>0.0</v>
      </c>
      <c r="CW300" s="64">
        <v>0.0</v>
      </c>
      <c r="CX300" s="64">
        <v>0.0</v>
      </c>
      <c r="CY300" s="64">
        <v>0.0</v>
      </c>
      <c r="CZ300" s="64">
        <v>0.0</v>
      </c>
      <c r="DA300" s="64">
        <v>0.0</v>
      </c>
      <c r="DB300" s="64">
        <v>0.0</v>
      </c>
      <c r="DC300" s="72">
        <v>0.0</v>
      </c>
      <c r="DD300" s="72">
        <v>0.0</v>
      </c>
      <c r="DE300" s="72">
        <v>0.0</v>
      </c>
      <c r="DF300" s="72">
        <v>0.0</v>
      </c>
      <c r="DG300" s="72">
        <v>0.0</v>
      </c>
      <c r="DH300" s="72">
        <v>0.0</v>
      </c>
      <c r="DI300" s="73">
        <v>2.0494126819E10</v>
      </c>
      <c r="DJ300" s="74" t="s">
        <v>1099</v>
      </c>
      <c r="DK300" s="74" t="s">
        <v>138</v>
      </c>
      <c r="DL300" s="75"/>
      <c r="DM300" s="75"/>
      <c r="DN300" s="75"/>
      <c r="DO300" s="75"/>
      <c r="DP300" s="75"/>
      <c r="DQ300" s="75"/>
      <c r="DR300" s="75"/>
      <c r="DS300" s="75"/>
      <c r="DT300" s="75"/>
      <c r="DU300" s="75"/>
      <c r="DV300" s="75"/>
      <c r="DW300" s="75"/>
      <c r="DX300" s="75"/>
      <c r="DY300" s="75"/>
      <c r="DZ300" s="75"/>
      <c r="EA300" s="75"/>
      <c r="EB300" s="75"/>
      <c r="EC300" s="75"/>
      <c r="ED300" s="75"/>
      <c r="EE300" s="75"/>
    </row>
    <row r="301" ht="47.25" hidden="1" customHeight="1">
      <c r="A301" s="55" t="s">
        <v>1100</v>
      </c>
      <c r="B301" s="55" t="s">
        <v>126</v>
      </c>
      <c r="C301" s="55" t="s">
        <v>126</v>
      </c>
      <c r="D301" s="55" t="s">
        <v>1060</v>
      </c>
      <c r="E301" s="55" t="s">
        <v>1101</v>
      </c>
      <c r="F301" s="55" t="s">
        <v>1060</v>
      </c>
      <c r="G301" s="55" t="s">
        <v>1069</v>
      </c>
      <c r="H301" s="55" t="s">
        <v>1102</v>
      </c>
      <c r="I301" s="56"/>
      <c r="J301" s="56">
        <v>1.0</v>
      </c>
      <c r="K301" s="56"/>
      <c r="L301" s="56"/>
      <c r="M301" s="56"/>
      <c r="N301" s="56"/>
      <c r="O301" s="56"/>
      <c r="P301" s="56"/>
      <c r="Q301" s="56" t="s">
        <v>131</v>
      </c>
      <c r="R301" s="58" t="str">
        <f t="shared" si="1"/>
        <v>2019</v>
      </c>
      <c r="S301" s="59" t="str">
        <f>SUM(Hoja1!$I301:$P301)</f>
        <v>1</v>
      </c>
      <c r="T301" s="59" t="str">
        <f>IF(OR(Hoja1!$J301=1,Hoja1!$K301=1,Hoja1!$L301=1,Hoja1!$M301=1,Hoja1!$N301=1,Hoja1!$O301=1,Hoja1!$P301=1),"SI","NO")</f>
        <v>SI</v>
      </c>
      <c r="U301" s="59" t="str">
        <f>IF(OR(Hoja1!$K301=1,Hoja1!$L301=1,Hoja1!$M301=1,Hoja1!$N301=1,Hoja1!$O301=1,Hoja1!$P301=1),"SI","NO")</f>
        <v>NO</v>
      </c>
      <c r="V301" s="60">
        <v>0.0</v>
      </c>
      <c r="W301" s="61">
        <v>189.0</v>
      </c>
      <c r="X301" s="61">
        <v>29.0</v>
      </c>
      <c r="Y301" s="60">
        <v>218.0</v>
      </c>
      <c r="Z301" s="61">
        <v>0.0</v>
      </c>
      <c r="AA301" s="61">
        <v>0.0</v>
      </c>
      <c r="AB301" s="60">
        <v>0.0</v>
      </c>
      <c r="AC301" s="61">
        <v>0.0</v>
      </c>
      <c r="AD301" s="61">
        <v>0.0</v>
      </c>
      <c r="AE301" s="60">
        <v>0.0</v>
      </c>
      <c r="AF301" s="61">
        <v>0.0</v>
      </c>
      <c r="AG301" s="61">
        <v>0.0</v>
      </c>
      <c r="AH301" s="60">
        <v>0.0</v>
      </c>
      <c r="AI301" s="61">
        <v>0.0</v>
      </c>
      <c r="AJ301" s="61">
        <v>0.0</v>
      </c>
      <c r="AK301" s="60">
        <v>0.0</v>
      </c>
      <c r="AL301" s="61">
        <v>0.0</v>
      </c>
      <c r="AM301" s="61">
        <v>0.0</v>
      </c>
      <c r="AN301" s="60">
        <v>0.0</v>
      </c>
      <c r="AO301" s="62">
        <v>0.0</v>
      </c>
      <c r="AP301" s="62">
        <v>0.0</v>
      </c>
      <c r="AQ301" s="60">
        <v>0.0</v>
      </c>
      <c r="AR301" s="60" t="str">
        <f>IF(Hoja1!$AQ301&gt;0,Hoja1!$AQ301,IF(Hoja1!$AN301&gt;0,Hoja1!$AN301,IF(Hoja1!$AK301&gt;0,Hoja1!$AK301,IF(Hoja1!$AH301&gt;0,Hoja1!$AH301,IF(Hoja1!$AE301&gt;0,Hoja1!$AE301,IF(Hoja1!$AB301&gt;0,Hoja1!$AB301,IF(Hoja1!$Y301&gt;0,Hoja1!$Y301,IF(Hoja1!$V301&gt;0,Hoja1!$V301," ---"))))))))</f>
        <v>218</v>
      </c>
      <c r="AS301" s="63">
        <v>0.0</v>
      </c>
      <c r="AT301" s="63">
        <v>0.0</v>
      </c>
      <c r="AU301" s="63">
        <v>3.0</v>
      </c>
      <c r="AV301" s="63">
        <v>2.0</v>
      </c>
      <c r="AW301" s="63">
        <v>0.0</v>
      </c>
      <c r="AX301" s="63">
        <v>0.0</v>
      </c>
      <c r="AY301" s="63">
        <v>0.0</v>
      </c>
      <c r="AZ301" s="63">
        <v>0.0</v>
      </c>
      <c r="BA301" s="63">
        <v>0.0</v>
      </c>
      <c r="BB301" s="63">
        <v>0.0</v>
      </c>
      <c r="BC301" s="63">
        <v>0.0</v>
      </c>
      <c r="BD301" s="63">
        <v>0.0</v>
      </c>
      <c r="BE301" s="66">
        <v>0.0</v>
      </c>
      <c r="BF301" s="65">
        <v>0.0</v>
      </c>
      <c r="BG301" s="65">
        <v>0.0</v>
      </c>
      <c r="BH301" s="66">
        <v>0.0</v>
      </c>
      <c r="BI301" s="67" t="str">
        <f t="shared" si="96"/>
        <v>#REF!</v>
      </c>
      <c r="BJ301" s="68" t="str">
        <f t="shared" si="97"/>
        <v>#REF!</v>
      </c>
      <c r="BK301" s="65">
        <v>0.0</v>
      </c>
      <c r="BL301" s="65">
        <v>0.0</v>
      </c>
      <c r="BM301" s="66">
        <v>0.0</v>
      </c>
      <c r="BN301" s="67" t="str">
        <f t="shared" si="98"/>
        <v>#REF!</v>
      </c>
      <c r="BO301" s="68" t="str">
        <f t="shared" si="99"/>
        <v>#REF!</v>
      </c>
      <c r="BP301" s="65">
        <v>0.0</v>
      </c>
      <c r="BQ301" s="65">
        <v>0.0</v>
      </c>
      <c r="BR301" s="66">
        <v>0.0</v>
      </c>
      <c r="BS301" s="67" t="str">
        <f t="shared" si="100"/>
        <v>#REF!</v>
      </c>
      <c r="BT301" s="68" t="str">
        <f>'[1]DATA CONSOLIDADA 2018-2025 '!$BR301-Hoja1!$BO301</f>
        <v>#REF!</v>
      </c>
      <c r="BU301" s="65">
        <v>0.0</v>
      </c>
      <c r="BV301" s="65">
        <v>0.0</v>
      </c>
      <c r="BW301" s="66">
        <v>0.0</v>
      </c>
      <c r="BX301" s="67" t="str">
        <f t="shared" si="101"/>
        <v>#REF!</v>
      </c>
      <c r="BY301" s="68" t="str">
        <f t="shared" si="102"/>
        <v>#REF!</v>
      </c>
      <c r="BZ301" s="65">
        <v>0.0</v>
      </c>
      <c r="CA301" s="65">
        <v>0.0</v>
      </c>
      <c r="CB301" s="66">
        <v>0.0</v>
      </c>
      <c r="CC301" s="67" t="str">
        <f t="shared" si="103"/>
        <v>#REF!</v>
      </c>
      <c r="CD301" s="68" t="str">
        <f>'[1]DATA CONSOLIDADA 2018-2025 '!$CB301-Hoja1!$BW301</f>
        <v>#REF!</v>
      </c>
      <c r="CE301" s="70">
        <v>0.0</v>
      </c>
      <c r="CF301" s="70">
        <v>0.0</v>
      </c>
      <c r="CG301" s="71">
        <v>0.0</v>
      </c>
      <c r="CH301" s="67" t="str">
        <f t="shared" si="104"/>
        <v>#REF!</v>
      </c>
      <c r="CI301" s="68" t="str">
        <f>'[1]DATA CONSOLIDADA 2018-2025 '!$CG301-Hoja1!$CB301</f>
        <v>#REF!</v>
      </c>
      <c r="CJ301" s="64" t="str">
        <f t="shared" si="68"/>
        <v>#REF!</v>
      </c>
      <c r="CK301" s="64">
        <v>0.0</v>
      </c>
      <c r="CL301" s="64">
        <v>0.0</v>
      </c>
      <c r="CM301" s="64">
        <v>0.0</v>
      </c>
      <c r="CN301" s="64" t="str">
        <f t="shared" si="12"/>
        <v>#REF!</v>
      </c>
      <c r="CO301" s="68" t="str">
        <f>'[1]DATA CONSOLIDADA 2018-2025 '!$CM301-Hoja1!$CG301</f>
        <v>#REF!</v>
      </c>
      <c r="CP301" s="70">
        <v>0.0</v>
      </c>
      <c r="CQ301" s="70">
        <v>0.0</v>
      </c>
      <c r="CR301" s="70">
        <v>0.0</v>
      </c>
      <c r="CS301" s="70">
        <v>0.0</v>
      </c>
      <c r="CT301" s="70">
        <v>0.0</v>
      </c>
      <c r="CU301" s="70">
        <v>0.0</v>
      </c>
      <c r="CV301" s="64">
        <v>0.0</v>
      </c>
      <c r="CW301" s="64">
        <v>0.0</v>
      </c>
      <c r="CX301" s="64">
        <v>0.0</v>
      </c>
      <c r="CY301" s="64">
        <v>0.0</v>
      </c>
      <c r="CZ301" s="64">
        <v>0.0</v>
      </c>
      <c r="DA301" s="64">
        <v>0.0</v>
      </c>
      <c r="DB301" s="64">
        <v>0.0</v>
      </c>
      <c r="DC301" s="72">
        <v>0.0</v>
      </c>
      <c r="DD301" s="72">
        <v>0.0</v>
      </c>
      <c r="DE301" s="72">
        <v>0.0</v>
      </c>
      <c r="DF301" s="72">
        <v>0.0</v>
      </c>
      <c r="DG301" s="72">
        <v>0.0</v>
      </c>
      <c r="DH301" s="72">
        <v>0.0</v>
      </c>
      <c r="DI301" s="73">
        <v>2.0450242021E10</v>
      </c>
      <c r="DJ301" s="74" t="s">
        <v>1103</v>
      </c>
      <c r="DK301" s="74" t="s">
        <v>132</v>
      </c>
      <c r="DL301" s="75"/>
      <c r="DM301" s="75"/>
      <c r="DN301" s="75"/>
      <c r="DO301" s="75"/>
      <c r="DP301" s="75"/>
      <c r="DQ301" s="75"/>
      <c r="DR301" s="75"/>
      <c r="DS301" s="75"/>
      <c r="DT301" s="75"/>
      <c r="DU301" s="75"/>
      <c r="DV301" s="75"/>
      <c r="DW301" s="75"/>
      <c r="DX301" s="75"/>
      <c r="DY301" s="75"/>
      <c r="DZ301" s="75"/>
      <c r="EA301" s="75"/>
      <c r="EB301" s="75"/>
      <c r="EC301" s="75"/>
      <c r="ED301" s="75"/>
      <c r="EE301" s="75"/>
    </row>
    <row r="302" ht="47.25" customHeight="1">
      <c r="A302" s="55" t="s">
        <v>1104</v>
      </c>
      <c r="B302" s="55" t="s">
        <v>146</v>
      </c>
      <c r="C302" s="55" t="s">
        <v>146</v>
      </c>
      <c r="D302" s="55" t="s">
        <v>434</v>
      </c>
      <c r="E302" s="55" t="s">
        <v>487</v>
      </c>
      <c r="F302" s="55" t="s">
        <v>434</v>
      </c>
      <c r="G302" s="55" t="s">
        <v>435</v>
      </c>
      <c r="H302" s="55" t="s">
        <v>488</v>
      </c>
      <c r="I302" s="56"/>
      <c r="J302" s="56"/>
      <c r="K302" s="56"/>
      <c r="L302" s="56"/>
      <c r="M302" s="56"/>
      <c r="N302" s="56"/>
      <c r="O302" s="56">
        <v>1.0</v>
      </c>
      <c r="P302" s="56">
        <v>1.0</v>
      </c>
      <c r="Q302" s="56" t="s">
        <v>131</v>
      </c>
      <c r="R302" s="58" t="str">
        <f t="shared" si="1"/>
        <v>2024 - 2025</v>
      </c>
      <c r="S302" s="59" t="str">
        <f>SUM(Hoja1!$I302:$P302)</f>
        <v>2</v>
      </c>
      <c r="T302" s="59" t="str">
        <f>IF(OR(Hoja1!$J302=1,Hoja1!$K302=1,Hoja1!$L302=1,Hoja1!$M302=1,Hoja1!$N302=1,Hoja1!$O302=1,Hoja1!$P302=1),"SI","NO")</f>
        <v>SI</v>
      </c>
      <c r="U302" s="59" t="str">
        <f>IF(OR(Hoja1!$K302=1,Hoja1!$L302=1,Hoja1!$M302=1,Hoja1!$N302=1,Hoja1!$O302=1,Hoja1!$P302=1),"SI","NO")</f>
        <v>SI</v>
      </c>
      <c r="V302" s="60">
        <v>0.0</v>
      </c>
      <c r="W302" s="61">
        <v>0.0</v>
      </c>
      <c r="X302" s="61">
        <v>0.0</v>
      </c>
      <c r="Y302" s="60">
        <v>0.0</v>
      </c>
      <c r="Z302" s="61">
        <v>0.0</v>
      </c>
      <c r="AA302" s="61">
        <v>0.0</v>
      </c>
      <c r="AB302" s="60">
        <v>0.0</v>
      </c>
      <c r="AC302" s="61">
        <v>0.0</v>
      </c>
      <c r="AD302" s="61">
        <v>0.0</v>
      </c>
      <c r="AE302" s="60">
        <v>0.0</v>
      </c>
      <c r="AF302" s="61">
        <v>0.0</v>
      </c>
      <c r="AG302" s="61">
        <v>0.0</v>
      </c>
      <c r="AH302" s="60">
        <v>0.0</v>
      </c>
      <c r="AI302" s="61">
        <v>0.0</v>
      </c>
      <c r="AJ302" s="61">
        <v>0.0</v>
      </c>
      <c r="AK302" s="60">
        <v>0.0</v>
      </c>
      <c r="AL302" s="61">
        <v>30.0</v>
      </c>
      <c r="AM302" s="61">
        <v>15.0</v>
      </c>
      <c r="AN302" s="60">
        <v>45.0</v>
      </c>
      <c r="AO302" s="62">
        <v>22.0</v>
      </c>
      <c r="AP302" s="62">
        <v>12.0</v>
      </c>
      <c r="AQ302" s="60">
        <v>34.0</v>
      </c>
      <c r="AR302" s="60" t="str">
        <f>IF(Hoja1!$AQ302&gt;0,Hoja1!$AQ302,IF(Hoja1!$AN302&gt;0,Hoja1!$AN302,IF(Hoja1!$AK302&gt;0,Hoja1!$AK302,IF(Hoja1!$AH302&gt;0,Hoja1!$AH302,IF(Hoja1!$AE302&gt;0,Hoja1!$AE302,IF(Hoja1!$AB302&gt;0,Hoja1!$AB302,IF(Hoja1!$Y302&gt;0,Hoja1!$Y302,IF(Hoja1!$V302&gt;0,Hoja1!$V302," ---"))))))))</f>
        <v>34</v>
      </c>
      <c r="AS302" s="63">
        <v>0.0</v>
      </c>
      <c r="AT302" s="63">
        <v>0.0</v>
      </c>
      <c r="AU302" s="63">
        <v>0.0</v>
      </c>
      <c r="AV302" s="63">
        <v>0.0</v>
      </c>
      <c r="AW302" s="63">
        <v>0.0</v>
      </c>
      <c r="AX302" s="63">
        <v>0.0</v>
      </c>
      <c r="AY302" s="63">
        <v>0.0</v>
      </c>
      <c r="AZ302" s="63">
        <v>0.0</v>
      </c>
      <c r="BA302" s="63">
        <v>32.0</v>
      </c>
      <c r="BB302" s="63">
        <v>7.0</v>
      </c>
      <c r="BC302" s="63">
        <v>27.0</v>
      </c>
      <c r="BD302" s="63">
        <v>5.0</v>
      </c>
      <c r="BE302" s="64">
        <v>0.0</v>
      </c>
      <c r="BF302" s="69">
        <v>0.0</v>
      </c>
      <c r="BG302" s="69">
        <v>0.0</v>
      </c>
      <c r="BH302" s="64">
        <v>0.0</v>
      </c>
      <c r="BI302" s="67" t="str">
        <f>IF('[1]DATA CONSOLIDADA 2018-2025 '!$BH439&gt;'[1]DATA CONSOLIDADA 2018-2025 '!$AN439,"Incremento",IF('[1]DATA CONSOLIDADA 2018-2025 '!$AN439='[1]DATA CONSOLIDADA 2018-2025 '!$BH439,"Sin incremento",IF('[1]DATA CONSOLIDADA 2018-2025 '!$BH439&lt;'[1]DATA CONSOLIDADA 2018-2025 '!$AN439,"Disminución"," ---")))</f>
        <v>#REF!</v>
      </c>
      <c r="BJ302" s="68" t="str">
        <f>'[1]DATA CONSOLIDADA 2018-2025 '!$BH439-'[1]DATA CONSOLIDADA 2018-2025 '!$BE439</f>
        <v>#REF!</v>
      </c>
      <c r="BK302" s="69">
        <v>0.0</v>
      </c>
      <c r="BL302" s="69">
        <v>0.0</v>
      </c>
      <c r="BM302" s="64">
        <v>0.0</v>
      </c>
      <c r="BN302" s="67" t="str">
        <f>IF('[1]DATA CONSOLIDADA 2018-2025 '!$BM439&gt;'[1]DATA CONSOLIDADA 2018-2025 '!$BH439,"Incremento",IF('[1]DATA CONSOLIDADA 2018-2025 '!$BH439='[1]DATA CONSOLIDADA 2018-2025 '!$BM439,"Sin incremento",IF('[1]DATA CONSOLIDADA 2018-2025 '!$BM439&lt;'[1]DATA CONSOLIDADA 2018-2025 '!$BH439,"Disminución"," ---")))</f>
        <v>#REF!</v>
      </c>
      <c r="BO302" s="68" t="str">
        <f>'[1]DATA CONSOLIDADA 2018-2025 '!$BM439-'[1]DATA CONSOLIDADA 2018-2025 '!$BH439</f>
        <v>#REF!</v>
      </c>
      <c r="BP302" s="65">
        <v>0.0</v>
      </c>
      <c r="BQ302" s="65">
        <v>0.0</v>
      </c>
      <c r="BR302" s="66">
        <v>0.0</v>
      </c>
      <c r="BS302" s="67" t="str">
        <f>IF('[1]DATA CONSOLIDADA 2018-2025 '!$BR439&gt;'[1]DATA CONSOLIDADA 2018-2025 '!$BM439,"Incremento",IF('[1]DATA CONSOLIDADA 2018-2025 '!$BM439='[1]DATA CONSOLIDADA 2018-2025 '!$BR439,"Sin incremento",IF('[1]DATA CONSOLIDADA 2018-2025 '!$BR439&lt;'[1]DATA CONSOLIDADA 2018-2025 '!$BM439,"Disminución"," ---")))</f>
        <v>#REF!</v>
      </c>
      <c r="BT302" s="68" t="str">
        <f>'[1]DATA CONSOLIDADA 2018-2025 '!$BR302-Hoja1!$BO302</f>
        <v>#REF!</v>
      </c>
      <c r="BU302" s="69">
        <v>0.0</v>
      </c>
      <c r="BV302" s="65">
        <v>0.0</v>
      </c>
      <c r="BW302" s="66">
        <v>0.0</v>
      </c>
      <c r="BX302" s="67" t="str">
        <f>IF('[1]DATA CONSOLIDADA 2018-2025 '!$BW439&gt;'[1]DATA CONSOLIDADA 2018-2025 '!$BR439,"Incremento",IF('[1]DATA CONSOLIDADA 2018-2025 '!$BR439='[1]DATA CONSOLIDADA 2018-2025 '!$BW439,"Sin incremento",IF('[1]DATA CONSOLIDADA 2018-2025 '!$BW439&lt;'[1]DATA CONSOLIDADA 2018-2025 '!$BR439,"Disminución"," ---")))</f>
        <v>#REF!</v>
      </c>
      <c r="BY302" s="68" t="str">
        <f>'[1]DATA CONSOLIDADA 2018-2025 '!$BW439-'[1]DATA CONSOLIDADA 2018-2025 '!$BR439</f>
        <v>#REF!</v>
      </c>
      <c r="BZ302" s="65">
        <v>0.0</v>
      </c>
      <c r="CA302" s="65">
        <v>0.0</v>
      </c>
      <c r="CB302" s="66">
        <v>0.0</v>
      </c>
      <c r="CC302" s="67" t="str">
        <f>IF('[1]DATA CONSOLIDADA 2018-2025 '!$CB439&gt;'[1]DATA CONSOLIDADA 2018-2025 '!$BW439,"Incremento",IF('[1]DATA CONSOLIDADA 2018-2025 '!$BW439='[1]DATA CONSOLIDADA 2018-2025 '!$CB439,"Sin incremento",IF('[1]DATA CONSOLIDADA 2018-2025 '!$CB439&lt;'[1]DATA CONSOLIDADA 2018-2025 '!$BW439,"Disminución"," ---")))</f>
        <v>#REF!</v>
      </c>
      <c r="CD302" s="68" t="str">
        <f>'[1]DATA CONSOLIDADA 2018-2025 '!$CB302-Hoja1!$BW302</f>
        <v>#REF!</v>
      </c>
      <c r="CE302" s="70">
        <v>170000.0</v>
      </c>
      <c r="CF302" s="70">
        <v>0.0</v>
      </c>
      <c r="CG302" s="71">
        <v>170000.0</v>
      </c>
      <c r="CH302" s="67" t="str">
        <f>IF('[1]DATA CONSOLIDADA 2018-2025 '!$CG439&gt;'[1]DATA CONSOLIDADA 2018-2025 '!$CB439,"Incremento",IF('[1]DATA CONSOLIDADA 2018-2025 '!$CB439='[1]DATA CONSOLIDADA 2018-2025 '!$CG439,"Sin incremento",IF('[1]DATA CONSOLIDADA 2018-2025 '!$CG439&lt;'[1]DATA CONSOLIDADA 2018-2025 '!$CB439,"Disminución"," ---")))</f>
        <v>#REF!</v>
      </c>
      <c r="CI302" s="68" t="str">
        <f>'[1]DATA CONSOLIDADA 2018-2025 '!$CG302-Hoja1!$CB302</f>
        <v>#REF!</v>
      </c>
      <c r="CJ302" s="64" t="str">
        <f t="shared" si="68"/>
        <v>#REF!</v>
      </c>
      <c r="CK302" s="64">
        <v>299062.7</v>
      </c>
      <c r="CL302" s="64">
        <v>0.0</v>
      </c>
      <c r="CM302" s="64">
        <v>299062.7</v>
      </c>
      <c r="CN302" s="64" t="str">
        <f t="shared" si="12"/>
        <v>#REF!</v>
      </c>
      <c r="CO302" s="68" t="str">
        <f>'[1]DATA CONSOLIDADA 2018-2025 '!$CM302-Hoja1!$CG302</f>
        <v>#REF!</v>
      </c>
      <c r="CP302" s="70">
        <v>0.0</v>
      </c>
      <c r="CQ302" s="70">
        <v>0.0</v>
      </c>
      <c r="CR302" s="70">
        <v>0.0</v>
      </c>
      <c r="CS302" s="70">
        <v>0.0</v>
      </c>
      <c r="CT302" s="70">
        <v>0.0</v>
      </c>
      <c r="CU302" s="70">
        <v>0.0</v>
      </c>
      <c r="CV302" s="64">
        <v>0.0</v>
      </c>
      <c r="CW302" s="64">
        <v>0.0</v>
      </c>
      <c r="CX302" s="64">
        <v>0.0</v>
      </c>
      <c r="CY302" s="64">
        <v>170000.0</v>
      </c>
      <c r="CZ302" s="64">
        <v>0.0</v>
      </c>
      <c r="DA302" s="64">
        <v>0.0</v>
      </c>
      <c r="DB302" s="64">
        <v>170000.0</v>
      </c>
      <c r="DC302" s="72">
        <v>0.0</v>
      </c>
      <c r="DD302" s="72">
        <v>0.0</v>
      </c>
      <c r="DE302" s="72">
        <v>299062.7</v>
      </c>
      <c r="DF302" s="72">
        <v>0.0</v>
      </c>
      <c r="DG302" s="72">
        <v>0.0</v>
      </c>
      <c r="DH302" s="72">
        <v>299062.7</v>
      </c>
      <c r="DI302" s="73">
        <v>2.0564032485E10</v>
      </c>
      <c r="DJ302" s="74" t="s">
        <v>1105</v>
      </c>
      <c r="DK302" s="74" t="s">
        <v>138</v>
      </c>
      <c r="DL302" s="75"/>
      <c r="DM302" s="75"/>
      <c r="DN302" s="75"/>
      <c r="DO302" s="75"/>
      <c r="DP302" s="75"/>
      <c r="DQ302" s="75"/>
      <c r="DR302" s="75"/>
      <c r="DS302" s="75"/>
      <c r="DT302" s="75"/>
      <c r="DU302" s="75"/>
      <c r="DV302" s="75"/>
      <c r="DW302" s="75"/>
      <c r="DX302" s="75"/>
      <c r="DY302" s="75"/>
      <c r="DZ302" s="75"/>
      <c r="EA302" s="75"/>
      <c r="EB302" s="75"/>
      <c r="EC302" s="75"/>
      <c r="ED302" s="75"/>
      <c r="EE302" s="75"/>
    </row>
    <row r="303" ht="47.25" hidden="1" customHeight="1">
      <c r="A303" s="55" t="s">
        <v>1106</v>
      </c>
      <c r="B303" s="55" t="s">
        <v>126</v>
      </c>
      <c r="C303" s="55" t="s">
        <v>126</v>
      </c>
      <c r="D303" s="55" t="s">
        <v>1060</v>
      </c>
      <c r="E303" s="55" t="s">
        <v>1107</v>
      </c>
      <c r="F303" s="55" t="s">
        <v>1060</v>
      </c>
      <c r="G303" s="55" t="s">
        <v>1081</v>
      </c>
      <c r="H303" s="55" t="s">
        <v>1081</v>
      </c>
      <c r="I303" s="56"/>
      <c r="J303" s="56"/>
      <c r="K303" s="56"/>
      <c r="L303" s="56">
        <v>1.0</v>
      </c>
      <c r="M303" s="56">
        <v>1.0</v>
      </c>
      <c r="N303" s="56">
        <v>1.0</v>
      </c>
      <c r="O303" s="56">
        <v>1.0</v>
      </c>
      <c r="P303" s="56"/>
      <c r="Q303" s="56" t="s">
        <v>131</v>
      </c>
      <c r="R303" s="58" t="str">
        <f t="shared" si="1"/>
        <v>2021-2022-2023-2024</v>
      </c>
      <c r="S303" s="59" t="str">
        <f>SUM(Hoja1!$I303:$P303)</f>
        <v>4</v>
      </c>
      <c r="T303" s="59" t="str">
        <f>IF(OR(Hoja1!$J303=1,Hoja1!$K303=1,Hoja1!$L303=1,Hoja1!$M303=1,Hoja1!$N303=1,Hoja1!$O303=1,Hoja1!$P303=1),"SI","NO")</f>
        <v>SI</v>
      </c>
      <c r="U303" s="59" t="str">
        <f>IF(OR(Hoja1!$K303=1,Hoja1!$L303=1,Hoja1!$M303=1,Hoja1!$N303=1,Hoja1!$O303=1,Hoja1!$P303=1),"SI","NO")</f>
        <v>SI</v>
      </c>
      <c r="V303" s="60">
        <v>0.0</v>
      </c>
      <c r="W303" s="61">
        <v>0.0</v>
      </c>
      <c r="X303" s="61">
        <v>0.0</v>
      </c>
      <c r="Y303" s="60">
        <v>0.0</v>
      </c>
      <c r="Z303" s="61">
        <v>0.0</v>
      </c>
      <c r="AA303" s="61">
        <v>0.0</v>
      </c>
      <c r="AB303" s="60">
        <v>0.0</v>
      </c>
      <c r="AC303" s="61">
        <v>124.0</v>
      </c>
      <c r="AD303" s="61">
        <v>13.0</v>
      </c>
      <c r="AE303" s="60">
        <v>137.0</v>
      </c>
      <c r="AF303" s="61">
        <v>159.0</v>
      </c>
      <c r="AG303" s="61">
        <v>0.0</v>
      </c>
      <c r="AH303" s="60">
        <v>159.0</v>
      </c>
      <c r="AI303" s="61">
        <v>159.0</v>
      </c>
      <c r="AJ303" s="61">
        <v>0.0</v>
      </c>
      <c r="AK303" s="60">
        <v>159.0</v>
      </c>
      <c r="AL303" s="61">
        <v>142.0</v>
      </c>
      <c r="AM303" s="61">
        <v>15.0</v>
      </c>
      <c r="AN303" s="60">
        <v>157.0</v>
      </c>
      <c r="AO303" s="62">
        <v>0.0</v>
      </c>
      <c r="AP303" s="62">
        <v>0.0</v>
      </c>
      <c r="AQ303" s="60">
        <v>0.0</v>
      </c>
      <c r="AR303" s="60" t="str">
        <f>IF(Hoja1!$AQ303&gt;0,Hoja1!$AQ303,IF(Hoja1!$AN303&gt;0,Hoja1!$AN303,IF(Hoja1!$AK303&gt;0,Hoja1!$AK303,IF(Hoja1!$AH303&gt;0,Hoja1!$AH303,IF(Hoja1!$AE303&gt;0,Hoja1!$AE303,IF(Hoja1!$AB303&gt;0,Hoja1!$AB303,IF(Hoja1!$Y303&gt;0,Hoja1!$Y303,IF(Hoja1!$V303&gt;0,Hoja1!$V303," ---"))))))))</f>
        <v>157</v>
      </c>
      <c r="AS303" s="63">
        <v>0.0</v>
      </c>
      <c r="AT303" s="63">
        <v>0.0</v>
      </c>
      <c r="AU303" s="63">
        <v>29.0</v>
      </c>
      <c r="AV303" s="63">
        <v>8.0</v>
      </c>
      <c r="AW303" s="63">
        <v>23.0</v>
      </c>
      <c r="AX303" s="63">
        <v>6.0</v>
      </c>
      <c r="AY303" s="63">
        <v>12.0</v>
      </c>
      <c r="AZ303" s="63">
        <v>0.0</v>
      </c>
      <c r="BA303" s="63">
        <v>8.0</v>
      </c>
      <c r="BB303" s="63">
        <v>0.0</v>
      </c>
      <c r="BC303" s="63">
        <v>0.0</v>
      </c>
      <c r="BD303" s="63">
        <v>0.0</v>
      </c>
      <c r="BE303" s="64">
        <v>0.0</v>
      </c>
      <c r="BF303" s="69">
        <v>0.0</v>
      </c>
      <c r="BG303" s="69">
        <v>0.0</v>
      </c>
      <c r="BH303" s="64">
        <v>0.0</v>
      </c>
      <c r="BI303" s="67" t="str">
        <f t="shared" ref="BI303:BI313" si="105">IF('[1]DATA CONSOLIDADA 2018-2025 '!$BH303&gt;'[1]DATA CONSOLIDADA 2018-2025 '!$AN303,"Incremento",IF('[1]DATA CONSOLIDADA 2018-2025 '!$AN303='[1]DATA CONSOLIDADA 2018-2025 '!$BH303,"Sin incremento",IF('[1]DATA CONSOLIDADA 2018-2025 '!$BH303&lt;'[1]DATA CONSOLIDADA 2018-2025 '!$AN303,"Disminución"," ---")))</f>
        <v>#REF!</v>
      </c>
      <c r="BJ303" s="68" t="str">
        <f t="shared" ref="BJ303:BJ313" si="106">'[1]DATA CONSOLIDADA 2018-2025 '!$BH303-'[1]DATA CONSOLIDADA 2018-2025 '!$BE303</f>
        <v>#REF!</v>
      </c>
      <c r="BK303" s="69">
        <v>0.0</v>
      </c>
      <c r="BL303" s="69">
        <v>0.0</v>
      </c>
      <c r="BM303" s="66">
        <v>0.0</v>
      </c>
      <c r="BN303" s="67" t="str">
        <f t="shared" ref="BN303:BN313" si="107">IF('[1]DATA CONSOLIDADA 2018-2025 '!$BM303&gt;'[1]DATA CONSOLIDADA 2018-2025 '!$BH303,"Incremento",IF('[1]DATA CONSOLIDADA 2018-2025 '!$BH303='[1]DATA CONSOLIDADA 2018-2025 '!$BM303,"Sin incremento",IF('[1]DATA CONSOLIDADA 2018-2025 '!$BM303&lt;'[1]DATA CONSOLIDADA 2018-2025 '!$BH303,"Disminución"," ---")))</f>
        <v>#REF!</v>
      </c>
      <c r="BO303" s="68" t="str">
        <f t="shared" ref="BO303:BO313" si="108">'[1]DATA CONSOLIDADA 2018-2025 '!$BM303-'[1]DATA CONSOLIDADA 2018-2025 '!$BH303</f>
        <v>#REF!</v>
      </c>
      <c r="BP303" s="65">
        <v>68378.99</v>
      </c>
      <c r="BQ303" s="65">
        <v>1342002.21</v>
      </c>
      <c r="BR303" s="66">
        <v>1410381.2</v>
      </c>
      <c r="BS303" s="67" t="str">
        <f t="shared" ref="BS303:BS313" si="109">IF('[1]DATA CONSOLIDADA 2018-2025 '!$BR303&gt;'[1]DATA CONSOLIDADA 2018-2025 '!$BM303,"Incremento",IF('[1]DATA CONSOLIDADA 2018-2025 '!$BM303='[1]DATA CONSOLIDADA 2018-2025 '!$BR303,"Sin incremento",IF('[1]DATA CONSOLIDADA 2018-2025 '!$BR303&lt;'[1]DATA CONSOLIDADA 2018-2025 '!$BM303,"Disminución"," ---")))</f>
        <v>#REF!</v>
      </c>
      <c r="BT303" s="68" t="str">
        <f>'[1]DATA CONSOLIDADA 2018-2025 '!$BR303-Hoja1!$BO303</f>
        <v>#REF!</v>
      </c>
      <c r="BU303" s="65">
        <v>170363.84</v>
      </c>
      <c r="BV303" s="65">
        <v>1800528.45</v>
      </c>
      <c r="BW303" s="66">
        <v>1970892.29</v>
      </c>
      <c r="BX303" s="67" t="str">
        <f t="shared" ref="BX303:BX313" si="110">IF('[1]DATA CONSOLIDADA 2018-2025 '!$BW303&gt;'[1]DATA CONSOLIDADA 2018-2025 '!$BR303,"Incremento",IF('[1]DATA CONSOLIDADA 2018-2025 '!$BR303='[1]DATA CONSOLIDADA 2018-2025 '!$BW303,"Sin incremento",IF('[1]DATA CONSOLIDADA 2018-2025 '!$BW303&lt;'[1]DATA CONSOLIDADA 2018-2025 '!$BR303,"Disminución"," ---")))</f>
        <v>#REF!</v>
      </c>
      <c r="BY303" s="68" t="str">
        <f t="shared" ref="BY303:BY313" si="111">'[1]DATA CONSOLIDADA 2018-2025 '!$BW303-'[1]DATA CONSOLIDADA 2018-2025 '!$BR303</f>
        <v>#REF!</v>
      </c>
      <c r="BZ303" s="65">
        <v>75659.38</v>
      </c>
      <c r="CA303" s="65">
        <v>302370.05</v>
      </c>
      <c r="CB303" s="66">
        <v>378029.43</v>
      </c>
      <c r="CC303" s="67" t="str">
        <f t="shared" ref="CC303:CC313" si="112">IF('[1]DATA CONSOLIDADA 2018-2025 '!$CB303&gt;'[1]DATA CONSOLIDADA 2018-2025 '!$BW303,"Incremento",IF('[1]DATA CONSOLIDADA 2018-2025 '!$BW303='[1]DATA CONSOLIDADA 2018-2025 '!$CB303,"Sin incremento",IF('[1]DATA CONSOLIDADA 2018-2025 '!$CB303&lt;'[1]DATA CONSOLIDADA 2018-2025 '!$BW303,"Disminución"," ---")))</f>
        <v>#REF!</v>
      </c>
      <c r="CD303" s="68" t="str">
        <f>'[1]DATA CONSOLIDADA 2018-2025 '!$CB303-Hoja1!$BW303</f>
        <v>#REF!</v>
      </c>
      <c r="CE303" s="70">
        <v>0.0</v>
      </c>
      <c r="CF303" s="70">
        <v>0.0</v>
      </c>
      <c r="CG303" s="71">
        <v>0.0</v>
      </c>
      <c r="CH303" s="67" t="str">
        <f t="shared" ref="CH303:CH313" si="113">IF('[1]DATA CONSOLIDADA 2018-2025 '!$CG303&gt;'[1]DATA CONSOLIDADA 2018-2025 '!$CB303,"Incremento",IF('[1]DATA CONSOLIDADA 2018-2025 '!$CB303='[1]DATA CONSOLIDADA 2018-2025 '!$CG303,"Sin incremento",IF('[1]DATA CONSOLIDADA 2018-2025 '!$CG303&lt;'[1]DATA CONSOLIDADA 2018-2025 '!$CB303,"Disminución"," ---")))</f>
        <v>#REF!</v>
      </c>
      <c r="CI303" s="68" t="str">
        <f>'[1]DATA CONSOLIDADA 2018-2025 '!$CG303-Hoja1!$CB303</f>
        <v>#REF!</v>
      </c>
      <c r="CJ303" s="64" t="str">
        <f t="shared" si="68"/>
        <v>#REF!</v>
      </c>
      <c r="CK303" s="64">
        <v>0.0</v>
      </c>
      <c r="CL303" s="64">
        <v>0.0</v>
      </c>
      <c r="CM303" s="64">
        <v>0.0</v>
      </c>
      <c r="CN303" s="64" t="str">
        <f t="shared" si="12"/>
        <v>#REF!</v>
      </c>
      <c r="CO303" s="68" t="str">
        <f>'[1]DATA CONSOLIDADA 2018-2025 '!$CM303-Hoja1!$CG303</f>
        <v>#REF!</v>
      </c>
      <c r="CP303" s="70">
        <v>1042.0</v>
      </c>
      <c r="CQ303" s="70">
        <v>0.0</v>
      </c>
      <c r="CR303" s="70">
        <v>0.0</v>
      </c>
      <c r="CS303" s="70">
        <v>376987.4059594</v>
      </c>
      <c r="CT303" s="70">
        <v>0.0</v>
      </c>
      <c r="CU303" s="70">
        <v>0.0</v>
      </c>
      <c r="CV303" s="64">
        <v>378029.4059594</v>
      </c>
      <c r="CW303" s="64">
        <v>0.0</v>
      </c>
      <c r="CX303" s="64">
        <v>0.0</v>
      </c>
      <c r="CY303" s="64">
        <v>0.0</v>
      </c>
      <c r="CZ303" s="64">
        <v>0.0</v>
      </c>
      <c r="DA303" s="64">
        <v>0.0</v>
      </c>
      <c r="DB303" s="64">
        <v>0.0</v>
      </c>
      <c r="DC303" s="72">
        <v>0.0</v>
      </c>
      <c r="DD303" s="72">
        <v>0.0</v>
      </c>
      <c r="DE303" s="72">
        <v>0.0</v>
      </c>
      <c r="DF303" s="72">
        <v>0.0</v>
      </c>
      <c r="DG303" s="72">
        <v>0.0</v>
      </c>
      <c r="DH303" s="72">
        <v>0.0</v>
      </c>
      <c r="DI303" s="73">
        <v>2.0450189201E10</v>
      </c>
      <c r="DJ303" s="74" t="s">
        <v>1106</v>
      </c>
      <c r="DK303" s="74" t="s">
        <v>132</v>
      </c>
      <c r="DL303" s="75"/>
      <c r="DM303" s="75"/>
      <c r="DN303" s="75"/>
      <c r="DO303" s="75"/>
      <c r="DP303" s="75"/>
      <c r="DQ303" s="75"/>
      <c r="DR303" s="75"/>
      <c r="DS303" s="75"/>
      <c r="DT303" s="75"/>
      <c r="DU303" s="75"/>
      <c r="DV303" s="75"/>
      <c r="DW303" s="75"/>
      <c r="DX303" s="75"/>
      <c r="DY303" s="75"/>
      <c r="DZ303" s="75"/>
      <c r="EA303" s="75"/>
      <c r="EB303" s="75"/>
      <c r="EC303" s="75"/>
      <c r="ED303" s="75"/>
      <c r="EE303" s="75"/>
    </row>
    <row r="304" ht="47.25" customHeight="1">
      <c r="A304" s="55" t="s">
        <v>1108</v>
      </c>
      <c r="B304" s="55" t="s">
        <v>146</v>
      </c>
      <c r="C304" s="55" t="s">
        <v>146</v>
      </c>
      <c r="D304" s="55" t="s">
        <v>1060</v>
      </c>
      <c r="E304" s="55" t="s">
        <v>1109</v>
      </c>
      <c r="F304" s="55" t="s">
        <v>1060</v>
      </c>
      <c r="G304" s="55" t="s">
        <v>1110</v>
      </c>
      <c r="H304" s="55" t="s">
        <v>1111</v>
      </c>
      <c r="I304" s="56"/>
      <c r="J304" s="56"/>
      <c r="K304" s="56"/>
      <c r="L304" s="56">
        <v>1.0</v>
      </c>
      <c r="M304" s="56"/>
      <c r="N304" s="56"/>
      <c r="O304" s="56"/>
      <c r="P304" s="56"/>
      <c r="Q304" s="56" t="s">
        <v>131</v>
      </c>
      <c r="R304" s="58" t="str">
        <f t="shared" si="1"/>
        <v>2021</v>
      </c>
      <c r="S304" s="59" t="str">
        <f>SUM(Hoja1!$I304:$P304)</f>
        <v>1</v>
      </c>
      <c r="T304" s="59" t="str">
        <f>IF(OR(Hoja1!$J304=1,Hoja1!$K304=1,Hoja1!$L304=1,Hoja1!$M304=1,Hoja1!$N304=1,Hoja1!$O304=1,Hoja1!$P304=1),"SI","NO")</f>
        <v>SI</v>
      </c>
      <c r="U304" s="59" t="str">
        <f>IF(OR(Hoja1!$K304=1,Hoja1!$L304=1,Hoja1!$M304=1,Hoja1!$N304=1,Hoja1!$O304=1,Hoja1!$P304=1),"SI","NO")</f>
        <v>SI</v>
      </c>
      <c r="V304" s="60">
        <v>0.0</v>
      </c>
      <c r="W304" s="61">
        <v>0.0</v>
      </c>
      <c r="X304" s="61">
        <v>0.0</v>
      </c>
      <c r="Y304" s="60">
        <v>0.0</v>
      </c>
      <c r="Z304" s="61">
        <v>0.0</v>
      </c>
      <c r="AA304" s="61">
        <v>0.0</v>
      </c>
      <c r="AB304" s="60">
        <v>0.0</v>
      </c>
      <c r="AC304" s="61">
        <v>0.0</v>
      </c>
      <c r="AD304" s="61">
        <v>20.0</v>
      </c>
      <c r="AE304" s="60">
        <v>20.0</v>
      </c>
      <c r="AF304" s="61">
        <v>0.0</v>
      </c>
      <c r="AG304" s="61">
        <v>0.0</v>
      </c>
      <c r="AH304" s="60">
        <v>0.0</v>
      </c>
      <c r="AI304" s="61">
        <v>0.0</v>
      </c>
      <c r="AJ304" s="61">
        <v>0.0</v>
      </c>
      <c r="AK304" s="60">
        <v>0.0</v>
      </c>
      <c r="AL304" s="61">
        <v>0.0</v>
      </c>
      <c r="AM304" s="61">
        <v>0.0</v>
      </c>
      <c r="AN304" s="60">
        <v>0.0</v>
      </c>
      <c r="AO304" s="62">
        <v>0.0</v>
      </c>
      <c r="AP304" s="62">
        <v>0.0</v>
      </c>
      <c r="AQ304" s="60">
        <v>0.0</v>
      </c>
      <c r="AR304" s="60" t="str">
        <f>IF(Hoja1!$AQ304&gt;0,Hoja1!$AQ304,IF(Hoja1!$AN304&gt;0,Hoja1!$AN304,IF(Hoja1!$AK304&gt;0,Hoja1!$AK304,IF(Hoja1!$AH304&gt;0,Hoja1!$AH304,IF(Hoja1!$AE304&gt;0,Hoja1!$AE304,IF(Hoja1!$AB304&gt;0,Hoja1!$AB304,IF(Hoja1!$Y304&gt;0,Hoja1!$Y304,IF(Hoja1!$V304&gt;0,Hoja1!$V304," ---"))))))))</f>
        <v>20</v>
      </c>
      <c r="AS304" s="63">
        <v>0.0</v>
      </c>
      <c r="AT304" s="63">
        <v>0.0</v>
      </c>
      <c r="AU304" s="63">
        <v>27.0</v>
      </c>
      <c r="AV304" s="63">
        <v>9.0</v>
      </c>
      <c r="AW304" s="63">
        <v>0.0</v>
      </c>
      <c r="AX304" s="63">
        <v>0.0</v>
      </c>
      <c r="AY304" s="63">
        <v>0.0</v>
      </c>
      <c r="AZ304" s="63">
        <v>0.0</v>
      </c>
      <c r="BA304" s="63">
        <v>0.0</v>
      </c>
      <c r="BB304" s="63">
        <v>0.0</v>
      </c>
      <c r="BC304" s="63">
        <v>0.0</v>
      </c>
      <c r="BD304" s="63">
        <v>0.0</v>
      </c>
      <c r="BE304" s="64">
        <v>0.0</v>
      </c>
      <c r="BF304" s="69">
        <v>0.0</v>
      </c>
      <c r="BG304" s="69">
        <v>0.0</v>
      </c>
      <c r="BH304" s="64">
        <v>0.0</v>
      </c>
      <c r="BI304" s="67" t="str">
        <f t="shared" si="105"/>
        <v>#REF!</v>
      </c>
      <c r="BJ304" s="68" t="str">
        <f t="shared" si="106"/>
        <v>#REF!</v>
      </c>
      <c r="BK304" s="69">
        <v>0.0</v>
      </c>
      <c r="BL304" s="69">
        <v>0.0</v>
      </c>
      <c r="BM304" s="64">
        <v>0.0</v>
      </c>
      <c r="BN304" s="67" t="str">
        <f t="shared" si="107"/>
        <v>#REF!</v>
      </c>
      <c r="BO304" s="68" t="str">
        <f t="shared" si="108"/>
        <v>#REF!</v>
      </c>
      <c r="BP304" s="65">
        <v>0.0</v>
      </c>
      <c r="BQ304" s="65">
        <v>0.0</v>
      </c>
      <c r="BR304" s="66">
        <v>0.0</v>
      </c>
      <c r="BS304" s="67" t="str">
        <f t="shared" si="109"/>
        <v>#REF!</v>
      </c>
      <c r="BT304" s="68" t="str">
        <f>'[1]DATA CONSOLIDADA 2018-2025 '!$BR304-Hoja1!$BO304</f>
        <v>#REF!</v>
      </c>
      <c r="BU304" s="65">
        <v>0.0</v>
      </c>
      <c r="BV304" s="65">
        <v>0.0</v>
      </c>
      <c r="BW304" s="66">
        <v>0.0</v>
      </c>
      <c r="BX304" s="67" t="str">
        <f t="shared" si="110"/>
        <v>#REF!</v>
      </c>
      <c r="BY304" s="68" t="str">
        <f t="shared" si="111"/>
        <v>#REF!</v>
      </c>
      <c r="BZ304" s="65">
        <v>0.0</v>
      </c>
      <c r="CA304" s="65">
        <v>0.0</v>
      </c>
      <c r="CB304" s="66">
        <v>0.0</v>
      </c>
      <c r="CC304" s="67" t="str">
        <f t="shared" si="112"/>
        <v>#REF!</v>
      </c>
      <c r="CD304" s="68" t="str">
        <f>'[1]DATA CONSOLIDADA 2018-2025 '!$CB304-Hoja1!$BW304</f>
        <v>#REF!</v>
      </c>
      <c r="CE304" s="70">
        <v>0.0</v>
      </c>
      <c r="CF304" s="70">
        <v>0.0</v>
      </c>
      <c r="CG304" s="71">
        <v>0.0</v>
      </c>
      <c r="CH304" s="67" t="str">
        <f t="shared" si="113"/>
        <v>#REF!</v>
      </c>
      <c r="CI304" s="68" t="str">
        <f>'[1]DATA CONSOLIDADA 2018-2025 '!$CG304-Hoja1!$CB304</f>
        <v>#REF!</v>
      </c>
      <c r="CJ304" s="64" t="str">
        <f t="shared" si="68"/>
        <v>#REF!</v>
      </c>
      <c r="CK304" s="64">
        <v>0.0</v>
      </c>
      <c r="CL304" s="64">
        <v>0.0</v>
      </c>
      <c r="CM304" s="64">
        <v>0.0</v>
      </c>
      <c r="CN304" s="64" t="str">
        <f t="shared" si="12"/>
        <v>#REF!</v>
      </c>
      <c r="CO304" s="68" t="str">
        <f>'[1]DATA CONSOLIDADA 2018-2025 '!$CM304-Hoja1!$CG304</f>
        <v>#REF!</v>
      </c>
      <c r="CP304" s="70">
        <v>0.0</v>
      </c>
      <c r="CQ304" s="70">
        <v>0.0</v>
      </c>
      <c r="CR304" s="70">
        <v>0.0</v>
      </c>
      <c r="CS304" s="70">
        <v>0.0</v>
      </c>
      <c r="CT304" s="70">
        <v>0.0</v>
      </c>
      <c r="CU304" s="70">
        <v>0.0</v>
      </c>
      <c r="CV304" s="64">
        <v>0.0</v>
      </c>
      <c r="CW304" s="64">
        <v>0.0</v>
      </c>
      <c r="CX304" s="64">
        <v>0.0</v>
      </c>
      <c r="CY304" s="64">
        <v>0.0</v>
      </c>
      <c r="CZ304" s="64">
        <v>0.0</v>
      </c>
      <c r="DA304" s="64">
        <v>0.0</v>
      </c>
      <c r="DB304" s="64">
        <v>0.0</v>
      </c>
      <c r="DC304" s="72">
        <v>0.0</v>
      </c>
      <c r="DD304" s="72">
        <v>0.0</v>
      </c>
      <c r="DE304" s="72">
        <v>0.0</v>
      </c>
      <c r="DF304" s="72">
        <v>0.0</v>
      </c>
      <c r="DG304" s="72">
        <v>0.0</v>
      </c>
      <c r="DH304" s="72">
        <v>0.0</v>
      </c>
      <c r="DI304" s="73" t="s">
        <v>1112</v>
      </c>
      <c r="DJ304" s="74" t="s">
        <v>1113</v>
      </c>
      <c r="DK304" s="74" t="s">
        <v>138</v>
      </c>
      <c r="DL304" s="75"/>
      <c r="DM304" s="75"/>
      <c r="DN304" s="75"/>
      <c r="DO304" s="75"/>
      <c r="DP304" s="75"/>
      <c r="DQ304" s="75"/>
      <c r="DR304" s="75"/>
      <c r="DS304" s="75"/>
      <c r="DT304" s="75"/>
      <c r="DU304" s="75"/>
      <c r="DV304" s="75"/>
      <c r="DW304" s="75"/>
      <c r="DX304" s="75"/>
      <c r="DY304" s="75"/>
      <c r="DZ304" s="75"/>
      <c r="EA304" s="75"/>
      <c r="EB304" s="75"/>
      <c r="EC304" s="75"/>
      <c r="ED304" s="75"/>
      <c r="EE304" s="75"/>
    </row>
    <row r="305" ht="47.25" hidden="1" customHeight="1">
      <c r="A305" s="55" t="s">
        <v>1114</v>
      </c>
      <c r="B305" s="55" t="s">
        <v>126</v>
      </c>
      <c r="C305" s="55" t="s">
        <v>126</v>
      </c>
      <c r="D305" s="55" t="s">
        <v>1060</v>
      </c>
      <c r="E305" s="55" t="s">
        <v>1080</v>
      </c>
      <c r="F305" s="55" t="s">
        <v>1060</v>
      </c>
      <c r="G305" s="55" t="s">
        <v>1081</v>
      </c>
      <c r="H305" s="55" t="s">
        <v>1082</v>
      </c>
      <c r="I305" s="56"/>
      <c r="J305" s="56"/>
      <c r="K305" s="56"/>
      <c r="L305" s="56">
        <v>1.0</v>
      </c>
      <c r="M305" s="56">
        <v>1.0</v>
      </c>
      <c r="N305" s="56">
        <v>1.0</v>
      </c>
      <c r="O305" s="56">
        <v>1.0</v>
      </c>
      <c r="P305" s="56"/>
      <c r="Q305" s="56" t="s">
        <v>131</v>
      </c>
      <c r="R305" s="58" t="str">
        <f t="shared" si="1"/>
        <v>2021-2022-2023-2024</v>
      </c>
      <c r="S305" s="59" t="str">
        <f>SUM(Hoja1!$I305:$P305)</f>
        <v>4</v>
      </c>
      <c r="T305" s="59" t="str">
        <f>IF(OR(Hoja1!$J305=1,Hoja1!$K305=1,Hoja1!$L305=1,Hoja1!$M305=1,Hoja1!$N305=1,Hoja1!$O305=1,Hoja1!$P305=1),"SI","NO")</f>
        <v>SI</v>
      </c>
      <c r="U305" s="59" t="str">
        <f>IF(OR(Hoja1!$K305=1,Hoja1!$L305=1,Hoja1!$M305=1,Hoja1!$N305=1,Hoja1!$O305=1,Hoja1!$P305=1),"SI","NO")</f>
        <v>SI</v>
      </c>
      <c r="V305" s="60">
        <v>0.0</v>
      </c>
      <c r="W305" s="61">
        <v>0.0</v>
      </c>
      <c r="X305" s="61">
        <v>0.0</v>
      </c>
      <c r="Y305" s="60">
        <v>0.0</v>
      </c>
      <c r="Z305" s="61">
        <v>0.0</v>
      </c>
      <c r="AA305" s="61">
        <v>0.0</v>
      </c>
      <c r="AB305" s="60">
        <v>0.0</v>
      </c>
      <c r="AC305" s="61">
        <v>230.0</v>
      </c>
      <c r="AD305" s="61">
        <v>148.0</v>
      </c>
      <c r="AE305" s="60">
        <v>378.0</v>
      </c>
      <c r="AF305" s="61">
        <v>216.0</v>
      </c>
      <c r="AG305" s="61">
        <v>144.0</v>
      </c>
      <c r="AH305" s="60">
        <v>360.0</v>
      </c>
      <c r="AI305" s="61">
        <v>216.0</v>
      </c>
      <c r="AJ305" s="61">
        <v>144.0</v>
      </c>
      <c r="AK305" s="60">
        <v>360.0</v>
      </c>
      <c r="AL305" s="61">
        <v>185.0</v>
      </c>
      <c r="AM305" s="61">
        <v>135.0</v>
      </c>
      <c r="AN305" s="60">
        <v>320.0</v>
      </c>
      <c r="AO305" s="62">
        <v>0.0</v>
      </c>
      <c r="AP305" s="62">
        <v>0.0</v>
      </c>
      <c r="AQ305" s="60">
        <v>0.0</v>
      </c>
      <c r="AR305" s="60" t="str">
        <f>IF(Hoja1!$AQ305&gt;0,Hoja1!$AQ305,IF(Hoja1!$AN305&gt;0,Hoja1!$AN305,IF(Hoja1!$AK305&gt;0,Hoja1!$AK305,IF(Hoja1!$AH305&gt;0,Hoja1!$AH305,IF(Hoja1!$AE305&gt;0,Hoja1!$AE305,IF(Hoja1!$AB305&gt;0,Hoja1!$AB305,IF(Hoja1!$Y305&gt;0,Hoja1!$Y305,IF(Hoja1!$V305&gt;0,Hoja1!$V305," ---"))))))))</f>
        <v>320</v>
      </c>
      <c r="AS305" s="63">
        <v>0.0</v>
      </c>
      <c r="AT305" s="63">
        <v>0.0</v>
      </c>
      <c r="AU305" s="63">
        <v>14.0</v>
      </c>
      <c r="AV305" s="63">
        <v>5.0</v>
      </c>
      <c r="AW305" s="63">
        <v>21.0</v>
      </c>
      <c r="AX305" s="63">
        <v>6.0</v>
      </c>
      <c r="AY305" s="63">
        <v>10.0</v>
      </c>
      <c r="AZ305" s="63">
        <v>0.0</v>
      </c>
      <c r="BA305" s="63">
        <v>8.0</v>
      </c>
      <c r="BB305" s="63">
        <v>0.0</v>
      </c>
      <c r="BC305" s="63">
        <v>0.0</v>
      </c>
      <c r="BD305" s="63">
        <v>0.0</v>
      </c>
      <c r="BE305" s="64">
        <v>0.0</v>
      </c>
      <c r="BF305" s="69">
        <v>0.0</v>
      </c>
      <c r="BG305" s="69">
        <v>0.0</v>
      </c>
      <c r="BH305" s="64">
        <v>0.0</v>
      </c>
      <c r="BI305" s="67" t="str">
        <f t="shared" si="105"/>
        <v>#REF!</v>
      </c>
      <c r="BJ305" s="68" t="str">
        <f t="shared" si="106"/>
        <v>#REF!</v>
      </c>
      <c r="BK305" s="69">
        <v>0.0</v>
      </c>
      <c r="BL305" s="69">
        <v>0.0</v>
      </c>
      <c r="BM305" s="66">
        <v>0.0</v>
      </c>
      <c r="BN305" s="67" t="str">
        <f t="shared" si="107"/>
        <v>#REF!</v>
      </c>
      <c r="BO305" s="68" t="str">
        <f t="shared" si="108"/>
        <v>#REF!</v>
      </c>
      <c r="BP305" s="65">
        <v>5824735.64</v>
      </c>
      <c r="BQ305" s="65">
        <v>0.0</v>
      </c>
      <c r="BR305" s="66">
        <v>5824735.64</v>
      </c>
      <c r="BS305" s="67" t="str">
        <f t="shared" si="109"/>
        <v>#REF!</v>
      </c>
      <c r="BT305" s="68" t="str">
        <f>'[1]DATA CONSOLIDADA 2018-2025 '!$BR305-Hoja1!$BO305</f>
        <v>#REF!</v>
      </c>
      <c r="BU305" s="65">
        <v>3114035.66</v>
      </c>
      <c r="BV305" s="65">
        <v>5465301.93</v>
      </c>
      <c r="BW305" s="66">
        <v>8579337.59</v>
      </c>
      <c r="BX305" s="67" t="str">
        <f t="shared" si="110"/>
        <v>#REF!</v>
      </c>
      <c r="BY305" s="68" t="str">
        <f t="shared" si="111"/>
        <v>#REF!</v>
      </c>
      <c r="BZ305" s="65">
        <v>4304624.24</v>
      </c>
      <c r="CA305" s="65">
        <v>4135912.73</v>
      </c>
      <c r="CB305" s="66">
        <v>8440536.97</v>
      </c>
      <c r="CC305" s="67" t="str">
        <f t="shared" si="112"/>
        <v>#REF!</v>
      </c>
      <c r="CD305" s="68" t="str">
        <f>'[1]DATA CONSOLIDADA 2018-2025 '!$CB305-Hoja1!$BW305</f>
        <v>#REF!</v>
      </c>
      <c r="CE305" s="70">
        <v>7113597.7825</v>
      </c>
      <c r="CF305" s="70">
        <v>4383568.7815512</v>
      </c>
      <c r="CG305" s="71">
        <v>1.14971665640512E7</v>
      </c>
      <c r="CH305" s="67" t="str">
        <f t="shared" si="113"/>
        <v>#REF!</v>
      </c>
      <c r="CI305" s="68" t="str">
        <f>'[1]DATA CONSOLIDADA 2018-2025 '!$CG305-Hoja1!$CB305</f>
        <v>#REF!</v>
      </c>
      <c r="CJ305" s="64" t="str">
        <f t="shared" si="68"/>
        <v>#REF!</v>
      </c>
      <c r="CK305" s="64">
        <v>0.0</v>
      </c>
      <c r="CL305" s="64">
        <v>0.0</v>
      </c>
      <c r="CM305" s="64">
        <v>0.0</v>
      </c>
      <c r="CN305" s="64" t="str">
        <f t="shared" si="12"/>
        <v>#REF!</v>
      </c>
      <c r="CO305" s="68" t="str">
        <f>'[1]DATA CONSOLIDADA 2018-2025 '!$CM305-Hoja1!$CG305</f>
        <v>#REF!</v>
      </c>
      <c r="CP305" s="70">
        <v>0.0</v>
      </c>
      <c r="CQ305" s="70">
        <v>0.0</v>
      </c>
      <c r="CR305" s="70">
        <v>0.0</v>
      </c>
      <c r="CS305" s="70">
        <v>8440536.87921495</v>
      </c>
      <c r="CT305" s="70">
        <v>0.0</v>
      </c>
      <c r="CU305" s="70">
        <v>0.0</v>
      </c>
      <c r="CV305" s="64">
        <v>8440536.87921495</v>
      </c>
      <c r="CW305" s="64">
        <v>0.0</v>
      </c>
      <c r="CX305" s="64">
        <v>0.0</v>
      </c>
      <c r="CY305" s="64">
        <v>1.14971665640512E7</v>
      </c>
      <c r="CZ305" s="64">
        <v>0.0</v>
      </c>
      <c r="DA305" s="64">
        <v>0.0</v>
      </c>
      <c r="DB305" s="64">
        <v>1.14971665640512E7</v>
      </c>
      <c r="DC305" s="72">
        <v>0.0</v>
      </c>
      <c r="DD305" s="72">
        <v>0.0</v>
      </c>
      <c r="DE305" s="72">
        <v>0.0</v>
      </c>
      <c r="DF305" s="72">
        <v>0.0</v>
      </c>
      <c r="DG305" s="72">
        <v>0.0</v>
      </c>
      <c r="DH305" s="72">
        <v>0.0</v>
      </c>
      <c r="DI305" s="73">
        <v>2.0600796721E10</v>
      </c>
      <c r="DJ305" s="74" t="s">
        <v>1114</v>
      </c>
      <c r="DK305" s="74" t="s">
        <v>138</v>
      </c>
      <c r="DL305" s="75"/>
      <c r="DM305" s="75"/>
      <c r="DN305" s="75"/>
      <c r="DO305" s="75"/>
      <c r="DP305" s="75"/>
      <c r="DQ305" s="75"/>
      <c r="DR305" s="75"/>
      <c r="DS305" s="75"/>
      <c r="DT305" s="75"/>
      <c r="DU305" s="75"/>
      <c r="DV305" s="75"/>
      <c r="DW305" s="75"/>
      <c r="DX305" s="75"/>
      <c r="DY305" s="75"/>
      <c r="DZ305" s="75"/>
      <c r="EA305" s="75"/>
      <c r="EB305" s="75"/>
      <c r="EC305" s="75"/>
      <c r="ED305" s="75"/>
      <c r="EE305" s="75"/>
    </row>
    <row r="306" ht="47.25" hidden="1" customHeight="1">
      <c r="A306" s="55" t="s">
        <v>1115</v>
      </c>
      <c r="B306" s="55" t="s">
        <v>287</v>
      </c>
      <c r="C306" s="55" t="s">
        <v>288</v>
      </c>
      <c r="D306" s="55" t="s">
        <v>887</v>
      </c>
      <c r="E306" s="55" t="s">
        <v>1116</v>
      </c>
      <c r="F306" s="55" t="s">
        <v>1117</v>
      </c>
      <c r="G306" s="55" t="s">
        <v>1117</v>
      </c>
      <c r="H306" s="55" t="s">
        <v>1117</v>
      </c>
      <c r="I306" s="56">
        <v>1.0</v>
      </c>
      <c r="J306" s="56"/>
      <c r="K306" s="56"/>
      <c r="L306" s="56"/>
      <c r="M306" s="56"/>
      <c r="N306" s="56"/>
      <c r="O306" s="56"/>
      <c r="P306" s="56"/>
      <c r="Q306" s="56" t="s">
        <v>131</v>
      </c>
      <c r="R306" s="58" t="str">
        <f t="shared" si="1"/>
        <v>2018</v>
      </c>
      <c r="S306" s="59" t="str">
        <f>SUM(Hoja1!$I306:$P306)</f>
        <v>1</v>
      </c>
      <c r="T306" s="59" t="str">
        <f>IF(OR(Hoja1!$J306=1,Hoja1!$K306=1,Hoja1!$L306=1,Hoja1!$M306=1,Hoja1!$N306=1,Hoja1!$O306=1,Hoja1!$P306=1),"SI","NO")</f>
        <v>NO</v>
      </c>
      <c r="U306" s="59" t="str">
        <f>IF(OR(Hoja1!$K306=1,Hoja1!$L306=1,Hoja1!$M306=1,Hoja1!$N306=1,Hoja1!$O306=1,Hoja1!$P306=1),"SI","NO")</f>
        <v>NO</v>
      </c>
      <c r="V306" s="60">
        <v>42.0</v>
      </c>
      <c r="W306" s="61">
        <v>0.0</v>
      </c>
      <c r="X306" s="61">
        <v>0.0</v>
      </c>
      <c r="Y306" s="60">
        <v>0.0</v>
      </c>
      <c r="Z306" s="61">
        <v>0.0</v>
      </c>
      <c r="AA306" s="61">
        <v>0.0</v>
      </c>
      <c r="AB306" s="60">
        <v>0.0</v>
      </c>
      <c r="AC306" s="61">
        <v>0.0</v>
      </c>
      <c r="AD306" s="61">
        <v>0.0</v>
      </c>
      <c r="AE306" s="60">
        <v>0.0</v>
      </c>
      <c r="AF306" s="61">
        <v>0.0</v>
      </c>
      <c r="AG306" s="61">
        <v>0.0</v>
      </c>
      <c r="AH306" s="60">
        <v>0.0</v>
      </c>
      <c r="AI306" s="61">
        <v>0.0</v>
      </c>
      <c r="AJ306" s="61">
        <v>0.0</v>
      </c>
      <c r="AK306" s="60">
        <v>0.0</v>
      </c>
      <c r="AL306" s="61">
        <v>0.0</v>
      </c>
      <c r="AM306" s="61">
        <v>0.0</v>
      </c>
      <c r="AN306" s="60">
        <v>0.0</v>
      </c>
      <c r="AO306" s="62">
        <v>0.0</v>
      </c>
      <c r="AP306" s="62">
        <v>0.0</v>
      </c>
      <c r="AQ306" s="60">
        <v>0.0</v>
      </c>
      <c r="AR306" s="60" t="str">
        <f>IF(Hoja1!$AQ306&gt;0,Hoja1!$AQ306,IF(Hoja1!$AN306&gt;0,Hoja1!$AN306,IF(Hoja1!$AK306&gt;0,Hoja1!$AK306,IF(Hoja1!$AH306&gt;0,Hoja1!$AH306,IF(Hoja1!$AE306&gt;0,Hoja1!$AE306,IF(Hoja1!$AB306&gt;0,Hoja1!$AB306,IF(Hoja1!$Y306&gt;0,Hoja1!$Y306,IF(Hoja1!$V306&gt;0,Hoja1!$V306," ---"))))))))</f>
        <v>42</v>
      </c>
      <c r="AS306" s="63">
        <v>0.0</v>
      </c>
      <c r="AT306" s="63">
        <v>0.0</v>
      </c>
      <c r="AU306" s="63">
        <v>0.0</v>
      </c>
      <c r="AV306" s="63">
        <v>0.0</v>
      </c>
      <c r="AW306" s="63">
        <v>0.0</v>
      </c>
      <c r="AX306" s="63">
        <v>0.0</v>
      </c>
      <c r="AY306" s="63">
        <v>0.0</v>
      </c>
      <c r="AZ306" s="63">
        <v>0.0</v>
      </c>
      <c r="BA306" s="63">
        <v>0.0</v>
      </c>
      <c r="BB306" s="63">
        <v>0.0</v>
      </c>
      <c r="BC306" s="63">
        <v>0.0</v>
      </c>
      <c r="BD306" s="63">
        <v>0.0</v>
      </c>
      <c r="BE306" s="64">
        <v>0.0</v>
      </c>
      <c r="BF306" s="69">
        <v>0.0</v>
      </c>
      <c r="BG306" s="69">
        <v>0.0</v>
      </c>
      <c r="BH306" s="64">
        <v>0.0</v>
      </c>
      <c r="BI306" s="67" t="str">
        <f t="shared" si="105"/>
        <v>#REF!</v>
      </c>
      <c r="BJ306" s="68" t="str">
        <f t="shared" si="106"/>
        <v>#REF!</v>
      </c>
      <c r="BK306" s="69">
        <v>0.0</v>
      </c>
      <c r="BL306" s="69">
        <v>0.0</v>
      </c>
      <c r="BM306" s="64">
        <v>0.0</v>
      </c>
      <c r="BN306" s="67" t="str">
        <f t="shared" si="107"/>
        <v>#REF!</v>
      </c>
      <c r="BO306" s="68" t="str">
        <f t="shared" si="108"/>
        <v>#REF!</v>
      </c>
      <c r="BP306" s="65">
        <v>0.0</v>
      </c>
      <c r="BQ306" s="65">
        <v>0.0</v>
      </c>
      <c r="BR306" s="66">
        <v>0.0</v>
      </c>
      <c r="BS306" s="67" t="str">
        <f t="shared" si="109"/>
        <v>#REF!</v>
      </c>
      <c r="BT306" s="68" t="str">
        <f>'[1]DATA CONSOLIDADA 2018-2025 '!$BR306-Hoja1!$BO306</f>
        <v>#REF!</v>
      </c>
      <c r="BU306" s="65">
        <v>0.0</v>
      </c>
      <c r="BV306" s="65">
        <v>0.0</v>
      </c>
      <c r="BW306" s="66">
        <v>0.0</v>
      </c>
      <c r="BX306" s="67" t="str">
        <f t="shared" si="110"/>
        <v>#REF!</v>
      </c>
      <c r="BY306" s="68" t="str">
        <f t="shared" si="111"/>
        <v>#REF!</v>
      </c>
      <c r="BZ306" s="65">
        <v>0.0</v>
      </c>
      <c r="CA306" s="65">
        <v>0.0</v>
      </c>
      <c r="CB306" s="66">
        <v>0.0</v>
      </c>
      <c r="CC306" s="67" t="str">
        <f t="shared" si="112"/>
        <v>#REF!</v>
      </c>
      <c r="CD306" s="68" t="str">
        <f>'[1]DATA CONSOLIDADA 2018-2025 '!$CB306-Hoja1!$BW306</f>
        <v>#REF!</v>
      </c>
      <c r="CE306" s="70">
        <v>0.0</v>
      </c>
      <c r="CF306" s="70">
        <v>0.0</v>
      </c>
      <c r="CG306" s="71">
        <v>0.0</v>
      </c>
      <c r="CH306" s="67" t="str">
        <f t="shared" si="113"/>
        <v>#REF!</v>
      </c>
      <c r="CI306" s="68" t="str">
        <f>'[1]DATA CONSOLIDADA 2018-2025 '!$CG306-Hoja1!$CB306</f>
        <v>#REF!</v>
      </c>
      <c r="CJ306" s="64" t="str">
        <f t="shared" si="68"/>
        <v>#REF!</v>
      </c>
      <c r="CK306" s="64">
        <v>0.0</v>
      </c>
      <c r="CL306" s="64">
        <v>0.0</v>
      </c>
      <c r="CM306" s="64">
        <v>0.0</v>
      </c>
      <c r="CN306" s="64" t="str">
        <f t="shared" si="12"/>
        <v>#REF!</v>
      </c>
      <c r="CO306" s="68" t="str">
        <f>'[1]DATA CONSOLIDADA 2018-2025 '!$CM306-Hoja1!$CG306</f>
        <v>#REF!</v>
      </c>
      <c r="CP306" s="70">
        <v>0.0</v>
      </c>
      <c r="CQ306" s="70">
        <v>0.0</v>
      </c>
      <c r="CR306" s="70">
        <v>0.0</v>
      </c>
      <c r="CS306" s="70">
        <v>0.0</v>
      </c>
      <c r="CT306" s="70">
        <v>0.0</v>
      </c>
      <c r="CU306" s="70">
        <v>0.0</v>
      </c>
      <c r="CV306" s="64">
        <v>0.0</v>
      </c>
      <c r="CW306" s="64">
        <v>0.0</v>
      </c>
      <c r="CX306" s="64">
        <v>0.0</v>
      </c>
      <c r="CY306" s="64">
        <v>0.0</v>
      </c>
      <c r="CZ306" s="64">
        <v>0.0</v>
      </c>
      <c r="DA306" s="64">
        <v>0.0</v>
      </c>
      <c r="DB306" s="64">
        <v>0.0</v>
      </c>
      <c r="DC306" s="72">
        <v>0.0</v>
      </c>
      <c r="DD306" s="72">
        <v>0.0</v>
      </c>
      <c r="DE306" s="72">
        <v>0.0</v>
      </c>
      <c r="DF306" s="72">
        <v>0.0</v>
      </c>
      <c r="DG306" s="72">
        <v>0.0</v>
      </c>
      <c r="DH306" s="72">
        <v>0.0</v>
      </c>
      <c r="DI306" s="73">
        <v>2.0119208026E10</v>
      </c>
      <c r="DJ306" s="74" t="s">
        <v>1115</v>
      </c>
      <c r="DK306" s="74" t="s">
        <v>138</v>
      </c>
      <c r="DL306" s="75"/>
      <c r="DM306" s="75"/>
      <c r="DN306" s="75"/>
      <c r="DO306" s="75"/>
      <c r="DP306" s="75"/>
      <c r="DQ306" s="75"/>
      <c r="DR306" s="75"/>
      <c r="DS306" s="75"/>
      <c r="DT306" s="75"/>
      <c r="DU306" s="75"/>
      <c r="DV306" s="75"/>
      <c r="DW306" s="75"/>
      <c r="DX306" s="75"/>
      <c r="DY306" s="75"/>
      <c r="DZ306" s="75"/>
      <c r="EA306" s="75"/>
      <c r="EB306" s="75"/>
      <c r="EC306" s="75"/>
      <c r="ED306" s="75"/>
      <c r="EE306" s="75"/>
    </row>
    <row r="307" ht="47.25" hidden="1" customHeight="1">
      <c r="A307" s="55" t="s">
        <v>1118</v>
      </c>
      <c r="B307" s="55" t="s">
        <v>166</v>
      </c>
      <c r="C307" s="55" t="s">
        <v>166</v>
      </c>
      <c r="D307" s="55" t="s">
        <v>887</v>
      </c>
      <c r="E307" s="55" t="s">
        <v>1119</v>
      </c>
      <c r="F307" s="55" t="s">
        <v>1117</v>
      </c>
      <c r="G307" s="55" t="s">
        <v>1120</v>
      </c>
      <c r="H307" s="55" t="s">
        <v>1121</v>
      </c>
      <c r="I307" s="56">
        <v>1.0</v>
      </c>
      <c r="J307" s="56"/>
      <c r="K307" s="56"/>
      <c r="L307" s="56"/>
      <c r="M307" s="56"/>
      <c r="N307" s="56"/>
      <c r="O307" s="56"/>
      <c r="P307" s="56"/>
      <c r="Q307" s="56" t="s">
        <v>131</v>
      </c>
      <c r="R307" s="58" t="str">
        <f t="shared" si="1"/>
        <v>2018</v>
      </c>
      <c r="S307" s="59" t="str">
        <f>SUM(Hoja1!$I307:$P307)</f>
        <v>1</v>
      </c>
      <c r="T307" s="59" t="str">
        <f>IF(OR(Hoja1!$J307=1,Hoja1!$K307=1,Hoja1!$L307=1,Hoja1!$M307=1,Hoja1!$N307=1,Hoja1!$O307=1,Hoja1!$P307=1),"SI","NO")</f>
        <v>NO</v>
      </c>
      <c r="U307" s="59" t="str">
        <f>IF(OR(Hoja1!$K307=1,Hoja1!$L307=1,Hoja1!$M307=1,Hoja1!$N307=1,Hoja1!$O307=1,Hoja1!$P307=1),"SI","NO")</f>
        <v>NO</v>
      </c>
      <c r="V307" s="60">
        <v>26.0</v>
      </c>
      <c r="W307" s="61">
        <v>0.0</v>
      </c>
      <c r="X307" s="61">
        <v>0.0</v>
      </c>
      <c r="Y307" s="60">
        <v>0.0</v>
      </c>
      <c r="Z307" s="61">
        <v>0.0</v>
      </c>
      <c r="AA307" s="61">
        <v>0.0</v>
      </c>
      <c r="AB307" s="60">
        <v>0.0</v>
      </c>
      <c r="AC307" s="61">
        <v>0.0</v>
      </c>
      <c r="AD307" s="61">
        <v>0.0</v>
      </c>
      <c r="AE307" s="60">
        <v>0.0</v>
      </c>
      <c r="AF307" s="61">
        <v>0.0</v>
      </c>
      <c r="AG307" s="61">
        <v>0.0</v>
      </c>
      <c r="AH307" s="60">
        <v>0.0</v>
      </c>
      <c r="AI307" s="61">
        <v>0.0</v>
      </c>
      <c r="AJ307" s="61">
        <v>0.0</v>
      </c>
      <c r="AK307" s="60">
        <v>0.0</v>
      </c>
      <c r="AL307" s="61">
        <v>0.0</v>
      </c>
      <c r="AM307" s="61">
        <v>0.0</v>
      </c>
      <c r="AN307" s="60">
        <v>0.0</v>
      </c>
      <c r="AO307" s="62">
        <v>0.0</v>
      </c>
      <c r="AP307" s="62">
        <v>0.0</v>
      </c>
      <c r="AQ307" s="60">
        <v>0.0</v>
      </c>
      <c r="AR307" s="60" t="str">
        <f>IF(Hoja1!$AQ307&gt;0,Hoja1!$AQ307,IF(Hoja1!$AN307&gt;0,Hoja1!$AN307,IF(Hoja1!$AK307&gt;0,Hoja1!$AK307,IF(Hoja1!$AH307&gt;0,Hoja1!$AH307,IF(Hoja1!$AE307&gt;0,Hoja1!$AE307,IF(Hoja1!$AB307&gt;0,Hoja1!$AB307,IF(Hoja1!$Y307&gt;0,Hoja1!$Y307,IF(Hoja1!$V307&gt;0,Hoja1!$V307," ---"))))))))</f>
        <v>26</v>
      </c>
      <c r="AS307" s="63">
        <v>0.0</v>
      </c>
      <c r="AT307" s="63">
        <v>0.0</v>
      </c>
      <c r="AU307" s="63">
        <v>0.0</v>
      </c>
      <c r="AV307" s="63">
        <v>0.0</v>
      </c>
      <c r="AW307" s="63">
        <v>0.0</v>
      </c>
      <c r="AX307" s="63">
        <v>0.0</v>
      </c>
      <c r="AY307" s="63">
        <v>0.0</v>
      </c>
      <c r="AZ307" s="63">
        <v>0.0</v>
      </c>
      <c r="BA307" s="63">
        <v>0.0</v>
      </c>
      <c r="BB307" s="63">
        <v>0.0</v>
      </c>
      <c r="BC307" s="63">
        <v>0.0</v>
      </c>
      <c r="BD307" s="63">
        <v>0.0</v>
      </c>
      <c r="BE307" s="64">
        <v>0.0</v>
      </c>
      <c r="BF307" s="69">
        <v>0.0</v>
      </c>
      <c r="BG307" s="69">
        <v>0.0</v>
      </c>
      <c r="BH307" s="64">
        <v>0.0</v>
      </c>
      <c r="BI307" s="67" t="str">
        <f t="shared" si="105"/>
        <v>#REF!</v>
      </c>
      <c r="BJ307" s="68" t="str">
        <f t="shared" si="106"/>
        <v>#REF!</v>
      </c>
      <c r="BK307" s="69">
        <v>0.0</v>
      </c>
      <c r="BL307" s="69">
        <v>0.0</v>
      </c>
      <c r="BM307" s="64">
        <v>0.0</v>
      </c>
      <c r="BN307" s="67" t="str">
        <f t="shared" si="107"/>
        <v>#REF!</v>
      </c>
      <c r="BO307" s="68" t="str">
        <f t="shared" si="108"/>
        <v>#REF!</v>
      </c>
      <c r="BP307" s="65">
        <v>0.0</v>
      </c>
      <c r="BQ307" s="65">
        <v>0.0</v>
      </c>
      <c r="BR307" s="66">
        <v>0.0</v>
      </c>
      <c r="BS307" s="67" t="str">
        <f t="shared" si="109"/>
        <v>#REF!</v>
      </c>
      <c r="BT307" s="68" t="str">
        <f>'[1]DATA CONSOLIDADA 2018-2025 '!$BR307-Hoja1!$BO307</f>
        <v>#REF!</v>
      </c>
      <c r="BU307" s="65">
        <v>0.0</v>
      </c>
      <c r="BV307" s="65">
        <v>0.0</v>
      </c>
      <c r="BW307" s="66">
        <v>0.0</v>
      </c>
      <c r="BX307" s="67" t="str">
        <f t="shared" si="110"/>
        <v>#REF!</v>
      </c>
      <c r="BY307" s="68" t="str">
        <f t="shared" si="111"/>
        <v>#REF!</v>
      </c>
      <c r="BZ307" s="65">
        <v>0.0</v>
      </c>
      <c r="CA307" s="65">
        <v>0.0</v>
      </c>
      <c r="CB307" s="66">
        <v>0.0</v>
      </c>
      <c r="CC307" s="67" t="str">
        <f t="shared" si="112"/>
        <v>#REF!</v>
      </c>
      <c r="CD307" s="68" t="str">
        <f>'[1]DATA CONSOLIDADA 2018-2025 '!$CB307-Hoja1!$BW307</f>
        <v>#REF!</v>
      </c>
      <c r="CE307" s="70">
        <v>0.0</v>
      </c>
      <c r="CF307" s="70">
        <v>0.0</v>
      </c>
      <c r="CG307" s="71">
        <v>0.0</v>
      </c>
      <c r="CH307" s="67" t="str">
        <f t="shared" si="113"/>
        <v>#REF!</v>
      </c>
      <c r="CI307" s="68" t="str">
        <f>'[1]DATA CONSOLIDADA 2018-2025 '!$CG307-Hoja1!$CB307</f>
        <v>#REF!</v>
      </c>
      <c r="CJ307" s="64" t="str">
        <f t="shared" si="68"/>
        <v>#REF!</v>
      </c>
      <c r="CK307" s="64">
        <v>0.0</v>
      </c>
      <c r="CL307" s="64">
        <v>0.0</v>
      </c>
      <c r="CM307" s="64">
        <v>0.0</v>
      </c>
      <c r="CN307" s="64" t="str">
        <f t="shared" si="12"/>
        <v>#REF!</v>
      </c>
      <c r="CO307" s="68" t="str">
        <f>'[1]DATA CONSOLIDADA 2018-2025 '!$CM307-Hoja1!$CG307</f>
        <v>#REF!</v>
      </c>
      <c r="CP307" s="70">
        <v>0.0</v>
      </c>
      <c r="CQ307" s="70">
        <v>0.0</v>
      </c>
      <c r="CR307" s="70">
        <v>0.0</v>
      </c>
      <c r="CS307" s="70">
        <v>0.0</v>
      </c>
      <c r="CT307" s="70">
        <v>0.0</v>
      </c>
      <c r="CU307" s="70">
        <v>0.0</v>
      </c>
      <c r="CV307" s="64">
        <v>0.0</v>
      </c>
      <c r="CW307" s="64">
        <v>0.0</v>
      </c>
      <c r="CX307" s="64">
        <v>0.0</v>
      </c>
      <c r="CY307" s="64">
        <v>0.0</v>
      </c>
      <c r="CZ307" s="64">
        <v>0.0</v>
      </c>
      <c r="DA307" s="64">
        <v>0.0</v>
      </c>
      <c r="DB307" s="64">
        <v>0.0</v>
      </c>
      <c r="DC307" s="72">
        <v>0.0</v>
      </c>
      <c r="DD307" s="72">
        <v>0.0</v>
      </c>
      <c r="DE307" s="72">
        <v>0.0</v>
      </c>
      <c r="DF307" s="72">
        <v>0.0</v>
      </c>
      <c r="DG307" s="72">
        <v>0.0</v>
      </c>
      <c r="DH307" s="72">
        <v>0.0</v>
      </c>
      <c r="DI307" s="73">
        <v>2.0532800561E10</v>
      </c>
      <c r="DJ307" s="74" t="s">
        <v>1122</v>
      </c>
      <c r="DK307" s="74" t="s">
        <v>138</v>
      </c>
      <c r="DL307" s="75"/>
      <c r="DM307" s="75"/>
      <c r="DN307" s="75"/>
      <c r="DO307" s="75"/>
      <c r="DP307" s="75"/>
      <c r="DQ307" s="75"/>
      <c r="DR307" s="75"/>
      <c r="DS307" s="75"/>
      <c r="DT307" s="75"/>
      <c r="DU307" s="75"/>
      <c r="DV307" s="75"/>
      <c r="DW307" s="75"/>
      <c r="DX307" s="75"/>
      <c r="DY307" s="75"/>
      <c r="DZ307" s="75"/>
      <c r="EA307" s="75"/>
      <c r="EB307" s="75"/>
      <c r="EC307" s="75"/>
      <c r="ED307" s="75"/>
      <c r="EE307" s="75"/>
    </row>
    <row r="308" ht="47.25" hidden="1" customHeight="1">
      <c r="A308" s="55" t="s">
        <v>1123</v>
      </c>
      <c r="B308" s="55" t="s">
        <v>898</v>
      </c>
      <c r="C308" s="55" t="s">
        <v>898</v>
      </c>
      <c r="D308" s="55" t="s">
        <v>887</v>
      </c>
      <c r="E308" s="55" t="s">
        <v>1124</v>
      </c>
      <c r="F308" s="55" t="s">
        <v>1117</v>
      </c>
      <c r="G308" s="55" t="s">
        <v>1120</v>
      </c>
      <c r="H308" s="55" t="s">
        <v>1125</v>
      </c>
      <c r="I308" s="56"/>
      <c r="J308" s="56">
        <v>1.0</v>
      </c>
      <c r="K308" s="56">
        <v>1.0</v>
      </c>
      <c r="L308" s="56"/>
      <c r="M308" s="56"/>
      <c r="N308" s="56"/>
      <c r="O308" s="56"/>
      <c r="P308" s="56"/>
      <c r="Q308" s="56" t="s">
        <v>131</v>
      </c>
      <c r="R308" s="58" t="str">
        <f t="shared" si="1"/>
        <v>2019-2020</v>
      </c>
      <c r="S308" s="59" t="str">
        <f>SUM(Hoja1!$I308:$P308)</f>
        <v>2</v>
      </c>
      <c r="T308" s="59" t="str">
        <f>IF(OR(Hoja1!$J308=1,Hoja1!$K308=1,Hoja1!$L308=1,Hoja1!$M308=1,Hoja1!$N308=1,Hoja1!$O308=1,Hoja1!$P308=1),"SI","NO")</f>
        <v>SI</v>
      </c>
      <c r="U308" s="59" t="str">
        <f>IF(OR(Hoja1!$K308=1,Hoja1!$L308=1,Hoja1!$M308=1,Hoja1!$N308=1,Hoja1!$O308=1,Hoja1!$P308=1),"SI","NO")</f>
        <v>SI</v>
      </c>
      <c r="V308" s="60">
        <v>0.0</v>
      </c>
      <c r="W308" s="61">
        <v>31.0</v>
      </c>
      <c r="X308" s="61">
        <v>28.0</v>
      </c>
      <c r="Y308" s="60">
        <v>59.0</v>
      </c>
      <c r="Z308" s="61">
        <v>27.0</v>
      </c>
      <c r="AA308" s="61">
        <v>30.0</v>
      </c>
      <c r="AB308" s="60">
        <v>57.0</v>
      </c>
      <c r="AC308" s="61">
        <v>0.0</v>
      </c>
      <c r="AD308" s="61">
        <v>0.0</v>
      </c>
      <c r="AE308" s="60">
        <v>0.0</v>
      </c>
      <c r="AF308" s="61">
        <v>0.0</v>
      </c>
      <c r="AG308" s="61">
        <v>0.0</v>
      </c>
      <c r="AH308" s="60">
        <v>0.0</v>
      </c>
      <c r="AI308" s="61">
        <v>0.0</v>
      </c>
      <c r="AJ308" s="61">
        <v>0.0</v>
      </c>
      <c r="AK308" s="60">
        <v>0.0</v>
      </c>
      <c r="AL308" s="61">
        <v>0.0</v>
      </c>
      <c r="AM308" s="61">
        <v>0.0</v>
      </c>
      <c r="AN308" s="60">
        <v>0.0</v>
      </c>
      <c r="AO308" s="62">
        <v>0.0</v>
      </c>
      <c r="AP308" s="62">
        <v>0.0</v>
      </c>
      <c r="AQ308" s="60">
        <v>0.0</v>
      </c>
      <c r="AR308" s="60" t="str">
        <f>IF(Hoja1!$AQ308&gt;0,Hoja1!$AQ308,IF(Hoja1!$AN308&gt;0,Hoja1!$AN308,IF(Hoja1!$AK308&gt;0,Hoja1!$AK308,IF(Hoja1!$AH308&gt;0,Hoja1!$AH308,IF(Hoja1!$AE308&gt;0,Hoja1!$AE308,IF(Hoja1!$AB308&gt;0,Hoja1!$AB308,IF(Hoja1!$Y308&gt;0,Hoja1!$Y308,IF(Hoja1!$V308&gt;0,Hoja1!$V308," ---"))))))))</f>
        <v>57</v>
      </c>
      <c r="AS308" s="63">
        <v>0.0</v>
      </c>
      <c r="AT308" s="63">
        <v>0.0</v>
      </c>
      <c r="AU308" s="63">
        <v>0.0</v>
      </c>
      <c r="AV308" s="63">
        <v>0.0</v>
      </c>
      <c r="AW308" s="63">
        <v>0.0</v>
      </c>
      <c r="AX308" s="63">
        <v>0.0</v>
      </c>
      <c r="AY308" s="63">
        <v>0.0</v>
      </c>
      <c r="AZ308" s="63">
        <v>0.0</v>
      </c>
      <c r="BA308" s="63">
        <v>0.0</v>
      </c>
      <c r="BB308" s="63">
        <v>0.0</v>
      </c>
      <c r="BC308" s="63">
        <v>0.0</v>
      </c>
      <c r="BD308" s="63">
        <v>0.0</v>
      </c>
      <c r="BE308" s="64">
        <v>0.0</v>
      </c>
      <c r="BF308" s="65">
        <v>0.0</v>
      </c>
      <c r="BG308" s="65">
        <v>0.0</v>
      </c>
      <c r="BH308" s="66">
        <v>0.0</v>
      </c>
      <c r="BI308" s="67" t="str">
        <f t="shared" si="105"/>
        <v>#REF!</v>
      </c>
      <c r="BJ308" s="68" t="str">
        <f t="shared" si="106"/>
        <v>#REF!</v>
      </c>
      <c r="BK308" s="65">
        <v>0.0</v>
      </c>
      <c r="BL308" s="65">
        <v>0.0</v>
      </c>
      <c r="BM308" s="66">
        <v>0.0</v>
      </c>
      <c r="BN308" s="67" t="str">
        <f t="shared" si="107"/>
        <v>#REF!</v>
      </c>
      <c r="BO308" s="68" t="str">
        <f t="shared" si="108"/>
        <v>#REF!</v>
      </c>
      <c r="BP308" s="65">
        <v>0.0</v>
      </c>
      <c r="BQ308" s="65">
        <v>0.0</v>
      </c>
      <c r="BR308" s="66">
        <v>0.0</v>
      </c>
      <c r="BS308" s="67" t="str">
        <f t="shared" si="109"/>
        <v>#REF!</v>
      </c>
      <c r="BT308" s="68" t="str">
        <f>'[1]DATA CONSOLIDADA 2018-2025 '!$BR308-Hoja1!$BO308</f>
        <v>#REF!</v>
      </c>
      <c r="BU308" s="65">
        <v>0.0</v>
      </c>
      <c r="BV308" s="65">
        <v>0.0</v>
      </c>
      <c r="BW308" s="66">
        <v>0.0</v>
      </c>
      <c r="BX308" s="67" t="str">
        <f t="shared" si="110"/>
        <v>#REF!</v>
      </c>
      <c r="BY308" s="68" t="str">
        <f t="shared" si="111"/>
        <v>#REF!</v>
      </c>
      <c r="BZ308" s="65">
        <v>0.0</v>
      </c>
      <c r="CA308" s="65">
        <v>0.0</v>
      </c>
      <c r="CB308" s="66">
        <v>0.0</v>
      </c>
      <c r="CC308" s="67" t="str">
        <f t="shared" si="112"/>
        <v>#REF!</v>
      </c>
      <c r="CD308" s="68" t="str">
        <f>'[1]DATA CONSOLIDADA 2018-2025 '!$CB308-Hoja1!$BW308</f>
        <v>#REF!</v>
      </c>
      <c r="CE308" s="70">
        <v>0.0</v>
      </c>
      <c r="CF308" s="70">
        <v>0.0</v>
      </c>
      <c r="CG308" s="71">
        <v>0.0</v>
      </c>
      <c r="CH308" s="67" t="str">
        <f t="shared" si="113"/>
        <v>#REF!</v>
      </c>
      <c r="CI308" s="68" t="str">
        <f>'[1]DATA CONSOLIDADA 2018-2025 '!$CG308-Hoja1!$CB308</f>
        <v>#REF!</v>
      </c>
      <c r="CJ308" s="64" t="str">
        <f t="shared" si="68"/>
        <v>#REF!</v>
      </c>
      <c r="CK308" s="64">
        <v>0.0</v>
      </c>
      <c r="CL308" s="64">
        <v>0.0</v>
      </c>
      <c r="CM308" s="64">
        <v>0.0</v>
      </c>
      <c r="CN308" s="64" t="str">
        <f t="shared" si="12"/>
        <v>#REF!</v>
      </c>
      <c r="CO308" s="68" t="str">
        <f>'[1]DATA CONSOLIDADA 2018-2025 '!$CM308-Hoja1!$CG308</f>
        <v>#REF!</v>
      </c>
      <c r="CP308" s="70">
        <v>0.0</v>
      </c>
      <c r="CQ308" s="70">
        <v>0.0</v>
      </c>
      <c r="CR308" s="70">
        <v>0.0</v>
      </c>
      <c r="CS308" s="70">
        <v>0.0</v>
      </c>
      <c r="CT308" s="70">
        <v>0.0</v>
      </c>
      <c r="CU308" s="70">
        <v>0.0</v>
      </c>
      <c r="CV308" s="64">
        <v>0.0</v>
      </c>
      <c r="CW308" s="64">
        <v>0.0</v>
      </c>
      <c r="CX308" s="64">
        <v>0.0</v>
      </c>
      <c r="CY308" s="64">
        <v>0.0</v>
      </c>
      <c r="CZ308" s="64">
        <v>0.0</v>
      </c>
      <c r="DA308" s="64">
        <v>0.0</v>
      </c>
      <c r="DB308" s="64">
        <v>0.0</v>
      </c>
      <c r="DC308" s="72">
        <v>0.0</v>
      </c>
      <c r="DD308" s="72">
        <v>0.0</v>
      </c>
      <c r="DE308" s="72">
        <v>0.0</v>
      </c>
      <c r="DF308" s="72">
        <v>0.0</v>
      </c>
      <c r="DG308" s="72">
        <v>0.0</v>
      </c>
      <c r="DH308" s="72">
        <v>0.0</v>
      </c>
      <c r="DI308" s="73">
        <v>2.0532978204E10</v>
      </c>
      <c r="DJ308" s="74" t="s">
        <v>1126</v>
      </c>
      <c r="DK308" s="74" t="s">
        <v>138</v>
      </c>
      <c r="DL308" s="75"/>
      <c r="DM308" s="75"/>
      <c r="DN308" s="75"/>
      <c r="DO308" s="75"/>
      <c r="DP308" s="75"/>
      <c r="DQ308" s="75"/>
      <c r="DR308" s="75"/>
      <c r="DS308" s="75"/>
      <c r="DT308" s="75"/>
      <c r="DU308" s="75"/>
      <c r="DV308" s="75"/>
      <c r="DW308" s="75"/>
      <c r="DX308" s="75"/>
      <c r="DY308" s="75"/>
      <c r="DZ308" s="75"/>
      <c r="EA308" s="75"/>
      <c r="EB308" s="75"/>
      <c r="EC308" s="75"/>
      <c r="ED308" s="75"/>
      <c r="EE308" s="75"/>
    </row>
    <row r="309" ht="47.25" hidden="1" customHeight="1">
      <c r="A309" s="55" t="s">
        <v>1127</v>
      </c>
      <c r="B309" s="55" t="s">
        <v>184</v>
      </c>
      <c r="C309" s="55" t="s">
        <v>184</v>
      </c>
      <c r="D309" s="55" t="s">
        <v>887</v>
      </c>
      <c r="E309" s="55" t="s">
        <v>1119</v>
      </c>
      <c r="F309" s="55" t="s">
        <v>1117</v>
      </c>
      <c r="G309" s="55" t="s">
        <v>1120</v>
      </c>
      <c r="H309" s="55" t="s">
        <v>1121</v>
      </c>
      <c r="I309" s="56">
        <v>1.0</v>
      </c>
      <c r="J309" s="56">
        <v>1.0</v>
      </c>
      <c r="K309" s="56">
        <v>1.0</v>
      </c>
      <c r="L309" s="56">
        <v>1.0</v>
      </c>
      <c r="M309" s="56">
        <v>1.0</v>
      </c>
      <c r="N309" s="56"/>
      <c r="O309" s="56"/>
      <c r="P309" s="56"/>
      <c r="Q309" s="56" t="s">
        <v>131</v>
      </c>
      <c r="R309" s="58" t="str">
        <f t="shared" si="1"/>
        <v>2018-2019-2020-2021-2022</v>
      </c>
      <c r="S309" s="59" t="str">
        <f>SUM(Hoja1!$I309:$P309)</f>
        <v>5</v>
      </c>
      <c r="T309" s="59" t="str">
        <f>IF(OR(Hoja1!$J309=1,Hoja1!$K309=1,Hoja1!$L309=1,Hoja1!$M309=1,Hoja1!$N309=1,Hoja1!$O309=1,Hoja1!$P309=1),"SI","NO")</f>
        <v>SI</v>
      </c>
      <c r="U309" s="59" t="str">
        <f>IF(OR(Hoja1!$K309=1,Hoja1!$L309=1,Hoja1!$M309=1,Hoja1!$N309=1,Hoja1!$O309=1,Hoja1!$P309=1),"SI","NO")</f>
        <v>SI</v>
      </c>
      <c r="V309" s="60">
        <v>58.0</v>
      </c>
      <c r="W309" s="61">
        <v>10.0</v>
      </c>
      <c r="X309" s="61">
        <v>7.0</v>
      </c>
      <c r="Y309" s="60">
        <v>17.0</v>
      </c>
      <c r="Z309" s="61">
        <v>9.0</v>
      </c>
      <c r="AA309" s="61">
        <v>8.0</v>
      </c>
      <c r="AB309" s="60">
        <v>17.0</v>
      </c>
      <c r="AC309" s="61">
        <v>8.0</v>
      </c>
      <c r="AD309" s="61">
        <v>9.0</v>
      </c>
      <c r="AE309" s="60">
        <v>17.0</v>
      </c>
      <c r="AF309" s="61">
        <v>8.0</v>
      </c>
      <c r="AG309" s="61">
        <v>9.0</v>
      </c>
      <c r="AH309" s="60">
        <v>17.0</v>
      </c>
      <c r="AI309" s="61">
        <v>0.0</v>
      </c>
      <c r="AJ309" s="61">
        <v>0.0</v>
      </c>
      <c r="AK309" s="60">
        <v>0.0</v>
      </c>
      <c r="AL309" s="61">
        <v>0.0</v>
      </c>
      <c r="AM309" s="61">
        <v>0.0</v>
      </c>
      <c r="AN309" s="60">
        <v>0.0</v>
      </c>
      <c r="AO309" s="62">
        <v>0.0</v>
      </c>
      <c r="AP309" s="62">
        <v>0.0</v>
      </c>
      <c r="AQ309" s="60">
        <v>0.0</v>
      </c>
      <c r="AR309" s="60" t="str">
        <f>IF(Hoja1!$AQ309&gt;0,Hoja1!$AQ309,IF(Hoja1!$AN309&gt;0,Hoja1!$AN309,IF(Hoja1!$AK309&gt;0,Hoja1!$AK309,IF(Hoja1!$AH309&gt;0,Hoja1!$AH309,IF(Hoja1!$AE309&gt;0,Hoja1!$AE309,IF(Hoja1!$AB309&gt;0,Hoja1!$AB309,IF(Hoja1!$Y309&gt;0,Hoja1!$Y309,IF(Hoja1!$V309&gt;0,Hoja1!$V309," ---"))))))))</f>
        <v>17</v>
      </c>
      <c r="AS309" s="63">
        <v>0.0</v>
      </c>
      <c r="AT309" s="63">
        <v>0.0</v>
      </c>
      <c r="AU309" s="63">
        <v>76.0</v>
      </c>
      <c r="AV309" s="63">
        <v>1.0</v>
      </c>
      <c r="AW309" s="63">
        <v>31.0</v>
      </c>
      <c r="AX309" s="63">
        <v>5.0</v>
      </c>
      <c r="AY309" s="63">
        <v>0.0</v>
      </c>
      <c r="AZ309" s="63">
        <v>0.0</v>
      </c>
      <c r="BA309" s="63">
        <v>0.0</v>
      </c>
      <c r="BB309" s="63">
        <v>0.0</v>
      </c>
      <c r="BC309" s="63">
        <v>0.0</v>
      </c>
      <c r="BD309" s="63">
        <v>0.0</v>
      </c>
      <c r="BE309" s="64">
        <v>0.0</v>
      </c>
      <c r="BF309" s="65">
        <v>194648.08</v>
      </c>
      <c r="BG309" s="65">
        <v>0.0</v>
      </c>
      <c r="BH309" s="66">
        <v>194648.08</v>
      </c>
      <c r="BI309" s="67" t="str">
        <f t="shared" si="105"/>
        <v>#REF!</v>
      </c>
      <c r="BJ309" s="68" t="str">
        <f t="shared" si="106"/>
        <v>#REF!</v>
      </c>
      <c r="BK309" s="65">
        <v>148242.22</v>
      </c>
      <c r="BL309" s="65">
        <v>0.0</v>
      </c>
      <c r="BM309" s="66">
        <v>148242.22</v>
      </c>
      <c r="BN309" s="67" t="str">
        <f t="shared" si="107"/>
        <v>#REF!</v>
      </c>
      <c r="BO309" s="68" t="str">
        <f t="shared" si="108"/>
        <v>#REF!</v>
      </c>
      <c r="BP309" s="65">
        <v>267990.0</v>
      </c>
      <c r="BQ309" s="65">
        <v>0.0</v>
      </c>
      <c r="BR309" s="66">
        <v>267990.0</v>
      </c>
      <c r="BS309" s="67" t="str">
        <f t="shared" si="109"/>
        <v>#REF!</v>
      </c>
      <c r="BT309" s="68" t="str">
        <f>'[1]DATA CONSOLIDADA 2018-2025 '!$BR309-Hoja1!$BO309</f>
        <v>#REF!</v>
      </c>
      <c r="BU309" s="65">
        <v>0.0</v>
      </c>
      <c r="BV309" s="65">
        <v>0.0</v>
      </c>
      <c r="BW309" s="66">
        <v>0.0</v>
      </c>
      <c r="BX309" s="67" t="str">
        <f t="shared" si="110"/>
        <v>#REF!</v>
      </c>
      <c r="BY309" s="68" t="str">
        <f t="shared" si="111"/>
        <v>#REF!</v>
      </c>
      <c r="BZ309" s="65">
        <v>0.0</v>
      </c>
      <c r="CA309" s="65">
        <v>0.0</v>
      </c>
      <c r="CB309" s="66">
        <v>0.0</v>
      </c>
      <c r="CC309" s="67" t="str">
        <f t="shared" si="112"/>
        <v>#REF!</v>
      </c>
      <c r="CD309" s="68" t="str">
        <f>'[1]DATA CONSOLIDADA 2018-2025 '!$CB309-Hoja1!$BW309</f>
        <v>#REF!</v>
      </c>
      <c r="CE309" s="70">
        <v>0.0</v>
      </c>
      <c r="CF309" s="70">
        <v>0.0</v>
      </c>
      <c r="CG309" s="71">
        <v>0.0</v>
      </c>
      <c r="CH309" s="67" t="str">
        <f t="shared" si="113"/>
        <v>#REF!</v>
      </c>
      <c r="CI309" s="68" t="str">
        <f>'[1]DATA CONSOLIDADA 2018-2025 '!$CG309-Hoja1!$CB309</f>
        <v>#REF!</v>
      </c>
      <c r="CJ309" s="64" t="str">
        <f t="shared" si="68"/>
        <v>#REF!</v>
      </c>
      <c r="CK309" s="64">
        <v>0.0</v>
      </c>
      <c r="CL309" s="64">
        <v>0.0</v>
      </c>
      <c r="CM309" s="64">
        <v>0.0</v>
      </c>
      <c r="CN309" s="64" t="str">
        <f t="shared" si="12"/>
        <v>#REF!</v>
      </c>
      <c r="CO309" s="68" t="str">
        <f>'[1]DATA CONSOLIDADA 2018-2025 '!$CM309-Hoja1!$CG309</f>
        <v>#REF!</v>
      </c>
      <c r="CP309" s="70">
        <v>0.0</v>
      </c>
      <c r="CQ309" s="70">
        <v>0.0</v>
      </c>
      <c r="CR309" s="70">
        <v>0.0</v>
      </c>
      <c r="CS309" s="70">
        <v>0.0</v>
      </c>
      <c r="CT309" s="70">
        <v>0.0</v>
      </c>
      <c r="CU309" s="70">
        <v>0.0</v>
      </c>
      <c r="CV309" s="64">
        <v>0.0</v>
      </c>
      <c r="CW309" s="64">
        <v>0.0</v>
      </c>
      <c r="CX309" s="64">
        <v>0.0</v>
      </c>
      <c r="CY309" s="64">
        <v>0.0</v>
      </c>
      <c r="CZ309" s="64">
        <v>0.0</v>
      </c>
      <c r="DA309" s="64">
        <v>0.0</v>
      </c>
      <c r="DB309" s="64">
        <v>0.0</v>
      </c>
      <c r="DC309" s="72">
        <v>0.0</v>
      </c>
      <c r="DD309" s="72">
        <v>0.0</v>
      </c>
      <c r="DE309" s="72">
        <v>0.0</v>
      </c>
      <c r="DF309" s="72">
        <v>0.0</v>
      </c>
      <c r="DG309" s="72">
        <v>0.0</v>
      </c>
      <c r="DH309" s="72">
        <v>0.0</v>
      </c>
      <c r="DI309" s="73">
        <v>2.0600366468E10</v>
      </c>
      <c r="DJ309" s="74" t="s">
        <v>1128</v>
      </c>
      <c r="DK309" s="74" t="s">
        <v>138</v>
      </c>
      <c r="DL309" s="75"/>
      <c r="DM309" s="75"/>
      <c r="DN309" s="75"/>
      <c r="DO309" s="75"/>
      <c r="DP309" s="75"/>
      <c r="DQ309" s="75"/>
      <c r="DR309" s="75"/>
      <c r="DS309" s="75"/>
      <c r="DT309" s="75"/>
      <c r="DU309" s="75"/>
      <c r="DV309" s="75"/>
      <c r="DW309" s="75"/>
      <c r="DX309" s="75"/>
      <c r="DY309" s="75"/>
      <c r="DZ309" s="75"/>
      <c r="EA309" s="75"/>
      <c r="EB309" s="75"/>
      <c r="EC309" s="75"/>
      <c r="ED309" s="75"/>
      <c r="EE309" s="75"/>
    </row>
    <row r="310" ht="47.25" hidden="1" customHeight="1">
      <c r="A310" s="55" t="s">
        <v>1129</v>
      </c>
      <c r="B310" s="55" t="s">
        <v>898</v>
      </c>
      <c r="C310" s="55" t="s">
        <v>898</v>
      </c>
      <c r="D310" s="55" t="s">
        <v>887</v>
      </c>
      <c r="E310" s="55" t="s">
        <v>1130</v>
      </c>
      <c r="F310" s="55" t="s">
        <v>1117</v>
      </c>
      <c r="G310" s="55" t="s">
        <v>1131</v>
      </c>
      <c r="H310" s="55" t="s">
        <v>1132</v>
      </c>
      <c r="I310" s="56"/>
      <c r="J310" s="56">
        <v>1.0</v>
      </c>
      <c r="K310" s="56">
        <v>1.0</v>
      </c>
      <c r="L310" s="56">
        <v>1.0</v>
      </c>
      <c r="M310" s="56"/>
      <c r="N310" s="56"/>
      <c r="O310" s="56"/>
      <c r="P310" s="56"/>
      <c r="Q310" s="56" t="s">
        <v>131</v>
      </c>
      <c r="R310" s="58" t="str">
        <f t="shared" si="1"/>
        <v>2019-2020-2021</v>
      </c>
      <c r="S310" s="59" t="str">
        <f>SUM(Hoja1!$I310:$P310)</f>
        <v>3</v>
      </c>
      <c r="T310" s="59" t="str">
        <f>IF(OR(Hoja1!$J310=1,Hoja1!$K310=1,Hoja1!$L310=1,Hoja1!$M310=1,Hoja1!$N310=1,Hoja1!$O310=1,Hoja1!$P310=1),"SI","NO")</f>
        <v>SI</v>
      </c>
      <c r="U310" s="59" t="str">
        <f>IF(OR(Hoja1!$K310=1,Hoja1!$L310=1,Hoja1!$M310=1,Hoja1!$N310=1,Hoja1!$O310=1,Hoja1!$P310=1),"SI","NO")</f>
        <v>SI</v>
      </c>
      <c r="V310" s="60">
        <v>0.0</v>
      </c>
      <c r="W310" s="61">
        <v>56.0</v>
      </c>
      <c r="X310" s="61">
        <v>32.0</v>
      </c>
      <c r="Y310" s="60">
        <v>88.0</v>
      </c>
      <c r="Z310" s="61">
        <v>55.0</v>
      </c>
      <c r="AA310" s="61">
        <v>33.0</v>
      </c>
      <c r="AB310" s="60">
        <v>88.0</v>
      </c>
      <c r="AC310" s="61">
        <v>12.0</v>
      </c>
      <c r="AD310" s="61">
        <v>9.0</v>
      </c>
      <c r="AE310" s="60">
        <v>21.0</v>
      </c>
      <c r="AF310" s="61">
        <v>0.0</v>
      </c>
      <c r="AG310" s="61">
        <v>0.0</v>
      </c>
      <c r="AH310" s="60">
        <v>0.0</v>
      </c>
      <c r="AI310" s="61">
        <v>0.0</v>
      </c>
      <c r="AJ310" s="61">
        <v>0.0</v>
      </c>
      <c r="AK310" s="60">
        <v>0.0</v>
      </c>
      <c r="AL310" s="61">
        <v>0.0</v>
      </c>
      <c r="AM310" s="61">
        <v>0.0</v>
      </c>
      <c r="AN310" s="60">
        <v>0.0</v>
      </c>
      <c r="AO310" s="62">
        <v>0.0</v>
      </c>
      <c r="AP310" s="62">
        <v>0.0</v>
      </c>
      <c r="AQ310" s="60">
        <v>0.0</v>
      </c>
      <c r="AR310" s="60" t="str">
        <f>IF(Hoja1!$AQ310&gt;0,Hoja1!$AQ310,IF(Hoja1!$AN310&gt;0,Hoja1!$AN310,IF(Hoja1!$AK310&gt;0,Hoja1!$AK310,IF(Hoja1!$AH310&gt;0,Hoja1!$AH310,IF(Hoja1!$AE310&gt;0,Hoja1!$AE310,IF(Hoja1!$AB310&gt;0,Hoja1!$AB310,IF(Hoja1!$Y310&gt;0,Hoja1!$Y310,IF(Hoja1!$V310&gt;0,Hoja1!$V310," ---"))))))))</f>
        <v>21</v>
      </c>
      <c r="AS310" s="63">
        <v>0.0</v>
      </c>
      <c r="AT310" s="63">
        <v>1.0</v>
      </c>
      <c r="AU310" s="63">
        <v>78.0</v>
      </c>
      <c r="AV310" s="63">
        <v>3.0</v>
      </c>
      <c r="AW310" s="63">
        <v>0.0</v>
      </c>
      <c r="AX310" s="63">
        <v>0.0</v>
      </c>
      <c r="AY310" s="63">
        <v>0.0</v>
      </c>
      <c r="AZ310" s="63">
        <v>0.0</v>
      </c>
      <c r="BA310" s="63">
        <v>0.0</v>
      </c>
      <c r="BB310" s="63">
        <v>0.0</v>
      </c>
      <c r="BC310" s="63">
        <v>0.0</v>
      </c>
      <c r="BD310" s="63">
        <v>0.0</v>
      </c>
      <c r="BE310" s="64">
        <v>0.0</v>
      </c>
      <c r="BF310" s="65">
        <v>0.0</v>
      </c>
      <c r="BG310" s="65">
        <v>0.0</v>
      </c>
      <c r="BH310" s="66">
        <v>0.0</v>
      </c>
      <c r="BI310" s="67" t="str">
        <f t="shared" si="105"/>
        <v>#REF!</v>
      </c>
      <c r="BJ310" s="68" t="str">
        <f t="shared" si="106"/>
        <v>#REF!</v>
      </c>
      <c r="BK310" s="65">
        <v>127245.0</v>
      </c>
      <c r="BL310" s="65">
        <v>0.0</v>
      </c>
      <c r="BM310" s="66">
        <v>127245.0</v>
      </c>
      <c r="BN310" s="67" t="str">
        <f t="shared" si="107"/>
        <v>#REF!</v>
      </c>
      <c r="BO310" s="68" t="str">
        <f t="shared" si="108"/>
        <v>#REF!</v>
      </c>
      <c r="BP310" s="65">
        <v>82840.0</v>
      </c>
      <c r="BQ310" s="65">
        <v>0.0</v>
      </c>
      <c r="BR310" s="66">
        <v>82840.0</v>
      </c>
      <c r="BS310" s="67" t="str">
        <f t="shared" si="109"/>
        <v>#REF!</v>
      </c>
      <c r="BT310" s="68" t="str">
        <f>'[1]DATA CONSOLIDADA 2018-2025 '!$BR310-Hoja1!$BO310</f>
        <v>#REF!</v>
      </c>
      <c r="BU310" s="65">
        <v>0.0</v>
      </c>
      <c r="BV310" s="65">
        <v>0.0</v>
      </c>
      <c r="BW310" s="66">
        <v>0.0</v>
      </c>
      <c r="BX310" s="67" t="str">
        <f t="shared" si="110"/>
        <v>#REF!</v>
      </c>
      <c r="BY310" s="68" t="str">
        <f t="shared" si="111"/>
        <v>#REF!</v>
      </c>
      <c r="BZ310" s="65">
        <v>0.0</v>
      </c>
      <c r="CA310" s="65">
        <v>0.0</v>
      </c>
      <c r="CB310" s="66">
        <v>0.0</v>
      </c>
      <c r="CC310" s="67" t="str">
        <f t="shared" si="112"/>
        <v>#REF!</v>
      </c>
      <c r="CD310" s="68" t="str">
        <f>'[1]DATA CONSOLIDADA 2018-2025 '!$CB310-Hoja1!$BW310</f>
        <v>#REF!</v>
      </c>
      <c r="CE310" s="70">
        <v>0.0</v>
      </c>
      <c r="CF310" s="70">
        <v>0.0</v>
      </c>
      <c r="CG310" s="71">
        <v>0.0</v>
      </c>
      <c r="CH310" s="67" t="str">
        <f t="shared" si="113"/>
        <v>#REF!</v>
      </c>
      <c r="CI310" s="68" t="str">
        <f>'[1]DATA CONSOLIDADA 2018-2025 '!$CG310-Hoja1!$CB310</f>
        <v>#REF!</v>
      </c>
      <c r="CJ310" s="64" t="str">
        <f t="shared" si="68"/>
        <v>#REF!</v>
      </c>
      <c r="CK310" s="64">
        <v>0.0</v>
      </c>
      <c r="CL310" s="64">
        <v>0.0</v>
      </c>
      <c r="CM310" s="64">
        <v>0.0</v>
      </c>
      <c r="CN310" s="64" t="str">
        <f t="shared" si="12"/>
        <v>#REF!</v>
      </c>
      <c r="CO310" s="68" t="str">
        <f>'[1]DATA CONSOLIDADA 2018-2025 '!$CM310-Hoja1!$CG310</f>
        <v>#REF!</v>
      </c>
      <c r="CP310" s="70">
        <v>0.0</v>
      </c>
      <c r="CQ310" s="70">
        <v>0.0</v>
      </c>
      <c r="CR310" s="70">
        <v>0.0</v>
      </c>
      <c r="CS310" s="70">
        <v>0.0</v>
      </c>
      <c r="CT310" s="70">
        <v>0.0</v>
      </c>
      <c r="CU310" s="70">
        <v>0.0</v>
      </c>
      <c r="CV310" s="64">
        <v>0.0</v>
      </c>
      <c r="CW310" s="64">
        <v>0.0</v>
      </c>
      <c r="CX310" s="64">
        <v>0.0</v>
      </c>
      <c r="CY310" s="64">
        <v>0.0</v>
      </c>
      <c r="CZ310" s="64">
        <v>0.0</v>
      </c>
      <c r="DA310" s="64">
        <v>0.0</v>
      </c>
      <c r="DB310" s="64">
        <v>0.0</v>
      </c>
      <c r="DC310" s="72">
        <v>0.0</v>
      </c>
      <c r="DD310" s="72">
        <v>0.0</v>
      </c>
      <c r="DE310" s="72">
        <v>0.0</v>
      </c>
      <c r="DF310" s="72">
        <v>0.0</v>
      </c>
      <c r="DG310" s="72">
        <v>0.0</v>
      </c>
      <c r="DH310" s="72">
        <v>0.0</v>
      </c>
      <c r="DI310" s="73">
        <v>2.0533006346E10</v>
      </c>
      <c r="DJ310" s="74" t="s">
        <v>1133</v>
      </c>
      <c r="DK310" s="74" t="s">
        <v>138</v>
      </c>
      <c r="DL310" s="75"/>
      <c r="DM310" s="75"/>
      <c r="DN310" s="75"/>
      <c r="DO310" s="75"/>
      <c r="DP310" s="75"/>
      <c r="DQ310" s="75"/>
      <c r="DR310" s="75"/>
      <c r="DS310" s="75"/>
      <c r="DT310" s="75"/>
      <c r="DU310" s="75"/>
      <c r="DV310" s="75"/>
      <c r="DW310" s="75"/>
      <c r="DX310" s="75"/>
      <c r="DY310" s="75"/>
      <c r="DZ310" s="75"/>
      <c r="EA310" s="75"/>
      <c r="EB310" s="75"/>
      <c r="EC310" s="75"/>
      <c r="ED310" s="75"/>
      <c r="EE310" s="75"/>
    </row>
    <row r="311" ht="47.25" hidden="1" customHeight="1">
      <c r="A311" s="55" t="s">
        <v>1134</v>
      </c>
      <c r="B311" s="55" t="s">
        <v>898</v>
      </c>
      <c r="C311" s="55" t="s">
        <v>898</v>
      </c>
      <c r="D311" s="55" t="s">
        <v>887</v>
      </c>
      <c r="E311" s="55" t="s">
        <v>1135</v>
      </c>
      <c r="F311" s="55" t="s">
        <v>1117</v>
      </c>
      <c r="G311" s="55" t="s">
        <v>1136</v>
      </c>
      <c r="H311" s="55" t="s">
        <v>1137</v>
      </c>
      <c r="I311" s="56"/>
      <c r="J311" s="56">
        <v>1.0</v>
      </c>
      <c r="K311" s="56">
        <v>1.0</v>
      </c>
      <c r="L311" s="56"/>
      <c r="M311" s="56"/>
      <c r="N311" s="56"/>
      <c r="O311" s="56"/>
      <c r="P311" s="56"/>
      <c r="Q311" s="56" t="s">
        <v>131</v>
      </c>
      <c r="R311" s="58" t="str">
        <f t="shared" si="1"/>
        <v>2019-2020</v>
      </c>
      <c r="S311" s="59" t="str">
        <f>SUM(Hoja1!$I311:$P311)</f>
        <v>2</v>
      </c>
      <c r="T311" s="59" t="str">
        <f>IF(OR(Hoja1!$J311=1,Hoja1!$K311=1,Hoja1!$L311=1,Hoja1!$M311=1,Hoja1!$N311=1,Hoja1!$O311=1,Hoja1!$P311=1),"SI","NO")</f>
        <v>SI</v>
      </c>
      <c r="U311" s="59" t="str">
        <f>IF(OR(Hoja1!$K311=1,Hoja1!$L311=1,Hoja1!$M311=1,Hoja1!$N311=1,Hoja1!$O311=1,Hoja1!$P311=1),"SI","NO")</f>
        <v>SI</v>
      </c>
      <c r="V311" s="60">
        <v>0.0</v>
      </c>
      <c r="W311" s="61">
        <v>41.0</v>
      </c>
      <c r="X311" s="61">
        <v>17.0</v>
      </c>
      <c r="Y311" s="60">
        <v>58.0</v>
      </c>
      <c r="Z311" s="61">
        <v>38.0</v>
      </c>
      <c r="AA311" s="61">
        <v>15.0</v>
      </c>
      <c r="AB311" s="60">
        <v>53.0</v>
      </c>
      <c r="AC311" s="61">
        <v>0.0</v>
      </c>
      <c r="AD311" s="61">
        <v>0.0</v>
      </c>
      <c r="AE311" s="60">
        <v>0.0</v>
      </c>
      <c r="AF311" s="61">
        <v>0.0</v>
      </c>
      <c r="AG311" s="61">
        <v>0.0</v>
      </c>
      <c r="AH311" s="60">
        <v>0.0</v>
      </c>
      <c r="AI311" s="61">
        <v>0.0</v>
      </c>
      <c r="AJ311" s="61">
        <v>0.0</v>
      </c>
      <c r="AK311" s="60">
        <v>0.0</v>
      </c>
      <c r="AL311" s="61">
        <v>0.0</v>
      </c>
      <c r="AM311" s="61">
        <v>0.0</v>
      </c>
      <c r="AN311" s="60">
        <v>0.0</v>
      </c>
      <c r="AO311" s="62">
        <v>0.0</v>
      </c>
      <c r="AP311" s="62">
        <v>0.0</v>
      </c>
      <c r="AQ311" s="60">
        <v>0.0</v>
      </c>
      <c r="AR311" s="60" t="str">
        <f>IF(Hoja1!$AQ311&gt;0,Hoja1!$AQ311,IF(Hoja1!$AN311&gt;0,Hoja1!$AN311,IF(Hoja1!$AK311&gt;0,Hoja1!$AK311,IF(Hoja1!$AH311&gt;0,Hoja1!$AH311,IF(Hoja1!$AE311&gt;0,Hoja1!$AE311,IF(Hoja1!$AB311&gt;0,Hoja1!$AB311,IF(Hoja1!$Y311&gt;0,Hoja1!$Y311,IF(Hoja1!$V311&gt;0,Hoja1!$V311," ---"))))))))</f>
        <v>53</v>
      </c>
      <c r="AS311" s="63">
        <v>0.0</v>
      </c>
      <c r="AT311" s="63">
        <v>0.0</v>
      </c>
      <c r="AU311" s="63">
        <v>0.0</v>
      </c>
      <c r="AV311" s="63">
        <v>0.0</v>
      </c>
      <c r="AW311" s="63">
        <v>0.0</v>
      </c>
      <c r="AX311" s="63">
        <v>0.0</v>
      </c>
      <c r="AY311" s="63">
        <v>0.0</v>
      </c>
      <c r="AZ311" s="63">
        <v>0.0</v>
      </c>
      <c r="BA311" s="63">
        <v>0.0</v>
      </c>
      <c r="BB311" s="63">
        <v>0.0</v>
      </c>
      <c r="BC311" s="63">
        <v>0.0</v>
      </c>
      <c r="BD311" s="63">
        <v>0.0</v>
      </c>
      <c r="BE311" s="64">
        <v>0.0</v>
      </c>
      <c r="BF311" s="65">
        <v>0.0</v>
      </c>
      <c r="BG311" s="65">
        <v>0.0</v>
      </c>
      <c r="BH311" s="66">
        <v>0.0</v>
      </c>
      <c r="BI311" s="67" t="str">
        <f t="shared" si="105"/>
        <v>#REF!</v>
      </c>
      <c r="BJ311" s="68" t="str">
        <f t="shared" si="106"/>
        <v>#REF!</v>
      </c>
      <c r="BK311" s="65">
        <v>0.0</v>
      </c>
      <c r="BL311" s="65">
        <v>0.0</v>
      </c>
      <c r="BM311" s="66">
        <v>0.0</v>
      </c>
      <c r="BN311" s="67" t="str">
        <f t="shared" si="107"/>
        <v>#REF!</v>
      </c>
      <c r="BO311" s="68" t="str">
        <f t="shared" si="108"/>
        <v>#REF!</v>
      </c>
      <c r="BP311" s="65">
        <v>0.0</v>
      </c>
      <c r="BQ311" s="65">
        <v>0.0</v>
      </c>
      <c r="BR311" s="66">
        <v>0.0</v>
      </c>
      <c r="BS311" s="67" t="str">
        <f t="shared" si="109"/>
        <v>#REF!</v>
      </c>
      <c r="BT311" s="68" t="str">
        <f>'[1]DATA CONSOLIDADA 2018-2025 '!$BR311-Hoja1!$BO311</f>
        <v>#REF!</v>
      </c>
      <c r="BU311" s="65">
        <v>0.0</v>
      </c>
      <c r="BV311" s="65">
        <v>0.0</v>
      </c>
      <c r="BW311" s="66">
        <v>0.0</v>
      </c>
      <c r="BX311" s="67" t="str">
        <f t="shared" si="110"/>
        <v>#REF!</v>
      </c>
      <c r="BY311" s="68" t="str">
        <f t="shared" si="111"/>
        <v>#REF!</v>
      </c>
      <c r="BZ311" s="65">
        <v>0.0</v>
      </c>
      <c r="CA311" s="65">
        <v>0.0</v>
      </c>
      <c r="CB311" s="66">
        <v>0.0</v>
      </c>
      <c r="CC311" s="67" t="str">
        <f t="shared" si="112"/>
        <v>#REF!</v>
      </c>
      <c r="CD311" s="68" t="str">
        <f>'[1]DATA CONSOLIDADA 2018-2025 '!$CB311-Hoja1!$BW311</f>
        <v>#REF!</v>
      </c>
      <c r="CE311" s="70">
        <v>0.0</v>
      </c>
      <c r="CF311" s="70">
        <v>0.0</v>
      </c>
      <c r="CG311" s="71">
        <v>0.0</v>
      </c>
      <c r="CH311" s="67" t="str">
        <f t="shared" si="113"/>
        <v>#REF!</v>
      </c>
      <c r="CI311" s="68" t="str">
        <f>'[1]DATA CONSOLIDADA 2018-2025 '!$CG311-Hoja1!$CB311</f>
        <v>#REF!</v>
      </c>
      <c r="CJ311" s="64" t="str">
        <f t="shared" si="68"/>
        <v>#REF!</v>
      </c>
      <c r="CK311" s="64">
        <v>0.0</v>
      </c>
      <c r="CL311" s="64">
        <v>0.0</v>
      </c>
      <c r="CM311" s="64">
        <v>0.0</v>
      </c>
      <c r="CN311" s="64" t="str">
        <f t="shared" si="12"/>
        <v>#REF!</v>
      </c>
      <c r="CO311" s="68" t="str">
        <f>'[1]DATA CONSOLIDADA 2018-2025 '!$CM311-Hoja1!$CG311</f>
        <v>#REF!</v>
      </c>
      <c r="CP311" s="70">
        <v>0.0</v>
      </c>
      <c r="CQ311" s="70">
        <v>0.0</v>
      </c>
      <c r="CR311" s="70">
        <v>0.0</v>
      </c>
      <c r="CS311" s="70">
        <v>0.0</v>
      </c>
      <c r="CT311" s="70">
        <v>0.0</v>
      </c>
      <c r="CU311" s="70">
        <v>0.0</v>
      </c>
      <c r="CV311" s="64">
        <v>0.0</v>
      </c>
      <c r="CW311" s="64">
        <v>0.0</v>
      </c>
      <c r="CX311" s="64">
        <v>0.0</v>
      </c>
      <c r="CY311" s="64">
        <v>0.0</v>
      </c>
      <c r="CZ311" s="64">
        <v>0.0</v>
      </c>
      <c r="DA311" s="64">
        <v>0.0</v>
      </c>
      <c r="DB311" s="64">
        <v>0.0</v>
      </c>
      <c r="DC311" s="72">
        <v>0.0</v>
      </c>
      <c r="DD311" s="72">
        <v>0.0</v>
      </c>
      <c r="DE311" s="72">
        <v>0.0</v>
      </c>
      <c r="DF311" s="72">
        <v>0.0</v>
      </c>
      <c r="DG311" s="72">
        <v>0.0</v>
      </c>
      <c r="DH311" s="72">
        <v>0.0</v>
      </c>
      <c r="DI311" s="73">
        <v>2.0520081152E10</v>
      </c>
      <c r="DJ311" s="74" t="s">
        <v>1134</v>
      </c>
      <c r="DK311" s="74" t="s">
        <v>138</v>
      </c>
      <c r="DL311" s="75"/>
      <c r="DM311" s="75"/>
      <c r="DN311" s="75"/>
      <c r="DO311" s="75"/>
      <c r="DP311" s="75"/>
      <c r="DQ311" s="75"/>
      <c r="DR311" s="75"/>
      <c r="DS311" s="75"/>
      <c r="DT311" s="75"/>
      <c r="DU311" s="75"/>
      <c r="DV311" s="75"/>
      <c r="DW311" s="75"/>
      <c r="DX311" s="75"/>
      <c r="DY311" s="75"/>
      <c r="DZ311" s="75"/>
      <c r="EA311" s="75"/>
      <c r="EB311" s="75"/>
      <c r="EC311" s="75"/>
      <c r="ED311" s="75"/>
      <c r="EE311" s="75"/>
    </row>
    <row r="312" ht="47.25" hidden="1" customHeight="1">
      <c r="A312" s="55" t="s">
        <v>1138</v>
      </c>
      <c r="B312" s="55" t="s">
        <v>455</v>
      </c>
      <c r="C312" s="55" t="s">
        <v>455</v>
      </c>
      <c r="D312" s="55" t="s">
        <v>887</v>
      </c>
      <c r="E312" s="55" t="s">
        <v>1139</v>
      </c>
      <c r="F312" s="55" t="s">
        <v>1117</v>
      </c>
      <c r="G312" s="55" t="s">
        <v>1131</v>
      </c>
      <c r="H312" s="55" t="s">
        <v>1140</v>
      </c>
      <c r="I312" s="74"/>
      <c r="J312" s="74"/>
      <c r="K312" s="74"/>
      <c r="L312" s="74"/>
      <c r="M312" s="56">
        <v>1.0</v>
      </c>
      <c r="N312" s="56">
        <v>1.0</v>
      </c>
      <c r="O312" s="56">
        <v>1.0</v>
      </c>
      <c r="P312" s="56">
        <v>1.0</v>
      </c>
      <c r="Q312" s="56" t="s">
        <v>131</v>
      </c>
      <c r="R312" s="58" t="str">
        <f t="shared" si="1"/>
        <v>2022-2023-2024 - 2025</v>
      </c>
      <c r="S312" s="59" t="str">
        <f>SUM(Hoja1!$I312:$P312)</f>
        <v>4</v>
      </c>
      <c r="T312" s="59" t="str">
        <f>IF(OR(Hoja1!$J312=1,Hoja1!$K312=1,Hoja1!$L312=1,Hoja1!$M312=1,Hoja1!$N312=1,Hoja1!$O312=1,Hoja1!$P312=1),"SI","NO")</f>
        <v>SI</v>
      </c>
      <c r="U312" s="59" t="str">
        <f>IF(OR(Hoja1!$K312=1,Hoja1!$L312=1,Hoja1!$M312=1,Hoja1!$N312=1,Hoja1!$O312=1,Hoja1!$P312=1),"SI","NO")</f>
        <v>SI</v>
      </c>
      <c r="V312" s="60">
        <v>0.0</v>
      </c>
      <c r="W312" s="61">
        <v>0.0</v>
      </c>
      <c r="X312" s="61">
        <v>0.0</v>
      </c>
      <c r="Y312" s="60">
        <v>0.0</v>
      </c>
      <c r="Z312" s="61">
        <v>0.0</v>
      </c>
      <c r="AA312" s="61">
        <v>0.0</v>
      </c>
      <c r="AB312" s="60">
        <v>0.0</v>
      </c>
      <c r="AC312" s="61">
        <v>0.0</v>
      </c>
      <c r="AD312" s="61">
        <v>0.0</v>
      </c>
      <c r="AE312" s="60">
        <v>0.0</v>
      </c>
      <c r="AF312" s="61">
        <v>2.0</v>
      </c>
      <c r="AG312" s="61">
        <v>10.0</v>
      </c>
      <c r="AH312" s="60">
        <v>12.0</v>
      </c>
      <c r="AI312" s="61">
        <v>2.0</v>
      </c>
      <c r="AJ312" s="61">
        <v>10.0</v>
      </c>
      <c r="AK312" s="60">
        <v>12.0</v>
      </c>
      <c r="AL312" s="61">
        <v>2.0</v>
      </c>
      <c r="AM312" s="61">
        <v>10.0</v>
      </c>
      <c r="AN312" s="60">
        <v>12.0</v>
      </c>
      <c r="AO312" s="62">
        <v>2.0</v>
      </c>
      <c r="AP312" s="62">
        <v>11.0</v>
      </c>
      <c r="AQ312" s="60">
        <v>13.0</v>
      </c>
      <c r="AR312" s="60" t="str">
        <f>IF(Hoja1!$AQ312&gt;0,Hoja1!$AQ312,IF(Hoja1!$AN312&gt;0,Hoja1!$AN312,IF(Hoja1!$AK312&gt;0,Hoja1!$AK312,IF(Hoja1!$AH312&gt;0,Hoja1!$AH312,IF(Hoja1!$AE312&gt;0,Hoja1!$AE312,IF(Hoja1!$AB312&gt;0,Hoja1!$AB312,IF(Hoja1!$Y312&gt;0,Hoja1!$Y312,IF(Hoja1!$V312&gt;0,Hoja1!$V312," ---"))))))))</f>
        <v>13</v>
      </c>
      <c r="AS312" s="63">
        <v>0.0</v>
      </c>
      <c r="AT312" s="63">
        <v>0.0</v>
      </c>
      <c r="AU312" s="63">
        <v>0.0</v>
      </c>
      <c r="AV312" s="63">
        <v>0.0</v>
      </c>
      <c r="AW312" s="63">
        <v>31.0</v>
      </c>
      <c r="AX312" s="63">
        <v>5.0</v>
      </c>
      <c r="AY312" s="63">
        <v>46.0</v>
      </c>
      <c r="AZ312" s="63">
        <v>8.0</v>
      </c>
      <c r="BA312" s="63">
        <v>33.0</v>
      </c>
      <c r="BB312" s="63">
        <v>5.0</v>
      </c>
      <c r="BC312" s="63">
        <v>21.0</v>
      </c>
      <c r="BD312" s="63">
        <v>4.0</v>
      </c>
      <c r="BE312" s="66">
        <v>0.0</v>
      </c>
      <c r="BF312" s="65">
        <v>0.0</v>
      </c>
      <c r="BG312" s="65">
        <v>0.0</v>
      </c>
      <c r="BH312" s="66">
        <v>0.0</v>
      </c>
      <c r="BI312" s="67" t="str">
        <f t="shared" si="105"/>
        <v>#REF!</v>
      </c>
      <c r="BJ312" s="68" t="str">
        <f t="shared" si="106"/>
        <v>#REF!</v>
      </c>
      <c r="BK312" s="65">
        <v>0.0</v>
      </c>
      <c r="BL312" s="65">
        <v>0.0</v>
      </c>
      <c r="BM312" s="66">
        <v>0.0</v>
      </c>
      <c r="BN312" s="67" t="str">
        <f t="shared" si="107"/>
        <v>#REF!</v>
      </c>
      <c r="BO312" s="68" t="str">
        <f t="shared" si="108"/>
        <v>#REF!</v>
      </c>
      <c r="BP312" s="69">
        <v>0.0</v>
      </c>
      <c r="BQ312" s="69">
        <v>0.0</v>
      </c>
      <c r="BR312" s="64">
        <v>0.0</v>
      </c>
      <c r="BS312" s="67" t="str">
        <f t="shared" si="109"/>
        <v>#REF!</v>
      </c>
      <c r="BT312" s="68" t="str">
        <f>'[1]DATA CONSOLIDADA 2018-2025 '!$BR597-Hoja1!$BO312</f>
        <v>#REF!</v>
      </c>
      <c r="BU312" s="65">
        <v>65317.4</v>
      </c>
      <c r="BV312" s="65">
        <v>0.0</v>
      </c>
      <c r="BW312" s="66">
        <v>65317.4</v>
      </c>
      <c r="BX312" s="67" t="str">
        <f t="shared" si="110"/>
        <v>#REF!</v>
      </c>
      <c r="BY312" s="68" t="str">
        <f t="shared" si="111"/>
        <v>#REF!</v>
      </c>
      <c r="BZ312" s="65">
        <v>96627.0</v>
      </c>
      <c r="CA312" s="65">
        <v>0.0</v>
      </c>
      <c r="CB312" s="66">
        <v>96627.0</v>
      </c>
      <c r="CC312" s="67" t="str">
        <f t="shared" si="112"/>
        <v>#REF!</v>
      </c>
      <c r="CD312" s="68" t="str">
        <f>'[1]DATA CONSOLIDADA 2018-2025 '!$CB597-Hoja1!$BW312</f>
        <v>#REF!</v>
      </c>
      <c r="CE312" s="70">
        <v>119601.0</v>
      </c>
      <c r="CF312" s="70">
        <v>0.0</v>
      </c>
      <c r="CG312" s="71">
        <v>119601.0</v>
      </c>
      <c r="CH312" s="67" t="str">
        <f t="shared" si="113"/>
        <v>#REF!</v>
      </c>
      <c r="CI312" s="68" t="str">
        <f>'[1]DATA CONSOLIDADA 2018-2025 '!$CG597-Hoja1!$CB312</f>
        <v>#REF!</v>
      </c>
      <c r="CJ312" s="64" t="str">
        <f>'[1]DATA CONSOLIDADA 2018-2025 '!$BE597+'[1]DATA CONSOLIDADA 2018-2025 '!$BH597+'[1]DATA CONSOLIDADA 2018-2025 '!$BM597+'[1]DATA CONSOLIDADA 2018-2025 '!$BR597+'[1]DATA CONSOLIDADA 2018-2025 '!$BW597+'[1]DATA CONSOLIDADA 2018-2025 '!$CB597+'[1]DATA CONSOLIDADA 2018-2025 '!$CG597</f>
        <v>#REF!</v>
      </c>
      <c r="CK312" s="64">
        <v>103840.0</v>
      </c>
      <c r="CL312" s="64">
        <v>0.0</v>
      </c>
      <c r="CM312" s="64">
        <v>103840.0</v>
      </c>
      <c r="CN312" s="64" t="str">
        <f t="shared" si="12"/>
        <v>#REF!</v>
      </c>
      <c r="CO312" s="68" t="str">
        <f>'[1]DATA CONSOLIDADA 2018-2025 '!$CM312-Hoja1!$CG312</f>
        <v>#REF!</v>
      </c>
      <c r="CP312" s="70">
        <v>0.0</v>
      </c>
      <c r="CQ312" s="70">
        <v>96627.0</v>
      </c>
      <c r="CR312" s="70">
        <v>0.0</v>
      </c>
      <c r="CS312" s="70">
        <v>0.0</v>
      </c>
      <c r="CT312" s="70">
        <v>0.0</v>
      </c>
      <c r="CU312" s="70">
        <v>0.0</v>
      </c>
      <c r="CV312" s="64">
        <v>96627.0</v>
      </c>
      <c r="CW312" s="64">
        <v>0.0</v>
      </c>
      <c r="CX312" s="64">
        <v>119601.0</v>
      </c>
      <c r="CY312" s="64">
        <v>0.0</v>
      </c>
      <c r="CZ312" s="64">
        <v>0.0</v>
      </c>
      <c r="DA312" s="64">
        <v>0.0</v>
      </c>
      <c r="DB312" s="64">
        <v>119601.0</v>
      </c>
      <c r="DC312" s="72">
        <v>0.0</v>
      </c>
      <c r="DD312" s="72">
        <v>103840.0</v>
      </c>
      <c r="DE312" s="72">
        <v>0.0</v>
      </c>
      <c r="DF312" s="72">
        <v>0.0</v>
      </c>
      <c r="DG312" s="72">
        <v>0.0</v>
      </c>
      <c r="DH312" s="72">
        <v>103840.0</v>
      </c>
      <c r="DI312" s="73">
        <v>2.0606192119E10</v>
      </c>
      <c r="DJ312" s="74" t="s">
        <v>1141</v>
      </c>
      <c r="DK312" s="74" t="s">
        <v>138</v>
      </c>
      <c r="DL312" s="75"/>
      <c r="DM312" s="75"/>
      <c r="DN312" s="75"/>
      <c r="DO312" s="75"/>
      <c r="DP312" s="75"/>
      <c r="DQ312" s="75"/>
      <c r="DR312" s="75"/>
      <c r="DS312" s="75"/>
      <c r="DT312" s="75"/>
      <c r="DU312" s="75"/>
      <c r="DV312" s="75"/>
      <c r="DW312" s="75"/>
      <c r="DX312" s="75"/>
      <c r="DY312" s="75"/>
      <c r="DZ312" s="75"/>
      <c r="EA312" s="75"/>
      <c r="EB312" s="75"/>
      <c r="EC312" s="75"/>
      <c r="ED312" s="75"/>
      <c r="EE312" s="75"/>
    </row>
    <row r="313" ht="47.25" hidden="1" customHeight="1">
      <c r="A313" s="55" t="s">
        <v>1142</v>
      </c>
      <c r="B313" s="55" t="s">
        <v>898</v>
      </c>
      <c r="C313" s="55" t="s">
        <v>898</v>
      </c>
      <c r="D313" s="55" t="s">
        <v>887</v>
      </c>
      <c r="E313" s="55" t="s">
        <v>1143</v>
      </c>
      <c r="F313" s="55" t="s">
        <v>1117</v>
      </c>
      <c r="G313" s="55" t="s">
        <v>1131</v>
      </c>
      <c r="H313" s="55" t="s">
        <v>1144</v>
      </c>
      <c r="I313" s="74"/>
      <c r="J313" s="74"/>
      <c r="K313" s="74"/>
      <c r="L313" s="74"/>
      <c r="M313" s="56">
        <v>1.0</v>
      </c>
      <c r="N313" s="56">
        <v>1.0</v>
      </c>
      <c r="O313" s="56">
        <v>1.0</v>
      </c>
      <c r="P313" s="56">
        <v>1.0</v>
      </c>
      <c r="Q313" s="56" t="s">
        <v>131</v>
      </c>
      <c r="R313" s="58" t="str">
        <f t="shared" si="1"/>
        <v>2022-2023-2024 - 2025</v>
      </c>
      <c r="S313" s="59" t="str">
        <f>SUM(Hoja1!$I313:$P313)</f>
        <v>4</v>
      </c>
      <c r="T313" s="59" t="str">
        <f>IF(OR(Hoja1!$J313=1,Hoja1!$K313=1,Hoja1!$L313=1,Hoja1!$M313=1,Hoja1!$N313=1,Hoja1!$O313=1,Hoja1!$P313=1),"SI","NO")</f>
        <v>SI</v>
      </c>
      <c r="U313" s="59" t="str">
        <f>IF(OR(Hoja1!$K313=1,Hoja1!$L313=1,Hoja1!$M313=1,Hoja1!$N313=1,Hoja1!$O313=1,Hoja1!$P313=1),"SI","NO")</f>
        <v>SI</v>
      </c>
      <c r="V313" s="60">
        <v>0.0</v>
      </c>
      <c r="W313" s="61">
        <v>0.0</v>
      </c>
      <c r="X313" s="61">
        <v>0.0</v>
      </c>
      <c r="Y313" s="60">
        <v>0.0</v>
      </c>
      <c r="Z313" s="61">
        <v>0.0</v>
      </c>
      <c r="AA313" s="61">
        <v>0.0</v>
      </c>
      <c r="AB313" s="60">
        <v>0.0</v>
      </c>
      <c r="AC313" s="61">
        <v>0.0</v>
      </c>
      <c r="AD313" s="61">
        <v>0.0</v>
      </c>
      <c r="AE313" s="60">
        <v>0.0</v>
      </c>
      <c r="AF313" s="61">
        <v>15.0</v>
      </c>
      <c r="AG313" s="61">
        <v>15.0</v>
      </c>
      <c r="AH313" s="60">
        <v>30.0</v>
      </c>
      <c r="AI313" s="61">
        <v>15.0</v>
      </c>
      <c r="AJ313" s="61">
        <v>15.0</v>
      </c>
      <c r="AK313" s="60">
        <v>30.0</v>
      </c>
      <c r="AL313" s="61">
        <v>15.0</v>
      </c>
      <c r="AM313" s="61">
        <v>12.0</v>
      </c>
      <c r="AN313" s="60">
        <v>27.0</v>
      </c>
      <c r="AO313" s="62">
        <v>9.0</v>
      </c>
      <c r="AP313" s="62">
        <v>12.0</v>
      </c>
      <c r="AQ313" s="60">
        <v>21.0</v>
      </c>
      <c r="AR313" s="60" t="str">
        <f>IF(Hoja1!$AQ313&gt;0,Hoja1!$AQ313,IF(Hoja1!$AN313&gt;0,Hoja1!$AN313,IF(Hoja1!$AK313&gt;0,Hoja1!$AK313,IF(Hoja1!$AH313&gt;0,Hoja1!$AH313,IF(Hoja1!$AE313&gt;0,Hoja1!$AE313,IF(Hoja1!$AB313&gt;0,Hoja1!$AB313,IF(Hoja1!$Y313&gt;0,Hoja1!$Y313,IF(Hoja1!$V313&gt;0,Hoja1!$V313," ---"))))))))</f>
        <v>21</v>
      </c>
      <c r="AS313" s="63">
        <v>0.0</v>
      </c>
      <c r="AT313" s="63">
        <v>0.0</v>
      </c>
      <c r="AU313" s="63">
        <v>0.0</v>
      </c>
      <c r="AV313" s="63">
        <v>0.0</v>
      </c>
      <c r="AW313" s="63">
        <v>31.0</v>
      </c>
      <c r="AX313" s="63">
        <v>5.0</v>
      </c>
      <c r="AY313" s="63">
        <v>45.0</v>
      </c>
      <c r="AZ313" s="63">
        <v>8.0</v>
      </c>
      <c r="BA313" s="63">
        <v>33.0</v>
      </c>
      <c r="BB313" s="63">
        <v>5.0</v>
      </c>
      <c r="BC313" s="63">
        <v>21.0</v>
      </c>
      <c r="BD313" s="63">
        <v>4.0</v>
      </c>
      <c r="BE313" s="66">
        <v>0.0</v>
      </c>
      <c r="BF313" s="65">
        <v>0.0</v>
      </c>
      <c r="BG313" s="65">
        <v>0.0</v>
      </c>
      <c r="BH313" s="66">
        <v>0.0</v>
      </c>
      <c r="BI313" s="67" t="str">
        <f t="shared" si="105"/>
        <v>#REF!</v>
      </c>
      <c r="BJ313" s="68" t="str">
        <f t="shared" si="106"/>
        <v>#REF!</v>
      </c>
      <c r="BK313" s="65">
        <v>0.0</v>
      </c>
      <c r="BL313" s="65">
        <v>0.0</v>
      </c>
      <c r="BM313" s="66">
        <v>0.0</v>
      </c>
      <c r="BN313" s="67" t="str">
        <f t="shared" si="107"/>
        <v>#REF!</v>
      </c>
      <c r="BO313" s="68" t="str">
        <f t="shared" si="108"/>
        <v>#REF!</v>
      </c>
      <c r="BP313" s="69">
        <v>0.0</v>
      </c>
      <c r="BQ313" s="69">
        <v>0.0</v>
      </c>
      <c r="BR313" s="64">
        <v>0.0</v>
      </c>
      <c r="BS313" s="67" t="str">
        <f t="shared" si="109"/>
        <v>#REF!</v>
      </c>
      <c r="BT313" s="68" t="str">
        <f>'[1]DATA CONSOLIDADA 2018-2025 '!$BR313-Hoja1!$BO313</f>
        <v>#REF!</v>
      </c>
      <c r="BU313" s="65">
        <v>91904.0</v>
      </c>
      <c r="BV313" s="65">
        <v>0.0</v>
      </c>
      <c r="BW313" s="66">
        <v>91904.0</v>
      </c>
      <c r="BX313" s="67" t="str">
        <f t="shared" si="110"/>
        <v>#REF!</v>
      </c>
      <c r="BY313" s="68" t="str">
        <f t="shared" si="111"/>
        <v>#REF!</v>
      </c>
      <c r="BZ313" s="65">
        <v>189049.5</v>
      </c>
      <c r="CA313" s="65">
        <v>0.0</v>
      </c>
      <c r="CB313" s="66">
        <v>189049.5</v>
      </c>
      <c r="CC313" s="67" t="str">
        <f t="shared" si="112"/>
        <v>#REF!</v>
      </c>
      <c r="CD313" s="68" t="str">
        <f>'[1]DATA CONSOLIDADA 2018-2025 '!$CB313-Hoja1!$BW313</f>
        <v>#REF!</v>
      </c>
      <c r="CE313" s="70">
        <v>158363.5</v>
      </c>
      <c r="CF313" s="70">
        <v>0.0</v>
      </c>
      <c r="CG313" s="71">
        <v>158363.5</v>
      </c>
      <c r="CH313" s="67" t="str">
        <f t="shared" si="113"/>
        <v>#REF!</v>
      </c>
      <c r="CI313" s="68" t="str">
        <f>'[1]DATA CONSOLIDADA 2018-2025 '!$CG313-Hoja1!$CB313</f>
        <v>#REF!</v>
      </c>
      <c r="CJ313" s="64" t="str">
        <f t="shared" ref="CJ313:CJ349" si="114">'[1]DATA CONSOLIDADA 2018-2025 '!$BE313+'[1]DATA CONSOLIDADA 2018-2025 '!$BH313+'[1]DATA CONSOLIDADA 2018-2025 '!$BM313+'[1]DATA CONSOLIDADA 2018-2025 '!$BR313+'[1]DATA CONSOLIDADA 2018-2025 '!$BW313+'[1]DATA CONSOLIDADA 2018-2025 '!$CB313+'[1]DATA CONSOLIDADA 2018-2025 '!$CG313</f>
        <v>#REF!</v>
      </c>
      <c r="CK313" s="64">
        <v>107722.0009</v>
      </c>
      <c r="CL313" s="64">
        <v>0.0</v>
      </c>
      <c r="CM313" s="64">
        <v>107722.0009</v>
      </c>
      <c r="CN313" s="64" t="str">
        <f t="shared" si="12"/>
        <v>#REF!</v>
      </c>
      <c r="CO313" s="68" t="str">
        <f>'[1]DATA CONSOLIDADA 2018-2025 '!$CM313-Hoja1!$CG313</f>
        <v>#REF!</v>
      </c>
      <c r="CP313" s="70">
        <v>0.0</v>
      </c>
      <c r="CQ313" s="70">
        <v>189049.5</v>
      </c>
      <c r="CR313" s="70">
        <v>0.0</v>
      </c>
      <c r="CS313" s="70">
        <v>0.0</v>
      </c>
      <c r="CT313" s="70">
        <v>0.0</v>
      </c>
      <c r="CU313" s="70">
        <v>0.0</v>
      </c>
      <c r="CV313" s="64">
        <v>189049.5</v>
      </c>
      <c r="CW313" s="64">
        <v>0.0</v>
      </c>
      <c r="CX313" s="64">
        <v>158363.5</v>
      </c>
      <c r="CY313" s="64">
        <v>0.0</v>
      </c>
      <c r="CZ313" s="64">
        <v>0.0</v>
      </c>
      <c r="DA313" s="64">
        <v>0.0</v>
      </c>
      <c r="DB313" s="64">
        <v>158363.5</v>
      </c>
      <c r="DC313" s="72">
        <v>0.0</v>
      </c>
      <c r="DD313" s="72">
        <v>107722.0009</v>
      </c>
      <c r="DE313" s="72">
        <v>0.0</v>
      </c>
      <c r="DF313" s="72">
        <v>0.0</v>
      </c>
      <c r="DG313" s="72">
        <v>0.0</v>
      </c>
      <c r="DH313" s="72">
        <v>107722.0009</v>
      </c>
      <c r="DI313" s="73">
        <v>2.0607057363E10</v>
      </c>
      <c r="DJ313" s="74" t="s">
        <v>1142</v>
      </c>
      <c r="DK313" s="74" t="s">
        <v>138</v>
      </c>
      <c r="DL313" s="75"/>
      <c r="DM313" s="75"/>
      <c r="DN313" s="75"/>
      <c r="DO313" s="75"/>
      <c r="DP313" s="75"/>
      <c r="DQ313" s="75"/>
      <c r="DR313" s="75"/>
      <c r="DS313" s="75"/>
      <c r="DT313" s="75"/>
      <c r="DU313" s="75"/>
      <c r="DV313" s="75"/>
      <c r="DW313" s="75"/>
      <c r="DX313" s="75"/>
      <c r="DY313" s="75"/>
      <c r="DZ313" s="75"/>
      <c r="EA313" s="75"/>
      <c r="EB313" s="75"/>
      <c r="EC313" s="75"/>
      <c r="ED313" s="75"/>
      <c r="EE313" s="75"/>
    </row>
    <row r="314" ht="47.25" customHeight="1">
      <c r="A314" s="55" t="s">
        <v>1145</v>
      </c>
      <c r="B314" s="55" t="s">
        <v>146</v>
      </c>
      <c r="C314" s="55" t="s">
        <v>146</v>
      </c>
      <c r="D314" s="55" t="s">
        <v>1060</v>
      </c>
      <c r="E314" s="55" t="s">
        <v>1146</v>
      </c>
      <c r="F314" s="55" t="s">
        <v>1060</v>
      </c>
      <c r="G314" s="55" t="s">
        <v>1060</v>
      </c>
      <c r="H314" s="55" t="s">
        <v>1147</v>
      </c>
      <c r="I314" s="56"/>
      <c r="J314" s="56">
        <v>1.0</v>
      </c>
      <c r="K314" s="56">
        <v>1.0</v>
      </c>
      <c r="L314" s="56">
        <v>1.0</v>
      </c>
      <c r="M314" s="56">
        <v>1.0</v>
      </c>
      <c r="N314" s="56">
        <v>1.0</v>
      </c>
      <c r="O314" s="56"/>
      <c r="P314" s="56"/>
      <c r="Q314" s="56" t="s">
        <v>131</v>
      </c>
      <c r="R314" s="58" t="str">
        <f t="shared" si="1"/>
        <v>2019-2020-2021-2022-2023</v>
      </c>
      <c r="S314" s="59" t="str">
        <f>SUM(Hoja1!$I314:$P314)</f>
        <v>5</v>
      </c>
      <c r="T314" s="59" t="str">
        <f>IF(OR(Hoja1!$J314=1,Hoja1!$K314=1,Hoja1!$L314=1,Hoja1!$M314=1,Hoja1!$N314=1,Hoja1!$O314=1,Hoja1!$P314=1),"SI","NO")</f>
        <v>SI</v>
      </c>
      <c r="U314" s="59" t="str">
        <f>IF(OR(Hoja1!$K314=1,Hoja1!$L314=1,Hoja1!$M314=1,Hoja1!$N314=1,Hoja1!$O314=1,Hoja1!$P314=1),"SI","NO")</f>
        <v>SI</v>
      </c>
      <c r="V314" s="60">
        <v>0.0</v>
      </c>
      <c r="W314" s="61">
        <v>9.0</v>
      </c>
      <c r="X314" s="61">
        <v>4.0</v>
      </c>
      <c r="Y314" s="60">
        <v>13.0</v>
      </c>
      <c r="Z314" s="61">
        <v>282.0</v>
      </c>
      <c r="AA314" s="61">
        <v>39.0</v>
      </c>
      <c r="AB314" s="60">
        <v>321.0</v>
      </c>
      <c r="AC314" s="61">
        <v>284.0</v>
      </c>
      <c r="AD314" s="61">
        <v>37.0</v>
      </c>
      <c r="AE314" s="60">
        <v>321.0</v>
      </c>
      <c r="AF314" s="61">
        <v>284.0</v>
      </c>
      <c r="AG314" s="61">
        <v>37.0</v>
      </c>
      <c r="AH314" s="60">
        <v>321.0</v>
      </c>
      <c r="AI314" s="61">
        <v>284.0</v>
      </c>
      <c r="AJ314" s="61">
        <v>37.0</v>
      </c>
      <c r="AK314" s="60">
        <v>321.0</v>
      </c>
      <c r="AL314" s="61">
        <v>0.0</v>
      </c>
      <c r="AM314" s="61">
        <v>0.0</v>
      </c>
      <c r="AN314" s="60">
        <v>0.0</v>
      </c>
      <c r="AO314" s="62">
        <v>0.0</v>
      </c>
      <c r="AP314" s="62">
        <v>0.0</v>
      </c>
      <c r="AQ314" s="60">
        <v>0.0</v>
      </c>
      <c r="AR314" s="60" t="str">
        <f>IF(Hoja1!$AQ314&gt;0,Hoja1!$AQ314,IF(Hoja1!$AN314&gt;0,Hoja1!$AN314,IF(Hoja1!$AK314&gt;0,Hoja1!$AK314,IF(Hoja1!$AH314&gt;0,Hoja1!$AH314,IF(Hoja1!$AE314&gt;0,Hoja1!$AE314,IF(Hoja1!$AB314&gt;0,Hoja1!$AB314,IF(Hoja1!$Y314&gt;0,Hoja1!$Y314,IF(Hoja1!$V314&gt;0,Hoja1!$V314," ---"))))))))</f>
        <v>321</v>
      </c>
      <c r="AS314" s="63">
        <v>0.0</v>
      </c>
      <c r="AT314" s="63">
        <v>0.0</v>
      </c>
      <c r="AU314" s="63">
        <v>28.0</v>
      </c>
      <c r="AV314" s="63">
        <v>7.0</v>
      </c>
      <c r="AW314" s="63">
        <v>28.0</v>
      </c>
      <c r="AX314" s="63">
        <v>3.0</v>
      </c>
      <c r="AY314" s="63">
        <v>28.0</v>
      </c>
      <c r="AZ314" s="63">
        <v>4.0</v>
      </c>
      <c r="BA314" s="63">
        <v>0.0</v>
      </c>
      <c r="BB314" s="63">
        <v>0.0</v>
      </c>
      <c r="BC314" s="63">
        <v>0.0</v>
      </c>
      <c r="BD314" s="63">
        <v>0.0</v>
      </c>
      <c r="BE314" s="66">
        <v>0.0</v>
      </c>
      <c r="BF314" s="65">
        <v>292652.44</v>
      </c>
      <c r="BG314" s="65">
        <v>970784.34</v>
      </c>
      <c r="BH314" s="66">
        <v>1263436.78</v>
      </c>
      <c r="BI314" s="67" t="str">
        <f>IF('[1]DATA CONSOLIDADA 2018-2025 '!$BH298&gt;'[1]DATA CONSOLIDADA 2018-2025 '!$AN298,"Incremento",IF('[1]DATA CONSOLIDADA 2018-2025 '!$AN298='[1]DATA CONSOLIDADA 2018-2025 '!$BH298,"Sin incremento",IF('[1]DATA CONSOLIDADA 2018-2025 '!$BH298&lt;'[1]DATA CONSOLIDADA 2018-2025 '!$AN298,"Disminución"," ---")))</f>
        <v>#REF!</v>
      </c>
      <c r="BJ314" s="68" t="str">
        <f>'[1]DATA CONSOLIDADA 2018-2025 '!$BH298-'[1]DATA CONSOLIDADA 2018-2025 '!$BE298</f>
        <v>#REF!</v>
      </c>
      <c r="BK314" s="65">
        <v>1052657.07</v>
      </c>
      <c r="BL314" s="65">
        <v>1598902.84</v>
      </c>
      <c r="BM314" s="66">
        <v>2651559.91</v>
      </c>
      <c r="BN314" s="67" t="str">
        <f>IF('[1]DATA CONSOLIDADA 2018-2025 '!$BM298&gt;'[1]DATA CONSOLIDADA 2018-2025 '!$BH298,"Incremento",IF('[1]DATA CONSOLIDADA 2018-2025 '!$BH298='[1]DATA CONSOLIDADA 2018-2025 '!$BM298,"Sin incremento",IF('[1]DATA CONSOLIDADA 2018-2025 '!$BM298&lt;'[1]DATA CONSOLIDADA 2018-2025 '!$BH298,"Disminución"," ---")))</f>
        <v>#REF!</v>
      </c>
      <c r="BO314" s="68" t="str">
        <f>'[1]DATA CONSOLIDADA 2018-2025 '!$BM298-'[1]DATA CONSOLIDADA 2018-2025 '!$BH298</f>
        <v>#REF!</v>
      </c>
      <c r="BP314" s="65">
        <v>2086036.97</v>
      </c>
      <c r="BQ314" s="65">
        <v>1443978.62</v>
      </c>
      <c r="BR314" s="66">
        <v>3530015.59</v>
      </c>
      <c r="BS314" s="67" t="str">
        <f>IF('[1]DATA CONSOLIDADA 2018-2025 '!$BR298&gt;'[1]DATA CONSOLIDADA 2018-2025 '!$BM298,"Incremento",IF('[1]DATA CONSOLIDADA 2018-2025 '!$BM298='[1]DATA CONSOLIDADA 2018-2025 '!$BR298,"Sin incremento",IF('[1]DATA CONSOLIDADA 2018-2025 '!$BR298&lt;'[1]DATA CONSOLIDADA 2018-2025 '!$BM298,"Disminución"," ---")))</f>
        <v>#REF!</v>
      </c>
      <c r="BT314" s="68" t="str">
        <f>'[1]DATA CONSOLIDADA 2018-2025 '!$BR314-Hoja1!$BO314</f>
        <v>#REF!</v>
      </c>
      <c r="BU314" s="65">
        <v>629946.74</v>
      </c>
      <c r="BV314" s="65">
        <v>1072264.06</v>
      </c>
      <c r="BW314" s="66">
        <v>1702210.8</v>
      </c>
      <c r="BX314" s="67" t="str">
        <f>IF('[1]DATA CONSOLIDADA 2018-2025 '!$BW298&gt;'[1]DATA CONSOLIDADA 2018-2025 '!$BR298,"Incremento",IF('[1]DATA CONSOLIDADA 2018-2025 '!$BR298='[1]DATA CONSOLIDADA 2018-2025 '!$BW298,"Sin incremento",IF('[1]DATA CONSOLIDADA 2018-2025 '!$BW298&lt;'[1]DATA CONSOLIDADA 2018-2025 '!$BR298,"Disminución"," ---")))</f>
        <v>#REF!</v>
      </c>
      <c r="BY314" s="68" t="str">
        <f>'[1]DATA CONSOLIDADA 2018-2025 '!$BW298-'[1]DATA CONSOLIDADA 2018-2025 '!$BR298</f>
        <v>#REF!</v>
      </c>
      <c r="BZ314" s="65">
        <v>2012043.06</v>
      </c>
      <c r="CA314" s="65">
        <v>0.0</v>
      </c>
      <c r="CB314" s="66">
        <v>2012043.06</v>
      </c>
      <c r="CC314" s="67" t="str">
        <f>IF('[1]DATA CONSOLIDADA 2018-2025 '!$CB298&gt;'[1]DATA CONSOLIDADA 2018-2025 '!$BW298,"Incremento",IF('[1]DATA CONSOLIDADA 2018-2025 '!$BW298='[1]DATA CONSOLIDADA 2018-2025 '!$CB298,"Sin incremento",IF('[1]DATA CONSOLIDADA 2018-2025 '!$CB298&lt;'[1]DATA CONSOLIDADA 2018-2025 '!$BW298,"Disminución"," ---")))</f>
        <v>#REF!</v>
      </c>
      <c r="CD314" s="68" t="str">
        <f>'[1]DATA CONSOLIDADA 2018-2025 '!$CB314-Hoja1!$BW314</f>
        <v>#REF!</v>
      </c>
      <c r="CE314" s="70">
        <v>0.0</v>
      </c>
      <c r="CF314" s="70">
        <v>0.0</v>
      </c>
      <c r="CG314" s="71">
        <v>0.0</v>
      </c>
      <c r="CH314" s="67" t="str">
        <f>IF('[1]DATA CONSOLIDADA 2018-2025 '!$CG298&gt;'[1]DATA CONSOLIDADA 2018-2025 '!$CB298,"Incremento",IF('[1]DATA CONSOLIDADA 2018-2025 '!$CB298='[1]DATA CONSOLIDADA 2018-2025 '!$CG298,"Sin incremento",IF('[1]DATA CONSOLIDADA 2018-2025 '!$CG298&lt;'[1]DATA CONSOLIDADA 2018-2025 '!$CB298,"Disminución"," ---")))</f>
        <v>#REF!</v>
      </c>
      <c r="CI314" s="68" t="str">
        <f>'[1]DATA CONSOLIDADA 2018-2025 '!$CG314-Hoja1!$CB314</f>
        <v>#REF!</v>
      </c>
      <c r="CJ314" s="64" t="str">
        <f t="shared" si="114"/>
        <v>#REF!</v>
      </c>
      <c r="CK314" s="64">
        <v>0.0</v>
      </c>
      <c r="CL314" s="64">
        <v>0.0</v>
      </c>
      <c r="CM314" s="64">
        <v>0.0</v>
      </c>
      <c r="CN314" s="64" t="str">
        <f t="shared" si="12"/>
        <v>#REF!</v>
      </c>
      <c r="CO314" s="68" t="str">
        <f>'[1]DATA CONSOLIDADA 2018-2025 '!$CM314-Hoja1!$CG314</f>
        <v>#REF!</v>
      </c>
      <c r="CP314" s="70">
        <v>0.0</v>
      </c>
      <c r="CQ314" s="70">
        <v>0.0</v>
      </c>
      <c r="CR314" s="70">
        <v>0.0</v>
      </c>
      <c r="CS314" s="70">
        <v>2011938.0387209298</v>
      </c>
      <c r="CT314" s="70">
        <v>0.0</v>
      </c>
      <c r="CU314" s="70">
        <v>0.0</v>
      </c>
      <c r="CV314" s="64">
        <v>2011938.0387209298</v>
      </c>
      <c r="CW314" s="64">
        <v>0.0</v>
      </c>
      <c r="CX314" s="64">
        <v>0.0</v>
      </c>
      <c r="CY314" s="64">
        <v>0.0</v>
      </c>
      <c r="CZ314" s="64">
        <v>0.0</v>
      </c>
      <c r="DA314" s="64">
        <v>0.0</v>
      </c>
      <c r="DB314" s="64">
        <v>0.0</v>
      </c>
      <c r="DC314" s="72">
        <v>0.0</v>
      </c>
      <c r="DD314" s="72">
        <v>0.0</v>
      </c>
      <c r="DE314" s="72">
        <v>0.0</v>
      </c>
      <c r="DF314" s="72">
        <v>0.0</v>
      </c>
      <c r="DG314" s="72">
        <v>0.0</v>
      </c>
      <c r="DH314" s="72">
        <v>0.0</v>
      </c>
      <c r="DI314" s="73">
        <v>2.0531441797E10</v>
      </c>
      <c r="DJ314" s="74" t="s">
        <v>1145</v>
      </c>
      <c r="DK314" s="74" t="s">
        <v>132</v>
      </c>
      <c r="DL314" s="75"/>
      <c r="DM314" s="75"/>
      <c r="DN314" s="75"/>
      <c r="DO314" s="75"/>
      <c r="DP314" s="75"/>
      <c r="DQ314" s="75"/>
      <c r="DR314" s="75"/>
      <c r="DS314" s="75"/>
      <c r="DT314" s="75"/>
      <c r="DU314" s="75"/>
      <c r="DV314" s="75"/>
      <c r="DW314" s="75"/>
      <c r="DX314" s="75"/>
      <c r="DY314" s="75"/>
      <c r="DZ314" s="75"/>
      <c r="EA314" s="75"/>
      <c r="EB314" s="75"/>
      <c r="EC314" s="75"/>
      <c r="ED314" s="75"/>
      <c r="EE314" s="75"/>
    </row>
    <row r="315" ht="47.25" hidden="1" customHeight="1">
      <c r="A315" s="55" t="s">
        <v>1148</v>
      </c>
      <c r="B315" s="55" t="s">
        <v>971</v>
      </c>
      <c r="C315" s="55" t="s">
        <v>971</v>
      </c>
      <c r="D315" s="55" t="s">
        <v>1149</v>
      </c>
      <c r="E315" s="55" t="s">
        <v>1150</v>
      </c>
      <c r="F315" s="55" t="s">
        <v>1149</v>
      </c>
      <c r="G315" s="55" t="s">
        <v>1151</v>
      </c>
      <c r="H315" s="55" t="s">
        <v>1152</v>
      </c>
      <c r="I315" s="56">
        <v>1.0</v>
      </c>
      <c r="J315" s="56"/>
      <c r="K315" s="56"/>
      <c r="L315" s="56"/>
      <c r="M315" s="56"/>
      <c r="N315" s="56"/>
      <c r="O315" s="56"/>
      <c r="P315" s="56"/>
      <c r="Q315" s="56" t="s">
        <v>131</v>
      </c>
      <c r="R315" s="58" t="str">
        <f t="shared" si="1"/>
        <v>2018</v>
      </c>
      <c r="S315" s="59" t="str">
        <f>SUM(Hoja1!$I315:$P315)</f>
        <v>1</v>
      </c>
      <c r="T315" s="59" t="str">
        <f>IF(OR(Hoja1!$J315=1,Hoja1!$K315=1,Hoja1!$L315=1,Hoja1!$M315=1,Hoja1!$N315=1,Hoja1!$O315=1,Hoja1!$P315=1),"SI","NO")</f>
        <v>NO</v>
      </c>
      <c r="U315" s="59" t="str">
        <f>IF(OR(Hoja1!$K315=1,Hoja1!$L315=1,Hoja1!$M315=1,Hoja1!$N315=1,Hoja1!$O315=1,Hoja1!$P315=1),"SI","NO")</f>
        <v>NO</v>
      </c>
      <c r="V315" s="60">
        <v>19.0</v>
      </c>
      <c r="W315" s="61">
        <v>0.0</v>
      </c>
      <c r="X315" s="61">
        <v>0.0</v>
      </c>
      <c r="Y315" s="60">
        <v>0.0</v>
      </c>
      <c r="Z315" s="61">
        <v>0.0</v>
      </c>
      <c r="AA315" s="61">
        <v>0.0</v>
      </c>
      <c r="AB315" s="60">
        <v>0.0</v>
      </c>
      <c r="AC315" s="61">
        <v>0.0</v>
      </c>
      <c r="AD315" s="61">
        <v>0.0</v>
      </c>
      <c r="AE315" s="60">
        <v>0.0</v>
      </c>
      <c r="AF315" s="61">
        <v>0.0</v>
      </c>
      <c r="AG315" s="61">
        <v>0.0</v>
      </c>
      <c r="AH315" s="60">
        <v>0.0</v>
      </c>
      <c r="AI315" s="61">
        <v>0.0</v>
      </c>
      <c r="AJ315" s="61">
        <v>0.0</v>
      </c>
      <c r="AK315" s="60">
        <v>0.0</v>
      </c>
      <c r="AL315" s="61">
        <v>0.0</v>
      </c>
      <c r="AM315" s="61">
        <v>0.0</v>
      </c>
      <c r="AN315" s="60">
        <v>0.0</v>
      </c>
      <c r="AO315" s="62">
        <v>0.0</v>
      </c>
      <c r="AP315" s="62">
        <v>0.0</v>
      </c>
      <c r="AQ315" s="60">
        <v>0.0</v>
      </c>
      <c r="AR315" s="60" t="str">
        <f>IF(Hoja1!$AQ315&gt;0,Hoja1!$AQ315,IF(Hoja1!$AN315&gt;0,Hoja1!$AN315,IF(Hoja1!$AK315&gt;0,Hoja1!$AK315,IF(Hoja1!$AH315&gt;0,Hoja1!$AH315,IF(Hoja1!$AE315&gt;0,Hoja1!$AE315,IF(Hoja1!$AB315&gt;0,Hoja1!$AB315,IF(Hoja1!$Y315&gt;0,Hoja1!$Y315,IF(Hoja1!$V315&gt;0,Hoja1!$V315," ---"))))))))</f>
        <v>19</v>
      </c>
      <c r="AS315" s="63">
        <v>0.0</v>
      </c>
      <c r="AT315" s="63">
        <v>0.0</v>
      </c>
      <c r="AU315" s="63">
        <v>0.0</v>
      </c>
      <c r="AV315" s="63">
        <v>0.0</v>
      </c>
      <c r="AW315" s="63">
        <v>0.0</v>
      </c>
      <c r="AX315" s="63">
        <v>0.0</v>
      </c>
      <c r="AY315" s="63">
        <v>0.0</v>
      </c>
      <c r="AZ315" s="63">
        <v>0.0</v>
      </c>
      <c r="BA315" s="63">
        <v>0.0</v>
      </c>
      <c r="BB315" s="63">
        <v>0.0</v>
      </c>
      <c r="BC315" s="63">
        <v>0.0</v>
      </c>
      <c r="BD315" s="63">
        <v>0.0</v>
      </c>
      <c r="BE315" s="64">
        <v>0.0</v>
      </c>
      <c r="BF315" s="65">
        <v>0.0</v>
      </c>
      <c r="BG315" s="65">
        <v>0.0</v>
      </c>
      <c r="BH315" s="66">
        <v>0.0</v>
      </c>
      <c r="BI315" s="67" t="str">
        <f t="shared" ref="BI315:BI320" si="115">IF('[1]DATA CONSOLIDADA 2018-2025 '!$BH315&gt;'[1]DATA CONSOLIDADA 2018-2025 '!$AN315,"Incremento",IF('[1]DATA CONSOLIDADA 2018-2025 '!$AN315='[1]DATA CONSOLIDADA 2018-2025 '!$BH315,"Sin incremento",IF('[1]DATA CONSOLIDADA 2018-2025 '!$BH315&lt;'[1]DATA CONSOLIDADA 2018-2025 '!$AN315,"Disminución"," ---")))</f>
        <v>#REF!</v>
      </c>
      <c r="BJ315" s="68" t="str">
        <f t="shared" ref="BJ315:BJ320" si="116">'[1]DATA CONSOLIDADA 2018-2025 '!$BH315-'[1]DATA CONSOLIDADA 2018-2025 '!$BE315</f>
        <v>#REF!</v>
      </c>
      <c r="BK315" s="65">
        <v>0.0</v>
      </c>
      <c r="BL315" s="65">
        <v>0.0</v>
      </c>
      <c r="BM315" s="66">
        <v>0.0</v>
      </c>
      <c r="BN315" s="67" t="str">
        <f t="shared" ref="BN315:BN320" si="117">IF('[1]DATA CONSOLIDADA 2018-2025 '!$BM315&gt;'[1]DATA CONSOLIDADA 2018-2025 '!$BH315,"Incremento",IF('[1]DATA CONSOLIDADA 2018-2025 '!$BH315='[1]DATA CONSOLIDADA 2018-2025 '!$BM315,"Sin incremento",IF('[1]DATA CONSOLIDADA 2018-2025 '!$BM315&lt;'[1]DATA CONSOLIDADA 2018-2025 '!$BH315,"Disminución"," ---")))</f>
        <v>#REF!</v>
      </c>
      <c r="BO315" s="68" t="str">
        <f t="shared" ref="BO315:BO320" si="118">'[1]DATA CONSOLIDADA 2018-2025 '!$BM315-'[1]DATA CONSOLIDADA 2018-2025 '!$BH315</f>
        <v>#REF!</v>
      </c>
      <c r="BP315" s="65">
        <v>0.0</v>
      </c>
      <c r="BQ315" s="65">
        <v>0.0</v>
      </c>
      <c r="BR315" s="66">
        <v>0.0</v>
      </c>
      <c r="BS315" s="67" t="str">
        <f t="shared" ref="BS315:BS320" si="119">IF('[1]DATA CONSOLIDADA 2018-2025 '!$BR315&gt;'[1]DATA CONSOLIDADA 2018-2025 '!$BM315,"Incremento",IF('[1]DATA CONSOLIDADA 2018-2025 '!$BM315='[1]DATA CONSOLIDADA 2018-2025 '!$BR315,"Sin incremento",IF('[1]DATA CONSOLIDADA 2018-2025 '!$BR315&lt;'[1]DATA CONSOLIDADA 2018-2025 '!$BM315,"Disminución"," ---")))</f>
        <v>#REF!</v>
      </c>
      <c r="BT315" s="68" t="str">
        <f>'[1]DATA CONSOLIDADA 2018-2025 '!$BR315-Hoja1!$BO315</f>
        <v>#REF!</v>
      </c>
      <c r="BU315" s="65">
        <v>0.0</v>
      </c>
      <c r="BV315" s="65">
        <v>0.0</v>
      </c>
      <c r="BW315" s="66">
        <v>0.0</v>
      </c>
      <c r="BX315" s="67" t="str">
        <f t="shared" ref="BX315:BX320" si="120">IF('[1]DATA CONSOLIDADA 2018-2025 '!$BW315&gt;'[1]DATA CONSOLIDADA 2018-2025 '!$BR315,"Incremento",IF('[1]DATA CONSOLIDADA 2018-2025 '!$BR315='[1]DATA CONSOLIDADA 2018-2025 '!$BW315,"Sin incremento",IF('[1]DATA CONSOLIDADA 2018-2025 '!$BW315&lt;'[1]DATA CONSOLIDADA 2018-2025 '!$BR315,"Disminución"," ---")))</f>
        <v>#REF!</v>
      </c>
      <c r="BY315" s="68" t="str">
        <f t="shared" ref="BY315:BY320" si="121">'[1]DATA CONSOLIDADA 2018-2025 '!$BW315-'[1]DATA CONSOLIDADA 2018-2025 '!$BR315</f>
        <v>#REF!</v>
      </c>
      <c r="BZ315" s="65">
        <v>0.0</v>
      </c>
      <c r="CA315" s="65">
        <v>0.0</v>
      </c>
      <c r="CB315" s="66">
        <v>0.0</v>
      </c>
      <c r="CC315" s="67" t="str">
        <f t="shared" ref="CC315:CC320" si="122">IF('[1]DATA CONSOLIDADA 2018-2025 '!$CB315&gt;'[1]DATA CONSOLIDADA 2018-2025 '!$BW315,"Incremento",IF('[1]DATA CONSOLIDADA 2018-2025 '!$BW315='[1]DATA CONSOLIDADA 2018-2025 '!$CB315,"Sin incremento",IF('[1]DATA CONSOLIDADA 2018-2025 '!$CB315&lt;'[1]DATA CONSOLIDADA 2018-2025 '!$BW315,"Disminución"," ---")))</f>
        <v>#REF!</v>
      </c>
      <c r="CD315" s="68" t="str">
        <f>'[1]DATA CONSOLIDADA 2018-2025 '!$CB315-Hoja1!$BW315</f>
        <v>#REF!</v>
      </c>
      <c r="CE315" s="70">
        <v>0.0</v>
      </c>
      <c r="CF315" s="70">
        <v>0.0</v>
      </c>
      <c r="CG315" s="71">
        <v>0.0</v>
      </c>
      <c r="CH315" s="67" t="str">
        <f t="shared" ref="CH315:CH320" si="123">IF('[1]DATA CONSOLIDADA 2018-2025 '!$CG315&gt;'[1]DATA CONSOLIDADA 2018-2025 '!$CB315,"Incremento",IF('[1]DATA CONSOLIDADA 2018-2025 '!$CB315='[1]DATA CONSOLIDADA 2018-2025 '!$CG315,"Sin incremento",IF('[1]DATA CONSOLIDADA 2018-2025 '!$CG315&lt;'[1]DATA CONSOLIDADA 2018-2025 '!$CB315,"Disminución"," ---")))</f>
        <v>#REF!</v>
      </c>
      <c r="CI315" s="68" t="str">
        <f>'[1]DATA CONSOLIDADA 2018-2025 '!$CG315-Hoja1!$CB315</f>
        <v>#REF!</v>
      </c>
      <c r="CJ315" s="64" t="str">
        <f t="shared" si="114"/>
        <v>#REF!</v>
      </c>
      <c r="CK315" s="64">
        <v>0.0</v>
      </c>
      <c r="CL315" s="64">
        <v>0.0</v>
      </c>
      <c r="CM315" s="64">
        <v>0.0</v>
      </c>
      <c r="CN315" s="64" t="str">
        <f t="shared" si="12"/>
        <v>#REF!</v>
      </c>
      <c r="CO315" s="68" t="str">
        <f>'[1]DATA CONSOLIDADA 2018-2025 '!$CM315-Hoja1!$CG315</f>
        <v>#REF!</v>
      </c>
      <c r="CP315" s="70">
        <v>0.0</v>
      </c>
      <c r="CQ315" s="70">
        <v>0.0</v>
      </c>
      <c r="CR315" s="70">
        <v>0.0</v>
      </c>
      <c r="CS315" s="70">
        <v>0.0</v>
      </c>
      <c r="CT315" s="70">
        <v>0.0</v>
      </c>
      <c r="CU315" s="70">
        <v>0.0</v>
      </c>
      <c r="CV315" s="64">
        <v>0.0</v>
      </c>
      <c r="CW315" s="64">
        <v>0.0</v>
      </c>
      <c r="CX315" s="64">
        <v>0.0</v>
      </c>
      <c r="CY315" s="64">
        <v>0.0</v>
      </c>
      <c r="CZ315" s="64">
        <v>0.0</v>
      </c>
      <c r="DA315" s="64">
        <v>0.0</v>
      </c>
      <c r="DB315" s="64">
        <v>0.0</v>
      </c>
      <c r="DC315" s="72">
        <v>0.0</v>
      </c>
      <c r="DD315" s="72">
        <v>0.0</v>
      </c>
      <c r="DE315" s="72">
        <v>0.0</v>
      </c>
      <c r="DF315" s="72">
        <v>0.0</v>
      </c>
      <c r="DG315" s="72">
        <v>0.0</v>
      </c>
      <c r="DH315" s="72">
        <v>0.0</v>
      </c>
      <c r="DI315" s="73">
        <v>2.039333562E10</v>
      </c>
      <c r="DJ315" s="74" t="s">
        <v>1153</v>
      </c>
      <c r="DK315" s="74" t="s">
        <v>138</v>
      </c>
      <c r="DL315" s="75"/>
      <c r="DM315" s="75"/>
      <c r="DN315" s="75"/>
      <c r="DO315" s="75"/>
      <c r="DP315" s="75"/>
      <c r="DQ315" s="75"/>
      <c r="DR315" s="75"/>
      <c r="DS315" s="75"/>
      <c r="DT315" s="75"/>
      <c r="DU315" s="75"/>
      <c r="DV315" s="75"/>
      <c r="DW315" s="75"/>
      <c r="DX315" s="75"/>
      <c r="DY315" s="75"/>
      <c r="DZ315" s="75"/>
      <c r="EA315" s="75"/>
      <c r="EB315" s="75"/>
      <c r="EC315" s="75"/>
      <c r="ED315" s="75"/>
      <c r="EE315" s="75"/>
    </row>
    <row r="316" ht="47.25" hidden="1" customHeight="1">
      <c r="A316" s="55" t="s">
        <v>1154</v>
      </c>
      <c r="B316" s="55" t="s">
        <v>126</v>
      </c>
      <c r="C316" s="55" t="s">
        <v>126</v>
      </c>
      <c r="D316" s="55" t="s">
        <v>1149</v>
      </c>
      <c r="E316" s="55" t="s">
        <v>1155</v>
      </c>
      <c r="F316" s="55" t="s">
        <v>1149</v>
      </c>
      <c r="G316" s="55" t="s">
        <v>1156</v>
      </c>
      <c r="H316" s="55" t="s">
        <v>1156</v>
      </c>
      <c r="I316" s="56">
        <v>1.0</v>
      </c>
      <c r="J316" s="56">
        <v>1.0</v>
      </c>
      <c r="K316" s="56"/>
      <c r="L316" s="56"/>
      <c r="M316" s="56"/>
      <c r="N316" s="56"/>
      <c r="O316" s="56"/>
      <c r="P316" s="56"/>
      <c r="Q316" s="56" t="s">
        <v>131</v>
      </c>
      <c r="R316" s="58" t="str">
        <f t="shared" si="1"/>
        <v>2018-2019</v>
      </c>
      <c r="S316" s="59" t="str">
        <f>SUM(Hoja1!$I316:$P316)</f>
        <v>2</v>
      </c>
      <c r="T316" s="59" t="str">
        <f>IF(OR(Hoja1!$J316=1,Hoja1!$K316=1,Hoja1!$L316=1,Hoja1!$M316=1,Hoja1!$N316=1,Hoja1!$O316=1,Hoja1!$P316=1),"SI","NO")</f>
        <v>SI</v>
      </c>
      <c r="U316" s="59" t="str">
        <f>IF(OR(Hoja1!$K316=1,Hoja1!$L316=1,Hoja1!$M316=1,Hoja1!$N316=1,Hoja1!$O316=1,Hoja1!$P316=1),"SI","NO")</f>
        <v>NO</v>
      </c>
      <c r="V316" s="60">
        <v>60.0</v>
      </c>
      <c r="W316" s="61">
        <v>35.0</v>
      </c>
      <c r="X316" s="61">
        <v>24.0</v>
      </c>
      <c r="Y316" s="60">
        <v>59.0</v>
      </c>
      <c r="Z316" s="61">
        <v>0.0</v>
      </c>
      <c r="AA316" s="61">
        <v>0.0</v>
      </c>
      <c r="AB316" s="60">
        <v>0.0</v>
      </c>
      <c r="AC316" s="61">
        <v>0.0</v>
      </c>
      <c r="AD316" s="61">
        <v>0.0</v>
      </c>
      <c r="AE316" s="60">
        <v>0.0</v>
      </c>
      <c r="AF316" s="61">
        <v>0.0</v>
      </c>
      <c r="AG316" s="61">
        <v>0.0</v>
      </c>
      <c r="AH316" s="60">
        <v>0.0</v>
      </c>
      <c r="AI316" s="61">
        <v>0.0</v>
      </c>
      <c r="AJ316" s="61">
        <v>0.0</v>
      </c>
      <c r="AK316" s="60">
        <v>0.0</v>
      </c>
      <c r="AL316" s="61">
        <v>0.0</v>
      </c>
      <c r="AM316" s="61">
        <v>0.0</v>
      </c>
      <c r="AN316" s="60">
        <v>0.0</v>
      </c>
      <c r="AO316" s="62">
        <v>0.0</v>
      </c>
      <c r="AP316" s="62">
        <v>0.0</v>
      </c>
      <c r="AQ316" s="60">
        <v>0.0</v>
      </c>
      <c r="AR316" s="60" t="str">
        <f>IF(Hoja1!$AQ316&gt;0,Hoja1!$AQ316,IF(Hoja1!$AN316&gt;0,Hoja1!$AN316,IF(Hoja1!$AK316&gt;0,Hoja1!$AK316,IF(Hoja1!$AH316&gt;0,Hoja1!$AH316,IF(Hoja1!$AE316&gt;0,Hoja1!$AE316,IF(Hoja1!$AB316&gt;0,Hoja1!$AB316,IF(Hoja1!$Y316&gt;0,Hoja1!$Y316,IF(Hoja1!$V316&gt;0,Hoja1!$V316," ---"))))))))</f>
        <v>59</v>
      </c>
      <c r="AS316" s="63">
        <v>0.0</v>
      </c>
      <c r="AT316" s="63">
        <v>0.0</v>
      </c>
      <c r="AU316" s="63">
        <v>0.0</v>
      </c>
      <c r="AV316" s="63">
        <v>0.0</v>
      </c>
      <c r="AW316" s="63">
        <v>0.0</v>
      </c>
      <c r="AX316" s="63">
        <v>0.0</v>
      </c>
      <c r="AY316" s="63">
        <v>0.0</v>
      </c>
      <c r="AZ316" s="63">
        <v>0.0</v>
      </c>
      <c r="BA316" s="63">
        <v>0.0</v>
      </c>
      <c r="BB316" s="63">
        <v>0.0</v>
      </c>
      <c r="BC316" s="63">
        <v>0.0</v>
      </c>
      <c r="BD316" s="63">
        <v>0.0</v>
      </c>
      <c r="BE316" s="64">
        <v>0.0</v>
      </c>
      <c r="BF316" s="65">
        <v>0.0</v>
      </c>
      <c r="BG316" s="65">
        <v>0.0</v>
      </c>
      <c r="BH316" s="66">
        <v>0.0</v>
      </c>
      <c r="BI316" s="67" t="str">
        <f t="shared" si="115"/>
        <v>#REF!</v>
      </c>
      <c r="BJ316" s="68" t="str">
        <f t="shared" si="116"/>
        <v>#REF!</v>
      </c>
      <c r="BK316" s="65">
        <v>0.0</v>
      </c>
      <c r="BL316" s="65">
        <v>0.0</v>
      </c>
      <c r="BM316" s="66">
        <v>0.0</v>
      </c>
      <c r="BN316" s="67" t="str">
        <f t="shared" si="117"/>
        <v>#REF!</v>
      </c>
      <c r="BO316" s="68" t="str">
        <f t="shared" si="118"/>
        <v>#REF!</v>
      </c>
      <c r="BP316" s="65">
        <v>0.0</v>
      </c>
      <c r="BQ316" s="65">
        <v>0.0</v>
      </c>
      <c r="BR316" s="66">
        <v>0.0</v>
      </c>
      <c r="BS316" s="67" t="str">
        <f t="shared" si="119"/>
        <v>#REF!</v>
      </c>
      <c r="BT316" s="68" t="str">
        <f>'[1]DATA CONSOLIDADA 2018-2025 '!$BR316-Hoja1!$BO316</f>
        <v>#REF!</v>
      </c>
      <c r="BU316" s="65">
        <v>0.0</v>
      </c>
      <c r="BV316" s="65">
        <v>0.0</v>
      </c>
      <c r="BW316" s="66">
        <v>0.0</v>
      </c>
      <c r="BX316" s="67" t="str">
        <f t="shared" si="120"/>
        <v>#REF!</v>
      </c>
      <c r="BY316" s="68" t="str">
        <f t="shared" si="121"/>
        <v>#REF!</v>
      </c>
      <c r="BZ316" s="65">
        <v>0.0</v>
      </c>
      <c r="CA316" s="65">
        <v>0.0</v>
      </c>
      <c r="CB316" s="66">
        <v>0.0</v>
      </c>
      <c r="CC316" s="67" t="str">
        <f t="shared" si="122"/>
        <v>#REF!</v>
      </c>
      <c r="CD316" s="68" t="str">
        <f>'[1]DATA CONSOLIDADA 2018-2025 '!$CB316-Hoja1!$BW316</f>
        <v>#REF!</v>
      </c>
      <c r="CE316" s="70">
        <v>0.0</v>
      </c>
      <c r="CF316" s="70">
        <v>0.0</v>
      </c>
      <c r="CG316" s="71">
        <v>0.0</v>
      </c>
      <c r="CH316" s="67" t="str">
        <f t="shared" si="123"/>
        <v>#REF!</v>
      </c>
      <c r="CI316" s="68" t="str">
        <f>'[1]DATA CONSOLIDADA 2018-2025 '!$CG316-Hoja1!$CB316</f>
        <v>#REF!</v>
      </c>
      <c r="CJ316" s="64" t="str">
        <f t="shared" si="114"/>
        <v>#REF!</v>
      </c>
      <c r="CK316" s="64">
        <v>0.0</v>
      </c>
      <c r="CL316" s="64">
        <v>0.0</v>
      </c>
      <c r="CM316" s="64">
        <v>0.0</v>
      </c>
      <c r="CN316" s="64" t="str">
        <f t="shared" si="12"/>
        <v>#REF!</v>
      </c>
      <c r="CO316" s="68" t="str">
        <f>'[1]DATA CONSOLIDADA 2018-2025 '!$CM316-Hoja1!$CG316</f>
        <v>#REF!</v>
      </c>
      <c r="CP316" s="70">
        <v>0.0</v>
      </c>
      <c r="CQ316" s="70">
        <v>0.0</v>
      </c>
      <c r="CR316" s="70">
        <v>0.0</v>
      </c>
      <c r="CS316" s="70">
        <v>0.0</v>
      </c>
      <c r="CT316" s="70">
        <v>0.0</v>
      </c>
      <c r="CU316" s="70">
        <v>0.0</v>
      </c>
      <c r="CV316" s="64">
        <v>0.0</v>
      </c>
      <c r="CW316" s="64">
        <v>0.0</v>
      </c>
      <c r="CX316" s="64">
        <v>0.0</v>
      </c>
      <c r="CY316" s="64">
        <v>0.0</v>
      </c>
      <c r="CZ316" s="64">
        <v>0.0</v>
      </c>
      <c r="DA316" s="64">
        <v>0.0</v>
      </c>
      <c r="DB316" s="64">
        <v>0.0</v>
      </c>
      <c r="DC316" s="72">
        <v>0.0</v>
      </c>
      <c r="DD316" s="72">
        <v>0.0</v>
      </c>
      <c r="DE316" s="72">
        <v>0.0</v>
      </c>
      <c r="DF316" s="72">
        <v>0.0</v>
      </c>
      <c r="DG316" s="72">
        <v>0.0</v>
      </c>
      <c r="DH316" s="72">
        <v>0.0</v>
      </c>
      <c r="DI316" s="73">
        <v>2.0393786044E10</v>
      </c>
      <c r="DJ316" s="74" t="s">
        <v>1157</v>
      </c>
      <c r="DK316" s="74" t="s">
        <v>132</v>
      </c>
      <c r="DL316" s="75"/>
      <c r="DM316" s="75"/>
      <c r="DN316" s="75"/>
      <c r="DO316" s="75"/>
      <c r="DP316" s="75"/>
      <c r="DQ316" s="75"/>
      <c r="DR316" s="75"/>
      <c r="DS316" s="75"/>
      <c r="DT316" s="75"/>
      <c r="DU316" s="75"/>
      <c r="DV316" s="75"/>
      <c r="DW316" s="75"/>
      <c r="DX316" s="75"/>
      <c r="DY316" s="75"/>
      <c r="DZ316" s="75"/>
      <c r="EA316" s="75"/>
      <c r="EB316" s="75"/>
      <c r="EC316" s="75"/>
      <c r="ED316" s="75"/>
      <c r="EE316" s="75"/>
    </row>
    <row r="317" ht="47.25" hidden="1" customHeight="1">
      <c r="A317" s="55" t="s">
        <v>1158</v>
      </c>
      <c r="B317" s="55" t="s">
        <v>819</v>
      </c>
      <c r="C317" s="55" t="s">
        <v>819</v>
      </c>
      <c r="D317" s="55" t="s">
        <v>1149</v>
      </c>
      <c r="E317" s="55" t="s">
        <v>1159</v>
      </c>
      <c r="F317" s="55" t="s">
        <v>1149</v>
      </c>
      <c r="G317" s="55" t="s">
        <v>1151</v>
      </c>
      <c r="H317" s="55" t="s">
        <v>1160</v>
      </c>
      <c r="I317" s="56">
        <v>1.0</v>
      </c>
      <c r="J317" s="56">
        <v>1.0</v>
      </c>
      <c r="K317" s="56">
        <v>1.0</v>
      </c>
      <c r="L317" s="56">
        <v>1.0</v>
      </c>
      <c r="M317" s="56">
        <v>1.0</v>
      </c>
      <c r="N317" s="56"/>
      <c r="O317" s="56"/>
      <c r="P317" s="56"/>
      <c r="Q317" s="56" t="s">
        <v>131</v>
      </c>
      <c r="R317" s="58" t="str">
        <f t="shared" si="1"/>
        <v>2018-2019-2020-2021-2022</v>
      </c>
      <c r="S317" s="59" t="str">
        <f>SUM(Hoja1!$I317:$P317)</f>
        <v>5</v>
      </c>
      <c r="T317" s="59" t="str">
        <f>IF(OR(Hoja1!$J317=1,Hoja1!$K317=1,Hoja1!$L317=1,Hoja1!$M317=1,Hoja1!$N317=1,Hoja1!$O317=1,Hoja1!$P317=1),"SI","NO")</f>
        <v>SI</v>
      </c>
      <c r="U317" s="59" t="str">
        <f>IF(OR(Hoja1!$K317=1,Hoja1!$L317=1,Hoja1!$M317=1,Hoja1!$N317=1,Hoja1!$O317=1,Hoja1!$P317=1),"SI","NO")</f>
        <v>SI</v>
      </c>
      <c r="V317" s="60">
        <v>42.0</v>
      </c>
      <c r="W317" s="61">
        <v>46.0</v>
      </c>
      <c r="X317" s="61">
        <v>7.0</v>
      </c>
      <c r="Y317" s="60">
        <v>53.0</v>
      </c>
      <c r="Z317" s="61">
        <v>44.0</v>
      </c>
      <c r="AA317" s="61">
        <v>9.0</v>
      </c>
      <c r="AB317" s="60">
        <v>53.0</v>
      </c>
      <c r="AC317" s="61">
        <v>46.0</v>
      </c>
      <c r="AD317" s="61">
        <v>7.0</v>
      </c>
      <c r="AE317" s="60">
        <v>53.0</v>
      </c>
      <c r="AF317" s="61">
        <v>46.0</v>
      </c>
      <c r="AG317" s="61">
        <v>7.0</v>
      </c>
      <c r="AH317" s="60">
        <v>53.0</v>
      </c>
      <c r="AI317" s="61">
        <v>0.0</v>
      </c>
      <c r="AJ317" s="61">
        <v>0.0</v>
      </c>
      <c r="AK317" s="60">
        <v>0.0</v>
      </c>
      <c r="AL317" s="61">
        <v>0.0</v>
      </c>
      <c r="AM317" s="61">
        <v>0.0</v>
      </c>
      <c r="AN317" s="60">
        <v>0.0</v>
      </c>
      <c r="AO317" s="62">
        <v>0.0</v>
      </c>
      <c r="AP317" s="62">
        <v>0.0</v>
      </c>
      <c r="AQ317" s="60">
        <v>0.0</v>
      </c>
      <c r="AR317" s="60" t="str">
        <f>IF(Hoja1!$AQ317&gt;0,Hoja1!$AQ317,IF(Hoja1!$AN317&gt;0,Hoja1!$AN317,IF(Hoja1!$AK317&gt;0,Hoja1!$AK317,IF(Hoja1!$AH317&gt;0,Hoja1!$AH317,IF(Hoja1!$AE317&gt;0,Hoja1!$AE317,IF(Hoja1!$AB317&gt;0,Hoja1!$AB317,IF(Hoja1!$Y317&gt;0,Hoja1!$Y317,IF(Hoja1!$V317&gt;0,Hoja1!$V317," ---"))))))))</f>
        <v>53</v>
      </c>
      <c r="AS317" s="63">
        <v>0.0</v>
      </c>
      <c r="AT317" s="63">
        <v>0.0</v>
      </c>
      <c r="AU317" s="63">
        <v>43.0</v>
      </c>
      <c r="AV317" s="63">
        <v>0.0</v>
      </c>
      <c r="AW317" s="63">
        <v>47.0</v>
      </c>
      <c r="AX317" s="63">
        <v>0.0</v>
      </c>
      <c r="AY317" s="63">
        <v>0.0</v>
      </c>
      <c r="AZ317" s="63">
        <v>0.0</v>
      </c>
      <c r="BA317" s="63">
        <v>0.0</v>
      </c>
      <c r="BB317" s="63">
        <v>0.0</v>
      </c>
      <c r="BC317" s="63">
        <v>0.0</v>
      </c>
      <c r="BD317" s="63">
        <v>0.0</v>
      </c>
      <c r="BE317" s="64">
        <v>0.0</v>
      </c>
      <c r="BF317" s="65">
        <v>151583.41</v>
      </c>
      <c r="BG317" s="65">
        <v>0.0</v>
      </c>
      <c r="BH317" s="66">
        <v>151583.41</v>
      </c>
      <c r="BI317" s="67" t="str">
        <f t="shared" si="115"/>
        <v>#REF!</v>
      </c>
      <c r="BJ317" s="68" t="str">
        <f t="shared" si="116"/>
        <v>#REF!</v>
      </c>
      <c r="BK317" s="65">
        <v>1441161.1</v>
      </c>
      <c r="BL317" s="65">
        <v>0.0</v>
      </c>
      <c r="BM317" s="66">
        <v>1441161.1</v>
      </c>
      <c r="BN317" s="67" t="str">
        <f t="shared" si="117"/>
        <v>#REF!</v>
      </c>
      <c r="BO317" s="68" t="str">
        <f t="shared" si="118"/>
        <v>#REF!</v>
      </c>
      <c r="BP317" s="65">
        <v>652781.25</v>
      </c>
      <c r="BQ317" s="65">
        <v>0.0</v>
      </c>
      <c r="BR317" s="66">
        <v>652781.25</v>
      </c>
      <c r="BS317" s="67" t="str">
        <f t="shared" si="119"/>
        <v>#REF!</v>
      </c>
      <c r="BT317" s="68" t="str">
        <f>'[1]DATA CONSOLIDADA 2018-2025 '!$BR317-Hoja1!$BO317</f>
        <v>#REF!</v>
      </c>
      <c r="BU317" s="65">
        <v>232470.88</v>
      </c>
      <c r="BV317" s="65">
        <v>0.0</v>
      </c>
      <c r="BW317" s="66">
        <v>232470.88</v>
      </c>
      <c r="BX317" s="67" t="str">
        <f t="shared" si="120"/>
        <v>#REF!</v>
      </c>
      <c r="BY317" s="68" t="str">
        <f t="shared" si="121"/>
        <v>#REF!</v>
      </c>
      <c r="BZ317" s="65">
        <v>0.0</v>
      </c>
      <c r="CA317" s="65">
        <v>0.0</v>
      </c>
      <c r="CB317" s="66">
        <v>0.0</v>
      </c>
      <c r="CC317" s="67" t="str">
        <f t="shared" si="122"/>
        <v>#REF!</v>
      </c>
      <c r="CD317" s="68" t="str">
        <f>'[1]DATA CONSOLIDADA 2018-2025 '!$CB317-Hoja1!$BW317</f>
        <v>#REF!</v>
      </c>
      <c r="CE317" s="70">
        <v>0.0</v>
      </c>
      <c r="CF317" s="70">
        <v>0.0</v>
      </c>
      <c r="CG317" s="71">
        <v>0.0</v>
      </c>
      <c r="CH317" s="67" t="str">
        <f t="shared" si="123"/>
        <v>#REF!</v>
      </c>
      <c r="CI317" s="68" t="str">
        <f>'[1]DATA CONSOLIDADA 2018-2025 '!$CG317-Hoja1!$CB317</f>
        <v>#REF!</v>
      </c>
      <c r="CJ317" s="64" t="str">
        <f t="shared" si="114"/>
        <v>#REF!</v>
      </c>
      <c r="CK317" s="64">
        <v>0.0</v>
      </c>
      <c r="CL317" s="64">
        <v>0.0</v>
      </c>
      <c r="CM317" s="64">
        <v>0.0</v>
      </c>
      <c r="CN317" s="64" t="str">
        <f t="shared" si="12"/>
        <v>#REF!</v>
      </c>
      <c r="CO317" s="68" t="str">
        <f>'[1]DATA CONSOLIDADA 2018-2025 '!$CM317-Hoja1!$CG317</f>
        <v>#REF!</v>
      </c>
      <c r="CP317" s="70">
        <v>0.0</v>
      </c>
      <c r="CQ317" s="70">
        <v>0.0</v>
      </c>
      <c r="CR317" s="70">
        <v>0.0</v>
      </c>
      <c r="CS317" s="70">
        <v>0.0</v>
      </c>
      <c r="CT317" s="70">
        <v>0.0</v>
      </c>
      <c r="CU317" s="70">
        <v>0.0</v>
      </c>
      <c r="CV317" s="64">
        <v>0.0</v>
      </c>
      <c r="CW317" s="64">
        <v>0.0</v>
      </c>
      <c r="CX317" s="64">
        <v>0.0</v>
      </c>
      <c r="CY317" s="64">
        <v>0.0</v>
      </c>
      <c r="CZ317" s="64">
        <v>0.0</v>
      </c>
      <c r="DA317" s="64">
        <v>0.0</v>
      </c>
      <c r="DB317" s="64">
        <v>0.0</v>
      </c>
      <c r="DC317" s="72">
        <v>0.0</v>
      </c>
      <c r="DD317" s="72">
        <v>0.0</v>
      </c>
      <c r="DE317" s="72">
        <v>0.0</v>
      </c>
      <c r="DF317" s="72">
        <v>0.0</v>
      </c>
      <c r="DG317" s="72">
        <v>0.0</v>
      </c>
      <c r="DH317" s="72">
        <v>0.0</v>
      </c>
      <c r="DI317" s="73">
        <v>2.0603836325E10</v>
      </c>
      <c r="DJ317" s="74" t="s">
        <v>1158</v>
      </c>
      <c r="DK317" s="74" t="s">
        <v>132</v>
      </c>
      <c r="DL317" s="75"/>
      <c r="DM317" s="75"/>
      <c r="DN317" s="75"/>
      <c r="DO317" s="75"/>
      <c r="DP317" s="75"/>
      <c r="DQ317" s="75"/>
      <c r="DR317" s="75"/>
      <c r="DS317" s="75"/>
      <c r="DT317" s="75"/>
      <c r="DU317" s="75"/>
      <c r="DV317" s="75"/>
      <c r="DW317" s="75"/>
      <c r="DX317" s="75"/>
      <c r="DY317" s="75"/>
      <c r="DZ317" s="75"/>
      <c r="EA317" s="75"/>
      <c r="EB317" s="75"/>
      <c r="EC317" s="75"/>
      <c r="ED317" s="75"/>
      <c r="EE317" s="75"/>
    </row>
    <row r="318" ht="47.25" hidden="1" customHeight="1">
      <c r="A318" s="55" t="s">
        <v>1161</v>
      </c>
      <c r="B318" s="55" t="s">
        <v>621</v>
      </c>
      <c r="C318" s="55" t="s">
        <v>621</v>
      </c>
      <c r="D318" s="55" t="s">
        <v>1149</v>
      </c>
      <c r="E318" s="55" t="s">
        <v>1155</v>
      </c>
      <c r="F318" s="55" t="s">
        <v>1149</v>
      </c>
      <c r="G318" s="55" t="s">
        <v>1156</v>
      </c>
      <c r="H318" s="55" t="s">
        <v>1156</v>
      </c>
      <c r="I318" s="56">
        <v>1.0</v>
      </c>
      <c r="J318" s="56">
        <v>1.0</v>
      </c>
      <c r="K318" s="56"/>
      <c r="L318" s="56"/>
      <c r="M318" s="56"/>
      <c r="N318" s="56"/>
      <c r="O318" s="56"/>
      <c r="P318" s="56"/>
      <c r="Q318" s="56" t="s">
        <v>131</v>
      </c>
      <c r="R318" s="58" t="str">
        <f t="shared" si="1"/>
        <v>2018-2019</v>
      </c>
      <c r="S318" s="59" t="str">
        <f>SUM(Hoja1!$I318:$P318)</f>
        <v>2</v>
      </c>
      <c r="T318" s="59" t="str">
        <f>IF(OR(Hoja1!$J318=1,Hoja1!$K318=1,Hoja1!$L318=1,Hoja1!$M318=1,Hoja1!$N318=1,Hoja1!$O318=1,Hoja1!$P318=1),"SI","NO")</f>
        <v>SI</v>
      </c>
      <c r="U318" s="59" t="str">
        <f>IF(OR(Hoja1!$K318=1,Hoja1!$L318=1,Hoja1!$M318=1,Hoja1!$N318=1,Hoja1!$O318=1,Hoja1!$P318=1),"SI","NO")</f>
        <v>NO</v>
      </c>
      <c r="V318" s="60">
        <v>73.0</v>
      </c>
      <c r="W318" s="61">
        <v>54.0</v>
      </c>
      <c r="X318" s="61">
        <v>20.0</v>
      </c>
      <c r="Y318" s="60">
        <v>74.0</v>
      </c>
      <c r="Z318" s="61">
        <v>0.0</v>
      </c>
      <c r="AA318" s="61">
        <v>0.0</v>
      </c>
      <c r="AB318" s="60">
        <v>0.0</v>
      </c>
      <c r="AC318" s="61">
        <v>0.0</v>
      </c>
      <c r="AD318" s="61">
        <v>0.0</v>
      </c>
      <c r="AE318" s="60">
        <v>0.0</v>
      </c>
      <c r="AF318" s="61">
        <v>0.0</v>
      </c>
      <c r="AG318" s="61">
        <v>0.0</v>
      </c>
      <c r="AH318" s="60">
        <v>0.0</v>
      </c>
      <c r="AI318" s="61">
        <v>0.0</v>
      </c>
      <c r="AJ318" s="61">
        <v>0.0</v>
      </c>
      <c r="AK318" s="60">
        <v>0.0</v>
      </c>
      <c r="AL318" s="61">
        <v>0.0</v>
      </c>
      <c r="AM318" s="61">
        <v>0.0</v>
      </c>
      <c r="AN318" s="60">
        <v>0.0</v>
      </c>
      <c r="AO318" s="62">
        <v>0.0</v>
      </c>
      <c r="AP318" s="62">
        <v>0.0</v>
      </c>
      <c r="AQ318" s="60">
        <v>0.0</v>
      </c>
      <c r="AR318" s="60" t="str">
        <f>IF(Hoja1!$AQ318&gt;0,Hoja1!$AQ318,IF(Hoja1!$AN318&gt;0,Hoja1!$AN318,IF(Hoja1!$AK318&gt;0,Hoja1!$AK318,IF(Hoja1!$AH318&gt;0,Hoja1!$AH318,IF(Hoja1!$AE318&gt;0,Hoja1!$AE318,IF(Hoja1!$AB318&gt;0,Hoja1!$AB318,IF(Hoja1!$Y318&gt;0,Hoja1!$Y318,IF(Hoja1!$V318&gt;0,Hoja1!$V318," ---"))))))))</f>
        <v>74</v>
      </c>
      <c r="AS318" s="63">
        <v>0.0</v>
      </c>
      <c r="AT318" s="63">
        <v>0.0</v>
      </c>
      <c r="AU318" s="63">
        <v>0.0</v>
      </c>
      <c r="AV318" s="63">
        <v>0.0</v>
      </c>
      <c r="AW318" s="63">
        <v>0.0</v>
      </c>
      <c r="AX318" s="63">
        <v>0.0</v>
      </c>
      <c r="AY318" s="63">
        <v>0.0</v>
      </c>
      <c r="AZ318" s="63">
        <v>0.0</v>
      </c>
      <c r="BA318" s="63">
        <v>0.0</v>
      </c>
      <c r="BB318" s="63">
        <v>0.0</v>
      </c>
      <c r="BC318" s="63">
        <v>0.0</v>
      </c>
      <c r="BD318" s="63">
        <v>0.0</v>
      </c>
      <c r="BE318" s="64">
        <v>0.0</v>
      </c>
      <c r="BF318" s="65">
        <v>0.0</v>
      </c>
      <c r="BG318" s="65">
        <v>0.0</v>
      </c>
      <c r="BH318" s="66">
        <v>0.0</v>
      </c>
      <c r="BI318" s="67" t="str">
        <f t="shared" si="115"/>
        <v>#REF!</v>
      </c>
      <c r="BJ318" s="68" t="str">
        <f t="shared" si="116"/>
        <v>#REF!</v>
      </c>
      <c r="BK318" s="65">
        <v>0.0</v>
      </c>
      <c r="BL318" s="65">
        <v>0.0</v>
      </c>
      <c r="BM318" s="66">
        <v>0.0</v>
      </c>
      <c r="BN318" s="67" t="str">
        <f t="shared" si="117"/>
        <v>#REF!</v>
      </c>
      <c r="BO318" s="68" t="str">
        <f t="shared" si="118"/>
        <v>#REF!</v>
      </c>
      <c r="BP318" s="65">
        <v>0.0</v>
      </c>
      <c r="BQ318" s="65">
        <v>0.0</v>
      </c>
      <c r="BR318" s="66">
        <v>0.0</v>
      </c>
      <c r="BS318" s="67" t="str">
        <f t="shared" si="119"/>
        <v>#REF!</v>
      </c>
      <c r="BT318" s="68" t="str">
        <f>'[1]DATA CONSOLIDADA 2018-2025 '!$BR318-Hoja1!$BO318</f>
        <v>#REF!</v>
      </c>
      <c r="BU318" s="65">
        <v>0.0</v>
      </c>
      <c r="BV318" s="65">
        <v>0.0</v>
      </c>
      <c r="BW318" s="66">
        <v>0.0</v>
      </c>
      <c r="BX318" s="67" t="str">
        <f t="shared" si="120"/>
        <v>#REF!</v>
      </c>
      <c r="BY318" s="68" t="str">
        <f t="shared" si="121"/>
        <v>#REF!</v>
      </c>
      <c r="BZ318" s="65">
        <v>0.0</v>
      </c>
      <c r="CA318" s="65">
        <v>0.0</v>
      </c>
      <c r="CB318" s="66">
        <v>0.0</v>
      </c>
      <c r="CC318" s="67" t="str">
        <f t="shared" si="122"/>
        <v>#REF!</v>
      </c>
      <c r="CD318" s="68" t="str">
        <f>'[1]DATA CONSOLIDADA 2018-2025 '!$CB318-Hoja1!$BW318</f>
        <v>#REF!</v>
      </c>
      <c r="CE318" s="70">
        <v>0.0</v>
      </c>
      <c r="CF318" s="70">
        <v>0.0</v>
      </c>
      <c r="CG318" s="71">
        <v>0.0</v>
      </c>
      <c r="CH318" s="67" t="str">
        <f t="shared" si="123"/>
        <v>#REF!</v>
      </c>
      <c r="CI318" s="68" t="str">
        <f>'[1]DATA CONSOLIDADA 2018-2025 '!$CG318-Hoja1!$CB318</f>
        <v>#REF!</v>
      </c>
      <c r="CJ318" s="64" t="str">
        <f t="shared" si="114"/>
        <v>#REF!</v>
      </c>
      <c r="CK318" s="64">
        <v>0.0</v>
      </c>
      <c r="CL318" s="64">
        <v>0.0</v>
      </c>
      <c r="CM318" s="64">
        <v>0.0</v>
      </c>
      <c r="CN318" s="64" t="str">
        <f t="shared" si="12"/>
        <v>#REF!</v>
      </c>
      <c r="CO318" s="68" t="str">
        <f>'[1]DATA CONSOLIDADA 2018-2025 '!$CM318-Hoja1!$CG318</f>
        <v>#REF!</v>
      </c>
      <c r="CP318" s="70">
        <v>0.0</v>
      </c>
      <c r="CQ318" s="70">
        <v>0.0</v>
      </c>
      <c r="CR318" s="70">
        <v>0.0</v>
      </c>
      <c r="CS318" s="70">
        <v>0.0</v>
      </c>
      <c r="CT318" s="70">
        <v>0.0</v>
      </c>
      <c r="CU318" s="70">
        <v>0.0</v>
      </c>
      <c r="CV318" s="64">
        <v>0.0</v>
      </c>
      <c r="CW318" s="64">
        <v>0.0</v>
      </c>
      <c r="CX318" s="64">
        <v>0.0</v>
      </c>
      <c r="CY318" s="64">
        <v>0.0</v>
      </c>
      <c r="CZ318" s="64">
        <v>0.0</v>
      </c>
      <c r="DA318" s="64">
        <v>0.0</v>
      </c>
      <c r="DB318" s="64">
        <v>0.0</v>
      </c>
      <c r="DC318" s="72">
        <v>0.0</v>
      </c>
      <c r="DD318" s="72">
        <v>0.0</v>
      </c>
      <c r="DE318" s="72">
        <v>0.0</v>
      </c>
      <c r="DF318" s="72">
        <v>0.0</v>
      </c>
      <c r="DG318" s="72">
        <v>0.0</v>
      </c>
      <c r="DH318" s="72">
        <v>0.0</v>
      </c>
      <c r="DI318" s="73">
        <v>2.0603368011E10</v>
      </c>
      <c r="DJ318" s="74" t="s">
        <v>1162</v>
      </c>
      <c r="DK318" s="74" t="s">
        <v>138</v>
      </c>
      <c r="DL318" s="75"/>
      <c r="DM318" s="75"/>
      <c r="DN318" s="75"/>
      <c r="DO318" s="75"/>
      <c r="DP318" s="75"/>
      <c r="DQ318" s="75"/>
      <c r="DR318" s="75"/>
      <c r="DS318" s="75"/>
      <c r="DT318" s="75"/>
      <c r="DU318" s="75"/>
      <c r="DV318" s="75"/>
      <c r="DW318" s="75"/>
      <c r="DX318" s="75"/>
      <c r="DY318" s="75"/>
      <c r="DZ318" s="75"/>
      <c r="EA318" s="75"/>
      <c r="EB318" s="75"/>
      <c r="EC318" s="75"/>
      <c r="ED318" s="75"/>
      <c r="EE318" s="75"/>
    </row>
    <row r="319" ht="47.25" hidden="1" customHeight="1">
      <c r="A319" s="55" t="s">
        <v>1163</v>
      </c>
      <c r="B319" s="55" t="s">
        <v>1084</v>
      </c>
      <c r="C319" s="55" t="s">
        <v>1084</v>
      </c>
      <c r="D319" s="55" t="s">
        <v>1149</v>
      </c>
      <c r="E319" s="55" t="s">
        <v>1155</v>
      </c>
      <c r="F319" s="55" t="s">
        <v>1149</v>
      </c>
      <c r="G319" s="55" t="s">
        <v>1156</v>
      </c>
      <c r="H319" s="55" t="s">
        <v>1156</v>
      </c>
      <c r="I319" s="56">
        <v>1.0</v>
      </c>
      <c r="J319" s="56">
        <v>1.0</v>
      </c>
      <c r="K319" s="56"/>
      <c r="L319" s="56"/>
      <c r="M319" s="56"/>
      <c r="N319" s="56"/>
      <c r="O319" s="56"/>
      <c r="P319" s="56"/>
      <c r="Q319" s="56" t="s">
        <v>131</v>
      </c>
      <c r="R319" s="58" t="str">
        <f t="shared" si="1"/>
        <v>2018-2019</v>
      </c>
      <c r="S319" s="59" t="str">
        <f>SUM(Hoja1!$I319:$P319)</f>
        <v>2</v>
      </c>
      <c r="T319" s="59" t="str">
        <f>IF(OR(Hoja1!$J319=1,Hoja1!$K319=1,Hoja1!$L319=1,Hoja1!$M319=1,Hoja1!$N319=1,Hoja1!$O319=1,Hoja1!$P319=1),"SI","NO")</f>
        <v>SI</v>
      </c>
      <c r="U319" s="59" t="str">
        <f>IF(OR(Hoja1!$K319=1,Hoja1!$L319=1,Hoja1!$M319=1,Hoja1!$N319=1,Hoja1!$O319=1,Hoja1!$P319=1),"SI","NO")</f>
        <v>NO</v>
      </c>
      <c r="V319" s="60">
        <v>27.0</v>
      </c>
      <c r="W319" s="61">
        <v>16.0</v>
      </c>
      <c r="X319" s="61">
        <v>10.0</v>
      </c>
      <c r="Y319" s="60">
        <v>26.0</v>
      </c>
      <c r="Z319" s="61">
        <v>0.0</v>
      </c>
      <c r="AA319" s="61">
        <v>0.0</v>
      </c>
      <c r="AB319" s="60">
        <v>0.0</v>
      </c>
      <c r="AC319" s="61">
        <v>0.0</v>
      </c>
      <c r="AD319" s="61">
        <v>0.0</v>
      </c>
      <c r="AE319" s="60">
        <v>0.0</v>
      </c>
      <c r="AF319" s="61">
        <v>0.0</v>
      </c>
      <c r="AG319" s="61">
        <v>0.0</v>
      </c>
      <c r="AH319" s="60">
        <v>0.0</v>
      </c>
      <c r="AI319" s="61">
        <v>0.0</v>
      </c>
      <c r="AJ319" s="61">
        <v>0.0</v>
      </c>
      <c r="AK319" s="60">
        <v>0.0</v>
      </c>
      <c r="AL319" s="61">
        <v>0.0</v>
      </c>
      <c r="AM319" s="61">
        <v>0.0</v>
      </c>
      <c r="AN319" s="60">
        <v>0.0</v>
      </c>
      <c r="AO319" s="62">
        <v>0.0</v>
      </c>
      <c r="AP319" s="62">
        <v>0.0</v>
      </c>
      <c r="AQ319" s="60">
        <v>0.0</v>
      </c>
      <c r="AR319" s="60" t="str">
        <f>IF(Hoja1!$AQ319&gt;0,Hoja1!$AQ319,IF(Hoja1!$AN319&gt;0,Hoja1!$AN319,IF(Hoja1!$AK319&gt;0,Hoja1!$AK319,IF(Hoja1!$AH319&gt;0,Hoja1!$AH319,IF(Hoja1!$AE319&gt;0,Hoja1!$AE319,IF(Hoja1!$AB319&gt;0,Hoja1!$AB319,IF(Hoja1!$Y319&gt;0,Hoja1!$Y319,IF(Hoja1!$V319&gt;0,Hoja1!$V319," ---"))))))))</f>
        <v>26</v>
      </c>
      <c r="AS319" s="63">
        <v>0.0</v>
      </c>
      <c r="AT319" s="63">
        <v>0.0</v>
      </c>
      <c r="AU319" s="63">
        <v>0.0</v>
      </c>
      <c r="AV319" s="63">
        <v>0.0</v>
      </c>
      <c r="AW319" s="63">
        <v>0.0</v>
      </c>
      <c r="AX319" s="63">
        <v>0.0</v>
      </c>
      <c r="AY319" s="63">
        <v>0.0</v>
      </c>
      <c r="AZ319" s="63">
        <v>0.0</v>
      </c>
      <c r="BA319" s="63">
        <v>0.0</v>
      </c>
      <c r="BB319" s="63">
        <v>0.0</v>
      </c>
      <c r="BC319" s="63">
        <v>0.0</v>
      </c>
      <c r="BD319" s="63">
        <v>0.0</v>
      </c>
      <c r="BE319" s="64">
        <v>0.0</v>
      </c>
      <c r="BF319" s="65">
        <v>0.0</v>
      </c>
      <c r="BG319" s="65">
        <v>0.0</v>
      </c>
      <c r="BH319" s="66">
        <v>0.0</v>
      </c>
      <c r="BI319" s="67" t="str">
        <f t="shared" si="115"/>
        <v>#REF!</v>
      </c>
      <c r="BJ319" s="68" t="str">
        <f t="shared" si="116"/>
        <v>#REF!</v>
      </c>
      <c r="BK319" s="65">
        <v>0.0</v>
      </c>
      <c r="BL319" s="65">
        <v>0.0</v>
      </c>
      <c r="BM319" s="66">
        <v>0.0</v>
      </c>
      <c r="BN319" s="67" t="str">
        <f t="shared" si="117"/>
        <v>#REF!</v>
      </c>
      <c r="BO319" s="68" t="str">
        <f t="shared" si="118"/>
        <v>#REF!</v>
      </c>
      <c r="BP319" s="65">
        <v>0.0</v>
      </c>
      <c r="BQ319" s="65">
        <v>0.0</v>
      </c>
      <c r="BR319" s="66">
        <v>0.0</v>
      </c>
      <c r="BS319" s="67" t="str">
        <f t="shared" si="119"/>
        <v>#REF!</v>
      </c>
      <c r="BT319" s="68" t="str">
        <f>'[1]DATA CONSOLIDADA 2018-2025 '!$BR319-Hoja1!$BO319</f>
        <v>#REF!</v>
      </c>
      <c r="BU319" s="65">
        <v>0.0</v>
      </c>
      <c r="BV319" s="65">
        <v>0.0</v>
      </c>
      <c r="BW319" s="66">
        <v>0.0</v>
      </c>
      <c r="BX319" s="67" t="str">
        <f t="shared" si="120"/>
        <v>#REF!</v>
      </c>
      <c r="BY319" s="68" t="str">
        <f t="shared" si="121"/>
        <v>#REF!</v>
      </c>
      <c r="BZ319" s="65">
        <v>0.0</v>
      </c>
      <c r="CA319" s="65">
        <v>0.0</v>
      </c>
      <c r="CB319" s="66">
        <v>0.0</v>
      </c>
      <c r="CC319" s="67" t="str">
        <f t="shared" si="122"/>
        <v>#REF!</v>
      </c>
      <c r="CD319" s="68" t="str">
        <f>'[1]DATA CONSOLIDADA 2018-2025 '!$CB319-Hoja1!$BW319</f>
        <v>#REF!</v>
      </c>
      <c r="CE319" s="70">
        <v>0.0</v>
      </c>
      <c r="CF319" s="70">
        <v>0.0</v>
      </c>
      <c r="CG319" s="71">
        <v>0.0</v>
      </c>
      <c r="CH319" s="67" t="str">
        <f t="shared" si="123"/>
        <v>#REF!</v>
      </c>
      <c r="CI319" s="68" t="str">
        <f>'[1]DATA CONSOLIDADA 2018-2025 '!$CG319-Hoja1!$CB319</f>
        <v>#REF!</v>
      </c>
      <c r="CJ319" s="64" t="str">
        <f t="shared" si="114"/>
        <v>#REF!</v>
      </c>
      <c r="CK319" s="64">
        <v>0.0</v>
      </c>
      <c r="CL319" s="64">
        <v>0.0</v>
      </c>
      <c r="CM319" s="64">
        <v>0.0</v>
      </c>
      <c r="CN319" s="64" t="str">
        <f t="shared" si="12"/>
        <v>#REF!</v>
      </c>
      <c r="CO319" s="68" t="str">
        <f>'[1]DATA CONSOLIDADA 2018-2025 '!$CM319-Hoja1!$CG319</f>
        <v>#REF!</v>
      </c>
      <c r="CP319" s="70">
        <v>0.0</v>
      </c>
      <c r="CQ319" s="70">
        <v>0.0</v>
      </c>
      <c r="CR319" s="70">
        <v>0.0</v>
      </c>
      <c r="CS319" s="70">
        <v>0.0</v>
      </c>
      <c r="CT319" s="70">
        <v>0.0</v>
      </c>
      <c r="CU319" s="70">
        <v>0.0</v>
      </c>
      <c r="CV319" s="64">
        <v>0.0</v>
      </c>
      <c r="CW319" s="64">
        <v>0.0</v>
      </c>
      <c r="CX319" s="64">
        <v>0.0</v>
      </c>
      <c r="CY319" s="64">
        <v>0.0</v>
      </c>
      <c r="CZ319" s="64">
        <v>0.0</v>
      </c>
      <c r="DA319" s="64">
        <v>0.0</v>
      </c>
      <c r="DB319" s="64">
        <v>0.0</v>
      </c>
      <c r="DC319" s="72">
        <v>0.0</v>
      </c>
      <c r="DD319" s="72">
        <v>0.0</v>
      </c>
      <c r="DE319" s="72">
        <v>0.0</v>
      </c>
      <c r="DF319" s="72">
        <v>0.0</v>
      </c>
      <c r="DG319" s="72">
        <v>0.0</v>
      </c>
      <c r="DH319" s="72">
        <v>0.0</v>
      </c>
      <c r="DI319" s="73">
        <v>2.0352266052E10</v>
      </c>
      <c r="DJ319" s="74" t="s">
        <v>1163</v>
      </c>
      <c r="DK319" s="74" t="s">
        <v>138</v>
      </c>
      <c r="DL319" s="75"/>
      <c r="DM319" s="75"/>
      <c r="DN319" s="75"/>
      <c r="DO319" s="75"/>
      <c r="DP319" s="75"/>
      <c r="DQ319" s="75"/>
      <c r="DR319" s="75"/>
      <c r="DS319" s="75"/>
      <c r="DT319" s="75"/>
      <c r="DU319" s="75"/>
      <c r="DV319" s="75"/>
      <c r="DW319" s="75"/>
      <c r="DX319" s="75"/>
      <c r="DY319" s="75"/>
      <c r="DZ319" s="75"/>
      <c r="EA319" s="75"/>
      <c r="EB319" s="75"/>
      <c r="EC319" s="75"/>
      <c r="ED319" s="75"/>
      <c r="EE319" s="75"/>
    </row>
    <row r="320" ht="47.25" hidden="1" customHeight="1">
      <c r="A320" s="55" t="s">
        <v>1164</v>
      </c>
      <c r="B320" s="55" t="s">
        <v>944</v>
      </c>
      <c r="C320" s="55" t="s">
        <v>944</v>
      </c>
      <c r="D320" s="55" t="s">
        <v>1149</v>
      </c>
      <c r="E320" s="55" t="s">
        <v>1150</v>
      </c>
      <c r="F320" s="55" t="s">
        <v>1149</v>
      </c>
      <c r="G320" s="55" t="s">
        <v>1151</v>
      </c>
      <c r="H320" s="55" t="s">
        <v>1152</v>
      </c>
      <c r="I320" s="56">
        <v>1.0</v>
      </c>
      <c r="J320" s="56">
        <v>1.0</v>
      </c>
      <c r="K320" s="56"/>
      <c r="L320" s="56">
        <v>1.0</v>
      </c>
      <c r="M320" s="56"/>
      <c r="N320" s="56"/>
      <c r="O320" s="56"/>
      <c r="P320" s="56"/>
      <c r="Q320" s="56" t="s">
        <v>131</v>
      </c>
      <c r="R320" s="58" t="str">
        <f t="shared" si="1"/>
        <v>2018-2019-2021</v>
      </c>
      <c r="S320" s="59" t="str">
        <f>SUM(Hoja1!$I320:$P320)</f>
        <v>3</v>
      </c>
      <c r="T320" s="59" t="str">
        <f>IF(OR(Hoja1!$J320=1,Hoja1!$K320=1,Hoja1!$L320=1,Hoja1!$M320=1,Hoja1!$N320=1,Hoja1!$O320=1,Hoja1!$P320=1),"SI","NO")</f>
        <v>SI</v>
      </c>
      <c r="U320" s="59" t="str">
        <f>IF(OR(Hoja1!$K320=1,Hoja1!$L320=1,Hoja1!$M320=1,Hoja1!$N320=1,Hoja1!$O320=1,Hoja1!$P320=1),"SI","NO")</f>
        <v>SI</v>
      </c>
      <c r="V320" s="60">
        <v>30.0</v>
      </c>
      <c r="W320" s="61">
        <v>15.0</v>
      </c>
      <c r="X320" s="61">
        <v>15.0</v>
      </c>
      <c r="Y320" s="60">
        <v>30.0</v>
      </c>
      <c r="Z320" s="61">
        <v>0.0</v>
      </c>
      <c r="AA320" s="61">
        <v>0.0</v>
      </c>
      <c r="AB320" s="60">
        <v>0.0</v>
      </c>
      <c r="AC320" s="61">
        <v>12.0</v>
      </c>
      <c r="AD320" s="61">
        <v>14.0</v>
      </c>
      <c r="AE320" s="60">
        <v>26.0</v>
      </c>
      <c r="AF320" s="61">
        <v>0.0</v>
      </c>
      <c r="AG320" s="61">
        <v>0.0</v>
      </c>
      <c r="AH320" s="60">
        <v>0.0</v>
      </c>
      <c r="AI320" s="61">
        <v>0.0</v>
      </c>
      <c r="AJ320" s="61">
        <v>0.0</v>
      </c>
      <c r="AK320" s="60">
        <v>0.0</v>
      </c>
      <c r="AL320" s="61">
        <v>0.0</v>
      </c>
      <c r="AM320" s="61">
        <v>0.0</v>
      </c>
      <c r="AN320" s="60">
        <v>0.0</v>
      </c>
      <c r="AO320" s="62">
        <v>0.0</v>
      </c>
      <c r="AP320" s="62">
        <v>0.0</v>
      </c>
      <c r="AQ320" s="60">
        <v>0.0</v>
      </c>
      <c r="AR320" s="60" t="str">
        <f>IF(Hoja1!$AQ320&gt;0,Hoja1!$AQ320,IF(Hoja1!$AN320&gt;0,Hoja1!$AN320,IF(Hoja1!$AK320&gt;0,Hoja1!$AK320,IF(Hoja1!$AH320&gt;0,Hoja1!$AH320,IF(Hoja1!$AE320&gt;0,Hoja1!$AE320,IF(Hoja1!$AB320&gt;0,Hoja1!$AB320,IF(Hoja1!$Y320&gt;0,Hoja1!$Y320,IF(Hoja1!$V320&gt;0,Hoja1!$V320," ---"))))))))</f>
        <v>26</v>
      </c>
      <c r="AS320" s="63">
        <v>0.0</v>
      </c>
      <c r="AT320" s="63">
        <v>0.0</v>
      </c>
      <c r="AU320" s="63">
        <v>30.0</v>
      </c>
      <c r="AV320" s="63">
        <v>0.0</v>
      </c>
      <c r="AW320" s="63">
        <v>0.0</v>
      </c>
      <c r="AX320" s="63">
        <v>0.0</v>
      </c>
      <c r="AY320" s="63">
        <v>0.0</v>
      </c>
      <c r="AZ320" s="63">
        <v>0.0</v>
      </c>
      <c r="BA320" s="63">
        <v>0.0</v>
      </c>
      <c r="BB320" s="63">
        <v>0.0</v>
      </c>
      <c r="BC320" s="63">
        <v>0.0</v>
      </c>
      <c r="BD320" s="63">
        <v>0.0</v>
      </c>
      <c r="BE320" s="64">
        <v>0.0</v>
      </c>
      <c r="BF320" s="65">
        <v>0.0</v>
      </c>
      <c r="BG320" s="65">
        <v>0.0</v>
      </c>
      <c r="BH320" s="66">
        <v>0.0</v>
      </c>
      <c r="BI320" s="67" t="str">
        <f t="shared" si="115"/>
        <v>#REF!</v>
      </c>
      <c r="BJ320" s="68" t="str">
        <f t="shared" si="116"/>
        <v>#REF!</v>
      </c>
      <c r="BK320" s="65">
        <v>0.0</v>
      </c>
      <c r="BL320" s="65">
        <v>0.0</v>
      </c>
      <c r="BM320" s="66">
        <v>0.0</v>
      </c>
      <c r="BN320" s="67" t="str">
        <f t="shared" si="117"/>
        <v>#REF!</v>
      </c>
      <c r="BO320" s="68" t="str">
        <f t="shared" si="118"/>
        <v>#REF!</v>
      </c>
      <c r="BP320" s="65">
        <v>960.0</v>
      </c>
      <c r="BQ320" s="65">
        <v>0.0</v>
      </c>
      <c r="BR320" s="66">
        <v>960.0</v>
      </c>
      <c r="BS320" s="67" t="str">
        <f t="shared" si="119"/>
        <v>#REF!</v>
      </c>
      <c r="BT320" s="68" t="str">
        <f>'[1]DATA CONSOLIDADA 2018-2025 '!$BR320-Hoja1!$BO320</f>
        <v>#REF!</v>
      </c>
      <c r="BU320" s="65">
        <v>0.0</v>
      </c>
      <c r="BV320" s="65">
        <v>0.0</v>
      </c>
      <c r="BW320" s="66">
        <v>0.0</v>
      </c>
      <c r="BX320" s="67" t="str">
        <f t="shared" si="120"/>
        <v>#REF!</v>
      </c>
      <c r="BY320" s="68" t="str">
        <f t="shared" si="121"/>
        <v>#REF!</v>
      </c>
      <c r="BZ320" s="65">
        <v>0.0</v>
      </c>
      <c r="CA320" s="65">
        <v>0.0</v>
      </c>
      <c r="CB320" s="66">
        <v>0.0</v>
      </c>
      <c r="CC320" s="67" t="str">
        <f t="shared" si="122"/>
        <v>#REF!</v>
      </c>
      <c r="CD320" s="68" t="str">
        <f>'[1]DATA CONSOLIDADA 2018-2025 '!$CB320-Hoja1!$BW320</f>
        <v>#REF!</v>
      </c>
      <c r="CE320" s="70">
        <v>0.0</v>
      </c>
      <c r="CF320" s="70">
        <v>0.0</v>
      </c>
      <c r="CG320" s="71">
        <v>0.0</v>
      </c>
      <c r="CH320" s="67" t="str">
        <f t="shared" si="123"/>
        <v>#REF!</v>
      </c>
      <c r="CI320" s="68" t="str">
        <f>'[1]DATA CONSOLIDADA 2018-2025 '!$CG320-Hoja1!$CB320</f>
        <v>#REF!</v>
      </c>
      <c r="CJ320" s="64" t="str">
        <f t="shared" si="114"/>
        <v>#REF!</v>
      </c>
      <c r="CK320" s="64">
        <v>0.0</v>
      </c>
      <c r="CL320" s="64">
        <v>0.0</v>
      </c>
      <c r="CM320" s="64">
        <v>0.0</v>
      </c>
      <c r="CN320" s="64" t="str">
        <f t="shared" si="12"/>
        <v>#REF!</v>
      </c>
      <c r="CO320" s="68" t="str">
        <f>'[1]DATA CONSOLIDADA 2018-2025 '!$CM320-Hoja1!$CG320</f>
        <v>#REF!</v>
      </c>
      <c r="CP320" s="70">
        <v>0.0</v>
      </c>
      <c r="CQ320" s="70">
        <v>0.0</v>
      </c>
      <c r="CR320" s="70">
        <v>0.0</v>
      </c>
      <c r="CS320" s="70">
        <v>0.0</v>
      </c>
      <c r="CT320" s="70">
        <v>0.0</v>
      </c>
      <c r="CU320" s="70">
        <v>0.0</v>
      </c>
      <c r="CV320" s="64">
        <v>0.0</v>
      </c>
      <c r="CW320" s="64">
        <v>0.0</v>
      </c>
      <c r="CX320" s="64">
        <v>0.0</v>
      </c>
      <c r="CY320" s="64">
        <v>0.0</v>
      </c>
      <c r="CZ320" s="64">
        <v>0.0</v>
      </c>
      <c r="DA320" s="64">
        <v>0.0</v>
      </c>
      <c r="DB320" s="64">
        <v>0.0</v>
      </c>
      <c r="DC320" s="72">
        <v>0.0</v>
      </c>
      <c r="DD320" s="72">
        <v>0.0</v>
      </c>
      <c r="DE320" s="72">
        <v>0.0</v>
      </c>
      <c r="DF320" s="72">
        <v>0.0</v>
      </c>
      <c r="DG320" s="72">
        <v>0.0</v>
      </c>
      <c r="DH320" s="72">
        <v>0.0</v>
      </c>
      <c r="DI320" s="73">
        <v>2.039357666E10</v>
      </c>
      <c r="DJ320" s="74" t="s">
        <v>1164</v>
      </c>
      <c r="DK320" s="74" t="s">
        <v>138</v>
      </c>
      <c r="DL320" s="75"/>
      <c r="DM320" s="75"/>
      <c r="DN320" s="75"/>
      <c r="DO320" s="75"/>
      <c r="DP320" s="75"/>
      <c r="DQ320" s="75"/>
      <c r="DR320" s="75"/>
      <c r="DS320" s="75"/>
      <c r="DT320" s="75"/>
      <c r="DU320" s="75"/>
      <c r="DV320" s="75"/>
      <c r="DW320" s="75"/>
      <c r="DX320" s="75"/>
      <c r="DY320" s="75"/>
      <c r="DZ320" s="75"/>
      <c r="EA320" s="75"/>
      <c r="EB320" s="75"/>
      <c r="EC320" s="75"/>
      <c r="ED320" s="75"/>
      <c r="EE320" s="75"/>
    </row>
    <row r="321" ht="47.25" customHeight="1">
      <c r="A321" s="55" t="s">
        <v>1165</v>
      </c>
      <c r="B321" s="55" t="s">
        <v>146</v>
      </c>
      <c r="C321" s="55" t="s">
        <v>146</v>
      </c>
      <c r="D321" s="55" t="s">
        <v>593</v>
      </c>
      <c r="E321" s="55" t="s">
        <v>1166</v>
      </c>
      <c r="F321" s="55" t="s">
        <v>593</v>
      </c>
      <c r="G321" s="55" t="s">
        <v>1167</v>
      </c>
      <c r="H321" s="55" t="s">
        <v>1167</v>
      </c>
      <c r="I321" s="56">
        <v>1.0</v>
      </c>
      <c r="J321" s="56">
        <v>1.0</v>
      </c>
      <c r="K321" s="56"/>
      <c r="L321" s="56"/>
      <c r="M321" s="56"/>
      <c r="N321" s="56"/>
      <c r="O321" s="56"/>
      <c r="P321" s="56"/>
      <c r="Q321" s="56" t="s">
        <v>131</v>
      </c>
      <c r="R321" s="58" t="str">
        <f t="shared" si="1"/>
        <v>2018-2019</v>
      </c>
      <c r="S321" s="59" t="str">
        <f>SUM(Hoja1!$I321:$P321)</f>
        <v>2</v>
      </c>
      <c r="T321" s="59" t="str">
        <f>IF(OR(Hoja1!$J321=1,Hoja1!$K321=1,Hoja1!$L321=1,Hoja1!$M321=1,Hoja1!$N321=1,Hoja1!$O321=1,Hoja1!$P321=1),"SI","NO")</f>
        <v>SI</v>
      </c>
      <c r="U321" s="59" t="str">
        <f>IF(OR(Hoja1!$K321=1,Hoja1!$L321=1,Hoja1!$M321=1,Hoja1!$N321=1,Hoja1!$O321=1,Hoja1!$P321=1),"SI","NO")</f>
        <v>NO</v>
      </c>
      <c r="V321" s="60">
        <v>86.0</v>
      </c>
      <c r="W321" s="61">
        <v>101.0</v>
      </c>
      <c r="X321" s="61">
        <v>20.0</v>
      </c>
      <c r="Y321" s="60">
        <v>121.0</v>
      </c>
      <c r="Z321" s="61">
        <v>0.0</v>
      </c>
      <c r="AA321" s="61">
        <v>0.0</v>
      </c>
      <c r="AB321" s="60">
        <v>0.0</v>
      </c>
      <c r="AC321" s="61">
        <v>0.0</v>
      </c>
      <c r="AD321" s="61">
        <v>0.0</v>
      </c>
      <c r="AE321" s="60">
        <v>0.0</v>
      </c>
      <c r="AF321" s="61">
        <v>0.0</v>
      </c>
      <c r="AG321" s="61">
        <v>0.0</v>
      </c>
      <c r="AH321" s="60">
        <v>0.0</v>
      </c>
      <c r="AI321" s="61">
        <v>0.0</v>
      </c>
      <c r="AJ321" s="61">
        <v>0.0</v>
      </c>
      <c r="AK321" s="60">
        <v>0.0</v>
      </c>
      <c r="AL321" s="61">
        <v>0.0</v>
      </c>
      <c r="AM321" s="61">
        <v>0.0</v>
      </c>
      <c r="AN321" s="60">
        <v>0.0</v>
      </c>
      <c r="AO321" s="62">
        <v>0.0</v>
      </c>
      <c r="AP321" s="62">
        <v>0.0</v>
      </c>
      <c r="AQ321" s="60">
        <v>0.0</v>
      </c>
      <c r="AR321" s="60" t="str">
        <f>IF(Hoja1!$AQ321&gt;0,Hoja1!$AQ321,IF(Hoja1!$AN321&gt;0,Hoja1!$AN321,IF(Hoja1!$AK321&gt;0,Hoja1!$AK321,IF(Hoja1!$AH321&gt;0,Hoja1!$AH321,IF(Hoja1!$AE321&gt;0,Hoja1!$AE321,IF(Hoja1!$AB321&gt;0,Hoja1!$AB321,IF(Hoja1!$Y321&gt;0,Hoja1!$Y321,IF(Hoja1!$V321&gt;0,Hoja1!$V321," ---"))))))))</f>
        <v>121</v>
      </c>
      <c r="AS321" s="63">
        <v>0.0</v>
      </c>
      <c r="AT321" s="63">
        <v>0.0</v>
      </c>
      <c r="AU321" s="63">
        <v>0.0</v>
      </c>
      <c r="AV321" s="63">
        <v>0.0</v>
      </c>
      <c r="AW321" s="63">
        <v>0.0</v>
      </c>
      <c r="AX321" s="63">
        <v>0.0</v>
      </c>
      <c r="AY321" s="63">
        <v>0.0</v>
      </c>
      <c r="AZ321" s="63">
        <v>0.0</v>
      </c>
      <c r="BA321" s="63">
        <v>0.0</v>
      </c>
      <c r="BB321" s="63">
        <v>0.0</v>
      </c>
      <c r="BC321" s="63">
        <v>0.0</v>
      </c>
      <c r="BD321" s="63">
        <v>0.0</v>
      </c>
      <c r="BE321" s="64">
        <v>0.0</v>
      </c>
      <c r="BF321" s="65">
        <v>133603.4</v>
      </c>
      <c r="BG321" s="65">
        <v>0.0</v>
      </c>
      <c r="BH321" s="66">
        <v>133603.4</v>
      </c>
      <c r="BI321" s="67" t="str">
        <f>IF('[1]DATA CONSOLIDADA 2018-2025 '!$BH149&gt;'[1]DATA CONSOLIDADA 2018-2025 '!$AN149,"Incremento",IF('[1]DATA CONSOLIDADA 2018-2025 '!$AN149='[1]DATA CONSOLIDADA 2018-2025 '!$BH149,"Sin incremento",IF('[1]DATA CONSOLIDADA 2018-2025 '!$BH149&lt;'[1]DATA CONSOLIDADA 2018-2025 '!$AN149,"Disminución"," ---")))</f>
        <v>#REF!</v>
      </c>
      <c r="BJ321" s="68" t="str">
        <f>'[1]DATA CONSOLIDADA 2018-2025 '!$BH149-'[1]DATA CONSOLIDADA 2018-2025 '!$BE149</f>
        <v>#REF!</v>
      </c>
      <c r="BK321" s="65">
        <v>0.0</v>
      </c>
      <c r="BL321" s="65">
        <v>0.0</v>
      </c>
      <c r="BM321" s="66">
        <v>0.0</v>
      </c>
      <c r="BN321" s="67" t="str">
        <f>IF('[1]DATA CONSOLIDADA 2018-2025 '!$BM149&gt;'[1]DATA CONSOLIDADA 2018-2025 '!$BH149,"Incremento",IF('[1]DATA CONSOLIDADA 2018-2025 '!$BH149='[1]DATA CONSOLIDADA 2018-2025 '!$BM149,"Sin incremento",IF('[1]DATA CONSOLIDADA 2018-2025 '!$BM149&lt;'[1]DATA CONSOLIDADA 2018-2025 '!$BH149,"Disminución"," ---")))</f>
        <v>#REF!</v>
      </c>
      <c r="BO321" s="68" t="str">
        <f>'[1]DATA CONSOLIDADA 2018-2025 '!$BM149-'[1]DATA CONSOLIDADA 2018-2025 '!$BH149</f>
        <v>#REF!</v>
      </c>
      <c r="BP321" s="65">
        <v>0.0</v>
      </c>
      <c r="BQ321" s="65">
        <v>0.0</v>
      </c>
      <c r="BR321" s="66">
        <v>0.0</v>
      </c>
      <c r="BS321" s="67" t="str">
        <f>IF('[1]DATA CONSOLIDADA 2018-2025 '!$BR149&gt;'[1]DATA CONSOLIDADA 2018-2025 '!$BM149,"Incremento",IF('[1]DATA CONSOLIDADA 2018-2025 '!$BM149='[1]DATA CONSOLIDADA 2018-2025 '!$BR149,"Sin incremento",IF('[1]DATA CONSOLIDADA 2018-2025 '!$BR149&lt;'[1]DATA CONSOLIDADA 2018-2025 '!$BM149,"Disminución"," ---")))</f>
        <v>#REF!</v>
      </c>
      <c r="BT321" s="68" t="str">
        <f>'[1]DATA CONSOLIDADA 2018-2025 '!$BR321-Hoja1!$BO321</f>
        <v>#REF!</v>
      </c>
      <c r="BU321" s="65">
        <v>0.0</v>
      </c>
      <c r="BV321" s="65">
        <v>0.0</v>
      </c>
      <c r="BW321" s="66">
        <v>0.0</v>
      </c>
      <c r="BX321" s="67" t="str">
        <f>IF('[1]DATA CONSOLIDADA 2018-2025 '!$BW149&gt;'[1]DATA CONSOLIDADA 2018-2025 '!$BR149,"Incremento",IF('[1]DATA CONSOLIDADA 2018-2025 '!$BR149='[1]DATA CONSOLIDADA 2018-2025 '!$BW149,"Sin incremento",IF('[1]DATA CONSOLIDADA 2018-2025 '!$BW149&lt;'[1]DATA CONSOLIDADA 2018-2025 '!$BR149,"Disminución"," ---")))</f>
        <v>#REF!</v>
      </c>
      <c r="BY321" s="68" t="str">
        <f>'[1]DATA CONSOLIDADA 2018-2025 '!$BW149-'[1]DATA CONSOLIDADA 2018-2025 '!$BR149</f>
        <v>#REF!</v>
      </c>
      <c r="BZ321" s="65">
        <v>0.0</v>
      </c>
      <c r="CA321" s="65">
        <v>0.0</v>
      </c>
      <c r="CB321" s="66">
        <v>0.0</v>
      </c>
      <c r="CC321" s="67" t="str">
        <f>IF('[1]DATA CONSOLIDADA 2018-2025 '!$CB149&gt;'[1]DATA CONSOLIDADA 2018-2025 '!$BW149,"Incremento",IF('[1]DATA CONSOLIDADA 2018-2025 '!$BW149='[1]DATA CONSOLIDADA 2018-2025 '!$CB149,"Sin incremento",IF('[1]DATA CONSOLIDADA 2018-2025 '!$CB149&lt;'[1]DATA CONSOLIDADA 2018-2025 '!$BW149,"Disminución"," ---")))</f>
        <v>#REF!</v>
      </c>
      <c r="CD321" s="68" t="str">
        <f>'[1]DATA CONSOLIDADA 2018-2025 '!$CB321-Hoja1!$BW321</f>
        <v>#REF!</v>
      </c>
      <c r="CE321" s="70">
        <v>0.0</v>
      </c>
      <c r="CF321" s="70">
        <v>0.0</v>
      </c>
      <c r="CG321" s="71">
        <v>0.0</v>
      </c>
      <c r="CH321" s="67" t="str">
        <f>IF('[1]DATA CONSOLIDADA 2018-2025 '!$CG149&gt;'[1]DATA CONSOLIDADA 2018-2025 '!$CB149,"Incremento",IF('[1]DATA CONSOLIDADA 2018-2025 '!$CB149='[1]DATA CONSOLIDADA 2018-2025 '!$CG149,"Sin incremento",IF('[1]DATA CONSOLIDADA 2018-2025 '!$CG149&lt;'[1]DATA CONSOLIDADA 2018-2025 '!$CB149,"Disminución"," ---")))</f>
        <v>#REF!</v>
      </c>
      <c r="CI321" s="68" t="str">
        <f>'[1]DATA CONSOLIDADA 2018-2025 '!$CG321-Hoja1!$CB321</f>
        <v>#REF!</v>
      </c>
      <c r="CJ321" s="64" t="str">
        <f t="shared" si="114"/>
        <v>#REF!</v>
      </c>
      <c r="CK321" s="64">
        <v>0.0</v>
      </c>
      <c r="CL321" s="64">
        <v>0.0</v>
      </c>
      <c r="CM321" s="64">
        <v>0.0</v>
      </c>
      <c r="CN321" s="64" t="str">
        <f t="shared" si="12"/>
        <v>#REF!</v>
      </c>
      <c r="CO321" s="68" t="str">
        <f>'[1]DATA CONSOLIDADA 2018-2025 '!$CM321-Hoja1!$CG321</f>
        <v>#REF!</v>
      </c>
      <c r="CP321" s="70">
        <v>0.0</v>
      </c>
      <c r="CQ321" s="70">
        <v>0.0</v>
      </c>
      <c r="CR321" s="70">
        <v>0.0</v>
      </c>
      <c r="CS321" s="70">
        <v>0.0</v>
      </c>
      <c r="CT321" s="70">
        <v>0.0</v>
      </c>
      <c r="CU321" s="70">
        <v>0.0</v>
      </c>
      <c r="CV321" s="64">
        <v>0.0</v>
      </c>
      <c r="CW321" s="64">
        <v>0.0</v>
      </c>
      <c r="CX321" s="64">
        <v>0.0</v>
      </c>
      <c r="CY321" s="64">
        <v>0.0</v>
      </c>
      <c r="CZ321" s="64">
        <v>0.0</v>
      </c>
      <c r="DA321" s="64">
        <v>0.0</v>
      </c>
      <c r="DB321" s="64">
        <v>0.0</v>
      </c>
      <c r="DC321" s="72">
        <v>0.0</v>
      </c>
      <c r="DD321" s="72">
        <v>0.0</v>
      </c>
      <c r="DE321" s="72">
        <v>0.0</v>
      </c>
      <c r="DF321" s="72">
        <v>0.0</v>
      </c>
      <c r="DG321" s="72">
        <v>0.0</v>
      </c>
      <c r="DH321" s="72">
        <v>0.0</v>
      </c>
      <c r="DI321" s="73">
        <v>2.0573049102E10</v>
      </c>
      <c r="DJ321" s="74" t="s">
        <v>1165</v>
      </c>
      <c r="DK321" s="74" t="s">
        <v>132</v>
      </c>
      <c r="DL321" s="75"/>
      <c r="DM321" s="75"/>
      <c r="DN321" s="75"/>
      <c r="DO321" s="75"/>
      <c r="DP321" s="75"/>
      <c r="DQ321" s="75"/>
      <c r="DR321" s="75"/>
      <c r="DS321" s="75"/>
      <c r="DT321" s="75"/>
      <c r="DU321" s="75"/>
      <c r="DV321" s="75"/>
      <c r="DW321" s="75"/>
      <c r="DX321" s="75"/>
      <c r="DY321" s="75"/>
      <c r="DZ321" s="75"/>
      <c r="EA321" s="75"/>
      <c r="EB321" s="75"/>
      <c r="EC321" s="75"/>
      <c r="ED321" s="75"/>
      <c r="EE321" s="75"/>
    </row>
    <row r="322" ht="47.25" customHeight="1">
      <c r="A322" s="55" t="s">
        <v>1168</v>
      </c>
      <c r="B322" s="55" t="s">
        <v>146</v>
      </c>
      <c r="C322" s="55" t="s">
        <v>146</v>
      </c>
      <c r="D322" s="55" t="s">
        <v>1149</v>
      </c>
      <c r="E322" s="55" t="s">
        <v>1155</v>
      </c>
      <c r="F322" s="55" t="s">
        <v>1149</v>
      </c>
      <c r="G322" s="55" t="s">
        <v>1156</v>
      </c>
      <c r="H322" s="55" t="s">
        <v>1156</v>
      </c>
      <c r="I322" s="56"/>
      <c r="J322" s="56">
        <v>1.0</v>
      </c>
      <c r="K322" s="56">
        <v>1.0</v>
      </c>
      <c r="L322" s="56"/>
      <c r="M322" s="56"/>
      <c r="N322" s="56"/>
      <c r="O322" s="56"/>
      <c r="P322" s="56"/>
      <c r="Q322" s="56" t="s">
        <v>131</v>
      </c>
      <c r="R322" s="58" t="str">
        <f t="shared" si="1"/>
        <v>2019-2020</v>
      </c>
      <c r="S322" s="59" t="str">
        <f>SUM(Hoja1!$I322:$P322)</f>
        <v>2</v>
      </c>
      <c r="T322" s="59" t="str">
        <f>IF(OR(Hoja1!$J322=1,Hoja1!$K322=1,Hoja1!$L322=1,Hoja1!$M322=1,Hoja1!$N322=1,Hoja1!$O322=1,Hoja1!$P322=1),"SI","NO")</f>
        <v>SI</v>
      </c>
      <c r="U322" s="59" t="str">
        <f>IF(OR(Hoja1!$K322=1,Hoja1!$L322=1,Hoja1!$M322=1,Hoja1!$N322=1,Hoja1!$O322=1,Hoja1!$P322=1),"SI","NO")</f>
        <v>SI</v>
      </c>
      <c r="V322" s="60">
        <v>0.0</v>
      </c>
      <c r="W322" s="61">
        <v>17.0</v>
      </c>
      <c r="X322" s="61">
        <v>8.0</v>
      </c>
      <c r="Y322" s="60">
        <v>25.0</v>
      </c>
      <c r="Z322" s="61">
        <v>12.0</v>
      </c>
      <c r="AA322" s="61">
        <v>11.0</v>
      </c>
      <c r="AB322" s="60">
        <v>23.0</v>
      </c>
      <c r="AC322" s="61">
        <v>0.0</v>
      </c>
      <c r="AD322" s="61">
        <v>0.0</v>
      </c>
      <c r="AE322" s="60">
        <v>0.0</v>
      </c>
      <c r="AF322" s="61">
        <v>0.0</v>
      </c>
      <c r="AG322" s="61">
        <v>0.0</v>
      </c>
      <c r="AH322" s="60">
        <v>0.0</v>
      </c>
      <c r="AI322" s="61">
        <v>0.0</v>
      </c>
      <c r="AJ322" s="61">
        <v>0.0</v>
      </c>
      <c r="AK322" s="60">
        <v>0.0</v>
      </c>
      <c r="AL322" s="61">
        <v>0.0</v>
      </c>
      <c r="AM322" s="61">
        <v>0.0</v>
      </c>
      <c r="AN322" s="60">
        <v>0.0</v>
      </c>
      <c r="AO322" s="62">
        <v>0.0</v>
      </c>
      <c r="AP322" s="62">
        <v>0.0</v>
      </c>
      <c r="AQ322" s="60">
        <v>0.0</v>
      </c>
      <c r="AR322" s="60" t="str">
        <f>IF(Hoja1!$AQ322&gt;0,Hoja1!$AQ322,IF(Hoja1!$AN322&gt;0,Hoja1!$AN322,IF(Hoja1!$AK322&gt;0,Hoja1!$AK322,IF(Hoja1!$AH322&gt;0,Hoja1!$AH322,IF(Hoja1!$AE322&gt;0,Hoja1!$AE322,IF(Hoja1!$AB322&gt;0,Hoja1!$AB322,IF(Hoja1!$Y322&gt;0,Hoja1!$Y322,IF(Hoja1!$V322&gt;0,Hoja1!$V322," ---"))))))))</f>
        <v>23</v>
      </c>
      <c r="AS322" s="63">
        <v>0.0</v>
      </c>
      <c r="AT322" s="63">
        <v>0.0</v>
      </c>
      <c r="AU322" s="63">
        <v>0.0</v>
      </c>
      <c r="AV322" s="63">
        <v>0.0</v>
      </c>
      <c r="AW322" s="63">
        <v>0.0</v>
      </c>
      <c r="AX322" s="63">
        <v>0.0</v>
      </c>
      <c r="AY322" s="63">
        <v>0.0</v>
      </c>
      <c r="AZ322" s="63">
        <v>0.0</v>
      </c>
      <c r="BA322" s="63">
        <v>0.0</v>
      </c>
      <c r="BB322" s="63">
        <v>0.0</v>
      </c>
      <c r="BC322" s="63">
        <v>0.0</v>
      </c>
      <c r="BD322" s="63">
        <v>0.0</v>
      </c>
      <c r="BE322" s="64">
        <v>0.0</v>
      </c>
      <c r="BF322" s="65">
        <v>11460.9</v>
      </c>
      <c r="BG322" s="65">
        <v>0.0</v>
      </c>
      <c r="BH322" s="66">
        <v>11460.9</v>
      </c>
      <c r="BI322" s="67" t="str">
        <f t="shared" ref="BI322:BI324" si="124">IF('[1]DATA CONSOLIDADA 2018-2025 '!$BH322&gt;'[1]DATA CONSOLIDADA 2018-2025 '!$AN322,"Incremento",IF('[1]DATA CONSOLIDADA 2018-2025 '!$AN322='[1]DATA CONSOLIDADA 2018-2025 '!$BH322,"Sin incremento",IF('[1]DATA CONSOLIDADA 2018-2025 '!$BH322&lt;'[1]DATA CONSOLIDADA 2018-2025 '!$AN322,"Disminución"," ---")))</f>
        <v>#REF!</v>
      </c>
      <c r="BJ322" s="68" t="str">
        <f t="shared" ref="BJ322:BJ324" si="125">'[1]DATA CONSOLIDADA 2018-2025 '!$BH322-'[1]DATA CONSOLIDADA 2018-2025 '!$BE322</f>
        <v>#REF!</v>
      </c>
      <c r="BK322" s="65">
        <v>0.0</v>
      </c>
      <c r="BL322" s="65">
        <v>0.0</v>
      </c>
      <c r="BM322" s="66">
        <v>0.0</v>
      </c>
      <c r="BN322" s="67" t="str">
        <f t="shared" ref="BN322:BN324" si="126">IF('[1]DATA CONSOLIDADA 2018-2025 '!$BM322&gt;'[1]DATA CONSOLIDADA 2018-2025 '!$BH322,"Incremento",IF('[1]DATA CONSOLIDADA 2018-2025 '!$BH322='[1]DATA CONSOLIDADA 2018-2025 '!$BM322,"Sin incremento",IF('[1]DATA CONSOLIDADA 2018-2025 '!$BM322&lt;'[1]DATA CONSOLIDADA 2018-2025 '!$BH322,"Disminución"," ---")))</f>
        <v>#REF!</v>
      </c>
      <c r="BO322" s="68" t="str">
        <f t="shared" ref="BO322:BO324" si="127">'[1]DATA CONSOLIDADA 2018-2025 '!$BM322-'[1]DATA CONSOLIDADA 2018-2025 '!$BH322</f>
        <v>#REF!</v>
      </c>
      <c r="BP322" s="65">
        <v>0.0</v>
      </c>
      <c r="BQ322" s="65">
        <v>0.0</v>
      </c>
      <c r="BR322" s="66">
        <v>0.0</v>
      </c>
      <c r="BS322" s="67" t="str">
        <f t="shared" ref="BS322:BS324" si="128">IF('[1]DATA CONSOLIDADA 2018-2025 '!$BR322&gt;'[1]DATA CONSOLIDADA 2018-2025 '!$BM322,"Incremento",IF('[1]DATA CONSOLIDADA 2018-2025 '!$BM322='[1]DATA CONSOLIDADA 2018-2025 '!$BR322,"Sin incremento",IF('[1]DATA CONSOLIDADA 2018-2025 '!$BR322&lt;'[1]DATA CONSOLIDADA 2018-2025 '!$BM322,"Disminución"," ---")))</f>
        <v>#REF!</v>
      </c>
      <c r="BT322" s="68" t="str">
        <f>'[1]DATA CONSOLIDADA 2018-2025 '!$BR322-Hoja1!$BO322</f>
        <v>#REF!</v>
      </c>
      <c r="BU322" s="65">
        <v>0.0</v>
      </c>
      <c r="BV322" s="65">
        <v>0.0</v>
      </c>
      <c r="BW322" s="66">
        <v>0.0</v>
      </c>
      <c r="BX322" s="67" t="str">
        <f t="shared" ref="BX322:BX324" si="129">IF('[1]DATA CONSOLIDADA 2018-2025 '!$BW322&gt;'[1]DATA CONSOLIDADA 2018-2025 '!$BR322,"Incremento",IF('[1]DATA CONSOLIDADA 2018-2025 '!$BR322='[1]DATA CONSOLIDADA 2018-2025 '!$BW322,"Sin incremento",IF('[1]DATA CONSOLIDADA 2018-2025 '!$BW322&lt;'[1]DATA CONSOLIDADA 2018-2025 '!$BR322,"Disminución"," ---")))</f>
        <v>#REF!</v>
      </c>
      <c r="BY322" s="68" t="str">
        <f t="shared" ref="BY322:BY324" si="130">'[1]DATA CONSOLIDADA 2018-2025 '!$BW322-'[1]DATA CONSOLIDADA 2018-2025 '!$BR322</f>
        <v>#REF!</v>
      </c>
      <c r="BZ322" s="65">
        <v>0.0</v>
      </c>
      <c r="CA322" s="65">
        <v>0.0</v>
      </c>
      <c r="CB322" s="66">
        <v>0.0</v>
      </c>
      <c r="CC322" s="67" t="str">
        <f t="shared" ref="CC322:CC324" si="131">IF('[1]DATA CONSOLIDADA 2018-2025 '!$CB322&gt;'[1]DATA CONSOLIDADA 2018-2025 '!$BW322,"Incremento",IF('[1]DATA CONSOLIDADA 2018-2025 '!$BW322='[1]DATA CONSOLIDADA 2018-2025 '!$CB322,"Sin incremento",IF('[1]DATA CONSOLIDADA 2018-2025 '!$CB322&lt;'[1]DATA CONSOLIDADA 2018-2025 '!$BW322,"Disminución"," ---")))</f>
        <v>#REF!</v>
      </c>
      <c r="CD322" s="68" t="str">
        <f>'[1]DATA CONSOLIDADA 2018-2025 '!$CB322-Hoja1!$BW322</f>
        <v>#REF!</v>
      </c>
      <c r="CE322" s="70">
        <v>0.0</v>
      </c>
      <c r="CF322" s="70">
        <v>0.0</v>
      </c>
      <c r="CG322" s="71">
        <v>0.0</v>
      </c>
      <c r="CH322" s="67" t="str">
        <f t="shared" ref="CH322:CH324" si="132">IF('[1]DATA CONSOLIDADA 2018-2025 '!$CG322&gt;'[1]DATA CONSOLIDADA 2018-2025 '!$CB322,"Incremento",IF('[1]DATA CONSOLIDADA 2018-2025 '!$CB322='[1]DATA CONSOLIDADA 2018-2025 '!$CG322,"Sin incremento",IF('[1]DATA CONSOLIDADA 2018-2025 '!$CG322&lt;'[1]DATA CONSOLIDADA 2018-2025 '!$CB322,"Disminución"," ---")))</f>
        <v>#REF!</v>
      </c>
      <c r="CI322" s="68" t="str">
        <f>'[1]DATA CONSOLIDADA 2018-2025 '!$CG322-Hoja1!$CB322</f>
        <v>#REF!</v>
      </c>
      <c r="CJ322" s="64" t="str">
        <f t="shared" si="114"/>
        <v>#REF!</v>
      </c>
      <c r="CK322" s="64">
        <v>0.0</v>
      </c>
      <c r="CL322" s="64">
        <v>0.0</v>
      </c>
      <c r="CM322" s="64">
        <v>0.0</v>
      </c>
      <c r="CN322" s="64" t="str">
        <f t="shared" si="12"/>
        <v>#REF!</v>
      </c>
      <c r="CO322" s="68" t="str">
        <f>'[1]DATA CONSOLIDADA 2018-2025 '!$CM322-Hoja1!$CG322</f>
        <v>#REF!</v>
      </c>
      <c r="CP322" s="70">
        <v>0.0</v>
      </c>
      <c r="CQ322" s="70">
        <v>0.0</v>
      </c>
      <c r="CR322" s="70">
        <v>0.0</v>
      </c>
      <c r="CS322" s="70">
        <v>0.0</v>
      </c>
      <c r="CT322" s="70">
        <v>0.0</v>
      </c>
      <c r="CU322" s="70">
        <v>0.0</v>
      </c>
      <c r="CV322" s="64">
        <v>0.0</v>
      </c>
      <c r="CW322" s="64">
        <v>0.0</v>
      </c>
      <c r="CX322" s="64">
        <v>0.0</v>
      </c>
      <c r="CY322" s="64">
        <v>0.0</v>
      </c>
      <c r="CZ322" s="64">
        <v>0.0</v>
      </c>
      <c r="DA322" s="64">
        <v>0.0</v>
      </c>
      <c r="DB322" s="64">
        <v>0.0</v>
      </c>
      <c r="DC322" s="72">
        <v>0.0</v>
      </c>
      <c r="DD322" s="72">
        <v>0.0</v>
      </c>
      <c r="DE322" s="72">
        <v>0.0</v>
      </c>
      <c r="DF322" s="72">
        <v>0.0</v>
      </c>
      <c r="DG322" s="72">
        <v>0.0</v>
      </c>
      <c r="DH322" s="72">
        <v>0.0</v>
      </c>
      <c r="DI322" s="73">
        <v>2.0393882868E10</v>
      </c>
      <c r="DJ322" s="74" t="s">
        <v>1168</v>
      </c>
      <c r="DK322" s="74" t="s">
        <v>132</v>
      </c>
      <c r="DL322" s="75"/>
      <c r="DM322" s="75"/>
      <c r="DN322" s="75"/>
      <c r="DO322" s="75"/>
      <c r="DP322" s="75"/>
      <c r="DQ322" s="75"/>
      <c r="DR322" s="75"/>
      <c r="DS322" s="75"/>
      <c r="DT322" s="75"/>
      <c r="DU322" s="75"/>
      <c r="DV322" s="75"/>
      <c r="DW322" s="75"/>
      <c r="DX322" s="75"/>
      <c r="DY322" s="75"/>
      <c r="DZ322" s="75"/>
      <c r="EA322" s="75"/>
      <c r="EB322" s="75"/>
      <c r="EC322" s="75"/>
      <c r="ED322" s="75"/>
      <c r="EE322" s="75"/>
    </row>
    <row r="323" ht="47.25" customHeight="1">
      <c r="A323" s="55" t="s">
        <v>1169</v>
      </c>
      <c r="B323" s="55" t="s">
        <v>146</v>
      </c>
      <c r="C323" s="55" t="s">
        <v>146</v>
      </c>
      <c r="D323" s="55" t="s">
        <v>1149</v>
      </c>
      <c r="E323" s="55" t="s">
        <v>1170</v>
      </c>
      <c r="F323" s="55" t="s">
        <v>1149</v>
      </c>
      <c r="G323" s="55" t="s">
        <v>1156</v>
      </c>
      <c r="H323" s="55" t="s">
        <v>1171</v>
      </c>
      <c r="I323" s="56"/>
      <c r="J323" s="56">
        <v>1.0</v>
      </c>
      <c r="K323" s="56"/>
      <c r="L323" s="56"/>
      <c r="M323" s="56"/>
      <c r="N323" s="56"/>
      <c r="O323" s="56"/>
      <c r="P323" s="56"/>
      <c r="Q323" s="56" t="s">
        <v>131</v>
      </c>
      <c r="R323" s="58" t="str">
        <f t="shared" si="1"/>
        <v>2019</v>
      </c>
      <c r="S323" s="59" t="str">
        <f>SUM(Hoja1!$I323:$P323)</f>
        <v>1</v>
      </c>
      <c r="T323" s="59" t="str">
        <f>IF(OR(Hoja1!$J323=1,Hoja1!$K323=1,Hoja1!$L323=1,Hoja1!$M323=1,Hoja1!$N323=1,Hoja1!$O323=1,Hoja1!$P323=1),"SI","NO")</f>
        <v>SI</v>
      </c>
      <c r="U323" s="59" t="str">
        <f>IF(OR(Hoja1!$K323=1,Hoja1!$L323=1,Hoja1!$M323=1,Hoja1!$N323=1,Hoja1!$O323=1,Hoja1!$P323=1),"SI","NO")</f>
        <v>NO</v>
      </c>
      <c r="V323" s="60">
        <v>0.0</v>
      </c>
      <c r="W323" s="61">
        <v>37.0</v>
      </c>
      <c r="X323" s="61">
        <v>13.0</v>
      </c>
      <c r="Y323" s="60">
        <v>50.0</v>
      </c>
      <c r="Z323" s="61">
        <v>0.0</v>
      </c>
      <c r="AA323" s="61">
        <v>0.0</v>
      </c>
      <c r="AB323" s="60">
        <v>0.0</v>
      </c>
      <c r="AC323" s="61">
        <v>0.0</v>
      </c>
      <c r="AD323" s="61">
        <v>0.0</v>
      </c>
      <c r="AE323" s="60">
        <v>0.0</v>
      </c>
      <c r="AF323" s="61">
        <v>0.0</v>
      </c>
      <c r="AG323" s="61">
        <v>0.0</v>
      </c>
      <c r="AH323" s="60">
        <v>0.0</v>
      </c>
      <c r="AI323" s="61">
        <v>0.0</v>
      </c>
      <c r="AJ323" s="61">
        <v>0.0</v>
      </c>
      <c r="AK323" s="60">
        <v>0.0</v>
      </c>
      <c r="AL323" s="61">
        <v>0.0</v>
      </c>
      <c r="AM323" s="61">
        <v>0.0</v>
      </c>
      <c r="AN323" s="60">
        <v>0.0</v>
      </c>
      <c r="AO323" s="62">
        <v>0.0</v>
      </c>
      <c r="AP323" s="62">
        <v>0.0</v>
      </c>
      <c r="AQ323" s="60">
        <v>0.0</v>
      </c>
      <c r="AR323" s="60" t="str">
        <f>IF(Hoja1!$AQ323&gt;0,Hoja1!$AQ323,IF(Hoja1!$AN323&gt;0,Hoja1!$AN323,IF(Hoja1!$AK323&gt;0,Hoja1!$AK323,IF(Hoja1!$AH323&gt;0,Hoja1!$AH323,IF(Hoja1!$AE323&gt;0,Hoja1!$AE323,IF(Hoja1!$AB323&gt;0,Hoja1!$AB323,IF(Hoja1!$Y323&gt;0,Hoja1!$Y323,IF(Hoja1!$V323&gt;0,Hoja1!$V323," ---"))))))))</f>
        <v>50</v>
      </c>
      <c r="AS323" s="63">
        <v>0.0</v>
      </c>
      <c r="AT323" s="63">
        <v>0.0</v>
      </c>
      <c r="AU323" s="63">
        <v>0.0</v>
      </c>
      <c r="AV323" s="63">
        <v>0.0</v>
      </c>
      <c r="AW323" s="63">
        <v>0.0</v>
      </c>
      <c r="AX323" s="63">
        <v>0.0</v>
      </c>
      <c r="AY323" s="63">
        <v>0.0</v>
      </c>
      <c r="AZ323" s="63">
        <v>0.0</v>
      </c>
      <c r="BA323" s="63">
        <v>0.0</v>
      </c>
      <c r="BB323" s="63">
        <v>0.0</v>
      </c>
      <c r="BC323" s="63">
        <v>0.0</v>
      </c>
      <c r="BD323" s="63">
        <v>0.0</v>
      </c>
      <c r="BE323" s="66">
        <v>0.0</v>
      </c>
      <c r="BF323" s="65">
        <v>0.0</v>
      </c>
      <c r="BG323" s="65">
        <v>0.0</v>
      </c>
      <c r="BH323" s="66">
        <v>0.0</v>
      </c>
      <c r="BI323" s="67" t="str">
        <f t="shared" si="124"/>
        <v>#REF!</v>
      </c>
      <c r="BJ323" s="68" t="str">
        <f t="shared" si="125"/>
        <v>#REF!</v>
      </c>
      <c r="BK323" s="65">
        <v>0.0</v>
      </c>
      <c r="BL323" s="65">
        <v>0.0</v>
      </c>
      <c r="BM323" s="66">
        <v>0.0</v>
      </c>
      <c r="BN323" s="67" t="str">
        <f t="shared" si="126"/>
        <v>#REF!</v>
      </c>
      <c r="BO323" s="68" t="str">
        <f t="shared" si="127"/>
        <v>#REF!</v>
      </c>
      <c r="BP323" s="65">
        <v>0.0</v>
      </c>
      <c r="BQ323" s="65">
        <v>0.0</v>
      </c>
      <c r="BR323" s="66">
        <v>0.0</v>
      </c>
      <c r="BS323" s="67" t="str">
        <f t="shared" si="128"/>
        <v>#REF!</v>
      </c>
      <c r="BT323" s="68" t="str">
        <f>'[1]DATA CONSOLIDADA 2018-2025 '!$BR323-Hoja1!$BO323</f>
        <v>#REF!</v>
      </c>
      <c r="BU323" s="65">
        <v>0.0</v>
      </c>
      <c r="BV323" s="65">
        <v>0.0</v>
      </c>
      <c r="BW323" s="66">
        <v>0.0</v>
      </c>
      <c r="BX323" s="67" t="str">
        <f t="shared" si="129"/>
        <v>#REF!</v>
      </c>
      <c r="BY323" s="68" t="str">
        <f t="shared" si="130"/>
        <v>#REF!</v>
      </c>
      <c r="BZ323" s="65">
        <v>0.0</v>
      </c>
      <c r="CA323" s="65">
        <v>0.0</v>
      </c>
      <c r="CB323" s="66">
        <v>0.0</v>
      </c>
      <c r="CC323" s="67" t="str">
        <f t="shared" si="131"/>
        <v>#REF!</v>
      </c>
      <c r="CD323" s="68" t="str">
        <f>'[1]DATA CONSOLIDADA 2018-2025 '!$CB323-Hoja1!$BW323</f>
        <v>#REF!</v>
      </c>
      <c r="CE323" s="70">
        <v>0.0</v>
      </c>
      <c r="CF323" s="70">
        <v>0.0</v>
      </c>
      <c r="CG323" s="71">
        <v>0.0</v>
      </c>
      <c r="CH323" s="67" t="str">
        <f t="shared" si="132"/>
        <v>#REF!</v>
      </c>
      <c r="CI323" s="68" t="str">
        <f>'[1]DATA CONSOLIDADA 2018-2025 '!$CG323-Hoja1!$CB323</f>
        <v>#REF!</v>
      </c>
      <c r="CJ323" s="64" t="str">
        <f t="shared" si="114"/>
        <v>#REF!</v>
      </c>
      <c r="CK323" s="64">
        <v>0.0</v>
      </c>
      <c r="CL323" s="64">
        <v>0.0</v>
      </c>
      <c r="CM323" s="64">
        <v>0.0</v>
      </c>
      <c r="CN323" s="64" t="str">
        <f t="shared" si="12"/>
        <v>#REF!</v>
      </c>
      <c r="CO323" s="68" t="str">
        <f>'[1]DATA CONSOLIDADA 2018-2025 '!$CM323-Hoja1!$CG323</f>
        <v>#REF!</v>
      </c>
      <c r="CP323" s="70">
        <v>0.0</v>
      </c>
      <c r="CQ323" s="70">
        <v>0.0</v>
      </c>
      <c r="CR323" s="70">
        <v>0.0</v>
      </c>
      <c r="CS323" s="70">
        <v>0.0</v>
      </c>
      <c r="CT323" s="70">
        <v>0.0</v>
      </c>
      <c r="CU323" s="70">
        <v>0.0</v>
      </c>
      <c r="CV323" s="64">
        <v>0.0</v>
      </c>
      <c r="CW323" s="64">
        <v>0.0</v>
      </c>
      <c r="CX323" s="64">
        <v>0.0</v>
      </c>
      <c r="CY323" s="64">
        <v>0.0</v>
      </c>
      <c r="CZ323" s="64">
        <v>0.0</v>
      </c>
      <c r="DA323" s="64">
        <v>0.0</v>
      </c>
      <c r="DB323" s="64">
        <v>0.0</v>
      </c>
      <c r="DC323" s="72">
        <v>0.0</v>
      </c>
      <c r="DD323" s="72">
        <v>0.0</v>
      </c>
      <c r="DE323" s="72">
        <v>0.0</v>
      </c>
      <c r="DF323" s="72">
        <v>0.0</v>
      </c>
      <c r="DG323" s="72">
        <v>0.0</v>
      </c>
      <c r="DH323" s="72">
        <v>0.0</v>
      </c>
      <c r="DI323" s="73">
        <v>2.0601067146E10</v>
      </c>
      <c r="DJ323" s="74" t="s">
        <v>1172</v>
      </c>
      <c r="DK323" s="74" t="s">
        <v>132</v>
      </c>
      <c r="DL323" s="75"/>
      <c r="DM323" s="75"/>
      <c r="DN323" s="75"/>
      <c r="DO323" s="75"/>
      <c r="DP323" s="75"/>
      <c r="DQ323" s="75"/>
      <c r="DR323" s="75"/>
      <c r="DS323" s="75"/>
      <c r="DT323" s="75"/>
      <c r="DU323" s="75"/>
      <c r="DV323" s="75"/>
      <c r="DW323" s="75"/>
      <c r="DX323" s="75"/>
      <c r="DY323" s="75"/>
      <c r="DZ323" s="75"/>
      <c r="EA323" s="75"/>
      <c r="EB323" s="75"/>
      <c r="EC323" s="75"/>
      <c r="ED323" s="75"/>
      <c r="EE323" s="75"/>
    </row>
    <row r="324" ht="47.25" customHeight="1">
      <c r="A324" s="55" t="s">
        <v>1173</v>
      </c>
      <c r="B324" s="55" t="s">
        <v>146</v>
      </c>
      <c r="C324" s="55" t="s">
        <v>146</v>
      </c>
      <c r="D324" s="55" t="s">
        <v>1149</v>
      </c>
      <c r="E324" s="55" t="s">
        <v>1174</v>
      </c>
      <c r="F324" s="55" t="s">
        <v>1149</v>
      </c>
      <c r="G324" s="55" t="s">
        <v>1156</v>
      </c>
      <c r="H324" s="55" t="s">
        <v>1175</v>
      </c>
      <c r="I324" s="56"/>
      <c r="J324" s="56">
        <v>1.0</v>
      </c>
      <c r="K324" s="56"/>
      <c r="L324" s="56"/>
      <c r="M324" s="56"/>
      <c r="N324" s="56"/>
      <c r="O324" s="56"/>
      <c r="P324" s="56"/>
      <c r="Q324" s="56" t="s">
        <v>131</v>
      </c>
      <c r="R324" s="58" t="str">
        <f t="shared" si="1"/>
        <v>2019</v>
      </c>
      <c r="S324" s="59" t="str">
        <f>SUM(Hoja1!$I324:$P324)</f>
        <v>1</v>
      </c>
      <c r="T324" s="59" t="str">
        <f>IF(OR(Hoja1!$J324=1,Hoja1!$K324=1,Hoja1!$L324=1,Hoja1!$M324=1,Hoja1!$N324=1,Hoja1!$O324=1,Hoja1!$P324=1),"SI","NO")</f>
        <v>SI</v>
      </c>
      <c r="U324" s="59" t="str">
        <f>IF(OR(Hoja1!$K324=1,Hoja1!$L324=1,Hoja1!$M324=1,Hoja1!$N324=1,Hoja1!$O324=1,Hoja1!$P324=1),"SI","NO")</f>
        <v>NO</v>
      </c>
      <c r="V324" s="60">
        <v>0.0</v>
      </c>
      <c r="W324" s="61">
        <v>0.0</v>
      </c>
      <c r="X324" s="61">
        <v>0.0</v>
      </c>
      <c r="Y324" s="60">
        <v>0.0</v>
      </c>
      <c r="Z324" s="61">
        <v>0.0</v>
      </c>
      <c r="AA324" s="61">
        <v>0.0</v>
      </c>
      <c r="AB324" s="60">
        <v>0.0</v>
      </c>
      <c r="AC324" s="61">
        <v>0.0</v>
      </c>
      <c r="AD324" s="61">
        <v>0.0</v>
      </c>
      <c r="AE324" s="60">
        <v>0.0</v>
      </c>
      <c r="AF324" s="61">
        <v>0.0</v>
      </c>
      <c r="AG324" s="61">
        <v>0.0</v>
      </c>
      <c r="AH324" s="60">
        <v>0.0</v>
      </c>
      <c r="AI324" s="61">
        <v>0.0</v>
      </c>
      <c r="AJ324" s="61">
        <v>0.0</v>
      </c>
      <c r="AK324" s="60">
        <v>0.0</v>
      </c>
      <c r="AL324" s="61">
        <v>0.0</v>
      </c>
      <c r="AM324" s="61">
        <v>0.0</v>
      </c>
      <c r="AN324" s="60">
        <v>0.0</v>
      </c>
      <c r="AO324" s="62">
        <v>0.0</v>
      </c>
      <c r="AP324" s="62">
        <v>0.0</v>
      </c>
      <c r="AQ324" s="60">
        <v>0.0</v>
      </c>
      <c r="AR324" s="60" t="str">
        <f>IF(Hoja1!$AQ324&gt;0,Hoja1!$AQ324,IF(Hoja1!$AN324&gt;0,Hoja1!$AN324,IF(Hoja1!$AK324&gt;0,Hoja1!$AK324,IF(Hoja1!$AH324&gt;0,Hoja1!$AH324,IF(Hoja1!$AE324&gt;0,Hoja1!$AE324,IF(Hoja1!$AB324&gt;0,Hoja1!$AB324,IF(Hoja1!$Y324&gt;0,Hoja1!$Y324,IF(Hoja1!$V324&gt;0,Hoja1!$V324," ---"))))))))</f>
        <v> ---</v>
      </c>
      <c r="AS324" s="63">
        <v>0.0</v>
      </c>
      <c r="AT324" s="63">
        <v>0.0</v>
      </c>
      <c r="AU324" s="63">
        <v>2.0</v>
      </c>
      <c r="AV324" s="63">
        <v>0.0</v>
      </c>
      <c r="AW324" s="63">
        <v>0.0</v>
      </c>
      <c r="AX324" s="63">
        <v>0.0</v>
      </c>
      <c r="AY324" s="63">
        <v>0.0</v>
      </c>
      <c r="AZ324" s="63">
        <v>0.0</v>
      </c>
      <c r="BA324" s="63">
        <v>0.0</v>
      </c>
      <c r="BB324" s="63">
        <v>0.0</v>
      </c>
      <c r="BC324" s="63">
        <v>0.0</v>
      </c>
      <c r="BD324" s="63">
        <v>0.0</v>
      </c>
      <c r="BE324" s="66">
        <v>0.0</v>
      </c>
      <c r="BF324" s="69">
        <v>0.0</v>
      </c>
      <c r="BG324" s="65">
        <v>0.0</v>
      </c>
      <c r="BH324" s="66">
        <v>0.0</v>
      </c>
      <c r="BI324" s="67" t="str">
        <f t="shared" si="124"/>
        <v>#REF!</v>
      </c>
      <c r="BJ324" s="68" t="str">
        <f t="shared" si="125"/>
        <v>#REF!</v>
      </c>
      <c r="BK324" s="65">
        <v>0.0</v>
      </c>
      <c r="BL324" s="65">
        <v>0.0</v>
      </c>
      <c r="BM324" s="66">
        <v>0.0</v>
      </c>
      <c r="BN324" s="67" t="str">
        <f t="shared" si="126"/>
        <v>#REF!</v>
      </c>
      <c r="BO324" s="68" t="str">
        <f t="shared" si="127"/>
        <v>#REF!</v>
      </c>
      <c r="BP324" s="65">
        <v>0.0</v>
      </c>
      <c r="BQ324" s="65">
        <v>0.0</v>
      </c>
      <c r="BR324" s="66">
        <v>0.0</v>
      </c>
      <c r="BS324" s="67" t="str">
        <f t="shared" si="128"/>
        <v>#REF!</v>
      </c>
      <c r="BT324" s="68" t="str">
        <f>'[1]DATA CONSOLIDADA 2018-2025 '!$BR324-Hoja1!$BO324</f>
        <v>#REF!</v>
      </c>
      <c r="BU324" s="65">
        <v>0.0</v>
      </c>
      <c r="BV324" s="65">
        <v>0.0</v>
      </c>
      <c r="BW324" s="66">
        <v>0.0</v>
      </c>
      <c r="BX324" s="67" t="str">
        <f t="shared" si="129"/>
        <v>#REF!</v>
      </c>
      <c r="BY324" s="68" t="str">
        <f t="shared" si="130"/>
        <v>#REF!</v>
      </c>
      <c r="BZ324" s="65">
        <v>0.0</v>
      </c>
      <c r="CA324" s="65">
        <v>0.0</v>
      </c>
      <c r="CB324" s="66">
        <v>0.0</v>
      </c>
      <c r="CC324" s="67" t="str">
        <f t="shared" si="131"/>
        <v>#REF!</v>
      </c>
      <c r="CD324" s="68" t="str">
        <f>'[1]DATA CONSOLIDADA 2018-2025 '!$CB324-Hoja1!$BW324</f>
        <v>#REF!</v>
      </c>
      <c r="CE324" s="70">
        <v>0.0</v>
      </c>
      <c r="CF324" s="70">
        <v>0.0</v>
      </c>
      <c r="CG324" s="71">
        <v>0.0</v>
      </c>
      <c r="CH324" s="67" t="str">
        <f t="shared" si="132"/>
        <v>#REF!</v>
      </c>
      <c r="CI324" s="68" t="str">
        <f>'[1]DATA CONSOLIDADA 2018-2025 '!$CG324-Hoja1!$CB324</f>
        <v>#REF!</v>
      </c>
      <c r="CJ324" s="64" t="str">
        <f t="shared" si="114"/>
        <v>#REF!</v>
      </c>
      <c r="CK324" s="64">
        <v>0.0</v>
      </c>
      <c r="CL324" s="64">
        <v>0.0</v>
      </c>
      <c r="CM324" s="64">
        <v>0.0</v>
      </c>
      <c r="CN324" s="64" t="str">
        <f t="shared" si="12"/>
        <v>#REF!</v>
      </c>
      <c r="CO324" s="68" t="str">
        <f>'[1]DATA CONSOLIDADA 2018-2025 '!$CM324-Hoja1!$CG324</f>
        <v>#REF!</v>
      </c>
      <c r="CP324" s="70">
        <v>0.0</v>
      </c>
      <c r="CQ324" s="70">
        <v>0.0</v>
      </c>
      <c r="CR324" s="70">
        <v>0.0</v>
      </c>
      <c r="CS324" s="70">
        <v>0.0</v>
      </c>
      <c r="CT324" s="70">
        <v>0.0</v>
      </c>
      <c r="CU324" s="70">
        <v>0.0</v>
      </c>
      <c r="CV324" s="64">
        <v>0.0</v>
      </c>
      <c r="CW324" s="64">
        <v>0.0</v>
      </c>
      <c r="CX324" s="64">
        <v>0.0</v>
      </c>
      <c r="CY324" s="64">
        <v>0.0</v>
      </c>
      <c r="CZ324" s="64">
        <v>0.0</v>
      </c>
      <c r="DA324" s="64">
        <v>0.0</v>
      </c>
      <c r="DB324" s="64">
        <v>0.0</v>
      </c>
      <c r="DC324" s="72">
        <v>0.0</v>
      </c>
      <c r="DD324" s="72">
        <v>0.0</v>
      </c>
      <c r="DE324" s="72">
        <v>0.0</v>
      </c>
      <c r="DF324" s="72">
        <v>0.0</v>
      </c>
      <c r="DG324" s="72">
        <v>0.0</v>
      </c>
      <c r="DH324" s="72">
        <v>0.0</v>
      </c>
      <c r="DI324" s="73">
        <v>2.039359367E10</v>
      </c>
      <c r="DJ324" s="74" t="s">
        <v>1173</v>
      </c>
      <c r="DK324" s="74" t="s">
        <v>138</v>
      </c>
      <c r="DL324" s="75"/>
      <c r="DM324" s="75"/>
      <c r="DN324" s="75"/>
      <c r="DO324" s="75"/>
      <c r="DP324" s="75"/>
      <c r="DQ324" s="75"/>
      <c r="DR324" s="75"/>
      <c r="DS324" s="75"/>
      <c r="DT324" s="75"/>
      <c r="DU324" s="75"/>
      <c r="DV324" s="75"/>
      <c r="DW324" s="75"/>
      <c r="DX324" s="75"/>
      <c r="DY324" s="75"/>
      <c r="DZ324" s="75"/>
      <c r="EA324" s="75"/>
      <c r="EB324" s="75"/>
      <c r="EC324" s="75"/>
      <c r="ED324" s="75"/>
      <c r="EE324" s="75"/>
    </row>
    <row r="325" ht="47.25" customHeight="1">
      <c r="A325" s="55" t="s">
        <v>1176</v>
      </c>
      <c r="B325" s="55" t="s">
        <v>146</v>
      </c>
      <c r="C325" s="55" t="s">
        <v>432</v>
      </c>
      <c r="D325" s="55" t="s">
        <v>1149</v>
      </c>
      <c r="E325" s="55" t="s">
        <v>1177</v>
      </c>
      <c r="F325" s="55" t="s">
        <v>1149</v>
      </c>
      <c r="G325" s="55" t="s">
        <v>1156</v>
      </c>
      <c r="H325" s="55" t="s">
        <v>1178</v>
      </c>
      <c r="I325" s="56"/>
      <c r="J325" s="56"/>
      <c r="K325" s="56"/>
      <c r="L325" s="56"/>
      <c r="M325" s="56"/>
      <c r="N325" s="56"/>
      <c r="O325" s="56"/>
      <c r="P325" s="56">
        <v>1.0</v>
      </c>
      <c r="Q325" s="56" t="s">
        <v>131</v>
      </c>
      <c r="R325" s="58" t="str">
        <f t="shared" si="1"/>
        <v>2025</v>
      </c>
      <c r="S325" s="59" t="str">
        <f>SUM(Hoja1!$I325:$P325)</f>
        <v>1</v>
      </c>
      <c r="T325" s="59" t="str">
        <f>IF(OR(Hoja1!$J325=1,Hoja1!$K325=1,Hoja1!$L325=1,Hoja1!$M325=1,Hoja1!$N325=1,Hoja1!$O325=1,Hoja1!$P325=1),"SI","NO")</f>
        <v>SI</v>
      </c>
      <c r="U325" s="59" t="str">
        <f>IF(OR(Hoja1!$K325=1,Hoja1!$L325=1,Hoja1!$M325=1,Hoja1!$N325=1,Hoja1!$O325=1,Hoja1!$P325=1),"SI","NO")</f>
        <v>SI</v>
      </c>
      <c r="V325" s="60">
        <v>0.0</v>
      </c>
      <c r="W325" s="61">
        <v>0.0</v>
      </c>
      <c r="X325" s="61">
        <v>0.0</v>
      </c>
      <c r="Y325" s="60">
        <v>0.0</v>
      </c>
      <c r="Z325" s="61">
        <v>0.0</v>
      </c>
      <c r="AA325" s="61">
        <v>0.0</v>
      </c>
      <c r="AB325" s="60">
        <v>0.0</v>
      </c>
      <c r="AC325" s="61">
        <v>0.0</v>
      </c>
      <c r="AD325" s="61">
        <v>0.0</v>
      </c>
      <c r="AE325" s="60">
        <v>0.0</v>
      </c>
      <c r="AF325" s="61">
        <v>0.0</v>
      </c>
      <c r="AG325" s="61">
        <v>0.0</v>
      </c>
      <c r="AH325" s="60">
        <v>0.0</v>
      </c>
      <c r="AI325" s="61">
        <v>0.0</v>
      </c>
      <c r="AJ325" s="61">
        <v>0.0</v>
      </c>
      <c r="AK325" s="60">
        <v>0.0</v>
      </c>
      <c r="AL325" s="61">
        <v>0.0</v>
      </c>
      <c r="AM325" s="61">
        <v>0.0</v>
      </c>
      <c r="AN325" s="60">
        <v>0.0</v>
      </c>
      <c r="AO325" s="62">
        <v>36.0</v>
      </c>
      <c r="AP325" s="62">
        <v>16.0</v>
      </c>
      <c r="AQ325" s="60">
        <v>52.0</v>
      </c>
      <c r="AR325" s="60" t="str">
        <f>IF(Hoja1!$AQ325&gt;0,Hoja1!$AQ325,IF(Hoja1!$AN325&gt;0,Hoja1!$AN325,IF(Hoja1!$AK325&gt;0,Hoja1!$AK325,IF(Hoja1!$AH325&gt;0,Hoja1!$AH325,IF(Hoja1!$AE325&gt;0,Hoja1!$AE325,IF(Hoja1!$AB325&gt;0,Hoja1!$AB325,IF(Hoja1!$Y325&gt;0,Hoja1!$Y325,IF(Hoja1!$V325&gt;0,Hoja1!$V325," ---"))))))))</f>
        <v>52</v>
      </c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>
        <v>18.0</v>
      </c>
      <c r="BD325" s="63">
        <v>0.0</v>
      </c>
      <c r="BE325" s="64"/>
      <c r="BF325" s="69"/>
      <c r="BG325" s="69"/>
      <c r="BH325" s="64"/>
      <c r="BI325" s="67" t="str">
        <f>IF('[1]DATA CONSOLIDADA 2018-2025 '!$BH526&gt;'[1]DATA CONSOLIDADA 2018-2025 '!$AN526,"Incremento",IF('[1]DATA CONSOLIDADA 2018-2025 '!$AN526='[1]DATA CONSOLIDADA 2018-2025 '!$BH526,"Sin incremento",IF('[1]DATA CONSOLIDADA 2018-2025 '!$BH526&lt;'[1]DATA CONSOLIDADA 2018-2025 '!$AN526,"Disminución"," ---")))</f>
        <v>#REF!</v>
      </c>
      <c r="BJ325" s="68" t="str">
        <f>'[1]DATA CONSOLIDADA 2018-2025 '!$BH526-'[1]DATA CONSOLIDADA 2018-2025 '!$BE526</f>
        <v>#REF!</v>
      </c>
      <c r="BK325" s="69"/>
      <c r="BL325" s="69"/>
      <c r="BM325" s="64"/>
      <c r="BN325" s="67" t="str">
        <f>IF('[1]DATA CONSOLIDADA 2018-2025 '!$BM526&gt;'[1]DATA CONSOLIDADA 2018-2025 '!$BH526,"Incremento",IF('[1]DATA CONSOLIDADA 2018-2025 '!$BH526='[1]DATA CONSOLIDADA 2018-2025 '!$BM526,"Sin incremento",IF('[1]DATA CONSOLIDADA 2018-2025 '!$BM526&lt;'[1]DATA CONSOLIDADA 2018-2025 '!$BH526,"Disminución"," ---")))</f>
        <v>#REF!</v>
      </c>
      <c r="BO325" s="68" t="str">
        <f>'[1]DATA CONSOLIDADA 2018-2025 '!$BM526-'[1]DATA CONSOLIDADA 2018-2025 '!$BH526</f>
        <v>#REF!</v>
      </c>
      <c r="BP325" s="65"/>
      <c r="BQ325" s="65"/>
      <c r="BR325" s="66"/>
      <c r="BS325" s="67" t="str">
        <f>IF('[1]DATA CONSOLIDADA 2018-2025 '!$BR526&gt;'[1]DATA CONSOLIDADA 2018-2025 '!$BM526,"Incremento",IF('[1]DATA CONSOLIDADA 2018-2025 '!$BM526='[1]DATA CONSOLIDADA 2018-2025 '!$BR526,"Sin incremento",IF('[1]DATA CONSOLIDADA 2018-2025 '!$BR526&lt;'[1]DATA CONSOLIDADA 2018-2025 '!$BM526,"Disminución"," ---")))</f>
        <v>#REF!</v>
      </c>
      <c r="BT325" s="68" t="str">
        <f>'[1]DATA CONSOLIDADA 2018-2025 '!$BR325-Hoja1!$BO325</f>
        <v>#REF!</v>
      </c>
      <c r="BU325" s="69"/>
      <c r="BV325" s="65"/>
      <c r="BW325" s="66"/>
      <c r="BX325" s="67" t="str">
        <f>IF('[1]DATA CONSOLIDADA 2018-2025 '!$BW526&gt;'[1]DATA CONSOLIDADA 2018-2025 '!$BR526,"Incremento",IF('[1]DATA CONSOLIDADA 2018-2025 '!$BR526='[1]DATA CONSOLIDADA 2018-2025 '!$BW526,"Sin incremento",IF('[1]DATA CONSOLIDADA 2018-2025 '!$BW526&lt;'[1]DATA CONSOLIDADA 2018-2025 '!$BR526,"Disminución"," ---")))</f>
        <v>#REF!</v>
      </c>
      <c r="BY325" s="68" t="str">
        <f>'[1]DATA CONSOLIDADA 2018-2025 '!$BW526-'[1]DATA CONSOLIDADA 2018-2025 '!$BR526</f>
        <v>#REF!</v>
      </c>
      <c r="BZ325" s="65"/>
      <c r="CA325" s="65"/>
      <c r="CB325" s="66"/>
      <c r="CC325" s="67" t="str">
        <f>IF('[1]DATA CONSOLIDADA 2018-2025 '!$CB526&gt;'[1]DATA CONSOLIDADA 2018-2025 '!$BW526,"Incremento",IF('[1]DATA CONSOLIDADA 2018-2025 '!$BW526='[1]DATA CONSOLIDADA 2018-2025 '!$CB526,"Sin incremento",IF('[1]DATA CONSOLIDADA 2018-2025 '!$CB526&lt;'[1]DATA CONSOLIDADA 2018-2025 '!$BW526,"Disminución"," ---")))</f>
        <v>#REF!</v>
      </c>
      <c r="CD325" s="68" t="str">
        <f>'[1]DATA CONSOLIDADA 2018-2025 '!$CB325-Hoja1!$BW325</f>
        <v>#REF!</v>
      </c>
      <c r="CE325" s="70"/>
      <c r="CF325" s="70"/>
      <c r="CG325" s="71"/>
      <c r="CH325" s="67" t="str">
        <f>IF('[1]DATA CONSOLIDADA 2018-2025 '!$CG526&gt;'[1]DATA CONSOLIDADA 2018-2025 '!$CB526,"Incremento",IF('[1]DATA CONSOLIDADA 2018-2025 '!$CB526='[1]DATA CONSOLIDADA 2018-2025 '!$CG526,"Sin incremento",IF('[1]DATA CONSOLIDADA 2018-2025 '!$CG526&lt;'[1]DATA CONSOLIDADA 2018-2025 '!$CB526,"Disminución"," ---")))</f>
        <v>#REF!</v>
      </c>
      <c r="CI325" s="68" t="str">
        <f>'[1]DATA CONSOLIDADA 2018-2025 '!$CG325-Hoja1!$CB325</f>
        <v>#REF!</v>
      </c>
      <c r="CJ325" s="64" t="str">
        <f t="shared" si="114"/>
        <v>#REF!</v>
      </c>
      <c r="CK325" s="64">
        <v>55074.5</v>
      </c>
      <c r="CL325" s="64">
        <v>0.0</v>
      </c>
      <c r="CM325" s="64">
        <v>55074.5</v>
      </c>
      <c r="CN325" s="64" t="str">
        <f t="shared" si="12"/>
        <v>#REF!</v>
      </c>
      <c r="CO325" s="68" t="str">
        <f>'[1]DATA CONSOLIDADA 2018-2025 '!$CM325-Hoja1!$CG325</f>
        <v>#REF!</v>
      </c>
      <c r="CP325" s="70"/>
      <c r="CQ325" s="70"/>
      <c r="CR325" s="70"/>
      <c r="CS325" s="70"/>
      <c r="CT325" s="70"/>
      <c r="CU325" s="70"/>
      <c r="CV325" s="64"/>
      <c r="CW325" s="64"/>
      <c r="CX325" s="64"/>
      <c r="CY325" s="64"/>
      <c r="CZ325" s="64"/>
      <c r="DA325" s="64"/>
      <c r="DB325" s="64"/>
      <c r="DC325" s="72">
        <v>0.0</v>
      </c>
      <c r="DD325" s="72">
        <v>55074.5</v>
      </c>
      <c r="DE325" s="72">
        <v>0.0</v>
      </c>
      <c r="DF325" s="72">
        <v>0.0</v>
      </c>
      <c r="DG325" s="72">
        <v>0.0</v>
      </c>
      <c r="DH325" s="72">
        <v>55074.5</v>
      </c>
      <c r="DI325" s="73">
        <v>2.0393692228E10</v>
      </c>
      <c r="DJ325" s="74" t="s">
        <v>1179</v>
      </c>
      <c r="DK325" s="74" t="s">
        <v>132</v>
      </c>
      <c r="DL325" s="75"/>
      <c r="DM325" s="75"/>
      <c r="DN325" s="75"/>
      <c r="DO325" s="75"/>
      <c r="DP325" s="75"/>
      <c r="DQ325" s="75"/>
      <c r="DR325" s="75"/>
      <c r="DS325" s="75"/>
      <c r="DT325" s="75"/>
      <c r="DU325" s="75"/>
      <c r="DV325" s="75"/>
      <c r="DW325" s="75"/>
      <c r="DX325" s="75"/>
      <c r="DY325" s="75"/>
      <c r="DZ325" s="75"/>
      <c r="EA325" s="75"/>
      <c r="EB325" s="75"/>
      <c r="EC325" s="75"/>
      <c r="ED325" s="75"/>
      <c r="EE325" s="75"/>
    </row>
    <row r="326" ht="47.25" customHeight="1">
      <c r="A326" s="55" t="s">
        <v>1180</v>
      </c>
      <c r="B326" s="55" t="s">
        <v>146</v>
      </c>
      <c r="C326" s="55" t="s">
        <v>146</v>
      </c>
      <c r="D326" s="55" t="s">
        <v>1149</v>
      </c>
      <c r="E326" s="55" t="s">
        <v>1174</v>
      </c>
      <c r="F326" s="55" t="s">
        <v>1149</v>
      </c>
      <c r="G326" s="55" t="s">
        <v>1156</v>
      </c>
      <c r="H326" s="55" t="s">
        <v>1175</v>
      </c>
      <c r="I326" s="56"/>
      <c r="J326" s="56">
        <v>1.0</v>
      </c>
      <c r="K326" s="56"/>
      <c r="L326" s="56"/>
      <c r="M326" s="56"/>
      <c r="N326" s="56"/>
      <c r="O326" s="56"/>
      <c r="P326" s="56"/>
      <c r="Q326" s="56" t="s">
        <v>131</v>
      </c>
      <c r="R326" s="58" t="str">
        <f t="shared" si="1"/>
        <v>2019</v>
      </c>
      <c r="S326" s="59" t="str">
        <f>SUM(Hoja1!$I326:$P326)</f>
        <v>1</v>
      </c>
      <c r="T326" s="59" t="str">
        <f>IF(OR(Hoja1!$J326=1,Hoja1!$K326=1,Hoja1!$L326=1,Hoja1!$M326=1,Hoja1!$N326=1,Hoja1!$O326=1,Hoja1!$P326=1),"SI","NO")</f>
        <v>SI</v>
      </c>
      <c r="U326" s="59" t="str">
        <f>IF(OR(Hoja1!$K326=1,Hoja1!$L326=1,Hoja1!$M326=1,Hoja1!$N326=1,Hoja1!$O326=1,Hoja1!$P326=1),"SI","NO")</f>
        <v>NO</v>
      </c>
      <c r="V326" s="60">
        <v>0.0</v>
      </c>
      <c r="W326" s="61">
        <v>21.0</v>
      </c>
      <c r="X326" s="61">
        <v>4.0</v>
      </c>
      <c r="Y326" s="60">
        <v>25.0</v>
      </c>
      <c r="Z326" s="61">
        <v>0.0</v>
      </c>
      <c r="AA326" s="61">
        <v>0.0</v>
      </c>
      <c r="AB326" s="60">
        <v>0.0</v>
      </c>
      <c r="AC326" s="61">
        <v>0.0</v>
      </c>
      <c r="AD326" s="61">
        <v>0.0</v>
      </c>
      <c r="AE326" s="60">
        <v>0.0</v>
      </c>
      <c r="AF326" s="61">
        <v>0.0</v>
      </c>
      <c r="AG326" s="61">
        <v>0.0</v>
      </c>
      <c r="AH326" s="60">
        <v>0.0</v>
      </c>
      <c r="AI326" s="61">
        <v>0.0</v>
      </c>
      <c r="AJ326" s="61">
        <v>0.0</v>
      </c>
      <c r="AK326" s="60">
        <v>0.0</v>
      </c>
      <c r="AL326" s="61">
        <v>0.0</v>
      </c>
      <c r="AM326" s="61">
        <v>0.0</v>
      </c>
      <c r="AN326" s="60">
        <v>0.0</v>
      </c>
      <c r="AO326" s="62">
        <v>0.0</v>
      </c>
      <c r="AP326" s="62">
        <v>0.0</v>
      </c>
      <c r="AQ326" s="60">
        <v>0.0</v>
      </c>
      <c r="AR326" s="60" t="str">
        <f>IF(Hoja1!$AQ326&gt;0,Hoja1!$AQ326,IF(Hoja1!$AN326&gt;0,Hoja1!$AN326,IF(Hoja1!$AK326&gt;0,Hoja1!$AK326,IF(Hoja1!$AH326&gt;0,Hoja1!$AH326,IF(Hoja1!$AE326&gt;0,Hoja1!$AE326,IF(Hoja1!$AB326&gt;0,Hoja1!$AB326,IF(Hoja1!$Y326&gt;0,Hoja1!$Y326,IF(Hoja1!$V326&gt;0,Hoja1!$V326," ---"))))))))</f>
        <v>25</v>
      </c>
      <c r="AS326" s="63">
        <v>0.0</v>
      </c>
      <c r="AT326" s="63">
        <v>0.0</v>
      </c>
      <c r="AU326" s="63">
        <v>0.0</v>
      </c>
      <c r="AV326" s="63">
        <v>0.0</v>
      </c>
      <c r="AW326" s="63">
        <v>0.0</v>
      </c>
      <c r="AX326" s="63">
        <v>0.0</v>
      </c>
      <c r="AY326" s="63">
        <v>0.0</v>
      </c>
      <c r="AZ326" s="63">
        <v>0.0</v>
      </c>
      <c r="BA326" s="63">
        <v>0.0</v>
      </c>
      <c r="BB326" s="63">
        <v>0.0</v>
      </c>
      <c r="BC326" s="63">
        <v>0.0</v>
      </c>
      <c r="BD326" s="63">
        <v>0.0</v>
      </c>
      <c r="BE326" s="66">
        <v>0.0</v>
      </c>
      <c r="BF326" s="65">
        <v>0.0</v>
      </c>
      <c r="BG326" s="65">
        <v>0.0</v>
      </c>
      <c r="BH326" s="66">
        <v>0.0</v>
      </c>
      <c r="BI326" s="67" t="str">
        <f t="shared" ref="BI326:BI431" si="133">IF('[1]DATA CONSOLIDADA 2018-2025 '!$BH326&gt;'[1]DATA CONSOLIDADA 2018-2025 '!$AN326,"Incremento",IF('[1]DATA CONSOLIDADA 2018-2025 '!$AN326='[1]DATA CONSOLIDADA 2018-2025 '!$BH326,"Sin incremento",IF('[1]DATA CONSOLIDADA 2018-2025 '!$BH326&lt;'[1]DATA CONSOLIDADA 2018-2025 '!$AN326,"Disminución"," ---")))</f>
        <v>#REF!</v>
      </c>
      <c r="BJ326" s="68" t="str">
        <f t="shared" ref="BJ326:BJ431" si="134">'[1]DATA CONSOLIDADA 2018-2025 '!$BH326-'[1]DATA CONSOLIDADA 2018-2025 '!$BE326</f>
        <v>#REF!</v>
      </c>
      <c r="BK326" s="65">
        <v>0.0</v>
      </c>
      <c r="BL326" s="65">
        <v>0.0</v>
      </c>
      <c r="BM326" s="66">
        <v>0.0</v>
      </c>
      <c r="BN326" s="67" t="str">
        <f t="shared" ref="BN326:BN431" si="135">IF('[1]DATA CONSOLIDADA 2018-2025 '!$BM326&gt;'[1]DATA CONSOLIDADA 2018-2025 '!$BH326,"Incremento",IF('[1]DATA CONSOLIDADA 2018-2025 '!$BH326='[1]DATA CONSOLIDADA 2018-2025 '!$BM326,"Sin incremento",IF('[1]DATA CONSOLIDADA 2018-2025 '!$BM326&lt;'[1]DATA CONSOLIDADA 2018-2025 '!$BH326,"Disminución"," ---")))</f>
        <v>#REF!</v>
      </c>
      <c r="BO326" s="68" t="str">
        <f t="shared" ref="BO326:BO431" si="136">'[1]DATA CONSOLIDADA 2018-2025 '!$BM326-'[1]DATA CONSOLIDADA 2018-2025 '!$BH326</f>
        <v>#REF!</v>
      </c>
      <c r="BP326" s="76">
        <v>0.0</v>
      </c>
      <c r="BQ326" s="76">
        <v>0.0</v>
      </c>
      <c r="BR326" s="66">
        <v>0.0</v>
      </c>
      <c r="BS326" s="67" t="str">
        <f t="shared" ref="BS326:BS431" si="137">IF('[1]DATA CONSOLIDADA 2018-2025 '!$BR326&gt;'[1]DATA CONSOLIDADA 2018-2025 '!$BM326,"Incremento",IF('[1]DATA CONSOLIDADA 2018-2025 '!$BM326='[1]DATA CONSOLIDADA 2018-2025 '!$BR326,"Sin incremento",IF('[1]DATA CONSOLIDADA 2018-2025 '!$BR326&lt;'[1]DATA CONSOLIDADA 2018-2025 '!$BM326,"Disminución"," ---")))</f>
        <v>#REF!</v>
      </c>
      <c r="BT326" s="68" t="str">
        <f>'[1]DATA CONSOLIDADA 2018-2025 '!$BR326-Hoja1!$BO326</f>
        <v>#REF!</v>
      </c>
      <c r="BU326" s="65">
        <v>0.0</v>
      </c>
      <c r="BV326" s="65">
        <v>0.0</v>
      </c>
      <c r="BW326" s="66">
        <v>0.0</v>
      </c>
      <c r="BX326" s="67" t="str">
        <f t="shared" ref="BX326:BX431" si="138">IF('[1]DATA CONSOLIDADA 2018-2025 '!$BW326&gt;'[1]DATA CONSOLIDADA 2018-2025 '!$BR326,"Incremento",IF('[1]DATA CONSOLIDADA 2018-2025 '!$BR326='[1]DATA CONSOLIDADA 2018-2025 '!$BW326,"Sin incremento",IF('[1]DATA CONSOLIDADA 2018-2025 '!$BW326&lt;'[1]DATA CONSOLIDADA 2018-2025 '!$BR326,"Disminución"," ---")))</f>
        <v>#REF!</v>
      </c>
      <c r="BY326" s="68" t="str">
        <f t="shared" ref="BY326:BY431" si="139">'[1]DATA CONSOLIDADA 2018-2025 '!$BW326-'[1]DATA CONSOLIDADA 2018-2025 '!$BR326</f>
        <v>#REF!</v>
      </c>
      <c r="BZ326" s="65">
        <v>0.0</v>
      </c>
      <c r="CA326" s="65">
        <v>0.0</v>
      </c>
      <c r="CB326" s="66">
        <v>0.0</v>
      </c>
      <c r="CC326" s="67" t="str">
        <f t="shared" ref="CC326:CC431" si="140">IF('[1]DATA CONSOLIDADA 2018-2025 '!$CB326&gt;'[1]DATA CONSOLIDADA 2018-2025 '!$BW326,"Incremento",IF('[1]DATA CONSOLIDADA 2018-2025 '!$BW326='[1]DATA CONSOLIDADA 2018-2025 '!$CB326,"Sin incremento",IF('[1]DATA CONSOLIDADA 2018-2025 '!$CB326&lt;'[1]DATA CONSOLIDADA 2018-2025 '!$BW326,"Disminución"," ---")))</f>
        <v>#REF!</v>
      </c>
      <c r="CD326" s="68" t="str">
        <f>'[1]DATA CONSOLIDADA 2018-2025 '!$CB326-Hoja1!$BW326</f>
        <v>#REF!</v>
      </c>
      <c r="CE326" s="70">
        <v>0.0</v>
      </c>
      <c r="CF326" s="70">
        <v>0.0</v>
      </c>
      <c r="CG326" s="71">
        <v>0.0</v>
      </c>
      <c r="CH326" s="67" t="str">
        <f t="shared" ref="CH326:CH431" si="141">IF('[1]DATA CONSOLIDADA 2018-2025 '!$CG326&gt;'[1]DATA CONSOLIDADA 2018-2025 '!$CB326,"Incremento",IF('[1]DATA CONSOLIDADA 2018-2025 '!$CB326='[1]DATA CONSOLIDADA 2018-2025 '!$CG326,"Sin incremento",IF('[1]DATA CONSOLIDADA 2018-2025 '!$CG326&lt;'[1]DATA CONSOLIDADA 2018-2025 '!$CB326,"Disminución"," ---")))</f>
        <v>#REF!</v>
      </c>
      <c r="CI326" s="68" t="str">
        <f>'[1]DATA CONSOLIDADA 2018-2025 '!$CG326-Hoja1!$CB326</f>
        <v>#REF!</v>
      </c>
      <c r="CJ326" s="64" t="str">
        <f t="shared" si="114"/>
        <v>#REF!</v>
      </c>
      <c r="CK326" s="64">
        <v>0.0</v>
      </c>
      <c r="CL326" s="64">
        <v>0.0</v>
      </c>
      <c r="CM326" s="64">
        <v>0.0</v>
      </c>
      <c r="CN326" s="64" t="str">
        <f t="shared" si="12"/>
        <v>#REF!</v>
      </c>
      <c r="CO326" s="68" t="str">
        <f>'[1]DATA CONSOLIDADA 2018-2025 '!$CM326-Hoja1!$CG326</f>
        <v>#REF!</v>
      </c>
      <c r="CP326" s="70">
        <v>0.0</v>
      </c>
      <c r="CQ326" s="70">
        <v>0.0</v>
      </c>
      <c r="CR326" s="70">
        <v>0.0</v>
      </c>
      <c r="CS326" s="70">
        <v>0.0</v>
      </c>
      <c r="CT326" s="70">
        <v>0.0</v>
      </c>
      <c r="CU326" s="70">
        <v>0.0</v>
      </c>
      <c r="CV326" s="64">
        <v>0.0</v>
      </c>
      <c r="CW326" s="64">
        <v>0.0</v>
      </c>
      <c r="CX326" s="64">
        <v>0.0</v>
      </c>
      <c r="CY326" s="64">
        <v>0.0</v>
      </c>
      <c r="CZ326" s="64">
        <v>0.0</v>
      </c>
      <c r="DA326" s="64">
        <v>0.0</v>
      </c>
      <c r="DB326" s="64">
        <v>0.0</v>
      </c>
      <c r="DC326" s="72">
        <v>0.0</v>
      </c>
      <c r="DD326" s="72">
        <v>0.0</v>
      </c>
      <c r="DE326" s="72">
        <v>0.0</v>
      </c>
      <c r="DF326" s="72">
        <v>0.0</v>
      </c>
      <c r="DG326" s="72">
        <v>0.0</v>
      </c>
      <c r="DH326" s="72">
        <v>0.0</v>
      </c>
      <c r="DI326" s="73">
        <v>2.0600382064E10</v>
      </c>
      <c r="DJ326" s="74" t="s">
        <v>1181</v>
      </c>
      <c r="DK326" s="74" t="s">
        <v>132</v>
      </c>
      <c r="DL326" s="75"/>
      <c r="DM326" s="75"/>
      <c r="DN326" s="75"/>
      <c r="DO326" s="75"/>
      <c r="DP326" s="75"/>
      <c r="DQ326" s="75"/>
      <c r="DR326" s="75"/>
      <c r="DS326" s="75"/>
      <c r="DT326" s="75"/>
      <c r="DU326" s="75"/>
      <c r="DV326" s="75"/>
      <c r="DW326" s="75"/>
      <c r="DX326" s="75"/>
      <c r="DY326" s="75"/>
      <c r="DZ326" s="75"/>
      <c r="EA326" s="75"/>
      <c r="EB326" s="75"/>
      <c r="EC326" s="75"/>
      <c r="ED326" s="75"/>
      <c r="EE326" s="75"/>
    </row>
    <row r="327" ht="47.25" hidden="1" customHeight="1">
      <c r="A327" s="55" t="s">
        <v>1182</v>
      </c>
      <c r="B327" s="55" t="s">
        <v>621</v>
      </c>
      <c r="C327" s="55" t="s">
        <v>621</v>
      </c>
      <c r="D327" s="55" t="s">
        <v>1149</v>
      </c>
      <c r="E327" s="55" t="s">
        <v>1183</v>
      </c>
      <c r="F327" s="55" t="s">
        <v>1149</v>
      </c>
      <c r="G327" s="55" t="s">
        <v>1151</v>
      </c>
      <c r="H327" s="55" t="s">
        <v>1184</v>
      </c>
      <c r="I327" s="56"/>
      <c r="J327" s="56">
        <v>1.0</v>
      </c>
      <c r="K327" s="56">
        <v>1.0</v>
      </c>
      <c r="L327" s="56">
        <v>1.0</v>
      </c>
      <c r="M327" s="56">
        <v>1.0</v>
      </c>
      <c r="N327" s="56"/>
      <c r="O327" s="56"/>
      <c r="P327" s="56"/>
      <c r="Q327" s="56" t="s">
        <v>131</v>
      </c>
      <c r="R327" s="58" t="str">
        <f t="shared" si="1"/>
        <v>2019-2020-2021-2022</v>
      </c>
      <c r="S327" s="59" t="str">
        <f>SUM(Hoja1!$I327:$P327)</f>
        <v>4</v>
      </c>
      <c r="T327" s="59" t="str">
        <f>IF(OR(Hoja1!$J327=1,Hoja1!$K327=1,Hoja1!$L327=1,Hoja1!$M327=1,Hoja1!$N327=1,Hoja1!$O327=1,Hoja1!$P327=1),"SI","NO")</f>
        <v>SI</v>
      </c>
      <c r="U327" s="59" t="str">
        <f>IF(OR(Hoja1!$K327=1,Hoja1!$L327=1,Hoja1!$M327=1,Hoja1!$N327=1,Hoja1!$O327=1,Hoja1!$P327=1),"SI","NO")</f>
        <v>SI</v>
      </c>
      <c r="V327" s="60">
        <v>0.0</v>
      </c>
      <c r="W327" s="61">
        <v>14.0</v>
      </c>
      <c r="X327" s="61">
        <v>3.0</v>
      </c>
      <c r="Y327" s="60">
        <v>17.0</v>
      </c>
      <c r="Z327" s="61">
        <v>13.0</v>
      </c>
      <c r="AA327" s="61">
        <v>3.0</v>
      </c>
      <c r="AB327" s="60">
        <v>16.0</v>
      </c>
      <c r="AC327" s="61">
        <v>13.0</v>
      </c>
      <c r="AD327" s="61">
        <v>3.0</v>
      </c>
      <c r="AE327" s="60">
        <v>16.0</v>
      </c>
      <c r="AF327" s="61">
        <v>13.0</v>
      </c>
      <c r="AG327" s="61">
        <v>3.0</v>
      </c>
      <c r="AH327" s="60">
        <v>16.0</v>
      </c>
      <c r="AI327" s="61">
        <v>0.0</v>
      </c>
      <c r="AJ327" s="61">
        <v>0.0</v>
      </c>
      <c r="AK327" s="60">
        <v>0.0</v>
      </c>
      <c r="AL327" s="61">
        <v>0.0</v>
      </c>
      <c r="AM327" s="61">
        <v>0.0</v>
      </c>
      <c r="AN327" s="60">
        <v>0.0</v>
      </c>
      <c r="AO327" s="62">
        <v>0.0</v>
      </c>
      <c r="AP327" s="62">
        <v>0.0</v>
      </c>
      <c r="AQ327" s="60">
        <v>0.0</v>
      </c>
      <c r="AR327" s="60" t="str">
        <f>IF(Hoja1!$AQ327&gt;0,Hoja1!$AQ327,IF(Hoja1!$AN327&gt;0,Hoja1!$AN327,IF(Hoja1!$AK327&gt;0,Hoja1!$AK327,IF(Hoja1!$AH327&gt;0,Hoja1!$AH327,IF(Hoja1!$AE327&gt;0,Hoja1!$AE327,IF(Hoja1!$AB327&gt;0,Hoja1!$AB327,IF(Hoja1!$Y327&gt;0,Hoja1!$Y327,IF(Hoja1!$V327&gt;0,Hoja1!$V327," ---"))))))))</f>
        <v>16</v>
      </c>
      <c r="AS327" s="63">
        <v>0.0</v>
      </c>
      <c r="AT327" s="63">
        <v>0.0</v>
      </c>
      <c r="AU327" s="63">
        <v>6.0</v>
      </c>
      <c r="AV327" s="63">
        <v>0.0</v>
      </c>
      <c r="AW327" s="63">
        <v>6.0</v>
      </c>
      <c r="AX327" s="63">
        <v>0.0</v>
      </c>
      <c r="AY327" s="63">
        <v>0.0</v>
      </c>
      <c r="AZ327" s="63">
        <v>0.0</v>
      </c>
      <c r="BA327" s="63">
        <v>0.0</v>
      </c>
      <c r="BB327" s="63">
        <v>0.0</v>
      </c>
      <c r="BC327" s="63">
        <v>0.0</v>
      </c>
      <c r="BD327" s="63">
        <v>0.0</v>
      </c>
      <c r="BE327" s="66">
        <v>0.0</v>
      </c>
      <c r="BF327" s="65">
        <v>103828.6</v>
      </c>
      <c r="BG327" s="65">
        <v>0.0</v>
      </c>
      <c r="BH327" s="66">
        <v>103828.6</v>
      </c>
      <c r="BI327" s="67" t="str">
        <f t="shared" si="133"/>
        <v>#REF!</v>
      </c>
      <c r="BJ327" s="68" t="str">
        <f t="shared" si="134"/>
        <v>#REF!</v>
      </c>
      <c r="BK327" s="65">
        <v>368082.67</v>
      </c>
      <c r="BL327" s="65">
        <v>0.0</v>
      </c>
      <c r="BM327" s="66">
        <v>368082.67</v>
      </c>
      <c r="BN327" s="67" t="str">
        <f t="shared" si="135"/>
        <v>#REF!</v>
      </c>
      <c r="BO327" s="68" t="str">
        <f t="shared" si="136"/>
        <v>#REF!</v>
      </c>
      <c r="BP327" s="65">
        <v>201988.48</v>
      </c>
      <c r="BQ327" s="65">
        <v>0.0</v>
      </c>
      <c r="BR327" s="66">
        <v>201988.48</v>
      </c>
      <c r="BS327" s="67" t="str">
        <f t="shared" si="137"/>
        <v>#REF!</v>
      </c>
      <c r="BT327" s="68" t="str">
        <f>'[1]DATA CONSOLIDADA 2018-2025 '!$BR327-Hoja1!$BO327</f>
        <v>#REF!</v>
      </c>
      <c r="BU327" s="65">
        <v>294697.76</v>
      </c>
      <c r="BV327" s="65">
        <v>0.0</v>
      </c>
      <c r="BW327" s="66">
        <v>294697.76</v>
      </c>
      <c r="BX327" s="67" t="str">
        <f t="shared" si="138"/>
        <v>#REF!</v>
      </c>
      <c r="BY327" s="68" t="str">
        <f t="shared" si="139"/>
        <v>#REF!</v>
      </c>
      <c r="BZ327" s="65">
        <v>0.0</v>
      </c>
      <c r="CA327" s="65">
        <v>0.0</v>
      </c>
      <c r="CB327" s="66">
        <v>0.0</v>
      </c>
      <c r="CC327" s="67" t="str">
        <f t="shared" si="140"/>
        <v>#REF!</v>
      </c>
      <c r="CD327" s="68" t="str">
        <f>'[1]DATA CONSOLIDADA 2018-2025 '!$CB327-Hoja1!$BW327</f>
        <v>#REF!</v>
      </c>
      <c r="CE327" s="70">
        <v>0.0</v>
      </c>
      <c r="CF327" s="70">
        <v>0.0</v>
      </c>
      <c r="CG327" s="71">
        <v>0.0</v>
      </c>
      <c r="CH327" s="67" t="str">
        <f t="shared" si="141"/>
        <v>#REF!</v>
      </c>
      <c r="CI327" s="68" t="str">
        <f>'[1]DATA CONSOLIDADA 2018-2025 '!$CG327-Hoja1!$CB327</f>
        <v>#REF!</v>
      </c>
      <c r="CJ327" s="64" t="str">
        <f t="shared" si="114"/>
        <v>#REF!</v>
      </c>
      <c r="CK327" s="64">
        <v>0.0</v>
      </c>
      <c r="CL327" s="64">
        <v>0.0</v>
      </c>
      <c r="CM327" s="64">
        <v>0.0</v>
      </c>
      <c r="CN327" s="64" t="str">
        <f t="shared" si="12"/>
        <v>#REF!</v>
      </c>
      <c r="CO327" s="68" t="str">
        <f>'[1]DATA CONSOLIDADA 2018-2025 '!$CM327-Hoja1!$CG327</f>
        <v>#REF!</v>
      </c>
      <c r="CP327" s="70">
        <v>0.0</v>
      </c>
      <c r="CQ327" s="70">
        <v>0.0</v>
      </c>
      <c r="CR327" s="70">
        <v>0.0</v>
      </c>
      <c r="CS327" s="70">
        <v>0.0</v>
      </c>
      <c r="CT327" s="70">
        <v>0.0</v>
      </c>
      <c r="CU327" s="70">
        <v>0.0</v>
      </c>
      <c r="CV327" s="64">
        <v>0.0</v>
      </c>
      <c r="CW327" s="64">
        <v>0.0</v>
      </c>
      <c r="CX327" s="64">
        <v>0.0</v>
      </c>
      <c r="CY327" s="64">
        <v>0.0</v>
      </c>
      <c r="CZ327" s="64">
        <v>0.0</v>
      </c>
      <c r="DA327" s="64">
        <v>0.0</v>
      </c>
      <c r="DB327" s="64">
        <v>0.0</v>
      </c>
      <c r="DC327" s="72">
        <v>0.0</v>
      </c>
      <c r="DD327" s="72">
        <v>0.0</v>
      </c>
      <c r="DE327" s="72">
        <v>0.0</v>
      </c>
      <c r="DF327" s="72">
        <v>0.0</v>
      </c>
      <c r="DG327" s="72">
        <v>0.0</v>
      </c>
      <c r="DH327" s="72">
        <v>0.0</v>
      </c>
      <c r="DI327" s="73">
        <v>2.0393981173E10</v>
      </c>
      <c r="DJ327" s="74" t="s">
        <v>1185</v>
      </c>
      <c r="DK327" s="74" t="s">
        <v>138</v>
      </c>
      <c r="DL327" s="75"/>
      <c r="DM327" s="75"/>
      <c r="DN327" s="75"/>
      <c r="DO327" s="75"/>
      <c r="DP327" s="75"/>
      <c r="DQ327" s="75"/>
      <c r="DR327" s="75"/>
      <c r="DS327" s="75"/>
      <c r="DT327" s="75"/>
      <c r="DU327" s="75"/>
      <c r="DV327" s="75"/>
      <c r="DW327" s="75"/>
      <c r="DX327" s="75"/>
      <c r="DY327" s="75"/>
      <c r="DZ327" s="75"/>
      <c r="EA327" s="75"/>
      <c r="EB327" s="75"/>
      <c r="EC327" s="75"/>
      <c r="ED327" s="75"/>
      <c r="EE327" s="75"/>
    </row>
    <row r="328" ht="47.25" hidden="1" customHeight="1">
      <c r="A328" s="55" t="s">
        <v>1186</v>
      </c>
      <c r="B328" s="55" t="s">
        <v>621</v>
      </c>
      <c r="C328" s="55" t="s">
        <v>621</v>
      </c>
      <c r="D328" s="55" t="s">
        <v>1149</v>
      </c>
      <c r="E328" s="55" t="s">
        <v>1155</v>
      </c>
      <c r="F328" s="55" t="s">
        <v>1149</v>
      </c>
      <c r="G328" s="55" t="s">
        <v>1156</v>
      </c>
      <c r="H328" s="55" t="s">
        <v>1156</v>
      </c>
      <c r="I328" s="56"/>
      <c r="J328" s="56">
        <v>1.0</v>
      </c>
      <c r="K328" s="56"/>
      <c r="L328" s="56"/>
      <c r="M328" s="56"/>
      <c r="N328" s="56"/>
      <c r="O328" s="56"/>
      <c r="P328" s="56"/>
      <c r="Q328" s="56" t="s">
        <v>131</v>
      </c>
      <c r="R328" s="58" t="str">
        <f t="shared" si="1"/>
        <v>2019</v>
      </c>
      <c r="S328" s="59" t="str">
        <f>SUM(Hoja1!$I328:$P328)</f>
        <v>1</v>
      </c>
      <c r="T328" s="59" t="str">
        <f>IF(OR(Hoja1!$J328=1,Hoja1!$K328=1,Hoja1!$L328=1,Hoja1!$M328=1,Hoja1!$N328=1,Hoja1!$O328=1,Hoja1!$P328=1),"SI","NO")</f>
        <v>SI</v>
      </c>
      <c r="U328" s="59" t="str">
        <f>IF(OR(Hoja1!$K328=1,Hoja1!$L328=1,Hoja1!$M328=1,Hoja1!$N328=1,Hoja1!$O328=1,Hoja1!$P328=1),"SI","NO")</f>
        <v>NO</v>
      </c>
      <c r="V328" s="60">
        <v>0.0</v>
      </c>
      <c r="W328" s="61">
        <v>37.0</v>
      </c>
      <c r="X328" s="61">
        <v>14.0</v>
      </c>
      <c r="Y328" s="60">
        <v>51.0</v>
      </c>
      <c r="Z328" s="61">
        <v>0.0</v>
      </c>
      <c r="AA328" s="61">
        <v>0.0</v>
      </c>
      <c r="AB328" s="60">
        <v>0.0</v>
      </c>
      <c r="AC328" s="61">
        <v>0.0</v>
      </c>
      <c r="AD328" s="61">
        <v>0.0</v>
      </c>
      <c r="AE328" s="60">
        <v>0.0</v>
      </c>
      <c r="AF328" s="61">
        <v>0.0</v>
      </c>
      <c r="AG328" s="61">
        <v>0.0</v>
      </c>
      <c r="AH328" s="60">
        <v>0.0</v>
      </c>
      <c r="AI328" s="61">
        <v>0.0</v>
      </c>
      <c r="AJ328" s="61">
        <v>0.0</v>
      </c>
      <c r="AK328" s="60">
        <v>0.0</v>
      </c>
      <c r="AL328" s="61">
        <v>0.0</v>
      </c>
      <c r="AM328" s="61">
        <v>0.0</v>
      </c>
      <c r="AN328" s="60">
        <v>0.0</v>
      </c>
      <c r="AO328" s="62">
        <v>0.0</v>
      </c>
      <c r="AP328" s="62">
        <v>0.0</v>
      </c>
      <c r="AQ328" s="60">
        <v>0.0</v>
      </c>
      <c r="AR328" s="60" t="str">
        <f>IF(Hoja1!$AQ328&gt;0,Hoja1!$AQ328,IF(Hoja1!$AN328&gt;0,Hoja1!$AN328,IF(Hoja1!$AK328&gt;0,Hoja1!$AK328,IF(Hoja1!$AH328&gt;0,Hoja1!$AH328,IF(Hoja1!$AE328&gt;0,Hoja1!$AE328,IF(Hoja1!$AB328&gt;0,Hoja1!$AB328,IF(Hoja1!$Y328&gt;0,Hoja1!$Y328,IF(Hoja1!$V328&gt;0,Hoja1!$V328," ---"))))))))</f>
        <v>51</v>
      </c>
      <c r="AS328" s="63">
        <v>0.0</v>
      </c>
      <c r="AT328" s="63">
        <v>0.0</v>
      </c>
      <c r="AU328" s="63">
        <v>0.0</v>
      </c>
      <c r="AV328" s="63">
        <v>0.0</v>
      </c>
      <c r="AW328" s="63">
        <v>0.0</v>
      </c>
      <c r="AX328" s="63">
        <v>0.0</v>
      </c>
      <c r="AY328" s="63">
        <v>0.0</v>
      </c>
      <c r="AZ328" s="63">
        <v>0.0</v>
      </c>
      <c r="BA328" s="63">
        <v>0.0</v>
      </c>
      <c r="BB328" s="63">
        <v>0.0</v>
      </c>
      <c r="BC328" s="63">
        <v>0.0</v>
      </c>
      <c r="BD328" s="63">
        <v>0.0</v>
      </c>
      <c r="BE328" s="64">
        <v>0.0</v>
      </c>
      <c r="BF328" s="65">
        <v>0.0</v>
      </c>
      <c r="BG328" s="65">
        <v>0.0</v>
      </c>
      <c r="BH328" s="66">
        <v>0.0</v>
      </c>
      <c r="BI328" s="67" t="str">
        <f t="shared" si="133"/>
        <v>#REF!</v>
      </c>
      <c r="BJ328" s="68" t="str">
        <f t="shared" si="134"/>
        <v>#REF!</v>
      </c>
      <c r="BK328" s="65">
        <v>0.0</v>
      </c>
      <c r="BL328" s="65">
        <v>0.0</v>
      </c>
      <c r="BM328" s="66">
        <v>0.0</v>
      </c>
      <c r="BN328" s="67" t="str">
        <f t="shared" si="135"/>
        <v>#REF!</v>
      </c>
      <c r="BO328" s="68" t="str">
        <f t="shared" si="136"/>
        <v>#REF!</v>
      </c>
      <c r="BP328" s="65">
        <v>0.0</v>
      </c>
      <c r="BQ328" s="65">
        <v>0.0</v>
      </c>
      <c r="BR328" s="66">
        <v>0.0</v>
      </c>
      <c r="BS328" s="67" t="str">
        <f t="shared" si="137"/>
        <v>#REF!</v>
      </c>
      <c r="BT328" s="68" t="str">
        <f>'[1]DATA CONSOLIDADA 2018-2025 '!$BR328-Hoja1!$BO328</f>
        <v>#REF!</v>
      </c>
      <c r="BU328" s="65">
        <v>0.0</v>
      </c>
      <c r="BV328" s="65">
        <v>0.0</v>
      </c>
      <c r="BW328" s="66">
        <v>0.0</v>
      </c>
      <c r="BX328" s="67" t="str">
        <f t="shared" si="138"/>
        <v>#REF!</v>
      </c>
      <c r="BY328" s="68" t="str">
        <f t="shared" si="139"/>
        <v>#REF!</v>
      </c>
      <c r="BZ328" s="65">
        <v>0.0</v>
      </c>
      <c r="CA328" s="65">
        <v>0.0</v>
      </c>
      <c r="CB328" s="66">
        <v>0.0</v>
      </c>
      <c r="CC328" s="67" t="str">
        <f t="shared" si="140"/>
        <v>#REF!</v>
      </c>
      <c r="CD328" s="68" t="str">
        <f>'[1]DATA CONSOLIDADA 2018-2025 '!$CB328-Hoja1!$BW328</f>
        <v>#REF!</v>
      </c>
      <c r="CE328" s="70">
        <v>0.0</v>
      </c>
      <c r="CF328" s="70">
        <v>0.0</v>
      </c>
      <c r="CG328" s="71">
        <v>0.0</v>
      </c>
      <c r="CH328" s="67" t="str">
        <f t="shared" si="141"/>
        <v>#REF!</v>
      </c>
      <c r="CI328" s="68" t="str">
        <f>'[1]DATA CONSOLIDADA 2018-2025 '!$CG328-Hoja1!$CB328</f>
        <v>#REF!</v>
      </c>
      <c r="CJ328" s="64" t="str">
        <f t="shared" si="114"/>
        <v>#REF!</v>
      </c>
      <c r="CK328" s="64">
        <v>0.0</v>
      </c>
      <c r="CL328" s="64">
        <v>0.0</v>
      </c>
      <c r="CM328" s="64">
        <v>0.0</v>
      </c>
      <c r="CN328" s="64" t="str">
        <f t="shared" si="12"/>
        <v>#REF!</v>
      </c>
      <c r="CO328" s="68" t="str">
        <f>'[1]DATA CONSOLIDADA 2018-2025 '!$CM328-Hoja1!$CG328</f>
        <v>#REF!</v>
      </c>
      <c r="CP328" s="70">
        <v>0.0</v>
      </c>
      <c r="CQ328" s="70">
        <v>0.0</v>
      </c>
      <c r="CR328" s="70">
        <v>0.0</v>
      </c>
      <c r="CS328" s="70">
        <v>0.0</v>
      </c>
      <c r="CT328" s="70">
        <v>0.0</v>
      </c>
      <c r="CU328" s="70">
        <v>0.0</v>
      </c>
      <c r="CV328" s="64">
        <v>0.0</v>
      </c>
      <c r="CW328" s="64">
        <v>0.0</v>
      </c>
      <c r="CX328" s="64">
        <v>0.0</v>
      </c>
      <c r="CY328" s="64">
        <v>0.0</v>
      </c>
      <c r="CZ328" s="64">
        <v>0.0</v>
      </c>
      <c r="DA328" s="64">
        <v>0.0</v>
      </c>
      <c r="DB328" s="64">
        <v>0.0</v>
      </c>
      <c r="DC328" s="72">
        <v>0.0</v>
      </c>
      <c r="DD328" s="72">
        <v>0.0</v>
      </c>
      <c r="DE328" s="72">
        <v>0.0</v>
      </c>
      <c r="DF328" s="72">
        <v>0.0</v>
      </c>
      <c r="DG328" s="72">
        <v>0.0</v>
      </c>
      <c r="DH328" s="72">
        <v>0.0</v>
      </c>
      <c r="DI328" s="73">
        <v>2.0393449471E10</v>
      </c>
      <c r="DJ328" s="74" t="s">
        <v>1187</v>
      </c>
      <c r="DK328" s="74" t="s">
        <v>138</v>
      </c>
      <c r="DL328" s="75"/>
      <c r="DM328" s="75"/>
      <c r="DN328" s="75"/>
      <c r="DO328" s="75"/>
      <c r="DP328" s="75"/>
      <c r="DQ328" s="75"/>
      <c r="DR328" s="75"/>
      <c r="DS328" s="75"/>
      <c r="DT328" s="75"/>
      <c r="DU328" s="75"/>
      <c r="DV328" s="75"/>
      <c r="DW328" s="75"/>
      <c r="DX328" s="75"/>
      <c r="DY328" s="75"/>
      <c r="DZ328" s="75"/>
      <c r="EA328" s="75"/>
      <c r="EB328" s="75"/>
      <c r="EC328" s="75"/>
      <c r="ED328" s="75"/>
      <c r="EE328" s="75"/>
    </row>
    <row r="329" ht="47.25" customHeight="1">
      <c r="A329" s="55" t="s">
        <v>1188</v>
      </c>
      <c r="B329" s="55" t="s">
        <v>146</v>
      </c>
      <c r="C329" s="55" t="s">
        <v>146</v>
      </c>
      <c r="D329" s="55" t="s">
        <v>1149</v>
      </c>
      <c r="E329" s="55" t="s">
        <v>1174</v>
      </c>
      <c r="F329" s="55" t="s">
        <v>1149</v>
      </c>
      <c r="G329" s="55" t="s">
        <v>1156</v>
      </c>
      <c r="H329" s="55" t="s">
        <v>1175</v>
      </c>
      <c r="I329" s="56"/>
      <c r="J329" s="56"/>
      <c r="K329" s="56"/>
      <c r="L329" s="56">
        <v>1.0</v>
      </c>
      <c r="M329" s="56"/>
      <c r="N329" s="56"/>
      <c r="O329" s="56"/>
      <c r="P329" s="56"/>
      <c r="Q329" s="56" t="s">
        <v>131</v>
      </c>
      <c r="R329" s="58" t="str">
        <f t="shared" si="1"/>
        <v>2021</v>
      </c>
      <c r="S329" s="59" t="str">
        <f>SUM(Hoja1!$I329:$P329)</f>
        <v>1</v>
      </c>
      <c r="T329" s="59" t="str">
        <f>IF(OR(Hoja1!$J329=1,Hoja1!$K329=1,Hoja1!$L329=1,Hoja1!$M329=1,Hoja1!$N329=1,Hoja1!$O329=1,Hoja1!$P329=1),"SI","NO")</f>
        <v>SI</v>
      </c>
      <c r="U329" s="59" t="str">
        <f>IF(OR(Hoja1!$K329=1,Hoja1!$L329=1,Hoja1!$M329=1,Hoja1!$N329=1,Hoja1!$O329=1,Hoja1!$P329=1),"SI","NO")</f>
        <v>SI</v>
      </c>
      <c r="V329" s="60">
        <v>0.0</v>
      </c>
      <c r="W329" s="61">
        <v>0.0</v>
      </c>
      <c r="X329" s="61">
        <v>0.0</v>
      </c>
      <c r="Y329" s="60">
        <v>0.0</v>
      </c>
      <c r="Z329" s="61">
        <v>0.0</v>
      </c>
      <c r="AA329" s="61">
        <v>0.0</v>
      </c>
      <c r="AB329" s="60">
        <v>0.0</v>
      </c>
      <c r="AC329" s="61">
        <v>1.0</v>
      </c>
      <c r="AD329" s="61">
        <v>19.0</v>
      </c>
      <c r="AE329" s="60">
        <v>20.0</v>
      </c>
      <c r="AF329" s="61">
        <v>0.0</v>
      </c>
      <c r="AG329" s="61">
        <v>0.0</v>
      </c>
      <c r="AH329" s="60">
        <v>0.0</v>
      </c>
      <c r="AI329" s="61">
        <v>0.0</v>
      </c>
      <c r="AJ329" s="61">
        <v>0.0</v>
      </c>
      <c r="AK329" s="60">
        <v>0.0</v>
      </c>
      <c r="AL329" s="61">
        <v>0.0</v>
      </c>
      <c r="AM329" s="61">
        <v>0.0</v>
      </c>
      <c r="AN329" s="60">
        <v>0.0</v>
      </c>
      <c r="AO329" s="62">
        <v>0.0</v>
      </c>
      <c r="AP329" s="62">
        <v>0.0</v>
      </c>
      <c r="AQ329" s="60">
        <v>0.0</v>
      </c>
      <c r="AR329" s="60" t="str">
        <f>IF(Hoja1!$AQ329&gt;0,Hoja1!$AQ329,IF(Hoja1!$AN329&gt;0,Hoja1!$AN329,IF(Hoja1!$AK329&gt;0,Hoja1!$AK329,IF(Hoja1!$AH329&gt;0,Hoja1!$AH329,IF(Hoja1!$AE329&gt;0,Hoja1!$AE329,IF(Hoja1!$AB329&gt;0,Hoja1!$AB329,IF(Hoja1!$Y329&gt;0,Hoja1!$Y329,IF(Hoja1!$V329&gt;0,Hoja1!$V329," ---"))))))))</f>
        <v>20</v>
      </c>
      <c r="AS329" s="63">
        <v>0.0</v>
      </c>
      <c r="AT329" s="63">
        <v>0.0</v>
      </c>
      <c r="AU329" s="63">
        <v>21.0</v>
      </c>
      <c r="AV329" s="63">
        <v>0.0</v>
      </c>
      <c r="AW329" s="63">
        <v>0.0</v>
      </c>
      <c r="AX329" s="63">
        <v>0.0</v>
      </c>
      <c r="AY329" s="63">
        <v>0.0</v>
      </c>
      <c r="AZ329" s="63">
        <v>0.0</v>
      </c>
      <c r="BA329" s="63">
        <v>0.0</v>
      </c>
      <c r="BB329" s="63">
        <v>0.0</v>
      </c>
      <c r="BC329" s="63">
        <v>0.0</v>
      </c>
      <c r="BD329" s="63">
        <v>0.0</v>
      </c>
      <c r="BE329" s="64">
        <v>0.0</v>
      </c>
      <c r="BF329" s="69">
        <v>0.0</v>
      </c>
      <c r="BG329" s="69">
        <v>0.0</v>
      </c>
      <c r="BH329" s="64">
        <v>0.0</v>
      </c>
      <c r="BI329" s="67" t="str">
        <f t="shared" si="133"/>
        <v>#REF!</v>
      </c>
      <c r="BJ329" s="68" t="str">
        <f t="shared" si="134"/>
        <v>#REF!</v>
      </c>
      <c r="BK329" s="69">
        <v>0.0</v>
      </c>
      <c r="BL329" s="69">
        <v>0.0</v>
      </c>
      <c r="BM329" s="64">
        <v>0.0</v>
      </c>
      <c r="BN329" s="67" t="str">
        <f t="shared" si="135"/>
        <v>#REF!</v>
      </c>
      <c r="BO329" s="68" t="str">
        <f t="shared" si="136"/>
        <v>#REF!</v>
      </c>
      <c r="BP329" s="65">
        <v>823.0</v>
      </c>
      <c r="BQ329" s="65">
        <v>0.0</v>
      </c>
      <c r="BR329" s="66">
        <v>823.0</v>
      </c>
      <c r="BS329" s="67" t="str">
        <f t="shared" si="137"/>
        <v>#REF!</v>
      </c>
      <c r="BT329" s="68" t="str">
        <f>'[1]DATA CONSOLIDADA 2018-2025 '!$BR329-Hoja1!$BO329</f>
        <v>#REF!</v>
      </c>
      <c r="BU329" s="65">
        <v>0.0</v>
      </c>
      <c r="BV329" s="65">
        <v>0.0</v>
      </c>
      <c r="BW329" s="66">
        <v>0.0</v>
      </c>
      <c r="BX329" s="67" t="str">
        <f t="shared" si="138"/>
        <v>#REF!</v>
      </c>
      <c r="BY329" s="68" t="str">
        <f t="shared" si="139"/>
        <v>#REF!</v>
      </c>
      <c r="BZ329" s="65">
        <v>0.0</v>
      </c>
      <c r="CA329" s="65">
        <v>0.0</v>
      </c>
      <c r="CB329" s="66">
        <v>0.0</v>
      </c>
      <c r="CC329" s="67" t="str">
        <f t="shared" si="140"/>
        <v>#REF!</v>
      </c>
      <c r="CD329" s="68" t="str">
        <f>'[1]DATA CONSOLIDADA 2018-2025 '!$CB329-Hoja1!$BW329</f>
        <v>#REF!</v>
      </c>
      <c r="CE329" s="70">
        <v>0.0</v>
      </c>
      <c r="CF329" s="70">
        <v>0.0</v>
      </c>
      <c r="CG329" s="71">
        <v>0.0</v>
      </c>
      <c r="CH329" s="67" t="str">
        <f t="shared" si="141"/>
        <v>#REF!</v>
      </c>
      <c r="CI329" s="68" t="str">
        <f>'[1]DATA CONSOLIDADA 2018-2025 '!$CG329-Hoja1!$CB329</f>
        <v>#REF!</v>
      </c>
      <c r="CJ329" s="64" t="str">
        <f t="shared" si="114"/>
        <v>#REF!</v>
      </c>
      <c r="CK329" s="64">
        <v>0.0</v>
      </c>
      <c r="CL329" s="64">
        <v>0.0</v>
      </c>
      <c r="CM329" s="64">
        <v>0.0</v>
      </c>
      <c r="CN329" s="64" t="str">
        <f t="shared" si="12"/>
        <v>#REF!</v>
      </c>
      <c r="CO329" s="68" t="str">
        <f>'[1]DATA CONSOLIDADA 2018-2025 '!$CM329-Hoja1!$CG329</f>
        <v>#REF!</v>
      </c>
      <c r="CP329" s="70">
        <v>0.0</v>
      </c>
      <c r="CQ329" s="70">
        <v>0.0</v>
      </c>
      <c r="CR329" s="70">
        <v>0.0</v>
      </c>
      <c r="CS329" s="70">
        <v>0.0</v>
      </c>
      <c r="CT329" s="70">
        <v>0.0</v>
      </c>
      <c r="CU329" s="70">
        <v>0.0</v>
      </c>
      <c r="CV329" s="64">
        <v>0.0</v>
      </c>
      <c r="CW329" s="64">
        <v>0.0</v>
      </c>
      <c r="CX329" s="64">
        <v>0.0</v>
      </c>
      <c r="CY329" s="64">
        <v>0.0</v>
      </c>
      <c r="CZ329" s="64">
        <v>0.0</v>
      </c>
      <c r="DA329" s="64">
        <v>0.0</v>
      </c>
      <c r="DB329" s="64">
        <v>0.0</v>
      </c>
      <c r="DC329" s="72">
        <v>0.0</v>
      </c>
      <c r="DD329" s="72">
        <v>0.0</v>
      </c>
      <c r="DE329" s="72">
        <v>0.0</v>
      </c>
      <c r="DF329" s="72">
        <v>0.0</v>
      </c>
      <c r="DG329" s="72">
        <v>0.0</v>
      </c>
      <c r="DH329" s="72">
        <v>0.0</v>
      </c>
      <c r="DI329" s="73">
        <v>2.0393972E10</v>
      </c>
      <c r="DJ329" s="74" t="s">
        <v>1189</v>
      </c>
      <c r="DK329" s="74" t="s">
        <v>138</v>
      </c>
      <c r="DL329" s="75"/>
      <c r="DM329" s="75"/>
      <c r="DN329" s="75"/>
      <c r="DO329" s="75"/>
      <c r="DP329" s="75"/>
      <c r="DQ329" s="75"/>
      <c r="DR329" s="75"/>
      <c r="DS329" s="75"/>
      <c r="DT329" s="75"/>
      <c r="DU329" s="75"/>
      <c r="DV329" s="75"/>
      <c r="DW329" s="75"/>
      <c r="DX329" s="75"/>
      <c r="DY329" s="75"/>
      <c r="DZ329" s="75"/>
      <c r="EA329" s="75"/>
      <c r="EB329" s="75"/>
      <c r="EC329" s="75"/>
      <c r="ED329" s="75"/>
      <c r="EE329" s="75"/>
    </row>
    <row r="330" ht="47.25" hidden="1" customHeight="1">
      <c r="A330" s="55" t="s">
        <v>1190</v>
      </c>
      <c r="B330" s="55" t="s">
        <v>819</v>
      </c>
      <c r="C330" s="55" t="s">
        <v>819</v>
      </c>
      <c r="D330" s="55" t="s">
        <v>1149</v>
      </c>
      <c r="E330" s="55" t="s">
        <v>1159</v>
      </c>
      <c r="F330" s="55" t="s">
        <v>1149</v>
      </c>
      <c r="G330" s="55" t="s">
        <v>1151</v>
      </c>
      <c r="H330" s="55" t="s">
        <v>1160</v>
      </c>
      <c r="I330" s="56"/>
      <c r="J330" s="56"/>
      <c r="K330" s="56"/>
      <c r="L330" s="56">
        <v>1.0</v>
      </c>
      <c r="M330" s="56">
        <v>1.0</v>
      </c>
      <c r="N330" s="56">
        <v>1.0</v>
      </c>
      <c r="O330" s="56"/>
      <c r="P330" s="56"/>
      <c r="Q330" s="56" t="s">
        <v>131</v>
      </c>
      <c r="R330" s="58" t="str">
        <f t="shared" si="1"/>
        <v>2021-2022-2023</v>
      </c>
      <c r="S330" s="59" t="str">
        <f>SUM(Hoja1!$I330:$P330)</f>
        <v>3</v>
      </c>
      <c r="T330" s="59" t="str">
        <f>IF(OR(Hoja1!$J330=1,Hoja1!$K330=1,Hoja1!$L330=1,Hoja1!$M330=1,Hoja1!$N330=1,Hoja1!$O330=1,Hoja1!$P330=1),"SI","NO")</f>
        <v>SI</v>
      </c>
      <c r="U330" s="59" t="str">
        <f>IF(OR(Hoja1!$K330=1,Hoja1!$L330=1,Hoja1!$M330=1,Hoja1!$N330=1,Hoja1!$O330=1,Hoja1!$P330=1),"SI","NO")</f>
        <v>SI</v>
      </c>
      <c r="V330" s="60">
        <v>0.0</v>
      </c>
      <c r="W330" s="61">
        <v>0.0</v>
      </c>
      <c r="X330" s="61">
        <v>0.0</v>
      </c>
      <c r="Y330" s="60">
        <v>0.0</v>
      </c>
      <c r="Z330" s="61">
        <v>0.0</v>
      </c>
      <c r="AA330" s="61">
        <v>0.0</v>
      </c>
      <c r="AB330" s="60">
        <v>0.0</v>
      </c>
      <c r="AC330" s="61">
        <v>10.0</v>
      </c>
      <c r="AD330" s="61">
        <v>3.0</v>
      </c>
      <c r="AE330" s="60">
        <v>13.0</v>
      </c>
      <c r="AF330" s="61">
        <v>10.0</v>
      </c>
      <c r="AG330" s="61">
        <v>3.0</v>
      </c>
      <c r="AH330" s="60">
        <v>13.0</v>
      </c>
      <c r="AI330" s="61">
        <v>10.0</v>
      </c>
      <c r="AJ330" s="61">
        <v>3.0</v>
      </c>
      <c r="AK330" s="60">
        <v>13.0</v>
      </c>
      <c r="AL330" s="61">
        <v>0.0</v>
      </c>
      <c r="AM330" s="61">
        <v>0.0</v>
      </c>
      <c r="AN330" s="60">
        <v>0.0</v>
      </c>
      <c r="AO330" s="62">
        <v>0.0</v>
      </c>
      <c r="AP330" s="62">
        <v>0.0</v>
      </c>
      <c r="AQ330" s="60">
        <v>0.0</v>
      </c>
      <c r="AR330" s="60" t="str">
        <f>IF(Hoja1!$AQ330&gt;0,Hoja1!$AQ330,IF(Hoja1!$AN330&gt;0,Hoja1!$AN330,IF(Hoja1!$AK330&gt;0,Hoja1!$AK330,IF(Hoja1!$AH330&gt;0,Hoja1!$AH330,IF(Hoja1!$AE330&gt;0,Hoja1!$AE330,IF(Hoja1!$AB330&gt;0,Hoja1!$AB330,IF(Hoja1!$Y330&gt;0,Hoja1!$Y330,IF(Hoja1!$V330&gt;0,Hoja1!$V330," ---"))))))))</f>
        <v>13</v>
      </c>
      <c r="AS330" s="63">
        <v>0.0</v>
      </c>
      <c r="AT330" s="63">
        <v>0.0</v>
      </c>
      <c r="AU330" s="63">
        <v>30.0</v>
      </c>
      <c r="AV330" s="63">
        <v>0.0</v>
      </c>
      <c r="AW330" s="63">
        <v>36.0</v>
      </c>
      <c r="AX330" s="63">
        <v>0.0</v>
      </c>
      <c r="AY330" s="63">
        <v>38.0</v>
      </c>
      <c r="AZ330" s="63">
        <v>0.0</v>
      </c>
      <c r="BA330" s="63">
        <v>0.0</v>
      </c>
      <c r="BB330" s="63">
        <v>0.0</v>
      </c>
      <c r="BC330" s="63">
        <v>0.0</v>
      </c>
      <c r="BD330" s="63">
        <v>0.0</v>
      </c>
      <c r="BE330" s="64">
        <v>0.0</v>
      </c>
      <c r="BF330" s="69">
        <v>0.0</v>
      </c>
      <c r="BG330" s="69">
        <v>0.0</v>
      </c>
      <c r="BH330" s="64">
        <v>0.0</v>
      </c>
      <c r="BI330" s="67" t="str">
        <f t="shared" si="133"/>
        <v>#REF!</v>
      </c>
      <c r="BJ330" s="68" t="str">
        <f t="shared" si="134"/>
        <v>#REF!</v>
      </c>
      <c r="BK330" s="69">
        <v>0.0</v>
      </c>
      <c r="BL330" s="69">
        <v>0.0</v>
      </c>
      <c r="BM330" s="66">
        <v>0.0</v>
      </c>
      <c r="BN330" s="67" t="str">
        <f t="shared" si="135"/>
        <v>#REF!</v>
      </c>
      <c r="BO330" s="68" t="str">
        <f t="shared" si="136"/>
        <v>#REF!</v>
      </c>
      <c r="BP330" s="65">
        <v>200847.53</v>
      </c>
      <c r="BQ330" s="65">
        <v>0.0</v>
      </c>
      <c r="BR330" s="66">
        <v>200847.53</v>
      </c>
      <c r="BS330" s="67" t="str">
        <f t="shared" si="137"/>
        <v>#REF!</v>
      </c>
      <c r="BT330" s="68" t="str">
        <f>'[1]DATA CONSOLIDADA 2018-2025 '!$BR330-Hoja1!$BO330</f>
        <v>#REF!</v>
      </c>
      <c r="BU330" s="65">
        <v>72061.3</v>
      </c>
      <c r="BV330" s="65">
        <v>0.0</v>
      </c>
      <c r="BW330" s="66">
        <v>72061.3</v>
      </c>
      <c r="BX330" s="67" t="str">
        <f t="shared" si="138"/>
        <v>#REF!</v>
      </c>
      <c r="BY330" s="68" t="str">
        <f t="shared" si="139"/>
        <v>#REF!</v>
      </c>
      <c r="BZ330" s="65">
        <v>96373.11</v>
      </c>
      <c r="CA330" s="65">
        <v>0.0</v>
      </c>
      <c r="CB330" s="66">
        <v>96373.11</v>
      </c>
      <c r="CC330" s="67" t="str">
        <f t="shared" si="140"/>
        <v>#REF!</v>
      </c>
      <c r="CD330" s="68" t="str">
        <f>'[1]DATA CONSOLIDADA 2018-2025 '!$CB330-Hoja1!$BW330</f>
        <v>#REF!</v>
      </c>
      <c r="CE330" s="70">
        <v>0.0</v>
      </c>
      <c r="CF330" s="70">
        <v>0.0</v>
      </c>
      <c r="CG330" s="71">
        <v>0.0</v>
      </c>
      <c r="CH330" s="67" t="str">
        <f t="shared" si="141"/>
        <v>#REF!</v>
      </c>
      <c r="CI330" s="68" t="str">
        <f>'[1]DATA CONSOLIDADA 2018-2025 '!$CG330-Hoja1!$CB330</f>
        <v>#REF!</v>
      </c>
      <c r="CJ330" s="64" t="str">
        <f t="shared" si="114"/>
        <v>#REF!</v>
      </c>
      <c r="CK330" s="64">
        <v>0.0</v>
      </c>
      <c r="CL330" s="64">
        <v>0.0</v>
      </c>
      <c r="CM330" s="64">
        <v>0.0</v>
      </c>
      <c r="CN330" s="64" t="str">
        <f t="shared" si="12"/>
        <v>#REF!</v>
      </c>
      <c r="CO330" s="68" t="str">
        <f>'[1]DATA CONSOLIDADA 2018-2025 '!$CM330-Hoja1!$CG330</f>
        <v>#REF!</v>
      </c>
      <c r="CP330" s="70">
        <v>0.0</v>
      </c>
      <c r="CQ330" s="70">
        <v>0.0</v>
      </c>
      <c r="CR330" s="70">
        <v>0.0</v>
      </c>
      <c r="CS330" s="70">
        <v>96373.112</v>
      </c>
      <c r="CT330" s="70">
        <v>0.0</v>
      </c>
      <c r="CU330" s="70">
        <v>0.0</v>
      </c>
      <c r="CV330" s="64">
        <v>96373.112</v>
      </c>
      <c r="CW330" s="64">
        <v>0.0</v>
      </c>
      <c r="CX330" s="64">
        <v>0.0</v>
      </c>
      <c r="CY330" s="64">
        <v>0.0</v>
      </c>
      <c r="CZ330" s="64">
        <v>0.0</v>
      </c>
      <c r="DA330" s="64">
        <v>0.0</v>
      </c>
      <c r="DB330" s="64">
        <v>0.0</v>
      </c>
      <c r="DC330" s="72">
        <v>0.0</v>
      </c>
      <c r="DD330" s="72">
        <v>0.0</v>
      </c>
      <c r="DE330" s="72">
        <v>0.0</v>
      </c>
      <c r="DF330" s="72">
        <v>0.0</v>
      </c>
      <c r="DG330" s="72">
        <v>0.0</v>
      </c>
      <c r="DH330" s="72">
        <v>0.0</v>
      </c>
      <c r="DI330" s="73">
        <v>2.039375729E10</v>
      </c>
      <c r="DJ330" s="74" t="s">
        <v>1190</v>
      </c>
      <c r="DK330" s="74" t="s">
        <v>138</v>
      </c>
      <c r="DL330" s="75"/>
      <c r="DM330" s="75"/>
      <c r="DN330" s="75"/>
      <c r="DO330" s="75"/>
      <c r="DP330" s="75"/>
      <c r="DQ330" s="75"/>
      <c r="DR330" s="75"/>
      <c r="DS330" s="75"/>
      <c r="DT330" s="75"/>
      <c r="DU330" s="75"/>
      <c r="DV330" s="75"/>
      <c r="DW330" s="75"/>
      <c r="DX330" s="75"/>
      <c r="DY330" s="75"/>
      <c r="DZ330" s="75"/>
      <c r="EA330" s="75"/>
      <c r="EB330" s="75"/>
      <c r="EC330" s="75"/>
      <c r="ED330" s="75"/>
      <c r="EE330" s="75"/>
    </row>
    <row r="331" ht="47.25" customHeight="1">
      <c r="A331" s="55" t="s">
        <v>1180</v>
      </c>
      <c r="B331" s="55" t="s">
        <v>146</v>
      </c>
      <c r="C331" s="55" t="s">
        <v>146</v>
      </c>
      <c r="D331" s="55" t="s">
        <v>1149</v>
      </c>
      <c r="E331" s="55" t="s">
        <v>1174</v>
      </c>
      <c r="F331" s="55" t="s">
        <v>1149</v>
      </c>
      <c r="G331" s="55" t="s">
        <v>1156</v>
      </c>
      <c r="H331" s="55" t="s">
        <v>1175</v>
      </c>
      <c r="I331" s="56"/>
      <c r="J331" s="56"/>
      <c r="K331" s="56"/>
      <c r="L331" s="56">
        <v>1.0</v>
      </c>
      <c r="M331" s="56">
        <v>1.0</v>
      </c>
      <c r="N331" s="56">
        <v>1.0</v>
      </c>
      <c r="O331" s="56">
        <v>1.0</v>
      </c>
      <c r="P331" s="56"/>
      <c r="Q331" s="56" t="s">
        <v>131</v>
      </c>
      <c r="R331" s="58" t="str">
        <f t="shared" si="1"/>
        <v>2021-2022-2023-2024</v>
      </c>
      <c r="S331" s="59" t="str">
        <f>SUM(Hoja1!$I331:$P331)</f>
        <v>4</v>
      </c>
      <c r="T331" s="59" t="str">
        <f>IF(OR(Hoja1!$J331=1,Hoja1!$K331=1,Hoja1!$L331=1,Hoja1!$M331=1,Hoja1!$N331=1,Hoja1!$O331=1,Hoja1!$P331=1),"SI","NO")</f>
        <v>SI</v>
      </c>
      <c r="U331" s="59" t="str">
        <f>IF(OR(Hoja1!$K331=1,Hoja1!$L331=1,Hoja1!$M331=1,Hoja1!$N331=1,Hoja1!$O331=1,Hoja1!$P331=1),"SI","NO")</f>
        <v>SI</v>
      </c>
      <c r="V331" s="60">
        <v>0.0</v>
      </c>
      <c r="W331" s="61">
        <v>0.0</v>
      </c>
      <c r="X331" s="61">
        <v>0.0</v>
      </c>
      <c r="Y331" s="60">
        <v>0.0</v>
      </c>
      <c r="Z331" s="61">
        <v>0.0</v>
      </c>
      <c r="AA331" s="61">
        <v>0.0</v>
      </c>
      <c r="AB331" s="60">
        <v>0.0</v>
      </c>
      <c r="AC331" s="61">
        <v>31.0</v>
      </c>
      <c r="AD331" s="61">
        <v>3.0</v>
      </c>
      <c r="AE331" s="60">
        <v>34.0</v>
      </c>
      <c r="AF331" s="61">
        <v>26.0</v>
      </c>
      <c r="AG331" s="61">
        <v>2.0</v>
      </c>
      <c r="AH331" s="60">
        <v>28.0</v>
      </c>
      <c r="AI331" s="61">
        <v>26.0</v>
      </c>
      <c r="AJ331" s="61">
        <v>2.0</v>
      </c>
      <c r="AK331" s="60">
        <v>28.0</v>
      </c>
      <c r="AL331" s="61">
        <v>29.0</v>
      </c>
      <c r="AM331" s="61">
        <v>7.0</v>
      </c>
      <c r="AN331" s="60">
        <v>36.0</v>
      </c>
      <c r="AO331" s="62">
        <v>0.0</v>
      </c>
      <c r="AP331" s="62">
        <v>0.0</v>
      </c>
      <c r="AQ331" s="60">
        <v>0.0</v>
      </c>
      <c r="AR331" s="60" t="str">
        <f>IF(Hoja1!$AQ331&gt;0,Hoja1!$AQ331,IF(Hoja1!$AN331&gt;0,Hoja1!$AN331,IF(Hoja1!$AK331&gt;0,Hoja1!$AK331,IF(Hoja1!$AH331&gt;0,Hoja1!$AH331,IF(Hoja1!$AE331&gt;0,Hoja1!$AE331,IF(Hoja1!$AB331&gt;0,Hoja1!$AB331,IF(Hoja1!$Y331&gt;0,Hoja1!$Y331,IF(Hoja1!$V331&gt;0,Hoja1!$V331," ---"))))))))</f>
        <v>36</v>
      </c>
      <c r="AS331" s="63">
        <v>0.0</v>
      </c>
      <c r="AT331" s="63">
        <v>0.0</v>
      </c>
      <c r="AU331" s="63">
        <v>22.0</v>
      </c>
      <c r="AV331" s="63">
        <v>0.0</v>
      </c>
      <c r="AW331" s="63">
        <v>36.0</v>
      </c>
      <c r="AX331" s="63">
        <v>0.0</v>
      </c>
      <c r="AY331" s="63">
        <v>40.0</v>
      </c>
      <c r="AZ331" s="63">
        <v>0.0</v>
      </c>
      <c r="BA331" s="63">
        <v>32.0</v>
      </c>
      <c r="BB331" s="63">
        <v>0.0</v>
      </c>
      <c r="BC331" s="63">
        <v>0.0</v>
      </c>
      <c r="BD331" s="63">
        <v>0.0</v>
      </c>
      <c r="BE331" s="64">
        <v>0.0</v>
      </c>
      <c r="BF331" s="69">
        <v>0.0</v>
      </c>
      <c r="BG331" s="69">
        <v>0.0</v>
      </c>
      <c r="BH331" s="64">
        <v>0.0</v>
      </c>
      <c r="BI331" s="67" t="str">
        <f t="shared" si="133"/>
        <v>#REF!</v>
      </c>
      <c r="BJ331" s="68" t="str">
        <f t="shared" si="134"/>
        <v>#REF!</v>
      </c>
      <c r="BK331" s="69">
        <v>0.0</v>
      </c>
      <c r="BL331" s="69">
        <v>0.0</v>
      </c>
      <c r="BM331" s="66">
        <v>0.0</v>
      </c>
      <c r="BN331" s="67" t="str">
        <f t="shared" si="135"/>
        <v>#REF!</v>
      </c>
      <c r="BO331" s="68" t="str">
        <f t="shared" si="136"/>
        <v>#REF!</v>
      </c>
      <c r="BP331" s="65">
        <v>12006.1</v>
      </c>
      <c r="BQ331" s="65">
        <v>0.0</v>
      </c>
      <c r="BR331" s="66">
        <v>12006.1</v>
      </c>
      <c r="BS331" s="67" t="str">
        <f t="shared" si="137"/>
        <v>#REF!</v>
      </c>
      <c r="BT331" s="68" t="str">
        <f>'[1]DATA CONSOLIDADA 2018-2025 '!$BR331-Hoja1!$BO331</f>
        <v>#REF!</v>
      </c>
      <c r="BU331" s="65">
        <v>82154.32</v>
      </c>
      <c r="BV331" s="65">
        <v>0.0</v>
      </c>
      <c r="BW331" s="66">
        <v>82154.32</v>
      </c>
      <c r="BX331" s="67" t="str">
        <f t="shared" si="138"/>
        <v>#REF!</v>
      </c>
      <c r="BY331" s="68" t="str">
        <f t="shared" si="139"/>
        <v>#REF!</v>
      </c>
      <c r="BZ331" s="65">
        <v>476517.56</v>
      </c>
      <c r="CA331" s="65">
        <v>0.0</v>
      </c>
      <c r="CB331" s="66">
        <v>476517.56</v>
      </c>
      <c r="CC331" s="67" t="str">
        <f t="shared" si="140"/>
        <v>#REF!</v>
      </c>
      <c r="CD331" s="68" t="str">
        <f>'[1]DATA CONSOLIDADA 2018-2025 '!$CB331-Hoja1!$BW331</f>
        <v>#REF!</v>
      </c>
      <c r="CE331" s="70">
        <v>164400.48200000002</v>
      </c>
      <c r="CF331" s="70">
        <v>0.0</v>
      </c>
      <c r="CG331" s="71">
        <v>164400.48200000002</v>
      </c>
      <c r="CH331" s="67" t="str">
        <f t="shared" si="141"/>
        <v>#REF!</v>
      </c>
      <c r="CI331" s="68" t="str">
        <f>'[1]DATA CONSOLIDADA 2018-2025 '!$CG331-Hoja1!$CB331</f>
        <v>#REF!</v>
      </c>
      <c r="CJ331" s="64" t="str">
        <f t="shared" si="114"/>
        <v>#REF!</v>
      </c>
      <c r="CK331" s="64">
        <v>0.0</v>
      </c>
      <c r="CL331" s="64">
        <v>0.0</v>
      </c>
      <c r="CM331" s="64">
        <v>0.0</v>
      </c>
      <c r="CN331" s="64" t="str">
        <f t="shared" si="12"/>
        <v>#REF!</v>
      </c>
      <c r="CO331" s="68" t="str">
        <f>'[1]DATA CONSOLIDADA 2018-2025 '!$CM331-Hoja1!$CG331</f>
        <v>#REF!</v>
      </c>
      <c r="CP331" s="70">
        <v>25362.0</v>
      </c>
      <c r="CQ331" s="70">
        <v>0.0</v>
      </c>
      <c r="CR331" s="70">
        <v>0.0</v>
      </c>
      <c r="CS331" s="70">
        <v>451155.56</v>
      </c>
      <c r="CT331" s="70">
        <v>0.0</v>
      </c>
      <c r="CU331" s="70">
        <v>0.0</v>
      </c>
      <c r="CV331" s="64">
        <v>476517.56</v>
      </c>
      <c r="CW331" s="64">
        <v>0.0</v>
      </c>
      <c r="CX331" s="64">
        <v>0.0</v>
      </c>
      <c r="CY331" s="64">
        <v>164400.48200000002</v>
      </c>
      <c r="CZ331" s="64">
        <v>0.0</v>
      </c>
      <c r="DA331" s="64">
        <v>0.0</v>
      </c>
      <c r="DB331" s="64">
        <v>164400.48200000002</v>
      </c>
      <c r="DC331" s="72">
        <v>0.0</v>
      </c>
      <c r="DD331" s="72">
        <v>0.0</v>
      </c>
      <c r="DE331" s="72">
        <v>0.0</v>
      </c>
      <c r="DF331" s="72">
        <v>0.0</v>
      </c>
      <c r="DG331" s="72">
        <v>0.0</v>
      </c>
      <c r="DH331" s="72">
        <v>0.0</v>
      </c>
      <c r="DI331" s="73">
        <v>2.0600382064E10</v>
      </c>
      <c r="DJ331" s="74" t="s">
        <v>1180</v>
      </c>
      <c r="DK331" s="74" t="s">
        <v>132</v>
      </c>
      <c r="DL331" s="75"/>
      <c r="DM331" s="75"/>
      <c r="DN331" s="75"/>
      <c r="DO331" s="75"/>
      <c r="DP331" s="75"/>
      <c r="DQ331" s="75"/>
      <c r="DR331" s="75"/>
      <c r="DS331" s="75"/>
      <c r="DT331" s="75"/>
      <c r="DU331" s="75"/>
      <c r="DV331" s="75"/>
      <c r="DW331" s="75"/>
      <c r="DX331" s="75"/>
      <c r="DY331" s="75"/>
      <c r="DZ331" s="75"/>
      <c r="EA331" s="75"/>
      <c r="EB331" s="75"/>
      <c r="EC331" s="75"/>
      <c r="ED331" s="75"/>
      <c r="EE331" s="75"/>
    </row>
    <row r="332" ht="47.25" customHeight="1">
      <c r="A332" s="55" t="s">
        <v>1191</v>
      </c>
      <c r="B332" s="55" t="s">
        <v>146</v>
      </c>
      <c r="C332" s="55" t="s">
        <v>146</v>
      </c>
      <c r="D332" s="55" t="s">
        <v>1149</v>
      </c>
      <c r="E332" s="55" t="s">
        <v>1170</v>
      </c>
      <c r="F332" s="55" t="s">
        <v>1149</v>
      </c>
      <c r="G332" s="55" t="s">
        <v>1156</v>
      </c>
      <c r="H332" s="55" t="s">
        <v>1171</v>
      </c>
      <c r="I332" s="56"/>
      <c r="J332" s="56"/>
      <c r="K332" s="56"/>
      <c r="L332" s="56"/>
      <c r="M332" s="56">
        <v>1.0</v>
      </c>
      <c r="N332" s="56"/>
      <c r="O332" s="56"/>
      <c r="P332" s="56"/>
      <c r="Q332" s="56" t="s">
        <v>131</v>
      </c>
      <c r="R332" s="58" t="str">
        <f t="shared" si="1"/>
        <v>2022</v>
      </c>
      <c r="S332" s="59" t="str">
        <f>SUM(Hoja1!$I332:$P332)</f>
        <v>1</v>
      </c>
      <c r="T332" s="59" t="str">
        <f>IF(OR(Hoja1!$J332=1,Hoja1!$K332=1,Hoja1!$L332=1,Hoja1!$M332=1,Hoja1!$N332=1,Hoja1!$O332=1,Hoja1!$P332=1),"SI","NO")</f>
        <v>SI</v>
      </c>
      <c r="U332" s="59" t="str">
        <f>IF(OR(Hoja1!$K332=1,Hoja1!$L332=1,Hoja1!$M332=1,Hoja1!$N332=1,Hoja1!$O332=1,Hoja1!$P332=1),"SI","NO")</f>
        <v>SI</v>
      </c>
      <c r="V332" s="60">
        <v>0.0</v>
      </c>
      <c r="W332" s="61">
        <v>0.0</v>
      </c>
      <c r="X332" s="61">
        <v>0.0</v>
      </c>
      <c r="Y332" s="60">
        <v>0.0</v>
      </c>
      <c r="Z332" s="61">
        <v>0.0</v>
      </c>
      <c r="AA332" s="61">
        <v>0.0</v>
      </c>
      <c r="AB332" s="60">
        <v>0.0</v>
      </c>
      <c r="AC332" s="61">
        <v>0.0</v>
      </c>
      <c r="AD332" s="61">
        <v>0.0</v>
      </c>
      <c r="AE332" s="60">
        <v>0.0</v>
      </c>
      <c r="AF332" s="61">
        <v>10.0</v>
      </c>
      <c r="AG332" s="61">
        <v>7.0</v>
      </c>
      <c r="AH332" s="60">
        <v>17.0</v>
      </c>
      <c r="AI332" s="61">
        <v>0.0</v>
      </c>
      <c r="AJ332" s="61">
        <v>0.0</v>
      </c>
      <c r="AK332" s="60">
        <v>0.0</v>
      </c>
      <c r="AL332" s="61">
        <v>0.0</v>
      </c>
      <c r="AM332" s="61">
        <v>0.0</v>
      </c>
      <c r="AN332" s="60">
        <v>0.0</v>
      </c>
      <c r="AO332" s="62">
        <v>0.0</v>
      </c>
      <c r="AP332" s="62">
        <v>0.0</v>
      </c>
      <c r="AQ332" s="60">
        <v>0.0</v>
      </c>
      <c r="AR332" s="60" t="str">
        <f>IF(Hoja1!$AQ332&gt;0,Hoja1!$AQ332,IF(Hoja1!$AN332&gt;0,Hoja1!$AN332,IF(Hoja1!$AK332&gt;0,Hoja1!$AK332,IF(Hoja1!$AH332&gt;0,Hoja1!$AH332,IF(Hoja1!$AE332&gt;0,Hoja1!$AE332,IF(Hoja1!$AB332&gt;0,Hoja1!$AB332,IF(Hoja1!$Y332&gt;0,Hoja1!$Y332,IF(Hoja1!$V332&gt;0,Hoja1!$V332," ---"))))))))</f>
        <v>17</v>
      </c>
      <c r="AS332" s="63">
        <v>0.0</v>
      </c>
      <c r="AT332" s="63">
        <v>0.0</v>
      </c>
      <c r="AU332" s="63">
        <v>0.0</v>
      </c>
      <c r="AV332" s="63">
        <v>0.0</v>
      </c>
      <c r="AW332" s="63">
        <v>47.0</v>
      </c>
      <c r="AX332" s="63">
        <v>0.0</v>
      </c>
      <c r="AY332" s="63">
        <v>0.0</v>
      </c>
      <c r="AZ332" s="63">
        <v>0.0</v>
      </c>
      <c r="BA332" s="63">
        <v>0.0</v>
      </c>
      <c r="BB332" s="63">
        <v>0.0</v>
      </c>
      <c r="BC332" s="63">
        <v>0.0</v>
      </c>
      <c r="BD332" s="63">
        <v>0.0</v>
      </c>
      <c r="BE332" s="64">
        <v>0.0</v>
      </c>
      <c r="BF332" s="69">
        <v>0.0</v>
      </c>
      <c r="BG332" s="69">
        <v>0.0</v>
      </c>
      <c r="BH332" s="64">
        <v>0.0</v>
      </c>
      <c r="BI332" s="67" t="str">
        <f t="shared" si="133"/>
        <v>#REF!</v>
      </c>
      <c r="BJ332" s="68" t="str">
        <f t="shared" si="134"/>
        <v>#REF!</v>
      </c>
      <c r="BK332" s="69">
        <v>0.0</v>
      </c>
      <c r="BL332" s="69">
        <v>0.0</v>
      </c>
      <c r="BM332" s="64">
        <v>0.0</v>
      </c>
      <c r="BN332" s="67" t="str">
        <f t="shared" si="135"/>
        <v>#REF!</v>
      </c>
      <c r="BO332" s="68" t="str">
        <f t="shared" si="136"/>
        <v>#REF!</v>
      </c>
      <c r="BP332" s="65">
        <v>0.0</v>
      </c>
      <c r="BQ332" s="65">
        <v>0.0</v>
      </c>
      <c r="BR332" s="66">
        <v>0.0</v>
      </c>
      <c r="BS332" s="67" t="str">
        <f t="shared" si="137"/>
        <v>#REF!</v>
      </c>
      <c r="BT332" s="68" t="str">
        <f>'[1]DATA CONSOLIDADA 2018-2025 '!$BR332-Hoja1!$BO332</f>
        <v>#REF!</v>
      </c>
      <c r="BU332" s="65">
        <v>12244.0</v>
      </c>
      <c r="BV332" s="65">
        <v>0.0</v>
      </c>
      <c r="BW332" s="66">
        <v>12244.0</v>
      </c>
      <c r="BX332" s="67" t="str">
        <f t="shared" si="138"/>
        <v>#REF!</v>
      </c>
      <c r="BY332" s="68" t="str">
        <f t="shared" si="139"/>
        <v>#REF!</v>
      </c>
      <c r="BZ332" s="65">
        <v>0.0</v>
      </c>
      <c r="CA332" s="65">
        <v>0.0</v>
      </c>
      <c r="CB332" s="66">
        <v>0.0</v>
      </c>
      <c r="CC332" s="67" t="str">
        <f t="shared" si="140"/>
        <v>#REF!</v>
      </c>
      <c r="CD332" s="68" t="str">
        <f>'[1]DATA CONSOLIDADA 2018-2025 '!$CB332-Hoja1!$BW332</f>
        <v>#REF!</v>
      </c>
      <c r="CE332" s="70">
        <v>0.0</v>
      </c>
      <c r="CF332" s="70">
        <v>0.0</v>
      </c>
      <c r="CG332" s="71">
        <v>0.0</v>
      </c>
      <c r="CH332" s="67" t="str">
        <f t="shared" si="141"/>
        <v>#REF!</v>
      </c>
      <c r="CI332" s="68" t="str">
        <f>'[1]DATA CONSOLIDADA 2018-2025 '!$CG332-Hoja1!$CB332</f>
        <v>#REF!</v>
      </c>
      <c r="CJ332" s="64" t="str">
        <f t="shared" si="114"/>
        <v>#REF!</v>
      </c>
      <c r="CK332" s="64">
        <v>0.0</v>
      </c>
      <c r="CL332" s="64">
        <v>0.0</v>
      </c>
      <c r="CM332" s="64">
        <v>0.0</v>
      </c>
      <c r="CN332" s="64" t="str">
        <f t="shared" si="12"/>
        <v>#REF!</v>
      </c>
      <c r="CO332" s="68" t="str">
        <f>'[1]DATA CONSOLIDADA 2018-2025 '!$CM332-Hoja1!$CG332</f>
        <v>#REF!</v>
      </c>
      <c r="CP332" s="70">
        <v>0.0</v>
      </c>
      <c r="CQ332" s="70">
        <v>0.0</v>
      </c>
      <c r="CR332" s="70">
        <v>0.0</v>
      </c>
      <c r="CS332" s="70">
        <v>0.0</v>
      </c>
      <c r="CT332" s="70">
        <v>0.0</v>
      </c>
      <c r="CU332" s="70">
        <v>0.0</v>
      </c>
      <c r="CV332" s="64">
        <v>0.0</v>
      </c>
      <c r="CW332" s="64">
        <v>0.0</v>
      </c>
      <c r="CX332" s="64">
        <v>0.0</v>
      </c>
      <c r="CY332" s="64">
        <v>0.0</v>
      </c>
      <c r="CZ332" s="64">
        <v>0.0</v>
      </c>
      <c r="DA332" s="64">
        <v>0.0</v>
      </c>
      <c r="DB332" s="64">
        <v>0.0</v>
      </c>
      <c r="DC332" s="72">
        <v>0.0</v>
      </c>
      <c r="DD332" s="72">
        <v>0.0</v>
      </c>
      <c r="DE332" s="72">
        <v>0.0</v>
      </c>
      <c r="DF332" s="72">
        <v>0.0</v>
      </c>
      <c r="DG332" s="72">
        <v>0.0</v>
      </c>
      <c r="DH332" s="72">
        <v>0.0</v>
      </c>
      <c r="DI332" s="73">
        <v>2.0602047025E10</v>
      </c>
      <c r="DJ332" s="74" t="s">
        <v>1191</v>
      </c>
      <c r="DK332" s="74" t="s">
        <v>138</v>
      </c>
      <c r="DL332" s="75"/>
      <c r="DM332" s="75"/>
      <c r="DN332" s="75"/>
      <c r="DO332" s="75"/>
      <c r="DP332" s="75"/>
      <c r="DQ332" s="75"/>
      <c r="DR332" s="75"/>
      <c r="DS332" s="75"/>
      <c r="DT332" s="75"/>
      <c r="DU332" s="75"/>
      <c r="DV332" s="75"/>
      <c r="DW332" s="75"/>
      <c r="DX332" s="75"/>
      <c r="DY332" s="75"/>
      <c r="DZ332" s="75"/>
      <c r="EA332" s="75"/>
      <c r="EB332" s="75"/>
      <c r="EC332" s="75"/>
      <c r="ED332" s="75"/>
      <c r="EE332" s="75"/>
    </row>
    <row r="333" ht="47.25" hidden="1" customHeight="1">
      <c r="A333" s="55" t="s">
        <v>1192</v>
      </c>
      <c r="B333" s="55" t="s">
        <v>621</v>
      </c>
      <c r="C333" s="55" t="s">
        <v>621</v>
      </c>
      <c r="D333" s="55" t="s">
        <v>1149</v>
      </c>
      <c r="E333" s="55" t="s">
        <v>1155</v>
      </c>
      <c r="F333" s="55" t="s">
        <v>1149</v>
      </c>
      <c r="G333" s="55" t="s">
        <v>1156</v>
      </c>
      <c r="H333" s="55" t="s">
        <v>1156</v>
      </c>
      <c r="I333" s="56"/>
      <c r="J333" s="56"/>
      <c r="K333" s="56"/>
      <c r="L333" s="56"/>
      <c r="M333" s="56">
        <v>1.0</v>
      </c>
      <c r="N333" s="56">
        <v>1.0</v>
      </c>
      <c r="O333" s="56">
        <v>1.0</v>
      </c>
      <c r="P333" s="56"/>
      <c r="Q333" s="56" t="s">
        <v>131</v>
      </c>
      <c r="R333" s="58" t="str">
        <f t="shared" si="1"/>
        <v>2022-2023-2024</v>
      </c>
      <c r="S333" s="59" t="str">
        <f>SUM(Hoja1!$I333:$P333)</f>
        <v>3</v>
      </c>
      <c r="T333" s="59" t="str">
        <f>IF(OR(Hoja1!$J333=1,Hoja1!$K333=1,Hoja1!$L333=1,Hoja1!$M333=1,Hoja1!$N333=1,Hoja1!$O333=1,Hoja1!$P333=1),"SI","NO")</f>
        <v>SI</v>
      </c>
      <c r="U333" s="59" t="str">
        <f>IF(OR(Hoja1!$K333=1,Hoja1!$L333=1,Hoja1!$M333=1,Hoja1!$N333=1,Hoja1!$O333=1,Hoja1!$P333=1),"SI","NO")</f>
        <v>SI</v>
      </c>
      <c r="V333" s="60">
        <v>0.0</v>
      </c>
      <c r="W333" s="61">
        <v>0.0</v>
      </c>
      <c r="X333" s="61">
        <v>0.0</v>
      </c>
      <c r="Y333" s="60">
        <v>0.0</v>
      </c>
      <c r="Z333" s="61">
        <v>0.0</v>
      </c>
      <c r="AA333" s="61">
        <v>0.0</v>
      </c>
      <c r="AB333" s="60">
        <v>0.0</v>
      </c>
      <c r="AC333" s="61">
        <v>0.0</v>
      </c>
      <c r="AD333" s="61">
        <v>0.0</v>
      </c>
      <c r="AE333" s="60">
        <v>0.0</v>
      </c>
      <c r="AF333" s="61">
        <v>44.0</v>
      </c>
      <c r="AG333" s="61">
        <v>16.0</v>
      </c>
      <c r="AH333" s="60">
        <v>60.0</v>
      </c>
      <c r="AI333" s="61">
        <v>44.0</v>
      </c>
      <c r="AJ333" s="61">
        <v>16.0</v>
      </c>
      <c r="AK333" s="60">
        <v>60.0</v>
      </c>
      <c r="AL333" s="61">
        <v>45.0</v>
      </c>
      <c r="AM333" s="61">
        <v>17.0</v>
      </c>
      <c r="AN333" s="60">
        <v>62.0</v>
      </c>
      <c r="AO333" s="62">
        <v>0.0</v>
      </c>
      <c r="AP333" s="62">
        <v>0.0</v>
      </c>
      <c r="AQ333" s="60">
        <v>0.0</v>
      </c>
      <c r="AR333" s="60" t="str">
        <f>IF(Hoja1!$AQ333&gt;0,Hoja1!$AQ333,IF(Hoja1!$AN333&gt;0,Hoja1!$AN333,IF(Hoja1!$AK333&gt;0,Hoja1!$AK333,IF(Hoja1!$AH333&gt;0,Hoja1!$AH333,IF(Hoja1!$AE333&gt;0,Hoja1!$AE333,IF(Hoja1!$AB333&gt;0,Hoja1!$AB333,IF(Hoja1!$Y333&gt;0,Hoja1!$Y333,IF(Hoja1!$V333&gt;0,Hoja1!$V333," ---"))))))))</f>
        <v>62</v>
      </c>
      <c r="AS333" s="63">
        <v>0.0</v>
      </c>
      <c r="AT333" s="63">
        <v>0.0</v>
      </c>
      <c r="AU333" s="63">
        <v>0.0</v>
      </c>
      <c r="AV333" s="63">
        <v>0.0</v>
      </c>
      <c r="AW333" s="63">
        <v>40.0</v>
      </c>
      <c r="AX333" s="63">
        <v>0.0</v>
      </c>
      <c r="AY333" s="63">
        <v>45.0</v>
      </c>
      <c r="AZ333" s="63">
        <v>0.0</v>
      </c>
      <c r="BA333" s="63">
        <v>39.0</v>
      </c>
      <c r="BB333" s="63">
        <v>1.0</v>
      </c>
      <c r="BC333" s="63">
        <v>0.0</v>
      </c>
      <c r="BD333" s="63">
        <v>0.0</v>
      </c>
      <c r="BE333" s="64">
        <v>0.0</v>
      </c>
      <c r="BF333" s="69">
        <v>0.0</v>
      </c>
      <c r="BG333" s="69">
        <v>0.0</v>
      </c>
      <c r="BH333" s="64">
        <v>0.0</v>
      </c>
      <c r="BI333" s="67" t="str">
        <f t="shared" si="133"/>
        <v>#REF!</v>
      </c>
      <c r="BJ333" s="68" t="str">
        <f t="shared" si="134"/>
        <v>#REF!</v>
      </c>
      <c r="BK333" s="69">
        <v>0.0</v>
      </c>
      <c r="BL333" s="69">
        <v>0.0</v>
      </c>
      <c r="BM333" s="64">
        <v>0.0</v>
      </c>
      <c r="BN333" s="67" t="str">
        <f t="shared" si="135"/>
        <v>#REF!</v>
      </c>
      <c r="BO333" s="68" t="str">
        <f t="shared" si="136"/>
        <v>#REF!</v>
      </c>
      <c r="BP333" s="65">
        <v>0.0</v>
      </c>
      <c r="BQ333" s="65">
        <v>0.0</v>
      </c>
      <c r="BR333" s="66">
        <v>0.0</v>
      </c>
      <c r="BS333" s="67" t="str">
        <f t="shared" si="137"/>
        <v>#REF!</v>
      </c>
      <c r="BT333" s="68" t="str">
        <f>'[1]DATA CONSOLIDADA 2018-2025 '!$BR333-Hoja1!$BO333</f>
        <v>#REF!</v>
      </c>
      <c r="BU333" s="69">
        <v>16872.5</v>
      </c>
      <c r="BV333" s="65">
        <v>0.0</v>
      </c>
      <c r="BW333" s="66">
        <v>16872.5</v>
      </c>
      <c r="BX333" s="67" t="str">
        <f t="shared" si="138"/>
        <v>#REF!</v>
      </c>
      <c r="BY333" s="68" t="str">
        <f t="shared" si="139"/>
        <v>#REF!</v>
      </c>
      <c r="BZ333" s="65">
        <v>57881.1</v>
      </c>
      <c r="CA333" s="65">
        <v>0.0</v>
      </c>
      <c r="CB333" s="66">
        <v>57881.1</v>
      </c>
      <c r="CC333" s="67" t="str">
        <f t="shared" si="140"/>
        <v>#REF!</v>
      </c>
      <c r="CD333" s="68" t="str">
        <f>'[1]DATA CONSOLIDADA 2018-2025 '!$CB333-Hoja1!$BW333</f>
        <v>#REF!</v>
      </c>
      <c r="CE333" s="70">
        <v>32204.111963419997</v>
      </c>
      <c r="CF333" s="70">
        <v>0.0</v>
      </c>
      <c r="CG333" s="71">
        <v>32204.111963419997</v>
      </c>
      <c r="CH333" s="67" t="str">
        <f t="shared" si="141"/>
        <v>#REF!</v>
      </c>
      <c r="CI333" s="68" t="str">
        <f>'[1]DATA CONSOLIDADA 2018-2025 '!$CG333-Hoja1!$CB333</f>
        <v>#REF!</v>
      </c>
      <c r="CJ333" s="64" t="str">
        <f t="shared" si="114"/>
        <v>#REF!</v>
      </c>
      <c r="CK333" s="64">
        <v>0.0</v>
      </c>
      <c r="CL333" s="64">
        <v>0.0</v>
      </c>
      <c r="CM333" s="64">
        <v>0.0</v>
      </c>
      <c r="CN333" s="64" t="str">
        <f t="shared" si="12"/>
        <v>#REF!</v>
      </c>
      <c r="CO333" s="68" t="str">
        <f>'[1]DATA CONSOLIDADA 2018-2025 '!$CM333-Hoja1!$CG333</f>
        <v>#REF!</v>
      </c>
      <c r="CP333" s="70">
        <v>11418.5</v>
      </c>
      <c r="CQ333" s="70">
        <v>0.0</v>
      </c>
      <c r="CR333" s="70">
        <v>0.0</v>
      </c>
      <c r="CS333" s="70">
        <v>46462.599999999984</v>
      </c>
      <c r="CT333" s="70">
        <v>0.0</v>
      </c>
      <c r="CU333" s="70">
        <v>0.0</v>
      </c>
      <c r="CV333" s="64">
        <v>57881.099999999984</v>
      </c>
      <c r="CW333" s="64">
        <v>0.0</v>
      </c>
      <c r="CX333" s="64">
        <v>32204.111963419997</v>
      </c>
      <c r="CY333" s="64">
        <v>0.0</v>
      </c>
      <c r="CZ333" s="64">
        <v>0.0</v>
      </c>
      <c r="DA333" s="64">
        <v>0.0</v>
      </c>
      <c r="DB333" s="64">
        <v>32204.111963419997</v>
      </c>
      <c r="DC333" s="72">
        <v>0.0</v>
      </c>
      <c r="DD333" s="72">
        <v>0.0</v>
      </c>
      <c r="DE333" s="72">
        <v>0.0</v>
      </c>
      <c r="DF333" s="72">
        <v>0.0</v>
      </c>
      <c r="DG333" s="72">
        <v>0.0</v>
      </c>
      <c r="DH333" s="72">
        <v>0.0</v>
      </c>
      <c r="DI333" s="73">
        <v>2.0393415062E10</v>
      </c>
      <c r="DJ333" s="74" t="s">
        <v>1192</v>
      </c>
      <c r="DK333" s="74" t="s">
        <v>138</v>
      </c>
      <c r="DL333" s="75"/>
      <c r="DM333" s="75"/>
      <c r="DN333" s="75"/>
      <c r="DO333" s="75"/>
      <c r="DP333" s="75"/>
      <c r="DQ333" s="75"/>
      <c r="DR333" s="75"/>
      <c r="DS333" s="75"/>
      <c r="DT333" s="75"/>
      <c r="DU333" s="75"/>
      <c r="DV333" s="75"/>
      <c r="DW333" s="75"/>
      <c r="DX333" s="75"/>
      <c r="DY333" s="75"/>
      <c r="DZ333" s="75"/>
      <c r="EA333" s="75"/>
      <c r="EB333" s="75"/>
      <c r="EC333" s="75"/>
      <c r="ED333" s="75"/>
      <c r="EE333" s="75"/>
    </row>
    <row r="334" ht="47.25" hidden="1" customHeight="1">
      <c r="A334" s="55" t="s">
        <v>1193</v>
      </c>
      <c r="B334" s="55" t="s">
        <v>898</v>
      </c>
      <c r="C334" s="55" t="s">
        <v>898</v>
      </c>
      <c r="D334" s="55" t="s">
        <v>887</v>
      </c>
      <c r="E334" s="55" t="s">
        <v>1194</v>
      </c>
      <c r="F334" s="55" t="s">
        <v>889</v>
      </c>
      <c r="G334" s="55" t="s">
        <v>890</v>
      </c>
      <c r="H334" s="55" t="s">
        <v>1195</v>
      </c>
      <c r="I334" s="56"/>
      <c r="J334" s="56"/>
      <c r="K334" s="56"/>
      <c r="L334" s="56"/>
      <c r="M334" s="56"/>
      <c r="N334" s="56">
        <v>1.0</v>
      </c>
      <c r="O334" s="56">
        <v>1.0</v>
      </c>
      <c r="P334" s="56">
        <v>1.0</v>
      </c>
      <c r="Q334" s="56" t="s">
        <v>131</v>
      </c>
      <c r="R334" s="58" t="str">
        <f t="shared" si="1"/>
        <v>2023-2024 - 2025</v>
      </c>
      <c r="S334" s="59" t="str">
        <f>SUM(Hoja1!$I334:$P334)</f>
        <v>3</v>
      </c>
      <c r="T334" s="59" t="str">
        <f>IF(OR(Hoja1!$J334=1,Hoja1!$K334=1,Hoja1!$L334=1,Hoja1!$M334=1,Hoja1!$N334=1,Hoja1!$O334=1,Hoja1!$P334=1),"SI","NO")</f>
        <v>SI</v>
      </c>
      <c r="U334" s="59" t="str">
        <f>IF(OR(Hoja1!$K334=1,Hoja1!$L334=1,Hoja1!$M334=1,Hoja1!$N334=1,Hoja1!$O334=1,Hoja1!$P334=1),"SI","NO")</f>
        <v>SI</v>
      </c>
      <c r="V334" s="60">
        <v>0.0</v>
      </c>
      <c r="W334" s="61">
        <v>0.0</v>
      </c>
      <c r="X334" s="61">
        <v>0.0</v>
      </c>
      <c r="Y334" s="60">
        <v>0.0</v>
      </c>
      <c r="Z334" s="61">
        <v>0.0</v>
      </c>
      <c r="AA334" s="61">
        <v>0.0</v>
      </c>
      <c r="AB334" s="60">
        <v>0.0</v>
      </c>
      <c r="AC334" s="61">
        <v>0.0</v>
      </c>
      <c r="AD334" s="61">
        <v>0.0</v>
      </c>
      <c r="AE334" s="60">
        <v>0.0</v>
      </c>
      <c r="AF334" s="61">
        <v>0.0</v>
      </c>
      <c r="AG334" s="61">
        <v>0.0</v>
      </c>
      <c r="AH334" s="60">
        <v>0.0</v>
      </c>
      <c r="AI334" s="61">
        <v>17.0</v>
      </c>
      <c r="AJ334" s="61">
        <v>10.0</v>
      </c>
      <c r="AK334" s="60">
        <v>27.0</v>
      </c>
      <c r="AL334" s="61">
        <v>17.0</v>
      </c>
      <c r="AM334" s="61">
        <v>10.0</v>
      </c>
      <c r="AN334" s="60">
        <v>27.0</v>
      </c>
      <c r="AO334" s="62">
        <v>16.0</v>
      </c>
      <c r="AP334" s="62">
        <v>11.0</v>
      </c>
      <c r="AQ334" s="60">
        <v>27.0</v>
      </c>
      <c r="AR334" s="60" t="str">
        <f>IF(Hoja1!$AQ334&gt;0,Hoja1!$AQ334,IF(Hoja1!$AN334&gt;0,Hoja1!$AN334,IF(Hoja1!$AK334&gt;0,Hoja1!$AK334,IF(Hoja1!$AH334&gt;0,Hoja1!$AH334,IF(Hoja1!$AE334&gt;0,Hoja1!$AE334,IF(Hoja1!$AB334&gt;0,Hoja1!$AB334,IF(Hoja1!$Y334&gt;0,Hoja1!$Y334,IF(Hoja1!$V334&gt;0,Hoja1!$V334," ---"))))))))</f>
        <v>27</v>
      </c>
      <c r="AS334" s="63">
        <v>0.0</v>
      </c>
      <c r="AT334" s="63">
        <v>0.0</v>
      </c>
      <c r="AU334" s="63">
        <v>0.0</v>
      </c>
      <c r="AV334" s="63">
        <v>0.0</v>
      </c>
      <c r="AW334" s="63">
        <v>0.0</v>
      </c>
      <c r="AX334" s="63">
        <v>0.0</v>
      </c>
      <c r="AY334" s="63">
        <v>42.0</v>
      </c>
      <c r="AZ334" s="63">
        <v>7.0</v>
      </c>
      <c r="BA334" s="63">
        <v>34.0</v>
      </c>
      <c r="BB334" s="63">
        <v>5.0</v>
      </c>
      <c r="BC334" s="63">
        <v>30.0</v>
      </c>
      <c r="BD334" s="63">
        <v>6.0</v>
      </c>
      <c r="BE334" s="64">
        <v>0.0</v>
      </c>
      <c r="BF334" s="69">
        <v>0.0</v>
      </c>
      <c r="BG334" s="69">
        <v>0.0</v>
      </c>
      <c r="BH334" s="64">
        <v>0.0</v>
      </c>
      <c r="BI334" s="67" t="str">
        <f t="shared" si="133"/>
        <v>#REF!</v>
      </c>
      <c r="BJ334" s="68" t="str">
        <f t="shared" si="134"/>
        <v>#REF!</v>
      </c>
      <c r="BK334" s="69">
        <v>0.0</v>
      </c>
      <c r="BL334" s="69">
        <v>0.0</v>
      </c>
      <c r="BM334" s="64">
        <v>0.0</v>
      </c>
      <c r="BN334" s="67" t="str">
        <f t="shared" si="135"/>
        <v>#REF!</v>
      </c>
      <c r="BO334" s="68" t="str">
        <f t="shared" si="136"/>
        <v>#REF!</v>
      </c>
      <c r="BP334" s="65">
        <v>0.0</v>
      </c>
      <c r="BQ334" s="65">
        <v>0.0</v>
      </c>
      <c r="BR334" s="66">
        <v>0.0</v>
      </c>
      <c r="BS334" s="67" t="str">
        <f t="shared" si="137"/>
        <v>#REF!</v>
      </c>
      <c r="BT334" s="68" t="str">
        <f>'[1]DATA CONSOLIDADA 2018-2025 '!$BR334-Hoja1!$BO334</f>
        <v>#REF!</v>
      </c>
      <c r="BU334" s="69">
        <v>0.0</v>
      </c>
      <c r="BV334" s="65">
        <v>0.0</v>
      </c>
      <c r="BW334" s="66">
        <v>0.0</v>
      </c>
      <c r="BX334" s="67" t="str">
        <f t="shared" si="138"/>
        <v>#REF!</v>
      </c>
      <c r="BY334" s="68" t="str">
        <f t="shared" si="139"/>
        <v>#REF!</v>
      </c>
      <c r="BZ334" s="65">
        <v>168900.0</v>
      </c>
      <c r="CA334" s="65">
        <v>0.0</v>
      </c>
      <c r="CB334" s="66">
        <v>168900.0</v>
      </c>
      <c r="CC334" s="67" t="str">
        <f t="shared" si="140"/>
        <v>#REF!</v>
      </c>
      <c r="CD334" s="68" t="str">
        <f>'[1]DATA CONSOLIDADA 2018-2025 '!$CB334-Hoja1!$BW334</f>
        <v>#REF!</v>
      </c>
      <c r="CE334" s="70">
        <v>281985.0</v>
      </c>
      <c r="CF334" s="70">
        <v>0.0</v>
      </c>
      <c r="CG334" s="71">
        <v>281985.0</v>
      </c>
      <c r="CH334" s="67" t="str">
        <f t="shared" si="141"/>
        <v>#REF!</v>
      </c>
      <c r="CI334" s="68" t="str">
        <f>'[1]DATA CONSOLIDADA 2018-2025 '!$CG334-Hoja1!$CB334</f>
        <v>#REF!</v>
      </c>
      <c r="CJ334" s="64" t="str">
        <f t="shared" si="114"/>
        <v>#REF!</v>
      </c>
      <c r="CK334" s="64">
        <v>430050.0</v>
      </c>
      <c r="CL334" s="64">
        <v>0.0</v>
      </c>
      <c r="CM334" s="64">
        <v>430050.0</v>
      </c>
      <c r="CN334" s="64" t="str">
        <f t="shared" si="12"/>
        <v>#REF!</v>
      </c>
      <c r="CO334" s="68" t="str">
        <f>'[1]DATA CONSOLIDADA 2018-2025 '!$CM334-Hoja1!$CG334</f>
        <v>#REF!</v>
      </c>
      <c r="CP334" s="70">
        <v>0.0</v>
      </c>
      <c r="CQ334" s="70">
        <v>110100.0</v>
      </c>
      <c r="CR334" s="70">
        <v>0.0</v>
      </c>
      <c r="CS334" s="70">
        <v>58800.0</v>
      </c>
      <c r="CT334" s="70">
        <v>0.0</v>
      </c>
      <c r="CU334" s="70">
        <v>0.0</v>
      </c>
      <c r="CV334" s="64">
        <v>168900.0</v>
      </c>
      <c r="CW334" s="64">
        <v>0.0</v>
      </c>
      <c r="CX334" s="64">
        <v>281985.0</v>
      </c>
      <c r="CY334" s="64">
        <v>0.0</v>
      </c>
      <c r="CZ334" s="64">
        <v>0.0</v>
      </c>
      <c r="DA334" s="64">
        <v>0.0</v>
      </c>
      <c r="DB334" s="64">
        <v>281985.0</v>
      </c>
      <c r="DC334" s="72">
        <v>0.0</v>
      </c>
      <c r="DD334" s="72">
        <v>430050.0</v>
      </c>
      <c r="DE334" s="72">
        <v>0.0</v>
      </c>
      <c r="DF334" s="72">
        <v>0.0</v>
      </c>
      <c r="DG334" s="72">
        <v>0.0</v>
      </c>
      <c r="DH334" s="72">
        <v>430050.0</v>
      </c>
      <c r="DI334" s="73">
        <v>2.0607735761E10</v>
      </c>
      <c r="DJ334" s="74" t="s">
        <v>1193</v>
      </c>
      <c r="DK334" s="74" t="s">
        <v>138</v>
      </c>
      <c r="DL334" s="75"/>
      <c r="DM334" s="75"/>
      <c r="DN334" s="75"/>
      <c r="DO334" s="75"/>
      <c r="DP334" s="75"/>
      <c r="DQ334" s="75"/>
      <c r="DR334" s="75"/>
      <c r="DS334" s="75"/>
      <c r="DT334" s="75"/>
      <c r="DU334" s="75"/>
      <c r="DV334" s="75"/>
      <c r="DW334" s="75"/>
      <c r="DX334" s="75"/>
      <c r="DY334" s="75"/>
      <c r="DZ334" s="75"/>
      <c r="EA334" s="75"/>
      <c r="EB334" s="75"/>
      <c r="EC334" s="75"/>
      <c r="ED334" s="75"/>
      <c r="EE334" s="75"/>
    </row>
    <row r="335" ht="47.25" hidden="1" customHeight="1">
      <c r="A335" s="55" t="s">
        <v>1196</v>
      </c>
      <c r="B335" s="55" t="s">
        <v>1197</v>
      </c>
      <c r="C335" s="55" t="s">
        <v>1197</v>
      </c>
      <c r="D335" s="55" t="s">
        <v>127</v>
      </c>
      <c r="E335" s="55" t="s">
        <v>1198</v>
      </c>
      <c r="F335" s="55" t="s">
        <v>127</v>
      </c>
      <c r="G335" s="55" t="s">
        <v>1199</v>
      </c>
      <c r="H335" s="55" t="s">
        <v>1200</v>
      </c>
      <c r="I335" s="56"/>
      <c r="J335" s="56"/>
      <c r="K335" s="56"/>
      <c r="L335" s="56"/>
      <c r="M335" s="56"/>
      <c r="N335" s="56">
        <v>1.0</v>
      </c>
      <c r="O335" s="56"/>
      <c r="P335" s="56"/>
      <c r="Q335" s="56" t="s">
        <v>131</v>
      </c>
      <c r="R335" s="58" t="str">
        <f t="shared" si="1"/>
        <v>2023</v>
      </c>
      <c r="S335" s="59" t="str">
        <f>SUM(Hoja1!$I335:$P335)</f>
        <v>1</v>
      </c>
      <c r="T335" s="59" t="str">
        <f>IF(OR(Hoja1!$J335=1,Hoja1!$K335=1,Hoja1!$L335=1,Hoja1!$M335=1,Hoja1!$N335=1,Hoja1!$O335=1,Hoja1!$P335=1),"SI","NO")</f>
        <v>SI</v>
      </c>
      <c r="U335" s="59" t="str">
        <f>IF(OR(Hoja1!$K335=1,Hoja1!$L335=1,Hoja1!$M335=1,Hoja1!$N335=1,Hoja1!$O335=1,Hoja1!$P335=1),"SI","NO")</f>
        <v>SI</v>
      </c>
      <c r="V335" s="60">
        <v>0.0</v>
      </c>
      <c r="W335" s="61">
        <v>0.0</v>
      </c>
      <c r="X335" s="61">
        <v>0.0</v>
      </c>
      <c r="Y335" s="60">
        <v>0.0</v>
      </c>
      <c r="Z335" s="61">
        <v>0.0</v>
      </c>
      <c r="AA335" s="61">
        <v>0.0</v>
      </c>
      <c r="AB335" s="60">
        <v>0.0</v>
      </c>
      <c r="AC335" s="61">
        <v>0.0</v>
      </c>
      <c r="AD335" s="61">
        <v>0.0</v>
      </c>
      <c r="AE335" s="60">
        <v>0.0</v>
      </c>
      <c r="AF335" s="61">
        <v>0.0</v>
      </c>
      <c r="AG335" s="61">
        <v>0.0</v>
      </c>
      <c r="AH335" s="60">
        <v>0.0</v>
      </c>
      <c r="AI335" s="61">
        <v>64.0</v>
      </c>
      <c r="AJ335" s="61">
        <v>16.0</v>
      </c>
      <c r="AK335" s="60">
        <v>80.0</v>
      </c>
      <c r="AL335" s="61">
        <v>0.0</v>
      </c>
      <c r="AM335" s="61">
        <v>0.0</v>
      </c>
      <c r="AN335" s="60">
        <v>0.0</v>
      </c>
      <c r="AO335" s="62">
        <v>0.0</v>
      </c>
      <c r="AP335" s="62">
        <v>0.0</v>
      </c>
      <c r="AQ335" s="60">
        <v>0.0</v>
      </c>
      <c r="AR335" s="60" t="str">
        <f>IF(Hoja1!$AQ335&gt;0,Hoja1!$AQ335,IF(Hoja1!$AN335&gt;0,Hoja1!$AN335,IF(Hoja1!$AK335&gt;0,Hoja1!$AK335,IF(Hoja1!$AH335&gt;0,Hoja1!$AH335,IF(Hoja1!$AE335&gt;0,Hoja1!$AE335,IF(Hoja1!$AB335&gt;0,Hoja1!$AB335,IF(Hoja1!$Y335&gt;0,Hoja1!$Y335,IF(Hoja1!$V335&gt;0,Hoja1!$V335," ---"))))))))</f>
        <v>80</v>
      </c>
      <c r="AS335" s="63">
        <v>0.0</v>
      </c>
      <c r="AT335" s="63">
        <v>0.0</v>
      </c>
      <c r="AU335" s="63">
        <v>0.0</v>
      </c>
      <c r="AV335" s="63">
        <v>0.0</v>
      </c>
      <c r="AW335" s="63">
        <v>0.0</v>
      </c>
      <c r="AX335" s="63">
        <v>0.0</v>
      </c>
      <c r="AY335" s="63">
        <v>47.0</v>
      </c>
      <c r="AZ335" s="63">
        <v>6.0</v>
      </c>
      <c r="BA335" s="63">
        <v>0.0</v>
      </c>
      <c r="BB335" s="63">
        <v>0.0</v>
      </c>
      <c r="BC335" s="63">
        <v>0.0</v>
      </c>
      <c r="BD335" s="63">
        <v>0.0</v>
      </c>
      <c r="BE335" s="64">
        <v>0.0</v>
      </c>
      <c r="BF335" s="69">
        <v>0.0</v>
      </c>
      <c r="BG335" s="69">
        <v>0.0</v>
      </c>
      <c r="BH335" s="64">
        <v>0.0</v>
      </c>
      <c r="BI335" s="67" t="str">
        <f t="shared" si="133"/>
        <v>#REF!</v>
      </c>
      <c r="BJ335" s="68" t="str">
        <f t="shared" si="134"/>
        <v>#REF!</v>
      </c>
      <c r="BK335" s="69">
        <v>0.0</v>
      </c>
      <c r="BL335" s="69">
        <v>0.0</v>
      </c>
      <c r="BM335" s="64">
        <v>0.0</v>
      </c>
      <c r="BN335" s="67" t="str">
        <f t="shared" si="135"/>
        <v>#REF!</v>
      </c>
      <c r="BO335" s="68" t="str">
        <f t="shared" si="136"/>
        <v>#REF!</v>
      </c>
      <c r="BP335" s="65">
        <v>0.0</v>
      </c>
      <c r="BQ335" s="65">
        <v>0.0</v>
      </c>
      <c r="BR335" s="66">
        <v>0.0</v>
      </c>
      <c r="BS335" s="67" t="str">
        <f t="shared" si="137"/>
        <v>#REF!</v>
      </c>
      <c r="BT335" s="68" t="str">
        <f>'[1]DATA CONSOLIDADA 2018-2025 '!$BR335-Hoja1!$BO335</f>
        <v>#REF!</v>
      </c>
      <c r="BU335" s="69">
        <v>0.0</v>
      </c>
      <c r="BV335" s="65">
        <v>0.0</v>
      </c>
      <c r="BW335" s="66">
        <v>0.0</v>
      </c>
      <c r="BX335" s="67" t="str">
        <f t="shared" si="138"/>
        <v>#REF!</v>
      </c>
      <c r="BY335" s="68" t="str">
        <f t="shared" si="139"/>
        <v>#REF!</v>
      </c>
      <c r="BZ335" s="65">
        <v>0.0</v>
      </c>
      <c r="CA335" s="65">
        <v>0.0</v>
      </c>
      <c r="CB335" s="66">
        <v>0.0</v>
      </c>
      <c r="CC335" s="67" t="str">
        <f t="shared" si="140"/>
        <v>#REF!</v>
      </c>
      <c r="CD335" s="68" t="str">
        <f>'[1]DATA CONSOLIDADA 2018-2025 '!$CB335-Hoja1!$BW335</f>
        <v>#REF!</v>
      </c>
      <c r="CE335" s="70">
        <v>0.0</v>
      </c>
      <c r="CF335" s="70">
        <v>0.0</v>
      </c>
      <c r="CG335" s="71">
        <v>0.0</v>
      </c>
      <c r="CH335" s="67" t="str">
        <f t="shared" si="141"/>
        <v>#REF!</v>
      </c>
      <c r="CI335" s="68" t="str">
        <f>'[1]DATA CONSOLIDADA 2018-2025 '!$CG335-Hoja1!$CB335</f>
        <v>#REF!</v>
      </c>
      <c r="CJ335" s="64" t="str">
        <f t="shared" si="114"/>
        <v>#REF!</v>
      </c>
      <c r="CK335" s="64">
        <v>0.0</v>
      </c>
      <c r="CL335" s="64">
        <v>0.0</v>
      </c>
      <c r="CM335" s="64">
        <v>0.0</v>
      </c>
      <c r="CN335" s="64" t="str">
        <f t="shared" si="12"/>
        <v>#REF!</v>
      </c>
      <c r="CO335" s="68" t="str">
        <f>'[1]DATA CONSOLIDADA 2018-2025 '!$CM335-Hoja1!$CG335</f>
        <v>#REF!</v>
      </c>
      <c r="CP335" s="70">
        <v>0.0</v>
      </c>
      <c r="CQ335" s="70">
        <v>0.0</v>
      </c>
      <c r="CR335" s="70">
        <v>0.0</v>
      </c>
      <c r="CS335" s="70">
        <v>0.0</v>
      </c>
      <c r="CT335" s="70">
        <v>0.0</v>
      </c>
      <c r="CU335" s="70">
        <v>0.0</v>
      </c>
      <c r="CV335" s="64">
        <v>0.0</v>
      </c>
      <c r="CW335" s="64">
        <v>0.0</v>
      </c>
      <c r="CX335" s="64">
        <v>0.0</v>
      </c>
      <c r="CY335" s="64">
        <v>0.0</v>
      </c>
      <c r="CZ335" s="64">
        <v>0.0</v>
      </c>
      <c r="DA335" s="64">
        <v>0.0</v>
      </c>
      <c r="DB335" s="64">
        <v>0.0</v>
      </c>
      <c r="DC335" s="72">
        <v>0.0</v>
      </c>
      <c r="DD335" s="72">
        <v>0.0</v>
      </c>
      <c r="DE335" s="72">
        <v>0.0</v>
      </c>
      <c r="DF335" s="72">
        <v>0.0</v>
      </c>
      <c r="DG335" s="72">
        <v>0.0</v>
      </c>
      <c r="DH335" s="72">
        <v>0.0</v>
      </c>
      <c r="DI335" s="73">
        <v>2.0608668951E10</v>
      </c>
      <c r="DJ335" s="74" t="s">
        <v>1201</v>
      </c>
      <c r="DK335" s="74" t="s">
        <v>138</v>
      </c>
      <c r="DL335" s="75"/>
      <c r="DM335" s="75"/>
      <c r="DN335" s="75"/>
      <c r="DO335" s="75"/>
      <c r="DP335" s="75"/>
      <c r="DQ335" s="75"/>
      <c r="DR335" s="75"/>
      <c r="DS335" s="75"/>
      <c r="DT335" s="75"/>
      <c r="DU335" s="75"/>
      <c r="DV335" s="75"/>
      <c r="DW335" s="75"/>
      <c r="DX335" s="75"/>
      <c r="DY335" s="75"/>
      <c r="DZ335" s="75"/>
      <c r="EA335" s="75"/>
      <c r="EB335" s="75"/>
      <c r="EC335" s="75"/>
      <c r="ED335" s="75"/>
      <c r="EE335" s="75"/>
    </row>
    <row r="336" ht="47.25" hidden="1" customHeight="1">
      <c r="A336" s="55" t="s">
        <v>1202</v>
      </c>
      <c r="B336" s="55" t="s">
        <v>1197</v>
      </c>
      <c r="C336" s="55" t="s">
        <v>1197</v>
      </c>
      <c r="D336" s="55" t="s">
        <v>127</v>
      </c>
      <c r="E336" s="55" t="s">
        <v>1203</v>
      </c>
      <c r="F336" s="55" t="s">
        <v>127</v>
      </c>
      <c r="G336" s="55" t="s">
        <v>135</v>
      </c>
      <c r="H336" s="55" t="s">
        <v>1204</v>
      </c>
      <c r="I336" s="56"/>
      <c r="J336" s="56"/>
      <c r="K336" s="56"/>
      <c r="L336" s="56"/>
      <c r="M336" s="56"/>
      <c r="N336" s="56">
        <v>1.0</v>
      </c>
      <c r="O336" s="56">
        <v>1.0</v>
      </c>
      <c r="P336" s="56">
        <v>1.0</v>
      </c>
      <c r="Q336" s="56" t="s">
        <v>131</v>
      </c>
      <c r="R336" s="58" t="str">
        <f t="shared" si="1"/>
        <v>2023-2024 - 2025</v>
      </c>
      <c r="S336" s="59" t="str">
        <f>SUM(Hoja1!$I336:$P336)</f>
        <v>3</v>
      </c>
      <c r="T336" s="59" t="str">
        <f>IF(OR(Hoja1!$J336=1,Hoja1!$K336=1,Hoja1!$L336=1,Hoja1!$M336=1,Hoja1!$N336=1,Hoja1!$O336=1,Hoja1!$P336=1),"SI","NO")</f>
        <v>SI</v>
      </c>
      <c r="U336" s="59" t="str">
        <f>IF(OR(Hoja1!$K336=1,Hoja1!$L336=1,Hoja1!$M336=1,Hoja1!$N336=1,Hoja1!$O336=1,Hoja1!$P336=1),"SI","NO")</f>
        <v>SI</v>
      </c>
      <c r="V336" s="60">
        <v>0.0</v>
      </c>
      <c r="W336" s="61">
        <v>0.0</v>
      </c>
      <c r="X336" s="61">
        <v>0.0</v>
      </c>
      <c r="Y336" s="60">
        <v>0.0</v>
      </c>
      <c r="Z336" s="61">
        <v>0.0</v>
      </c>
      <c r="AA336" s="61">
        <v>0.0</v>
      </c>
      <c r="AB336" s="60">
        <v>0.0</v>
      </c>
      <c r="AC336" s="61">
        <v>0.0</v>
      </c>
      <c r="AD336" s="61">
        <v>0.0</v>
      </c>
      <c r="AE336" s="60">
        <v>0.0</v>
      </c>
      <c r="AF336" s="61">
        <v>0.0</v>
      </c>
      <c r="AG336" s="61">
        <v>0.0</v>
      </c>
      <c r="AH336" s="60">
        <v>0.0</v>
      </c>
      <c r="AI336" s="61">
        <v>32.0</v>
      </c>
      <c r="AJ336" s="61">
        <v>8.0</v>
      </c>
      <c r="AK336" s="60">
        <v>40.0</v>
      </c>
      <c r="AL336" s="61">
        <v>13.0</v>
      </c>
      <c r="AM336" s="61">
        <v>13.0</v>
      </c>
      <c r="AN336" s="60">
        <v>26.0</v>
      </c>
      <c r="AO336" s="62">
        <v>12.0</v>
      </c>
      <c r="AP336" s="62">
        <v>5.0</v>
      </c>
      <c r="AQ336" s="60">
        <v>17.0</v>
      </c>
      <c r="AR336" s="60" t="str">
        <f>IF(Hoja1!$AQ336&gt;0,Hoja1!$AQ336,IF(Hoja1!$AN336&gt;0,Hoja1!$AN336,IF(Hoja1!$AK336&gt;0,Hoja1!$AK336,IF(Hoja1!$AH336&gt;0,Hoja1!$AH336,IF(Hoja1!$AE336&gt;0,Hoja1!$AE336,IF(Hoja1!$AB336&gt;0,Hoja1!$AB336,IF(Hoja1!$Y336&gt;0,Hoja1!$Y336,IF(Hoja1!$V336&gt;0,Hoja1!$V336," ---"))))))))</f>
        <v>17</v>
      </c>
      <c r="AS336" s="63">
        <v>0.0</v>
      </c>
      <c r="AT336" s="63">
        <v>0.0</v>
      </c>
      <c r="AU336" s="63">
        <v>0.0</v>
      </c>
      <c r="AV336" s="63">
        <v>0.0</v>
      </c>
      <c r="AW336" s="63">
        <v>0.0</v>
      </c>
      <c r="AX336" s="63">
        <v>0.0</v>
      </c>
      <c r="AY336" s="63">
        <v>47.0</v>
      </c>
      <c r="AZ336" s="63">
        <v>6.0</v>
      </c>
      <c r="BA336" s="63">
        <v>16.0</v>
      </c>
      <c r="BB336" s="63">
        <v>4.0</v>
      </c>
      <c r="BC336" s="63">
        <v>18.0</v>
      </c>
      <c r="BD336" s="63">
        <v>4.0</v>
      </c>
      <c r="BE336" s="64">
        <v>0.0</v>
      </c>
      <c r="BF336" s="69">
        <v>0.0</v>
      </c>
      <c r="BG336" s="69">
        <v>0.0</v>
      </c>
      <c r="BH336" s="64">
        <v>0.0</v>
      </c>
      <c r="BI336" s="67" t="str">
        <f t="shared" si="133"/>
        <v>#REF!</v>
      </c>
      <c r="BJ336" s="68" t="str">
        <f t="shared" si="134"/>
        <v>#REF!</v>
      </c>
      <c r="BK336" s="69">
        <v>0.0</v>
      </c>
      <c r="BL336" s="69">
        <v>0.0</v>
      </c>
      <c r="BM336" s="64">
        <v>0.0</v>
      </c>
      <c r="BN336" s="67" t="str">
        <f t="shared" si="135"/>
        <v>#REF!</v>
      </c>
      <c r="BO336" s="68" t="str">
        <f t="shared" si="136"/>
        <v>#REF!</v>
      </c>
      <c r="BP336" s="65">
        <v>0.0</v>
      </c>
      <c r="BQ336" s="65">
        <v>0.0</v>
      </c>
      <c r="BR336" s="66">
        <v>0.0</v>
      </c>
      <c r="BS336" s="67" t="str">
        <f t="shared" si="137"/>
        <v>#REF!</v>
      </c>
      <c r="BT336" s="68" t="str">
        <f>'[1]DATA CONSOLIDADA 2018-2025 '!$BR336-Hoja1!$BO336</f>
        <v>#REF!</v>
      </c>
      <c r="BU336" s="69">
        <v>0.0</v>
      </c>
      <c r="BV336" s="65">
        <v>0.0</v>
      </c>
      <c r="BW336" s="66">
        <v>0.0</v>
      </c>
      <c r="BX336" s="67" t="str">
        <f t="shared" si="138"/>
        <v>#REF!</v>
      </c>
      <c r="BY336" s="68" t="str">
        <f t="shared" si="139"/>
        <v>#REF!</v>
      </c>
      <c r="BZ336" s="65">
        <v>9760.0</v>
      </c>
      <c r="CA336" s="65">
        <v>0.0</v>
      </c>
      <c r="CB336" s="66">
        <v>9760.0</v>
      </c>
      <c r="CC336" s="67" t="str">
        <f t="shared" si="140"/>
        <v>#REF!</v>
      </c>
      <c r="CD336" s="68" t="str">
        <f>'[1]DATA CONSOLIDADA 2018-2025 '!$CB336-Hoja1!$BW336</f>
        <v>#REF!</v>
      </c>
      <c r="CE336" s="70">
        <v>81600.35</v>
      </c>
      <c r="CF336" s="70">
        <v>0.0</v>
      </c>
      <c r="CG336" s="71">
        <v>81600.35</v>
      </c>
      <c r="CH336" s="67" t="str">
        <f t="shared" si="141"/>
        <v>#REF!</v>
      </c>
      <c r="CI336" s="68" t="str">
        <f>'[1]DATA CONSOLIDADA 2018-2025 '!$CG336-Hoja1!$CB336</f>
        <v>#REF!</v>
      </c>
      <c r="CJ336" s="64" t="str">
        <f t="shared" si="114"/>
        <v>#REF!</v>
      </c>
      <c r="CK336" s="64">
        <v>0.0</v>
      </c>
      <c r="CL336" s="64">
        <v>0.0</v>
      </c>
      <c r="CM336" s="64">
        <v>0.0</v>
      </c>
      <c r="CN336" s="64" t="str">
        <f t="shared" si="12"/>
        <v>#REF!</v>
      </c>
      <c r="CO336" s="68" t="str">
        <f>'[1]DATA CONSOLIDADA 2018-2025 '!$CM336-Hoja1!$CG336</f>
        <v>#REF!</v>
      </c>
      <c r="CP336" s="70">
        <v>0.0</v>
      </c>
      <c r="CQ336" s="70">
        <v>0.0</v>
      </c>
      <c r="CR336" s="70">
        <v>0.0</v>
      </c>
      <c r="CS336" s="70">
        <v>9760.0</v>
      </c>
      <c r="CT336" s="70">
        <v>0.0</v>
      </c>
      <c r="CU336" s="70">
        <v>0.0</v>
      </c>
      <c r="CV336" s="64">
        <v>9760.0</v>
      </c>
      <c r="CW336" s="64">
        <v>78593.85</v>
      </c>
      <c r="CX336" s="64">
        <v>0.0</v>
      </c>
      <c r="CY336" s="64">
        <v>3006.5</v>
      </c>
      <c r="CZ336" s="64">
        <v>0.0</v>
      </c>
      <c r="DA336" s="64">
        <v>0.0</v>
      </c>
      <c r="DB336" s="64">
        <v>81600.35</v>
      </c>
      <c r="DC336" s="72">
        <v>0.0</v>
      </c>
      <c r="DD336" s="72">
        <v>0.0</v>
      </c>
      <c r="DE336" s="72">
        <v>0.0</v>
      </c>
      <c r="DF336" s="72">
        <v>0.0</v>
      </c>
      <c r="DG336" s="72">
        <v>0.0</v>
      </c>
      <c r="DH336" s="72">
        <v>0.0</v>
      </c>
      <c r="DI336" s="73">
        <v>2.0605025821E10</v>
      </c>
      <c r="DJ336" s="74" t="s">
        <v>1202</v>
      </c>
      <c r="DK336" s="74" t="s">
        <v>138</v>
      </c>
      <c r="DL336" s="75"/>
      <c r="DM336" s="75"/>
      <c r="DN336" s="75"/>
      <c r="DO336" s="75"/>
      <c r="DP336" s="75"/>
      <c r="DQ336" s="75"/>
      <c r="DR336" s="75"/>
      <c r="DS336" s="75"/>
      <c r="DT336" s="75"/>
      <c r="DU336" s="75"/>
      <c r="DV336" s="75"/>
      <c r="DW336" s="75"/>
      <c r="DX336" s="75"/>
      <c r="DY336" s="75"/>
      <c r="DZ336" s="75"/>
      <c r="EA336" s="75"/>
      <c r="EB336" s="75"/>
      <c r="EC336" s="75"/>
      <c r="ED336" s="75"/>
      <c r="EE336" s="75"/>
    </row>
    <row r="337" ht="47.25" hidden="1" customHeight="1">
      <c r="A337" s="55" t="s">
        <v>1205</v>
      </c>
      <c r="B337" s="55" t="s">
        <v>207</v>
      </c>
      <c r="C337" s="55" t="s">
        <v>207</v>
      </c>
      <c r="D337" s="55" t="s">
        <v>167</v>
      </c>
      <c r="E337" s="55" t="s">
        <v>1206</v>
      </c>
      <c r="F337" s="55" t="s">
        <v>167</v>
      </c>
      <c r="G337" s="55" t="s">
        <v>1207</v>
      </c>
      <c r="H337" s="55" t="s">
        <v>1208</v>
      </c>
      <c r="I337" s="56"/>
      <c r="J337" s="56"/>
      <c r="K337" s="56"/>
      <c r="L337" s="56"/>
      <c r="M337" s="56"/>
      <c r="N337" s="56">
        <v>1.0</v>
      </c>
      <c r="O337" s="56">
        <v>1.0</v>
      </c>
      <c r="P337" s="56">
        <v>1.0</v>
      </c>
      <c r="Q337" s="56" t="s">
        <v>131</v>
      </c>
      <c r="R337" s="58" t="str">
        <f t="shared" si="1"/>
        <v>2023-2024 - 2025</v>
      </c>
      <c r="S337" s="59" t="str">
        <f>SUM(Hoja1!$I337:$P337)</f>
        <v>3</v>
      </c>
      <c r="T337" s="59" t="str">
        <f>IF(OR(Hoja1!$J337=1,Hoja1!$K337=1,Hoja1!$L337=1,Hoja1!$M337=1,Hoja1!$N337=1,Hoja1!$O337=1,Hoja1!$P337=1),"SI","NO")</f>
        <v>SI</v>
      </c>
      <c r="U337" s="59" t="str">
        <f>IF(OR(Hoja1!$K337=1,Hoja1!$L337=1,Hoja1!$M337=1,Hoja1!$N337=1,Hoja1!$O337=1,Hoja1!$P337=1),"SI","NO")</f>
        <v>SI</v>
      </c>
      <c r="V337" s="60">
        <v>0.0</v>
      </c>
      <c r="W337" s="61">
        <v>0.0</v>
      </c>
      <c r="X337" s="61">
        <v>0.0</v>
      </c>
      <c r="Y337" s="60">
        <v>0.0</v>
      </c>
      <c r="Z337" s="61">
        <v>0.0</v>
      </c>
      <c r="AA337" s="61">
        <v>0.0</v>
      </c>
      <c r="AB337" s="60">
        <v>0.0</v>
      </c>
      <c r="AC337" s="61">
        <v>0.0</v>
      </c>
      <c r="AD337" s="61">
        <v>0.0</v>
      </c>
      <c r="AE337" s="60">
        <v>0.0</v>
      </c>
      <c r="AF337" s="61">
        <v>0.0</v>
      </c>
      <c r="AG337" s="61">
        <v>0.0</v>
      </c>
      <c r="AH337" s="60">
        <v>0.0</v>
      </c>
      <c r="AI337" s="61">
        <v>26.0</v>
      </c>
      <c r="AJ337" s="61">
        <v>3.0</v>
      </c>
      <c r="AK337" s="60">
        <v>29.0</v>
      </c>
      <c r="AL337" s="61">
        <v>26.0</v>
      </c>
      <c r="AM337" s="61">
        <v>3.0</v>
      </c>
      <c r="AN337" s="60">
        <v>29.0</v>
      </c>
      <c r="AO337" s="62">
        <v>23.0</v>
      </c>
      <c r="AP337" s="62">
        <v>0.0</v>
      </c>
      <c r="AQ337" s="60">
        <v>23.0</v>
      </c>
      <c r="AR337" s="60" t="str">
        <f>IF(Hoja1!$AQ337&gt;0,Hoja1!$AQ337,IF(Hoja1!$AN337&gt;0,Hoja1!$AN337,IF(Hoja1!$AK337&gt;0,Hoja1!$AK337,IF(Hoja1!$AH337&gt;0,Hoja1!$AH337,IF(Hoja1!$AE337&gt;0,Hoja1!$AE337,IF(Hoja1!$AB337&gt;0,Hoja1!$AB337,IF(Hoja1!$Y337&gt;0,Hoja1!$Y337,IF(Hoja1!$V337&gt;0,Hoja1!$V337," ---"))))))))</f>
        <v>23</v>
      </c>
      <c r="AS337" s="63">
        <v>0.0</v>
      </c>
      <c r="AT337" s="63">
        <v>0.0</v>
      </c>
      <c r="AU337" s="63">
        <v>0.0</v>
      </c>
      <c r="AV337" s="63">
        <v>0.0</v>
      </c>
      <c r="AW337" s="63">
        <v>0.0</v>
      </c>
      <c r="AX337" s="63">
        <v>0.0</v>
      </c>
      <c r="AY337" s="63">
        <v>38.0</v>
      </c>
      <c r="AZ337" s="63">
        <v>4.0</v>
      </c>
      <c r="BA337" s="63">
        <v>32.0</v>
      </c>
      <c r="BB337" s="63">
        <v>4.0</v>
      </c>
      <c r="BC337" s="63">
        <v>34.0</v>
      </c>
      <c r="BD337" s="63">
        <v>2.0</v>
      </c>
      <c r="BE337" s="64">
        <v>0.0</v>
      </c>
      <c r="BF337" s="69">
        <v>0.0</v>
      </c>
      <c r="BG337" s="69">
        <v>0.0</v>
      </c>
      <c r="BH337" s="64">
        <v>0.0</v>
      </c>
      <c r="BI337" s="67" t="str">
        <f t="shared" si="133"/>
        <v>#REF!</v>
      </c>
      <c r="BJ337" s="68" t="str">
        <f t="shared" si="134"/>
        <v>#REF!</v>
      </c>
      <c r="BK337" s="69">
        <v>0.0</v>
      </c>
      <c r="BL337" s="69">
        <v>0.0</v>
      </c>
      <c r="BM337" s="64">
        <v>0.0</v>
      </c>
      <c r="BN337" s="67" t="str">
        <f t="shared" si="135"/>
        <v>#REF!</v>
      </c>
      <c r="BO337" s="68" t="str">
        <f t="shared" si="136"/>
        <v>#REF!</v>
      </c>
      <c r="BP337" s="65">
        <v>0.0</v>
      </c>
      <c r="BQ337" s="65">
        <v>0.0</v>
      </c>
      <c r="BR337" s="66">
        <v>0.0</v>
      </c>
      <c r="BS337" s="67" t="str">
        <f t="shared" si="137"/>
        <v>#REF!</v>
      </c>
      <c r="BT337" s="68" t="str">
        <f>'[1]DATA CONSOLIDADA 2018-2025 '!$BR337-Hoja1!$BO337</f>
        <v>#REF!</v>
      </c>
      <c r="BU337" s="69">
        <v>0.0</v>
      </c>
      <c r="BV337" s="65">
        <v>0.0</v>
      </c>
      <c r="BW337" s="66">
        <v>0.0</v>
      </c>
      <c r="BX337" s="67" t="str">
        <f t="shared" si="138"/>
        <v>#REF!</v>
      </c>
      <c r="BY337" s="68" t="str">
        <f t="shared" si="139"/>
        <v>#REF!</v>
      </c>
      <c r="BZ337" s="65">
        <v>393700.0</v>
      </c>
      <c r="CA337" s="65">
        <v>0.0</v>
      </c>
      <c r="CB337" s="66">
        <v>393700.0</v>
      </c>
      <c r="CC337" s="67" t="str">
        <f t="shared" si="140"/>
        <v>#REF!</v>
      </c>
      <c r="CD337" s="68" t="str">
        <f>'[1]DATA CONSOLIDADA 2018-2025 '!$CB337-Hoja1!$BW337</f>
        <v>#REF!</v>
      </c>
      <c r="CE337" s="70">
        <v>952240.0</v>
      </c>
      <c r="CF337" s="70">
        <v>0.0</v>
      </c>
      <c r="CG337" s="71">
        <v>952240.0</v>
      </c>
      <c r="CH337" s="67" t="str">
        <f t="shared" si="141"/>
        <v>#REF!</v>
      </c>
      <c r="CI337" s="68" t="str">
        <f>'[1]DATA CONSOLIDADA 2018-2025 '!$CG337-Hoja1!$CB337</f>
        <v>#REF!</v>
      </c>
      <c r="CJ337" s="64" t="str">
        <f t="shared" si="114"/>
        <v>#REF!</v>
      </c>
      <c r="CK337" s="64">
        <v>541230.0</v>
      </c>
      <c r="CL337" s="64">
        <v>0.0</v>
      </c>
      <c r="CM337" s="64">
        <v>541230.0</v>
      </c>
      <c r="CN337" s="64" t="str">
        <f t="shared" si="12"/>
        <v>#REF!</v>
      </c>
      <c r="CO337" s="68" t="str">
        <f>'[1]DATA CONSOLIDADA 2018-2025 '!$CM337-Hoja1!$CG337</f>
        <v>#REF!</v>
      </c>
      <c r="CP337" s="70">
        <v>0.0</v>
      </c>
      <c r="CQ337" s="70">
        <v>393700.0</v>
      </c>
      <c r="CR337" s="70">
        <v>0.0</v>
      </c>
      <c r="CS337" s="70">
        <v>0.0</v>
      </c>
      <c r="CT337" s="70">
        <v>0.0</v>
      </c>
      <c r="CU337" s="70">
        <v>0.0</v>
      </c>
      <c r="CV337" s="64">
        <v>393700.0</v>
      </c>
      <c r="CW337" s="64">
        <v>0.0</v>
      </c>
      <c r="CX337" s="64">
        <v>952240.0</v>
      </c>
      <c r="CY337" s="64">
        <v>0.0</v>
      </c>
      <c r="CZ337" s="64">
        <v>0.0</v>
      </c>
      <c r="DA337" s="64">
        <v>0.0</v>
      </c>
      <c r="DB337" s="64">
        <v>952240.0</v>
      </c>
      <c r="DC337" s="72">
        <v>0.0</v>
      </c>
      <c r="DD337" s="72">
        <v>541230.0</v>
      </c>
      <c r="DE337" s="72">
        <v>0.0</v>
      </c>
      <c r="DF337" s="72">
        <v>0.0</v>
      </c>
      <c r="DG337" s="72">
        <v>0.0</v>
      </c>
      <c r="DH337" s="72">
        <v>541230.0</v>
      </c>
      <c r="DI337" s="73">
        <v>2.0608734628E10</v>
      </c>
      <c r="DJ337" s="74" t="s">
        <v>1205</v>
      </c>
      <c r="DK337" s="74" t="s">
        <v>138</v>
      </c>
      <c r="DL337" s="75"/>
      <c r="DM337" s="75"/>
      <c r="DN337" s="75"/>
      <c r="DO337" s="75"/>
      <c r="DP337" s="75"/>
      <c r="DQ337" s="75"/>
      <c r="DR337" s="75"/>
      <c r="DS337" s="75"/>
      <c r="DT337" s="75"/>
      <c r="DU337" s="75"/>
      <c r="DV337" s="75"/>
      <c r="DW337" s="75"/>
      <c r="DX337" s="75"/>
      <c r="DY337" s="75"/>
      <c r="DZ337" s="75"/>
      <c r="EA337" s="75"/>
      <c r="EB337" s="75"/>
      <c r="EC337" s="75"/>
      <c r="ED337" s="75"/>
      <c r="EE337" s="75"/>
    </row>
    <row r="338" ht="47.25" hidden="1" customHeight="1">
      <c r="A338" s="55" t="s">
        <v>1209</v>
      </c>
      <c r="B338" s="55" t="s">
        <v>1210</v>
      </c>
      <c r="C338" s="55" t="s">
        <v>1210</v>
      </c>
      <c r="D338" s="55" t="s">
        <v>167</v>
      </c>
      <c r="E338" s="55" t="s">
        <v>168</v>
      </c>
      <c r="F338" s="55" t="s">
        <v>167</v>
      </c>
      <c r="G338" s="55" t="s">
        <v>169</v>
      </c>
      <c r="H338" s="55" t="s">
        <v>170</v>
      </c>
      <c r="I338" s="56"/>
      <c r="J338" s="56"/>
      <c r="K338" s="56"/>
      <c r="L338" s="56"/>
      <c r="M338" s="56"/>
      <c r="N338" s="56">
        <v>1.0</v>
      </c>
      <c r="O338" s="56">
        <v>1.0</v>
      </c>
      <c r="P338" s="56">
        <v>1.0</v>
      </c>
      <c r="Q338" s="56" t="s">
        <v>131</v>
      </c>
      <c r="R338" s="58" t="str">
        <f t="shared" si="1"/>
        <v>2023-2024 - 2025</v>
      </c>
      <c r="S338" s="59" t="str">
        <f>SUM(Hoja1!$I338:$P338)</f>
        <v>3</v>
      </c>
      <c r="T338" s="59" t="str">
        <f>IF(OR(Hoja1!$J338=1,Hoja1!$K338=1,Hoja1!$L338=1,Hoja1!$M338=1,Hoja1!$N338=1,Hoja1!$O338=1,Hoja1!$P338=1),"SI","NO")</f>
        <v>SI</v>
      </c>
      <c r="U338" s="59" t="str">
        <f>IF(OR(Hoja1!$K338=1,Hoja1!$L338=1,Hoja1!$M338=1,Hoja1!$N338=1,Hoja1!$O338=1,Hoja1!$P338=1),"SI","NO")</f>
        <v>SI</v>
      </c>
      <c r="V338" s="60">
        <v>0.0</v>
      </c>
      <c r="W338" s="61">
        <v>0.0</v>
      </c>
      <c r="X338" s="61">
        <v>0.0</v>
      </c>
      <c r="Y338" s="60">
        <v>0.0</v>
      </c>
      <c r="Z338" s="61">
        <v>0.0</v>
      </c>
      <c r="AA338" s="61">
        <v>0.0</v>
      </c>
      <c r="AB338" s="60">
        <v>0.0</v>
      </c>
      <c r="AC338" s="61">
        <v>0.0</v>
      </c>
      <c r="AD338" s="61">
        <v>0.0</v>
      </c>
      <c r="AE338" s="60">
        <v>0.0</v>
      </c>
      <c r="AF338" s="61">
        <v>0.0</v>
      </c>
      <c r="AG338" s="61">
        <v>0.0</v>
      </c>
      <c r="AH338" s="60">
        <v>0.0</v>
      </c>
      <c r="AI338" s="61">
        <v>13.0</v>
      </c>
      <c r="AJ338" s="61">
        <v>4.0</v>
      </c>
      <c r="AK338" s="60">
        <v>17.0</v>
      </c>
      <c r="AL338" s="61">
        <v>13.0</v>
      </c>
      <c r="AM338" s="61">
        <v>4.0</v>
      </c>
      <c r="AN338" s="60">
        <v>17.0</v>
      </c>
      <c r="AO338" s="62">
        <v>13.0</v>
      </c>
      <c r="AP338" s="62">
        <v>5.0</v>
      </c>
      <c r="AQ338" s="60">
        <v>18.0</v>
      </c>
      <c r="AR338" s="60" t="str">
        <f>IF(Hoja1!$AQ338&gt;0,Hoja1!$AQ338,IF(Hoja1!$AN338&gt;0,Hoja1!$AN338,IF(Hoja1!$AK338&gt;0,Hoja1!$AK338,IF(Hoja1!$AH338&gt;0,Hoja1!$AH338,IF(Hoja1!$AE338&gt;0,Hoja1!$AE338,IF(Hoja1!$AB338&gt;0,Hoja1!$AB338,IF(Hoja1!$Y338&gt;0,Hoja1!$Y338,IF(Hoja1!$V338&gt;0,Hoja1!$V338," ---"))))))))</f>
        <v>18</v>
      </c>
      <c r="AS338" s="63">
        <v>0.0</v>
      </c>
      <c r="AT338" s="63">
        <v>0.0</v>
      </c>
      <c r="AU338" s="63">
        <v>0.0</v>
      </c>
      <c r="AV338" s="63">
        <v>0.0</v>
      </c>
      <c r="AW338" s="63">
        <v>0.0</v>
      </c>
      <c r="AX338" s="63">
        <v>0.0</v>
      </c>
      <c r="AY338" s="63">
        <v>41.0</v>
      </c>
      <c r="AZ338" s="63">
        <v>0.0</v>
      </c>
      <c r="BA338" s="63">
        <v>29.0</v>
      </c>
      <c r="BB338" s="63">
        <v>0.0</v>
      </c>
      <c r="BC338" s="63">
        <v>1.0</v>
      </c>
      <c r="BD338" s="63">
        <v>0.0</v>
      </c>
      <c r="BE338" s="64">
        <v>0.0</v>
      </c>
      <c r="BF338" s="69">
        <v>0.0</v>
      </c>
      <c r="BG338" s="69">
        <v>0.0</v>
      </c>
      <c r="BH338" s="64">
        <v>0.0</v>
      </c>
      <c r="BI338" s="67" t="str">
        <f t="shared" si="133"/>
        <v>#REF!</v>
      </c>
      <c r="BJ338" s="68" t="str">
        <f t="shared" si="134"/>
        <v>#REF!</v>
      </c>
      <c r="BK338" s="69">
        <v>0.0</v>
      </c>
      <c r="BL338" s="69">
        <v>0.0</v>
      </c>
      <c r="BM338" s="64">
        <v>0.0</v>
      </c>
      <c r="BN338" s="67" t="str">
        <f t="shared" si="135"/>
        <v>#REF!</v>
      </c>
      <c r="BO338" s="68" t="str">
        <f t="shared" si="136"/>
        <v>#REF!</v>
      </c>
      <c r="BP338" s="65">
        <v>0.0</v>
      </c>
      <c r="BQ338" s="65">
        <v>0.0</v>
      </c>
      <c r="BR338" s="66">
        <v>0.0</v>
      </c>
      <c r="BS338" s="67" t="str">
        <f t="shared" si="137"/>
        <v>#REF!</v>
      </c>
      <c r="BT338" s="68" t="str">
        <f>'[1]DATA CONSOLIDADA 2018-2025 '!$BR338-Hoja1!$BO338</f>
        <v>#REF!</v>
      </c>
      <c r="BU338" s="69">
        <v>0.0</v>
      </c>
      <c r="BV338" s="65">
        <v>0.0</v>
      </c>
      <c r="BW338" s="66">
        <v>0.0</v>
      </c>
      <c r="BX338" s="67" t="str">
        <f t="shared" si="138"/>
        <v>#REF!</v>
      </c>
      <c r="BY338" s="68" t="str">
        <f t="shared" si="139"/>
        <v>#REF!</v>
      </c>
      <c r="BZ338" s="65">
        <v>22668.0</v>
      </c>
      <c r="CA338" s="65">
        <v>0.0</v>
      </c>
      <c r="CB338" s="66">
        <v>22668.0</v>
      </c>
      <c r="CC338" s="67" t="str">
        <f t="shared" si="140"/>
        <v>#REF!</v>
      </c>
      <c r="CD338" s="68" t="str">
        <f>'[1]DATA CONSOLIDADA 2018-2025 '!$CB338-Hoja1!$BW338</f>
        <v>#REF!</v>
      </c>
      <c r="CE338" s="70">
        <v>235242.4</v>
      </c>
      <c r="CF338" s="70">
        <v>0.0</v>
      </c>
      <c r="CG338" s="71">
        <v>235242.4</v>
      </c>
      <c r="CH338" s="67" t="str">
        <f t="shared" si="141"/>
        <v>#REF!</v>
      </c>
      <c r="CI338" s="68" t="str">
        <f>'[1]DATA CONSOLIDADA 2018-2025 '!$CG338-Hoja1!$CB338</f>
        <v>#REF!</v>
      </c>
      <c r="CJ338" s="64" t="str">
        <f t="shared" si="114"/>
        <v>#REF!</v>
      </c>
      <c r="CK338" s="64">
        <v>188167.0</v>
      </c>
      <c r="CL338" s="64">
        <v>0.0</v>
      </c>
      <c r="CM338" s="64">
        <v>188167.0</v>
      </c>
      <c r="CN338" s="64" t="str">
        <f t="shared" si="12"/>
        <v>#REF!</v>
      </c>
      <c r="CO338" s="68" t="str">
        <f>'[1]DATA CONSOLIDADA 2018-2025 '!$CM338-Hoja1!$CG338</f>
        <v>#REF!</v>
      </c>
      <c r="CP338" s="70">
        <v>0.0</v>
      </c>
      <c r="CQ338" s="70">
        <v>22668.0</v>
      </c>
      <c r="CR338" s="70">
        <v>0.0</v>
      </c>
      <c r="CS338" s="70">
        <v>0.0</v>
      </c>
      <c r="CT338" s="70">
        <v>0.0</v>
      </c>
      <c r="CU338" s="70">
        <v>0.0</v>
      </c>
      <c r="CV338" s="64">
        <v>22668.0</v>
      </c>
      <c r="CW338" s="64">
        <v>0.0</v>
      </c>
      <c r="CX338" s="64">
        <v>235242.4</v>
      </c>
      <c r="CY338" s="64">
        <v>0.0</v>
      </c>
      <c r="CZ338" s="64">
        <v>0.0</v>
      </c>
      <c r="DA338" s="64">
        <v>0.0</v>
      </c>
      <c r="DB338" s="64">
        <v>235242.4</v>
      </c>
      <c r="DC338" s="72">
        <v>0.0</v>
      </c>
      <c r="DD338" s="72">
        <v>188167.0</v>
      </c>
      <c r="DE338" s="72">
        <v>0.0</v>
      </c>
      <c r="DF338" s="72">
        <v>0.0</v>
      </c>
      <c r="DG338" s="72">
        <v>0.0</v>
      </c>
      <c r="DH338" s="72">
        <v>188167.0</v>
      </c>
      <c r="DI338" s="73">
        <v>2.0609343355E10</v>
      </c>
      <c r="DJ338" s="74" t="s">
        <v>1209</v>
      </c>
      <c r="DK338" s="74" t="s">
        <v>138</v>
      </c>
      <c r="DL338" s="75"/>
      <c r="DM338" s="75"/>
      <c r="DN338" s="75"/>
      <c r="DO338" s="75"/>
      <c r="DP338" s="75"/>
      <c r="DQ338" s="75"/>
      <c r="DR338" s="75"/>
      <c r="DS338" s="75"/>
      <c r="DT338" s="75"/>
      <c r="DU338" s="75"/>
      <c r="DV338" s="75"/>
      <c r="DW338" s="75"/>
      <c r="DX338" s="75"/>
      <c r="DY338" s="75"/>
      <c r="DZ338" s="75"/>
      <c r="EA338" s="75"/>
      <c r="EB338" s="75"/>
      <c r="EC338" s="75"/>
      <c r="ED338" s="75"/>
      <c r="EE338" s="75"/>
    </row>
    <row r="339" ht="47.25" hidden="1" customHeight="1">
      <c r="A339" s="55" t="s">
        <v>1211</v>
      </c>
      <c r="B339" s="55" t="s">
        <v>236</v>
      </c>
      <c r="C339" s="55" t="s">
        <v>237</v>
      </c>
      <c r="D339" s="55" t="s">
        <v>227</v>
      </c>
      <c r="E339" s="55" t="s">
        <v>243</v>
      </c>
      <c r="F339" s="55" t="s">
        <v>227</v>
      </c>
      <c r="G339" s="55" t="s">
        <v>239</v>
      </c>
      <c r="H339" s="55" t="s">
        <v>239</v>
      </c>
      <c r="I339" s="56"/>
      <c r="J339" s="56"/>
      <c r="K339" s="56"/>
      <c r="L339" s="56"/>
      <c r="M339" s="56"/>
      <c r="N339" s="56">
        <v>1.0</v>
      </c>
      <c r="O339" s="56">
        <v>1.0</v>
      </c>
      <c r="P339" s="56"/>
      <c r="Q339" s="56" t="s">
        <v>131</v>
      </c>
      <c r="R339" s="58" t="str">
        <f t="shared" si="1"/>
        <v>2023-2024</v>
      </c>
      <c r="S339" s="59" t="str">
        <f>SUM(Hoja1!$I339:$P339)</f>
        <v>2</v>
      </c>
      <c r="T339" s="59" t="str">
        <f>IF(OR(Hoja1!$J339=1,Hoja1!$K339=1,Hoja1!$L339=1,Hoja1!$M339=1,Hoja1!$N339=1,Hoja1!$O339=1,Hoja1!$P339=1),"SI","NO")</f>
        <v>SI</v>
      </c>
      <c r="U339" s="59" t="str">
        <f>IF(OR(Hoja1!$K339=1,Hoja1!$L339=1,Hoja1!$M339=1,Hoja1!$N339=1,Hoja1!$O339=1,Hoja1!$P339=1),"SI","NO")</f>
        <v>SI</v>
      </c>
      <c r="V339" s="60">
        <v>0.0</v>
      </c>
      <c r="W339" s="61">
        <v>0.0</v>
      </c>
      <c r="X339" s="61">
        <v>0.0</v>
      </c>
      <c r="Y339" s="60">
        <v>0.0</v>
      </c>
      <c r="Z339" s="61">
        <v>0.0</v>
      </c>
      <c r="AA339" s="61">
        <v>0.0</v>
      </c>
      <c r="AB339" s="60">
        <v>0.0</v>
      </c>
      <c r="AC339" s="61">
        <v>0.0</v>
      </c>
      <c r="AD339" s="61">
        <v>0.0</v>
      </c>
      <c r="AE339" s="60">
        <v>0.0</v>
      </c>
      <c r="AF339" s="61">
        <v>0.0</v>
      </c>
      <c r="AG339" s="61">
        <v>0.0</v>
      </c>
      <c r="AH339" s="60">
        <v>0.0</v>
      </c>
      <c r="AI339" s="61">
        <v>203.0</v>
      </c>
      <c r="AJ339" s="61">
        <v>87.0</v>
      </c>
      <c r="AK339" s="60">
        <v>290.0</v>
      </c>
      <c r="AL339" s="61">
        <v>227.0</v>
      </c>
      <c r="AM339" s="61">
        <v>66.0</v>
      </c>
      <c r="AN339" s="60">
        <v>293.0</v>
      </c>
      <c r="AO339" s="62">
        <v>0.0</v>
      </c>
      <c r="AP339" s="62">
        <v>0.0</v>
      </c>
      <c r="AQ339" s="60">
        <v>0.0</v>
      </c>
      <c r="AR339" s="60" t="str">
        <f>IF(Hoja1!$AQ339&gt;0,Hoja1!$AQ339,IF(Hoja1!$AN339&gt;0,Hoja1!$AN339,IF(Hoja1!$AK339&gt;0,Hoja1!$AK339,IF(Hoja1!$AH339&gt;0,Hoja1!$AH339,IF(Hoja1!$AE339&gt;0,Hoja1!$AE339,IF(Hoja1!$AB339&gt;0,Hoja1!$AB339,IF(Hoja1!$Y339&gt;0,Hoja1!$Y339,IF(Hoja1!$V339&gt;0,Hoja1!$V339," ---"))))))))</f>
        <v>293</v>
      </c>
      <c r="AS339" s="63">
        <v>0.0</v>
      </c>
      <c r="AT339" s="63">
        <v>0.0</v>
      </c>
      <c r="AU339" s="63">
        <v>0.0</v>
      </c>
      <c r="AV339" s="63">
        <v>0.0</v>
      </c>
      <c r="AW339" s="63">
        <v>0.0</v>
      </c>
      <c r="AX339" s="63">
        <v>0.0</v>
      </c>
      <c r="AY339" s="63">
        <v>67.0</v>
      </c>
      <c r="AZ339" s="63">
        <v>11.0</v>
      </c>
      <c r="BA339" s="63">
        <v>12.0</v>
      </c>
      <c r="BB339" s="63">
        <v>4.0</v>
      </c>
      <c r="BC339" s="63">
        <v>0.0</v>
      </c>
      <c r="BD339" s="63">
        <v>0.0</v>
      </c>
      <c r="BE339" s="64">
        <v>0.0</v>
      </c>
      <c r="BF339" s="69">
        <v>0.0</v>
      </c>
      <c r="BG339" s="69">
        <v>0.0</v>
      </c>
      <c r="BH339" s="64">
        <v>0.0</v>
      </c>
      <c r="BI339" s="67" t="str">
        <f t="shared" si="133"/>
        <v>#REF!</v>
      </c>
      <c r="BJ339" s="68" t="str">
        <f t="shared" si="134"/>
        <v>#REF!</v>
      </c>
      <c r="BK339" s="69">
        <v>0.0</v>
      </c>
      <c r="BL339" s="69">
        <v>0.0</v>
      </c>
      <c r="BM339" s="64">
        <v>0.0</v>
      </c>
      <c r="BN339" s="67" t="str">
        <f t="shared" si="135"/>
        <v>#REF!</v>
      </c>
      <c r="BO339" s="68" t="str">
        <f t="shared" si="136"/>
        <v>#REF!</v>
      </c>
      <c r="BP339" s="65">
        <v>0.0</v>
      </c>
      <c r="BQ339" s="65">
        <v>0.0</v>
      </c>
      <c r="BR339" s="66">
        <v>0.0</v>
      </c>
      <c r="BS339" s="67" t="str">
        <f t="shared" si="137"/>
        <v>#REF!</v>
      </c>
      <c r="BT339" s="68" t="str">
        <f>'[1]DATA CONSOLIDADA 2018-2025 '!$BR339-Hoja1!$BO339</f>
        <v>#REF!</v>
      </c>
      <c r="BU339" s="69">
        <v>0.0</v>
      </c>
      <c r="BV339" s="65">
        <v>0.0</v>
      </c>
      <c r="BW339" s="66">
        <v>0.0</v>
      </c>
      <c r="BX339" s="67" t="str">
        <f t="shared" si="138"/>
        <v>#REF!</v>
      </c>
      <c r="BY339" s="68" t="str">
        <f t="shared" si="139"/>
        <v>#REF!</v>
      </c>
      <c r="BZ339" s="65">
        <v>1323187.57</v>
      </c>
      <c r="CA339" s="65">
        <v>0.0</v>
      </c>
      <c r="CB339" s="66">
        <v>1323187.57</v>
      </c>
      <c r="CC339" s="67" t="str">
        <f t="shared" si="140"/>
        <v>#REF!</v>
      </c>
      <c r="CD339" s="68" t="str">
        <f>'[1]DATA CONSOLIDADA 2018-2025 '!$CB339-Hoja1!$BW339</f>
        <v>#REF!</v>
      </c>
      <c r="CE339" s="70">
        <v>154344.0</v>
      </c>
      <c r="CF339" s="70">
        <v>0.0</v>
      </c>
      <c r="CG339" s="71">
        <v>154344.0</v>
      </c>
      <c r="CH339" s="67" t="str">
        <f t="shared" si="141"/>
        <v>#REF!</v>
      </c>
      <c r="CI339" s="68" t="str">
        <f>'[1]DATA CONSOLIDADA 2018-2025 '!$CG339-Hoja1!$CB339</f>
        <v>#REF!</v>
      </c>
      <c r="CJ339" s="64" t="str">
        <f t="shared" si="114"/>
        <v>#REF!</v>
      </c>
      <c r="CK339" s="64">
        <v>0.0</v>
      </c>
      <c r="CL339" s="64">
        <v>0.0</v>
      </c>
      <c r="CM339" s="64">
        <v>0.0</v>
      </c>
      <c r="CN339" s="64" t="str">
        <f t="shared" si="12"/>
        <v>#REF!</v>
      </c>
      <c r="CO339" s="68" t="str">
        <f>'[1]DATA CONSOLIDADA 2018-2025 '!$CM339-Hoja1!$CG339</f>
        <v>#REF!</v>
      </c>
      <c r="CP339" s="70">
        <v>0.0</v>
      </c>
      <c r="CQ339" s="70">
        <v>0.0</v>
      </c>
      <c r="CR339" s="70">
        <v>0.0</v>
      </c>
      <c r="CS339" s="70">
        <v>1323187.583654</v>
      </c>
      <c r="CT339" s="70">
        <v>0.0</v>
      </c>
      <c r="CU339" s="70">
        <v>0.0</v>
      </c>
      <c r="CV339" s="64">
        <v>1323187.583654</v>
      </c>
      <c r="CW339" s="64">
        <v>0.0</v>
      </c>
      <c r="CX339" s="64">
        <v>0.0</v>
      </c>
      <c r="CY339" s="64">
        <v>154344.0</v>
      </c>
      <c r="CZ339" s="64">
        <v>0.0</v>
      </c>
      <c r="DA339" s="64">
        <v>0.0</v>
      </c>
      <c r="DB339" s="64">
        <v>154344.0</v>
      </c>
      <c r="DC339" s="72">
        <v>0.0</v>
      </c>
      <c r="DD339" s="72">
        <v>0.0</v>
      </c>
      <c r="DE339" s="72">
        <v>0.0</v>
      </c>
      <c r="DF339" s="72">
        <v>0.0</v>
      </c>
      <c r="DG339" s="72">
        <v>0.0</v>
      </c>
      <c r="DH339" s="72">
        <v>0.0</v>
      </c>
      <c r="DI339" s="73">
        <v>2.060866445E10</v>
      </c>
      <c r="DJ339" s="74" t="s">
        <v>1212</v>
      </c>
      <c r="DK339" s="74" t="s">
        <v>132</v>
      </c>
      <c r="DL339" s="75"/>
      <c r="DM339" s="75"/>
      <c r="DN339" s="75"/>
      <c r="DO339" s="75"/>
      <c r="DP339" s="75"/>
      <c r="DQ339" s="75"/>
      <c r="DR339" s="75"/>
      <c r="DS339" s="75"/>
      <c r="DT339" s="75"/>
      <c r="DU339" s="75"/>
      <c r="DV339" s="75"/>
      <c r="DW339" s="75"/>
      <c r="DX339" s="75"/>
      <c r="DY339" s="75"/>
      <c r="DZ339" s="75"/>
      <c r="EA339" s="75"/>
      <c r="EB339" s="75"/>
      <c r="EC339" s="75"/>
      <c r="ED339" s="75"/>
      <c r="EE339" s="75"/>
    </row>
    <row r="340" ht="47.25" hidden="1" customHeight="1">
      <c r="A340" s="55" t="s">
        <v>1213</v>
      </c>
      <c r="B340" s="55" t="s">
        <v>166</v>
      </c>
      <c r="C340" s="55" t="s">
        <v>166</v>
      </c>
      <c r="D340" s="55" t="s">
        <v>227</v>
      </c>
      <c r="E340" s="55" t="s">
        <v>228</v>
      </c>
      <c r="F340" s="55" t="s">
        <v>227</v>
      </c>
      <c r="G340" s="55" t="s">
        <v>229</v>
      </c>
      <c r="H340" s="55" t="s">
        <v>229</v>
      </c>
      <c r="I340" s="56"/>
      <c r="J340" s="56"/>
      <c r="K340" s="56"/>
      <c r="L340" s="56"/>
      <c r="M340" s="56"/>
      <c r="N340" s="56">
        <v>1.0</v>
      </c>
      <c r="O340" s="56">
        <v>1.0</v>
      </c>
      <c r="P340" s="56">
        <v>1.0</v>
      </c>
      <c r="Q340" s="56" t="s">
        <v>131</v>
      </c>
      <c r="R340" s="58" t="str">
        <f t="shared" si="1"/>
        <v>2023-2024 - 2025</v>
      </c>
      <c r="S340" s="59" t="str">
        <f>SUM(Hoja1!$I340:$P340)</f>
        <v>3</v>
      </c>
      <c r="T340" s="59" t="str">
        <f>IF(OR(Hoja1!$J340=1,Hoja1!$K340=1,Hoja1!$L340=1,Hoja1!$M340=1,Hoja1!$N340=1,Hoja1!$O340=1,Hoja1!$P340=1),"SI","NO")</f>
        <v>SI</v>
      </c>
      <c r="U340" s="59" t="str">
        <f>IF(OR(Hoja1!$K340=1,Hoja1!$L340=1,Hoja1!$M340=1,Hoja1!$N340=1,Hoja1!$O340=1,Hoja1!$P340=1),"SI","NO")</f>
        <v>SI</v>
      </c>
      <c r="V340" s="60">
        <v>0.0</v>
      </c>
      <c r="W340" s="61">
        <v>0.0</v>
      </c>
      <c r="X340" s="61">
        <v>0.0</v>
      </c>
      <c r="Y340" s="60">
        <v>0.0</v>
      </c>
      <c r="Z340" s="61">
        <v>0.0</v>
      </c>
      <c r="AA340" s="61">
        <v>0.0</v>
      </c>
      <c r="AB340" s="60">
        <v>0.0</v>
      </c>
      <c r="AC340" s="61">
        <v>0.0</v>
      </c>
      <c r="AD340" s="61">
        <v>0.0</v>
      </c>
      <c r="AE340" s="60">
        <v>0.0</v>
      </c>
      <c r="AF340" s="61">
        <v>0.0</v>
      </c>
      <c r="AG340" s="61">
        <v>0.0</v>
      </c>
      <c r="AH340" s="60">
        <v>0.0</v>
      </c>
      <c r="AI340" s="61">
        <v>30.0</v>
      </c>
      <c r="AJ340" s="61">
        <v>17.0</v>
      </c>
      <c r="AK340" s="60">
        <v>47.0</v>
      </c>
      <c r="AL340" s="61">
        <v>25.0</v>
      </c>
      <c r="AM340" s="61">
        <v>6.0</v>
      </c>
      <c r="AN340" s="60">
        <v>31.0</v>
      </c>
      <c r="AO340" s="62">
        <v>24.0</v>
      </c>
      <c r="AP340" s="62">
        <v>6.0</v>
      </c>
      <c r="AQ340" s="60">
        <v>30.0</v>
      </c>
      <c r="AR340" s="60" t="str">
        <f>IF(Hoja1!$AQ340&gt;0,Hoja1!$AQ340,IF(Hoja1!$AN340&gt;0,Hoja1!$AN340,IF(Hoja1!$AK340&gt;0,Hoja1!$AK340,IF(Hoja1!$AH340&gt;0,Hoja1!$AH340,IF(Hoja1!$AE340&gt;0,Hoja1!$AE340,IF(Hoja1!$AB340&gt;0,Hoja1!$AB340,IF(Hoja1!$Y340&gt;0,Hoja1!$Y340,IF(Hoja1!$V340&gt;0,Hoja1!$V340," ---"))))))))</f>
        <v>30</v>
      </c>
      <c r="AS340" s="63">
        <v>0.0</v>
      </c>
      <c r="AT340" s="63">
        <v>0.0</v>
      </c>
      <c r="AU340" s="63">
        <v>0.0</v>
      </c>
      <c r="AV340" s="63">
        <v>0.0</v>
      </c>
      <c r="AW340" s="63">
        <v>0.0</v>
      </c>
      <c r="AX340" s="63">
        <v>0.0</v>
      </c>
      <c r="AY340" s="63">
        <v>28.0</v>
      </c>
      <c r="AZ340" s="63">
        <v>3.0</v>
      </c>
      <c r="BA340" s="63">
        <v>21.0</v>
      </c>
      <c r="BB340" s="63">
        <v>7.0</v>
      </c>
      <c r="BC340" s="63">
        <v>31.0</v>
      </c>
      <c r="BD340" s="63">
        <v>5.0</v>
      </c>
      <c r="BE340" s="64">
        <v>0.0</v>
      </c>
      <c r="BF340" s="69">
        <v>0.0</v>
      </c>
      <c r="BG340" s="69">
        <v>0.0</v>
      </c>
      <c r="BH340" s="64">
        <v>0.0</v>
      </c>
      <c r="BI340" s="67" t="str">
        <f t="shared" si="133"/>
        <v>#REF!</v>
      </c>
      <c r="BJ340" s="68" t="str">
        <f t="shared" si="134"/>
        <v>#REF!</v>
      </c>
      <c r="BK340" s="69">
        <v>0.0</v>
      </c>
      <c r="BL340" s="69">
        <v>0.0</v>
      </c>
      <c r="BM340" s="64">
        <v>0.0</v>
      </c>
      <c r="BN340" s="67" t="str">
        <f t="shared" si="135"/>
        <v>#REF!</v>
      </c>
      <c r="BO340" s="68" t="str">
        <f t="shared" si="136"/>
        <v>#REF!</v>
      </c>
      <c r="BP340" s="65">
        <v>0.0</v>
      </c>
      <c r="BQ340" s="65">
        <v>0.0</v>
      </c>
      <c r="BR340" s="66">
        <v>0.0</v>
      </c>
      <c r="BS340" s="67" t="str">
        <f t="shared" si="137"/>
        <v>#REF!</v>
      </c>
      <c r="BT340" s="68" t="str">
        <f>'[1]DATA CONSOLIDADA 2018-2025 '!$BR340-Hoja1!$BO340</f>
        <v>#REF!</v>
      </c>
      <c r="BU340" s="69">
        <v>0.0</v>
      </c>
      <c r="BV340" s="65">
        <v>0.0</v>
      </c>
      <c r="BW340" s="66">
        <v>0.0</v>
      </c>
      <c r="BX340" s="67" t="str">
        <f t="shared" si="138"/>
        <v>#REF!</v>
      </c>
      <c r="BY340" s="68" t="str">
        <f t="shared" si="139"/>
        <v>#REF!</v>
      </c>
      <c r="BZ340" s="65">
        <v>556000.0</v>
      </c>
      <c r="CA340" s="65">
        <v>0.0</v>
      </c>
      <c r="CB340" s="66">
        <v>556000.0</v>
      </c>
      <c r="CC340" s="67" t="str">
        <f t="shared" si="140"/>
        <v>#REF!</v>
      </c>
      <c r="CD340" s="68" t="str">
        <f>'[1]DATA CONSOLIDADA 2018-2025 '!$CB340-Hoja1!$BW340</f>
        <v>#REF!</v>
      </c>
      <c r="CE340" s="70">
        <v>0.0</v>
      </c>
      <c r="CF340" s="70">
        <v>0.0</v>
      </c>
      <c r="CG340" s="71">
        <v>0.0</v>
      </c>
      <c r="CH340" s="67" t="str">
        <f t="shared" si="141"/>
        <v>#REF!</v>
      </c>
      <c r="CI340" s="68" t="str">
        <f>'[1]DATA CONSOLIDADA 2018-2025 '!$CG340-Hoja1!$CB340</f>
        <v>#REF!</v>
      </c>
      <c r="CJ340" s="64" t="str">
        <f t="shared" si="114"/>
        <v>#REF!</v>
      </c>
      <c r="CK340" s="64">
        <v>156579.0</v>
      </c>
      <c r="CL340" s="64">
        <v>0.0</v>
      </c>
      <c r="CM340" s="64">
        <v>156579.0</v>
      </c>
      <c r="CN340" s="64" t="str">
        <f t="shared" si="12"/>
        <v>#REF!</v>
      </c>
      <c r="CO340" s="68" t="str">
        <f>'[1]DATA CONSOLIDADA 2018-2025 '!$CM340-Hoja1!$CG340</f>
        <v>#REF!</v>
      </c>
      <c r="CP340" s="70">
        <v>0.0</v>
      </c>
      <c r="CQ340" s="70">
        <v>556000.0</v>
      </c>
      <c r="CR340" s="70">
        <v>0.0</v>
      </c>
      <c r="CS340" s="70">
        <v>0.0</v>
      </c>
      <c r="CT340" s="70">
        <v>0.0</v>
      </c>
      <c r="CU340" s="70">
        <v>0.0</v>
      </c>
      <c r="CV340" s="64">
        <v>556000.0</v>
      </c>
      <c r="CW340" s="64">
        <v>0.0</v>
      </c>
      <c r="CX340" s="64">
        <v>0.0</v>
      </c>
      <c r="CY340" s="64">
        <v>0.0</v>
      </c>
      <c r="CZ340" s="64">
        <v>0.0</v>
      </c>
      <c r="DA340" s="64">
        <v>0.0</v>
      </c>
      <c r="DB340" s="64">
        <v>0.0</v>
      </c>
      <c r="DC340" s="72">
        <v>0.0</v>
      </c>
      <c r="DD340" s="72">
        <v>156579.0</v>
      </c>
      <c r="DE340" s="72">
        <v>0.0</v>
      </c>
      <c r="DF340" s="72">
        <v>0.0</v>
      </c>
      <c r="DG340" s="72">
        <v>0.0</v>
      </c>
      <c r="DH340" s="72">
        <v>156579.0</v>
      </c>
      <c r="DI340" s="73">
        <v>2.0490395653E10</v>
      </c>
      <c r="DJ340" s="74" t="s">
        <v>1213</v>
      </c>
      <c r="DK340" s="74" t="s">
        <v>138</v>
      </c>
      <c r="DL340" s="75"/>
      <c r="DM340" s="75"/>
      <c r="DN340" s="75"/>
      <c r="DO340" s="75"/>
      <c r="DP340" s="75"/>
      <c r="DQ340" s="75"/>
      <c r="DR340" s="75"/>
      <c r="DS340" s="75"/>
      <c r="DT340" s="75"/>
      <c r="DU340" s="75"/>
      <c r="DV340" s="75"/>
      <c r="DW340" s="75"/>
      <c r="DX340" s="75"/>
      <c r="DY340" s="75"/>
      <c r="DZ340" s="75"/>
      <c r="EA340" s="75"/>
      <c r="EB340" s="75"/>
      <c r="EC340" s="75"/>
      <c r="ED340" s="75"/>
      <c r="EE340" s="75"/>
    </row>
    <row r="341" ht="47.25" hidden="1" customHeight="1">
      <c r="A341" s="55" t="s">
        <v>1214</v>
      </c>
      <c r="B341" s="55" t="s">
        <v>250</v>
      </c>
      <c r="C341" s="55" t="s">
        <v>250</v>
      </c>
      <c r="D341" s="55" t="s">
        <v>227</v>
      </c>
      <c r="E341" s="55" t="s">
        <v>246</v>
      </c>
      <c r="F341" s="55" t="s">
        <v>227</v>
      </c>
      <c r="G341" s="55" t="s">
        <v>247</v>
      </c>
      <c r="H341" s="55" t="s">
        <v>247</v>
      </c>
      <c r="I341" s="56"/>
      <c r="J341" s="56"/>
      <c r="K341" s="56"/>
      <c r="L341" s="56"/>
      <c r="M341" s="56"/>
      <c r="N341" s="56">
        <v>1.0</v>
      </c>
      <c r="O341" s="56">
        <v>1.0</v>
      </c>
      <c r="P341" s="56">
        <v>1.0</v>
      </c>
      <c r="Q341" s="56" t="s">
        <v>131</v>
      </c>
      <c r="R341" s="58" t="str">
        <f t="shared" si="1"/>
        <v>2023-2024 - 2025</v>
      </c>
      <c r="S341" s="59" t="str">
        <f>SUM(Hoja1!$I341:$P341)</f>
        <v>3</v>
      </c>
      <c r="T341" s="59" t="str">
        <f>IF(OR(Hoja1!$J341=1,Hoja1!$K341=1,Hoja1!$L341=1,Hoja1!$M341=1,Hoja1!$N341=1,Hoja1!$O341=1,Hoja1!$P341=1),"SI","NO")</f>
        <v>SI</v>
      </c>
      <c r="U341" s="59" t="str">
        <f>IF(OR(Hoja1!$K341=1,Hoja1!$L341=1,Hoja1!$M341=1,Hoja1!$N341=1,Hoja1!$O341=1,Hoja1!$P341=1),"SI","NO")</f>
        <v>SI</v>
      </c>
      <c r="V341" s="60">
        <v>0.0</v>
      </c>
      <c r="W341" s="61">
        <v>0.0</v>
      </c>
      <c r="X341" s="61">
        <v>0.0</v>
      </c>
      <c r="Y341" s="60">
        <v>0.0</v>
      </c>
      <c r="Z341" s="61">
        <v>0.0</v>
      </c>
      <c r="AA341" s="61">
        <v>0.0</v>
      </c>
      <c r="AB341" s="60">
        <v>0.0</v>
      </c>
      <c r="AC341" s="61">
        <v>0.0</v>
      </c>
      <c r="AD341" s="61">
        <v>0.0</v>
      </c>
      <c r="AE341" s="60">
        <v>0.0</v>
      </c>
      <c r="AF341" s="61">
        <v>0.0</v>
      </c>
      <c r="AG341" s="61">
        <v>0.0</v>
      </c>
      <c r="AH341" s="60">
        <v>0.0</v>
      </c>
      <c r="AI341" s="61">
        <v>1288.0</v>
      </c>
      <c r="AJ341" s="61">
        <v>552.0</v>
      </c>
      <c r="AK341" s="60">
        <v>1840.0</v>
      </c>
      <c r="AL341" s="61">
        <v>1288.0</v>
      </c>
      <c r="AM341" s="61">
        <v>552.0</v>
      </c>
      <c r="AN341" s="60">
        <v>1840.0</v>
      </c>
      <c r="AO341" s="62">
        <v>1405.0</v>
      </c>
      <c r="AP341" s="62">
        <v>429.0</v>
      </c>
      <c r="AQ341" s="60">
        <v>1834.0</v>
      </c>
      <c r="AR341" s="60" t="str">
        <f>IF(Hoja1!$AQ341&gt;0,Hoja1!$AQ341,IF(Hoja1!$AN341&gt;0,Hoja1!$AN341,IF(Hoja1!$AK341&gt;0,Hoja1!$AK341,IF(Hoja1!$AH341&gt;0,Hoja1!$AH341,IF(Hoja1!$AE341&gt;0,Hoja1!$AE341,IF(Hoja1!$AB341&gt;0,Hoja1!$AB341,IF(Hoja1!$Y341&gt;0,Hoja1!$Y341,IF(Hoja1!$V341&gt;0,Hoja1!$V341," ---"))))))))</f>
        <v>1,834</v>
      </c>
      <c r="AS341" s="63">
        <v>0.0</v>
      </c>
      <c r="AT341" s="63">
        <v>0.0</v>
      </c>
      <c r="AU341" s="63">
        <v>0.0</v>
      </c>
      <c r="AV341" s="63">
        <v>0.0</v>
      </c>
      <c r="AW341" s="63">
        <v>0.0</v>
      </c>
      <c r="AX341" s="63">
        <v>0.0</v>
      </c>
      <c r="AY341" s="63">
        <v>41.0</v>
      </c>
      <c r="AZ341" s="63">
        <v>32.0</v>
      </c>
      <c r="BA341" s="63">
        <v>33.0</v>
      </c>
      <c r="BB341" s="63">
        <v>52.0</v>
      </c>
      <c r="BC341" s="63">
        <v>36.0</v>
      </c>
      <c r="BD341" s="63">
        <v>36.0</v>
      </c>
      <c r="BE341" s="64">
        <v>0.0</v>
      </c>
      <c r="BF341" s="69">
        <v>0.0</v>
      </c>
      <c r="BG341" s="69">
        <v>0.0</v>
      </c>
      <c r="BH341" s="64">
        <v>0.0</v>
      </c>
      <c r="BI341" s="67" t="str">
        <f t="shared" si="133"/>
        <v>#REF!</v>
      </c>
      <c r="BJ341" s="68" t="str">
        <f t="shared" si="134"/>
        <v>#REF!</v>
      </c>
      <c r="BK341" s="69">
        <v>0.0</v>
      </c>
      <c r="BL341" s="69">
        <v>0.0</v>
      </c>
      <c r="BM341" s="64">
        <v>0.0</v>
      </c>
      <c r="BN341" s="67" t="str">
        <f t="shared" si="135"/>
        <v>#REF!</v>
      </c>
      <c r="BO341" s="68" t="str">
        <f t="shared" si="136"/>
        <v>#REF!</v>
      </c>
      <c r="BP341" s="65">
        <v>0.0</v>
      </c>
      <c r="BQ341" s="65">
        <v>0.0</v>
      </c>
      <c r="BR341" s="66">
        <v>0.0</v>
      </c>
      <c r="BS341" s="67" t="str">
        <f t="shared" si="137"/>
        <v>#REF!</v>
      </c>
      <c r="BT341" s="68" t="str">
        <f>'[1]DATA CONSOLIDADA 2018-2025 '!$BR341-Hoja1!$BO341</f>
        <v>#REF!</v>
      </c>
      <c r="BU341" s="69">
        <v>0.0</v>
      </c>
      <c r="BV341" s="65">
        <v>0.0</v>
      </c>
      <c r="BW341" s="66">
        <v>0.0</v>
      </c>
      <c r="BX341" s="67" t="str">
        <f t="shared" si="138"/>
        <v>#REF!</v>
      </c>
      <c r="BY341" s="68" t="str">
        <f t="shared" si="139"/>
        <v>#REF!</v>
      </c>
      <c r="BZ341" s="65">
        <v>1723.0</v>
      </c>
      <c r="CA341" s="65">
        <v>0.0</v>
      </c>
      <c r="CB341" s="66">
        <v>1723.0</v>
      </c>
      <c r="CC341" s="67" t="str">
        <f t="shared" si="140"/>
        <v>#REF!</v>
      </c>
      <c r="CD341" s="68" t="str">
        <f>'[1]DATA CONSOLIDADA 2018-2025 '!$CB341-Hoja1!$BW341</f>
        <v>#REF!</v>
      </c>
      <c r="CE341" s="70">
        <v>0.0</v>
      </c>
      <c r="CF341" s="70">
        <v>0.0</v>
      </c>
      <c r="CG341" s="71">
        <v>0.0</v>
      </c>
      <c r="CH341" s="67" t="str">
        <f t="shared" si="141"/>
        <v>#REF!</v>
      </c>
      <c r="CI341" s="68" t="str">
        <f>'[1]DATA CONSOLIDADA 2018-2025 '!$CG341-Hoja1!$CB341</f>
        <v>#REF!</v>
      </c>
      <c r="CJ341" s="64" t="str">
        <f t="shared" si="114"/>
        <v>#REF!</v>
      </c>
      <c r="CK341" s="64">
        <v>1819050.231</v>
      </c>
      <c r="CL341" s="64">
        <v>0.0</v>
      </c>
      <c r="CM341" s="64">
        <v>1819050.231</v>
      </c>
      <c r="CN341" s="64" t="str">
        <f t="shared" si="12"/>
        <v>#REF!</v>
      </c>
      <c r="CO341" s="68" t="str">
        <f>'[1]DATA CONSOLIDADA 2018-2025 '!$CM341-Hoja1!$CG341</f>
        <v>#REF!</v>
      </c>
      <c r="CP341" s="70">
        <v>0.0</v>
      </c>
      <c r="CQ341" s="70">
        <v>1723.0</v>
      </c>
      <c r="CR341" s="70">
        <v>0.0</v>
      </c>
      <c r="CS341" s="70">
        <v>0.0</v>
      </c>
      <c r="CT341" s="70">
        <v>0.0</v>
      </c>
      <c r="CU341" s="70">
        <v>0.0</v>
      </c>
      <c r="CV341" s="64">
        <v>1723.0</v>
      </c>
      <c r="CW341" s="64">
        <v>0.0</v>
      </c>
      <c r="CX341" s="64">
        <v>0.0</v>
      </c>
      <c r="CY341" s="64">
        <v>0.0</v>
      </c>
      <c r="CZ341" s="64">
        <v>0.0</v>
      </c>
      <c r="DA341" s="64">
        <v>0.0</v>
      </c>
      <c r="DB341" s="64">
        <v>0.0</v>
      </c>
      <c r="DC341" s="72">
        <v>0.0</v>
      </c>
      <c r="DD341" s="72">
        <v>1819050.231</v>
      </c>
      <c r="DE341" s="72">
        <v>0.0</v>
      </c>
      <c r="DF341" s="72">
        <v>0.0</v>
      </c>
      <c r="DG341" s="72">
        <v>0.0</v>
      </c>
      <c r="DH341" s="72">
        <v>1819050.231</v>
      </c>
      <c r="DI341" s="73">
        <v>2.0609518643E10</v>
      </c>
      <c r="DJ341" s="74" t="s">
        <v>1215</v>
      </c>
      <c r="DK341" s="74" t="s">
        <v>138</v>
      </c>
      <c r="DL341" s="75"/>
      <c r="DM341" s="75"/>
      <c r="DN341" s="75"/>
      <c r="DO341" s="75"/>
      <c r="DP341" s="75"/>
      <c r="DQ341" s="75"/>
      <c r="DR341" s="75"/>
      <c r="DS341" s="75"/>
      <c r="DT341" s="75"/>
      <c r="DU341" s="75"/>
      <c r="DV341" s="75"/>
      <c r="DW341" s="75"/>
      <c r="DX341" s="75"/>
      <c r="DY341" s="75"/>
      <c r="DZ341" s="75"/>
      <c r="EA341" s="75"/>
      <c r="EB341" s="75"/>
      <c r="EC341" s="75"/>
      <c r="ED341" s="75"/>
      <c r="EE341" s="75"/>
    </row>
    <row r="342" ht="47.25" hidden="1" customHeight="1">
      <c r="A342" s="55" t="s">
        <v>1216</v>
      </c>
      <c r="B342" s="55" t="s">
        <v>287</v>
      </c>
      <c r="C342" s="55" t="s">
        <v>287</v>
      </c>
      <c r="D342" s="55" t="s">
        <v>289</v>
      </c>
      <c r="E342" s="55" t="s">
        <v>1217</v>
      </c>
      <c r="F342" s="55" t="s">
        <v>289</v>
      </c>
      <c r="G342" s="55" t="s">
        <v>289</v>
      </c>
      <c r="H342" s="55" t="s">
        <v>1218</v>
      </c>
      <c r="I342" s="56"/>
      <c r="J342" s="56"/>
      <c r="K342" s="56"/>
      <c r="L342" s="56"/>
      <c r="M342" s="56"/>
      <c r="N342" s="56">
        <v>1.0</v>
      </c>
      <c r="O342" s="56">
        <v>1.0</v>
      </c>
      <c r="P342" s="56"/>
      <c r="Q342" s="56" t="s">
        <v>131</v>
      </c>
      <c r="R342" s="58" t="str">
        <f t="shared" si="1"/>
        <v>2023-2024</v>
      </c>
      <c r="S342" s="59" t="str">
        <f>SUM(Hoja1!$I342:$P342)</f>
        <v>2</v>
      </c>
      <c r="T342" s="59" t="str">
        <f>IF(OR(Hoja1!$J342=1,Hoja1!$K342=1,Hoja1!$L342=1,Hoja1!$M342=1,Hoja1!$N342=1,Hoja1!$O342=1,Hoja1!$P342=1),"SI","NO")</f>
        <v>SI</v>
      </c>
      <c r="U342" s="59" t="str">
        <f>IF(OR(Hoja1!$K342=1,Hoja1!$L342=1,Hoja1!$M342=1,Hoja1!$N342=1,Hoja1!$O342=1,Hoja1!$P342=1),"SI","NO")</f>
        <v>SI</v>
      </c>
      <c r="V342" s="60">
        <v>0.0</v>
      </c>
      <c r="W342" s="61">
        <v>0.0</v>
      </c>
      <c r="X342" s="61">
        <v>0.0</v>
      </c>
      <c r="Y342" s="60">
        <v>0.0</v>
      </c>
      <c r="Z342" s="61">
        <v>0.0</v>
      </c>
      <c r="AA342" s="61">
        <v>0.0</v>
      </c>
      <c r="AB342" s="60">
        <v>0.0</v>
      </c>
      <c r="AC342" s="61">
        <v>0.0</v>
      </c>
      <c r="AD342" s="61">
        <v>0.0</v>
      </c>
      <c r="AE342" s="60">
        <v>0.0</v>
      </c>
      <c r="AF342" s="61">
        <v>0.0</v>
      </c>
      <c r="AG342" s="61">
        <v>0.0</v>
      </c>
      <c r="AH342" s="60">
        <v>0.0</v>
      </c>
      <c r="AI342" s="61">
        <v>22.0</v>
      </c>
      <c r="AJ342" s="61">
        <v>8.0</v>
      </c>
      <c r="AK342" s="60">
        <v>30.0</v>
      </c>
      <c r="AL342" s="61">
        <v>11.0</v>
      </c>
      <c r="AM342" s="61">
        <v>20.0</v>
      </c>
      <c r="AN342" s="60">
        <v>31.0</v>
      </c>
      <c r="AO342" s="62">
        <v>0.0</v>
      </c>
      <c r="AP342" s="62">
        <v>0.0</v>
      </c>
      <c r="AQ342" s="60">
        <v>0.0</v>
      </c>
      <c r="AR342" s="60" t="str">
        <f>IF(Hoja1!$AQ342&gt;0,Hoja1!$AQ342,IF(Hoja1!$AN342&gt;0,Hoja1!$AN342,IF(Hoja1!$AK342&gt;0,Hoja1!$AK342,IF(Hoja1!$AH342&gt;0,Hoja1!$AH342,IF(Hoja1!$AE342&gt;0,Hoja1!$AE342,IF(Hoja1!$AB342&gt;0,Hoja1!$AB342,IF(Hoja1!$Y342&gt;0,Hoja1!$Y342,IF(Hoja1!$V342&gt;0,Hoja1!$V342," ---"))))))))</f>
        <v>31</v>
      </c>
      <c r="AS342" s="63">
        <v>0.0</v>
      </c>
      <c r="AT342" s="63">
        <v>0.0</v>
      </c>
      <c r="AU342" s="63">
        <v>0.0</v>
      </c>
      <c r="AV342" s="63">
        <v>0.0</v>
      </c>
      <c r="AW342" s="63">
        <v>0.0</v>
      </c>
      <c r="AX342" s="63">
        <v>0.0</v>
      </c>
      <c r="AY342" s="63">
        <v>53.0</v>
      </c>
      <c r="AZ342" s="63">
        <v>3.0</v>
      </c>
      <c r="BA342" s="63">
        <v>52.0</v>
      </c>
      <c r="BB342" s="63">
        <v>2.0</v>
      </c>
      <c r="BC342" s="63">
        <v>0.0</v>
      </c>
      <c r="BD342" s="63">
        <v>0.0</v>
      </c>
      <c r="BE342" s="64">
        <v>0.0</v>
      </c>
      <c r="BF342" s="69">
        <v>0.0</v>
      </c>
      <c r="BG342" s="69">
        <v>0.0</v>
      </c>
      <c r="BH342" s="64">
        <v>0.0</v>
      </c>
      <c r="BI342" s="67" t="str">
        <f t="shared" si="133"/>
        <v>#REF!</v>
      </c>
      <c r="BJ342" s="68" t="str">
        <f t="shared" si="134"/>
        <v>#REF!</v>
      </c>
      <c r="BK342" s="69">
        <v>0.0</v>
      </c>
      <c r="BL342" s="69">
        <v>0.0</v>
      </c>
      <c r="BM342" s="64">
        <v>0.0</v>
      </c>
      <c r="BN342" s="67" t="str">
        <f t="shared" si="135"/>
        <v>#REF!</v>
      </c>
      <c r="BO342" s="68" t="str">
        <f t="shared" si="136"/>
        <v>#REF!</v>
      </c>
      <c r="BP342" s="65">
        <v>0.0</v>
      </c>
      <c r="BQ342" s="65">
        <v>0.0</v>
      </c>
      <c r="BR342" s="66">
        <v>0.0</v>
      </c>
      <c r="BS342" s="67" t="str">
        <f t="shared" si="137"/>
        <v>#REF!</v>
      </c>
      <c r="BT342" s="68" t="str">
        <f>'[1]DATA CONSOLIDADA 2018-2025 '!$BR342-Hoja1!$BO342</f>
        <v>#REF!</v>
      </c>
      <c r="BU342" s="69">
        <v>0.0</v>
      </c>
      <c r="BV342" s="65">
        <v>0.0</v>
      </c>
      <c r="BW342" s="66">
        <v>0.0</v>
      </c>
      <c r="BX342" s="67" t="str">
        <f t="shared" si="138"/>
        <v>#REF!</v>
      </c>
      <c r="BY342" s="68" t="str">
        <f t="shared" si="139"/>
        <v>#REF!</v>
      </c>
      <c r="BZ342" s="65">
        <v>247298.0</v>
      </c>
      <c r="CA342" s="65">
        <v>0.0</v>
      </c>
      <c r="CB342" s="66">
        <v>247298.0</v>
      </c>
      <c r="CC342" s="67" t="str">
        <f t="shared" si="140"/>
        <v>#REF!</v>
      </c>
      <c r="CD342" s="68" t="str">
        <f>'[1]DATA CONSOLIDADA 2018-2025 '!$CB342-Hoja1!$BW342</f>
        <v>#REF!</v>
      </c>
      <c r="CE342" s="70">
        <v>9450.0</v>
      </c>
      <c r="CF342" s="70">
        <v>0.0</v>
      </c>
      <c r="CG342" s="71">
        <v>9450.0</v>
      </c>
      <c r="CH342" s="67" t="str">
        <f t="shared" si="141"/>
        <v>#REF!</v>
      </c>
      <c r="CI342" s="68" t="str">
        <f>'[1]DATA CONSOLIDADA 2018-2025 '!$CG342-Hoja1!$CB342</f>
        <v>#REF!</v>
      </c>
      <c r="CJ342" s="64" t="str">
        <f t="shared" si="114"/>
        <v>#REF!</v>
      </c>
      <c r="CK342" s="64">
        <v>0.0</v>
      </c>
      <c r="CL342" s="64">
        <v>0.0</v>
      </c>
      <c r="CM342" s="64">
        <v>0.0</v>
      </c>
      <c r="CN342" s="64" t="str">
        <f t="shared" si="12"/>
        <v>#REF!</v>
      </c>
      <c r="CO342" s="68" t="str">
        <f>'[1]DATA CONSOLIDADA 2018-2025 '!$CM342-Hoja1!$CG342</f>
        <v>#REF!</v>
      </c>
      <c r="CP342" s="70">
        <v>0.0</v>
      </c>
      <c r="CQ342" s="70">
        <v>247297.99998954</v>
      </c>
      <c r="CR342" s="70">
        <v>0.0</v>
      </c>
      <c r="CS342" s="70">
        <v>0.0</v>
      </c>
      <c r="CT342" s="70">
        <v>0.0</v>
      </c>
      <c r="CU342" s="70">
        <v>0.0</v>
      </c>
      <c r="CV342" s="64">
        <v>247297.99998954</v>
      </c>
      <c r="CW342" s="64">
        <v>0.0</v>
      </c>
      <c r="CX342" s="64">
        <v>9450.0</v>
      </c>
      <c r="CY342" s="64">
        <v>0.0</v>
      </c>
      <c r="CZ342" s="64">
        <v>0.0</v>
      </c>
      <c r="DA342" s="64">
        <v>0.0</v>
      </c>
      <c r="DB342" s="64">
        <v>9450.0</v>
      </c>
      <c r="DC342" s="72">
        <v>0.0</v>
      </c>
      <c r="DD342" s="72">
        <v>0.0</v>
      </c>
      <c r="DE342" s="72">
        <v>0.0</v>
      </c>
      <c r="DF342" s="72">
        <v>0.0</v>
      </c>
      <c r="DG342" s="72">
        <v>0.0</v>
      </c>
      <c r="DH342" s="72">
        <v>0.0</v>
      </c>
      <c r="DI342" s="73">
        <v>2.0609726262E10</v>
      </c>
      <c r="DJ342" s="74" t="s">
        <v>1216</v>
      </c>
      <c r="DK342" s="74" t="s">
        <v>138</v>
      </c>
      <c r="DL342" s="75"/>
      <c r="DM342" s="75"/>
      <c r="DN342" s="75"/>
      <c r="DO342" s="75"/>
      <c r="DP342" s="75"/>
      <c r="DQ342" s="75"/>
      <c r="DR342" s="75"/>
      <c r="DS342" s="75"/>
      <c r="DT342" s="75"/>
      <c r="DU342" s="75"/>
      <c r="DV342" s="75"/>
      <c r="DW342" s="75"/>
      <c r="DX342" s="75"/>
      <c r="DY342" s="75"/>
      <c r="DZ342" s="75"/>
      <c r="EA342" s="75"/>
      <c r="EB342" s="75"/>
      <c r="EC342" s="75"/>
      <c r="ED342" s="75"/>
      <c r="EE342" s="75"/>
    </row>
    <row r="343" ht="47.25" hidden="1" customHeight="1">
      <c r="A343" s="55" t="s">
        <v>1219</v>
      </c>
      <c r="B343" s="55" t="s">
        <v>250</v>
      </c>
      <c r="C343" s="55" t="s">
        <v>250</v>
      </c>
      <c r="D343" s="55" t="s">
        <v>289</v>
      </c>
      <c r="E343" s="55" t="s">
        <v>1220</v>
      </c>
      <c r="F343" s="55" t="s">
        <v>289</v>
      </c>
      <c r="G343" s="55" t="s">
        <v>303</v>
      </c>
      <c r="H343" s="55" t="s">
        <v>1221</v>
      </c>
      <c r="I343" s="56"/>
      <c r="J343" s="56"/>
      <c r="K343" s="56"/>
      <c r="L343" s="56"/>
      <c r="M343" s="56"/>
      <c r="N343" s="56">
        <v>1.0</v>
      </c>
      <c r="O343" s="56">
        <v>1.0</v>
      </c>
      <c r="P343" s="56">
        <v>1.0</v>
      </c>
      <c r="Q343" s="56" t="s">
        <v>131</v>
      </c>
      <c r="R343" s="58" t="str">
        <f t="shared" si="1"/>
        <v>2023-2024 - 2025</v>
      </c>
      <c r="S343" s="59" t="str">
        <f>SUM(Hoja1!$I343:$P343)</f>
        <v>3</v>
      </c>
      <c r="T343" s="59" t="str">
        <f>IF(OR(Hoja1!$J343=1,Hoja1!$K343=1,Hoja1!$L343=1,Hoja1!$M343=1,Hoja1!$N343=1,Hoja1!$O343=1,Hoja1!$P343=1),"SI","NO")</f>
        <v>SI</v>
      </c>
      <c r="U343" s="59" t="str">
        <f>IF(OR(Hoja1!$K343=1,Hoja1!$L343=1,Hoja1!$M343=1,Hoja1!$N343=1,Hoja1!$O343=1,Hoja1!$P343=1),"SI","NO")</f>
        <v>SI</v>
      </c>
      <c r="V343" s="60">
        <v>0.0</v>
      </c>
      <c r="W343" s="61">
        <v>0.0</v>
      </c>
      <c r="X343" s="61">
        <v>0.0</v>
      </c>
      <c r="Y343" s="60">
        <v>0.0</v>
      </c>
      <c r="Z343" s="61">
        <v>0.0</v>
      </c>
      <c r="AA343" s="61">
        <v>0.0</v>
      </c>
      <c r="AB343" s="60">
        <v>0.0</v>
      </c>
      <c r="AC343" s="61">
        <v>0.0</v>
      </c>
      <c r="AD343" s="61">
        <v>0.0</v>
      </c>
      <c r="AE343" s="60">
        <v>0.0</v>
      </c>
      <c r="AF343" s="61">
        <v>0.0</v>
      </c>
      <c r="AG343" s="61">
        <v>0.0</v>
      </c>
      <c r="AH343" s="60">
        <v>0.0</v>
      </c>
      <c r="AI343" s="61">
        <v>25.0</v>
      </c>
      <c r="AJ343" s="61">
        <v>15.0</v>
      </c>
      <c r="AK343" s="60">
        <v>40.0</v>
      </c>
      <c r="AL343" s="61">
        <v>27.0</v>
      </c>
      <c r="AM343" s="61">
        <v>8.0</v>
      </c>
      <c r="AN343" s="60">
        <v>35.0</v>
      </c>
      <c r="AO343" s="62">
        <v>27.0</v>
      </c>
      <c r="AP343" s="62">
        <v>8.0</v>
      </c>
      <c r="AQ343" s="60">
        <v>35.0</v>
      </c>
      <c r="AR343" s="60" t="str">
        <f>IF(Hoja1!$AQ343&gt;0,Hoja1!$AQ343,IF(Hoja1!$AN343&gt;0,Hoja1!$AN343,IF(Hoja1!$AK343&gt;0,Hoja1!$AK343,IF(Hoja1!$AH343&gt;0,Hoja1!$AH343,IF(Hoja1!$AE343&gt;0,Hoja1!$AE343,IF(Hoja1!$AB343&gt;0,Hoja1!$AB343,IF(Hoja1!$Y343&gt;0,Hoja1!$Y343,IF(Hoja1!$V343&gt;0,Hoja1!$V343," ---"))))))))</f>
        <v>35</v>
      </c>
      <c r="AS343" s="63">
        <v>0.0</v>
      </c>
      <c r="AT343" s="63">
        <v>0.0</v>
      </c>
      <c r="AU343" s="63">
        <v>0.0</v>
      </c>
      <c r="AV343" s="63">
        <v>0.0</v>
      </c>
      <c r="AW343" s="63">
        <v>0.0</v>
      </c>
      <c r="AX343" s="63">
        <v>0.0</v>
      </c>
      <c r="AY343" s="63">
        <v>34.0</v>
      </c>
      <c r="AZ343" s="63">
        <v>1.0</v>
      </c>
      <c r="BA343" s="63">
        <v>28.0</v>
      </c>
      <c r="BB343" s="63">
        <v>0.0</v>
      </c>
      <c r="BC343" s="63">
        <v>40.0</v>
      </c>
      <c r="BD343" s="63">
        <v>0.0</v>
      </c>
      <c r="BE343" s="64">
        <v>0.0</v>
      </c>
      <c r="BF343" s="69">
        <v>0.0</v>
      </c>
      <c r="BG343" s="69">
        <v>0.0</v>
      </c>
      <c r="BH343" s="64">
        <v>0.0</v>
      </c>
      <c r="BI343" s="67" t="str">
        <f t="shared" si="133"/>
        <v>#REF!</v>
      </c>
      <c r="BJ343" s="68" t="str">
        <f t="shared" si="134"/>
        <v>#REF!</v>
      </c>
      <c r="BK343" s="69">
        <v>0.0</v>
      </c>
      <c r="BL343" s="69">
        <v>0.0</v>
      </c>
      <c r="BM343" s="64">
        <v>0.0</v>
      </c>
      <c r="BN343" s="67" t="str">
        <f t="shared" si="135"/>
        <v>#REF!</v>
      </c>
      <c r="BO343" s="68" t="str">
        <f t="shared" si="136"/>
        <v>#REF!</v>
      </c>
      <c r="BP343" s="65">
        <v>0.0</v>
      </c>
      <c r="BQ343" s="65">
        <v>0.0</v>
      </c>
      <c r="BR343" s="66">
        <v>0.0</v>
      </c>
      <c r="BS343" s="67" t="str">
        <f t="shared" si="137"/>
        <v>#REF!</v>
      </c>
      <c r="BT343" s="68" t="str">
        <f>'[1]DATA CONSOLIDADA 2018-2025 '!$BR343-Hoja1!$BO343</f>
        <v>#REF!</v>
      </c>
      <c r="BU343" s="69">
        <v>0.0</v>
      </c>
      <c r="BV343" s="65">
        <v>0.0</v>
      </c>
      <c r="BW343" s="66">
        <v>0.0</v>
      </c>
      <c r="BX343" s="67" t="str">
        <f t="shared" si="138"/>
        <v>#REF!</v>
      </c>
      <c r="BY343" s="68" t="str">
        <f t="shared" si="139"/>
        <v>#REF!</v>
      </c>
      <c r="BZ343" s="65">
        <v>134527.61</v>
      </c>
      <c r="CA343" s="65">
        <v>0.0</v>
      </c>
      <c r="CB343" s="66">
        <v>134527.61</v>
      </c>
      <c r="CC343" s="67" t="str">
        <f t="shared" si="140"/>
        <v>#REF!</v>
      </c>
      <c r="CD343" s="68" t="str">
        <f>'[1]DATA CONSOLIDADA 2018-2025 '!$CB343-Hoja1!$BW343</f>
        <v>#REF!</v>
      </c>
      <c r="CE343" s="70">
        <v>143163.09760704</v>
      </c>
      <c r="CF343" s="70">
        <v>0.0</v>
      </c>
      <c r="CG343" s="71">
        <v>143163.09760704</v>
      </c>
      <c r="CH343" s="67" t="str">
        <f t="shared" si="141"/>
        <v>#REF!</v>
      </c>
      <c r="CI343" s="68" t="str">
        <f>'[1]DATA CONSOLIDADA 2018-2025 '!$CG343-Hoja1!$CB343</f>
        <v>#REF!</v>
      </c>
      <c r="CJ343" s="64" t="str">
        <f t="shared" si="114"/>
        <v>#REF!</v>
      </c>
      <c r="CK343" s="64">
        <v>137798.43024</v>
      </c>
      <c r="CL343" s="64">
        <v>0.0</v>
      </c>
      <c r="CM343" s="64">
        <v>137798.43024</v>
      </c>
      <c r="CN343" s="64" t="str">
        <f t="shared" si="12"/>
        <v>#REF!</v>
      </c>
      <c r="CO343" s="68" t="str">
        <f>'[1]DATA CONSOLIDADA 2018-2025 '!$CM343-Hoja1!$CG343</f>
        <v>#REF!</v>
      </c>
      <c r="CP343" s="70">
        <v>0.0</v>
      </c>
      <c r="CQ343" s="70">
        <v>134527.60099320998</v>
      </c>
      <c r="CR343" s="70">
        <v>0.0</v>
      </c>
      <c r="CS343" s="70">
        <v>0.0</v>
      </c>
      <c r="CT343" s="70">
        <v>0.0</v>
      </c>
      <c r="CU343" s="70">
        <v>0.0</v>
      </c>
      <c r="CV343" s="64">
        <v>134527.60099320998</v>
      </c>
      <c r="CW343" s="64">
        <v>0.0</v>
      </c>
      <c r="CX343" s="64">
        <v>143163.09760704</v>
      </c>
      <c r="CY343" s="64">
        <v>0.0</v>
      </c>
      <c r="CZ343" s="64">
        <v>0.0</v>
      </c>
      <c r="DA343" s="64">
        <v>0.0</v>
      </c>
      <c r="DB343" s="64">
        <v>143163.09760704</v>
      </c>
      <c r="DC343" s="72">
        <v>0.0</v>
      </c>
      <c r="DD343" s="72">
        <v>137798.43024</v>
      </c>
      <c r="DE343" s="72">
        <v>0.0</v>
      </c>
      <c r="DF343" s="72">
        <v>0.0</v>
      </c>
      <c r="DG343" s="72">
        <v>0.0</v>
      </c>
      <c r="DH343" s="72">
        <v>137798.43024</v>
      </c>
      <c r="DI343" s="73">
        <v>2.0600164351E10</v>
      </c>
      <c r="DJ343" s="74" t="s">
        <v>1222</v>
      </c>
      <c r="DK343" s="74" t="s">
        <v>132</v>
      </c>
      <c r="DL343" s="75"/>
      <c r="DM343" s="75"/>
      <c r="DN343" s="75"/>
      <c r="DO343" s="75"/>
      <c r="DP343" s="75"/>
      <c r="DQ343" s="75"/>
      <c r="DR343" s="75"/>
      <c r="DS343" s="75"/>
      <c r="DT343" s="75"/>
      <c r="DU343" s="75"/>
      <c r="DV343" s="75"/>
      <c r="DW343" s="75"/>
      <c r="DX343" s="75"/>
      <c r="DY343" s="75"/>
      <c r="DZ343" s="75"/>
      <c r="EA343" s="75"/>
      <c r="EB343" s="75"/>
      <c r="EC343" s="75"/>
      <c r="ED343" s="75"/>
      <c r="EE343" s="75"/>
    </row>
    <row r="344" ht="47.25" hidden="1" customHeight="1">
      <c r="A344" s="55" t="s">
        <v>1223</v>
      </c>
      <c r="B344" s="55" t="s">
        <v>250</v>
      </c>
      <c r="C344" s="55" t="s">
        <v>250</v>
      </c>
      <c r="D344" s="55" t="s">
        <v>289</v>
      </c>
      <c r="E344" s="55" t="s">
        <v>1224</v>
      </c>
      <c r="F344" s="55" t="s">
        <v>289</v>
      </c>
      <c r="G344" s="55" t="s">
        <v>303</v>
      </c>
      <c r="H344" s="55" t="s">
        <v>1225</v>
      </c>
      <c r="I344" s="56"/>
      <c r="J344" s="56"/>
      <c r="K344" s="56"/>
      <c r="L344" s="56"/>
      <c r="M344" s="56"/>
      <c r="N344" s="56">
        <v>1.0</v>
      </c>
      <c r="O344" s="56">
        <v>1.0</v>
      </c>
      <c r="P344" s="56">
        <v>1.0</v>
      </c>
      <c r="Q344" s="56" t="s">
        <v>131</v>
      </c>
      <c r="R344" s="58" t="str">
        <f t="shared" si="1"/>
        <v>2023-2024 - 2025</v>
      </c>
      <c r="S344" s="59" t="str">
        <f>SUM(Hoja1!$I344:$P344)</f>
        <v>3</v>
      </c>
      <c r="T344" s="59" t="str">
        <f>IF(OR(Hoja1!$J344=1,Hoja1!$K344=1,Hoja1!$L344=1,Hoja1!$M344=1,Hoja1!$N344=1,Hoja1!$O344=1,Hoja1!$P344=1),"SI","NO")</f>
        <v>SI</v>
      </c>
      <c r="U344" s="59" t="str">
        <f>IF(OR(Hoja1!$K344=1,Hoja1!$L344=1,Hoja1!$M344=1,Hoja1!$N344=1,Hoja1!$O344=1,Hoja1!$P344=1),"SI","NO")</f>
        <v>SI</v>
      </c>
      <c r="V344" s="60">
        <v>0.0</v>
      </c>
      <c r="W344" s="61">
        <v>0.0</v>
      </c>
      <c r="X344" s="61">
        <v>0.0</v>
      </c>
      <c r="Y344" s="60">
        <v>0.0</v>
      </c>
      <c r="Z344" s="61">
        <v>0.0</v>
      </c>
      <c r="AA344" s="61">
        <v>0.0</v>
      </c>
      <c r="AB344" s="60">
        <v>0.0</v>
      </c>
      <c r="AC344" s="61">
        <v>0.0</v>
      </c>
      <c r="AD344" s="61">
        <v>0.0</v>
      </c>
      <c r="AE344" s="60">
        <v>0.0</v>
      </c>
      <c r="AF344" s="61">
        <v>0.0</v>
      </c>
      <c r="AG344" s="61">
        <v>0.0</v>
      </c>
      <c r="AH344" s="60">
        <v>0.0</v>
      </c>
      <c r="AI344" s="61">
        <v>30.0</v>
      </c>
      <c r="AJ344" s="61">
        <v>10.0</v>
      </c>
      <c r="AK344" s="60">
        <v>40.0</v>
      </c>
      <c r="AL344" s="61">
        <v>15.0</v>
      </c>
      <c r="AM344" s="61">
        <v>16.0</v>
      </c>
      <c r="AN344" s="60">
        <v>31.0</v>
      </c>
      <c r="AO344" s="62">
        <v>15.0</v>
      </c>
      <c r="AP344" s="62">
        <v>16.0</v>
      </c>
      <c r="AQ344" s="60">
        <v>31.0</v>
      </c>
      <c r="AR344" s="60" t="str">
        <f>IF(Hoja1!$AQ344&gt;0,Hoja1!$AQ344,IF(Hoja1!$AN344&gt;0,Hoja1!$AN344,IF(Hoja1!$AK344&gt;0,Hoja1!$AK344,IF(Hoja1!$AH344&gt;0,Hoja1!$AH344,IF(Hoja1!$AE344&gt;0,Hoja1!$AE344,IF(Hoja1!$AB344&gt;0,Hoja1!$AB344,IF(Hoja1!$Y344&gt;0,Hoja1!$Y344,IF(Hoja1!$V344&gt;0,Hoja1!$V344," ---"))))))))</f>
        <v>31</v>
      </c>
      <c r="AS344" s="63">
        <v>0.0</v>
      </c>
      <c r="AT344" s="63">
        <v>0.0</v>
      </c>
      <c r="AU344" s="63">
        <v>0.0</v>
      </c>
      <c r="AV344" s="63">
        <v>0.0</v>
      </c>
      <c r="AW344" s="63">
        <v>0.0</v>
      </c>
      <c r="AX344" s="63">
        <v>0.0</v>
      </c>
      <c r="AY344" s="63">
        <v>34.0</v>
      </c>
      <c r="AZ344" s="63">
        <v>1.0</v>
      </c>
      <c r="BA344" s="63">
        <v>28.0</v>
      </c>
      <c r="BB344" s="63">
        <v>0.0</v>
      </c>
      <c r="BC344" s="63">
        <v>40.0</v>
      </c>
      <c r="BD344" s="63">
        <v>0.0</v>
      </c>
      <c r="BE344" s="64">
        <v>0.0</v>
      </c>
      <c r="BF344" s="69">
        <v>0.0</v>
      </c>
      <c r="BG344" s="69">
        <v>0.0</v>
      </c>
      <c r="BH344" s="64">
        <v>0.0</v>
      </c>
      <c r="BI344" s="67" t="str">
        <f t="shared" si="133"/>
        <v>#REF!</v>
      </c>
      <c r="BJ344" s="68" t="str">
        <f t="shared" si="134"/>
        <v>#REF!</v>
      </c>
      <c r="BK344" s="69">
        <v>0.0</v>
      </c>
      <c r="BL344" s="69">
        <v>0.0</v>
      </c>
      <c r="BM344" s="64">
        <v>0.0</v>
      </c>
      <c r="BN344" s="67" t="str">
        <f t="shared" si="135"/>
        <v>#REF!</v>
      </c>
      <c r="BO344" s="68" t="str">
        <f t="shared" si="136"/>
        <v>#REF!</v>
      </c>
      <c r="BP344" s="65">
        <v>0.0</v>
      </c>
      <c r="BQ344" s="65">
        <v>0.0</v>
      </c>
      <c r="BR344" s="66">
        <v>0.0</v>
      </c>
      <c r="BS344" s="67" t="str">
        <f t="shared" si="137"/>
        <v>#REF!</v>
      </c>
      <c r="BT344" s="68" t="str">
        <f>'[1]DATA CONSOLIDADA 2018-2025 '!$BR344-Hoja1!$BO344</f>
        <v>#REF!</v>
      </c>
      <c r="BU344" s="69">
        <v>0.0</v>
      </c>
      <c r="BV344" s="65">
        <v>0.0</v>
      </c>
      <c r="BW344" s="66">
        <v>0.0</v>
      </c>
      <c r="BX344" s="67" t="str">
        <f t="shared" si="138"/>
        <v>#REF!</v>
      </c>
      <c r="BY344" s="68" t="str">
        <f t="shared" si="139"/>
        <v>#REF!</v>
      </c>
      <c r="BZ344" s="65">
        <v>193975.44</v>
      </c>
      <c r="CA344" s="65">
        <v>0.0</v>
      </c>
      <c r="CB344" s="66">
        <v>193975.44</v>
      </c>
      <c r="CC344" s="67" t="str">
        <f t="shared" si="140"/>
        <v>#REF!</v>
      </c>
      <c r="CD344" s="68" t="str">
        <f>'[1]DATA CONSOLIDADA 2018-2025 '!$CB344-Hoja1!$BW344</f>
        <v>#REF!</v>
      </c>
      <c r="CE344" s="70">
        <v>140862.199276</v>
      </c>
      <c r="CF344" s="70">
        <v>0.0</v>
      </c>
      <c r="CG344" s="71">
        <v>140862.199276</v>
      </c>
      <c r="CH344" s="67" t="str">
        <f t="shared" si="141"/>
        <v>#REF!</v>
      </c>
      <c r="CI344" s="68" t="str">
        <f>'[1]DATA CONSOLIDADA 2018-2025 '!$CG344-Hoja1!$CB344</f>
        <v>#REF!</v>
      </c>
      <c r="CJ344" s="64" t="str">
        <f t="shared" si="114"/>
        <v>#REF!</v>
      </c>
      <c r="CK344" s="64">
        <v>191394.35377461</v>
      </c>
      <c r="CL344" s="64">
        <v>0.0</v>
      </c>
      <c r="CM344" s="64">
        <v>191394.35377461</v>
      </c>
      <c r="CN344" s="64" t="str">
        <f t="shared" si="12"/>
        <v>#REF!</v>
      </c>
      <c r="CO344" s="68" t="str">
        <f>'[1]DATA CONSOLIDADA 2018-2025 '!$CM344-Hoja1!$CG344</f>
        <v>#REF!</v>
      </c>
      <c r="CP344" s="70">
        <v>0.0</v>
      </c>
      <c r="CQ344" s="70">
        <v>193975.4400004</v>
      </c>
      <c r="CR344" s="70">
        <v>0.0</v>
      </c>
      <c r="CS344" s="70">
        <v>0.0</v>
      </c>
      <c r="CT344" s="70">
        <v>0.0</v>
      </c>
      <c r="CU344" s="70">
        <v>0.0</v>
      </c>
      <c r="CV344" s="64">
        <v>193975.4400004</v>
      </c>
      <c r="CW344" s="64">
        <v>0.0</v>
      </c>
      <c r="CX344" s="64">
        <v>140862.199276</v>
      </c>
      <c r="CY344" s="64">
        <v>0.0</v>
      </c>
      <c r="CZ344" s="64">
        <v>0.0</v>
      </c>
      <c r="DA344" s="64">
        <v>0.0</v>
      </c>
      <c r="DB344" s="64">
        <v>140862.199276</v>
      </c>
      <c r="DC344" s="72">
        <v>0.0</v>
      </c>
      <c r="DD344" s="72">
        <v>84867.99999861</v>
      </c>
      <c r="DE344" s="72">
        <v>106526.353776</v>
      </c>
      <c r="DF344" s="72">
        <v>0.0</v>
      </c>
      <c r="DG344" s="72">
        <v>0.0</v>
      </c>
      <c r="DH344" s="72">
        <v>191394.35377461</v>
      </c>
      <c r="DI344" s="73">
        <v>2.0607878413E10</v>
      </c>
      <c r="DJ344" s="74" t="s">
        <v>1223</v>
      </c>
      <c r="DK344" s="74" t="s">
        <v>138</v>
      </c>
      <c r="DL344" s="75"/>
      <c r="DM344" s="75"/>
      <c r="DN344" s="75"/>
      <c r="DO344" s="75"/>
      <c r="DP344" s="75"/>
      <c r="DQ344" s="75"/>
      <c r="DR344" s="75"/>
      <c r="DS344" s="75"/>
      <c r="DT344" s="75"/>
      <c r="DU344" s="75"/>
      <c r="DV344" s="75"/>
      <c r="DW344" s="75"/>
      <c r="DX344" s="75"/>
      <c r="DY344" s="75"/>
      <c r="DZ344" s="75"/>
      <c r="EA344" s="75"/>
      <c r="EB344" s="75"/>
      <c r="EC344" s="75"/>
      <c r="ED344" s="75"/>
      <c r="EE344" s="75"/>
    </row>
    <row r="345" ht="47.25" hidden="1" customHeight="1">
      <c r="A345" s="55" t="s">
        <v>1226</v>
      </c>
      <c r="B345" s="55" t="s">
        <v>236</v>
      </c>
      <c r="C345" s="55" t="s">
        <v>237</v>
      </c>
      <c r="D345" s="55" t="s">
        <v>289</v>
      </c>
      <c r="E345" s="55" t="s">
        <v>1227</v>
      </c>
      <c r="F345" s="55" t="s">
        <v>289</v>
      </c>
      <c r="G345" s="55" t="s">
        <v>303</v>
      </c>
      <c r="H345" s="55" t="s">
        <v>1228</v>
      </c>
      <c r="I345" s="56"/>
      <c r="J345" s="56"/>
      <c r="K345" s="56"/>
      <c r="L345" s="56"/>
      <c r="M345" s="56"/>
      <c r="N345" s="56">
        <v>1.0</v>
      </c>
      <c r="O345" s="56">
        <v>1.0</v>
      </c>
      <c r="P345" s="56">
        <v>1.0</v>
      </c>
      <c r="Q345" s="56" t="s">
        <v>131</v>
      </c>
      <c r="R345" s="58" t="str">
        <f t="shared" si="1"/>
        <v>2023-2024 - 2025</v>
      </c>
      <c r="S345" s="59" t="str">
        <f>SUM(Hoja1!$I345:$P345)</f>
        <v>3</v>
      </c>
      <c r="T345" s="59" t="str">
        <f>IF(OR(Hoja1!$J345=1,Hoja1!$K345=1,Hoja1!$L345=1,Hoja1!$M345=1,Hoja1!$N345=1,Hoja1!$O345=1,Hoja1!$P345=1),"SI","NO")</f>
        <v>SI</v>
      </c>
      <c r="U345" s="59" t="str">
        <f>IF(OR(Hoja1!$K345=1,Hoja1!$L345=1,Hoja1!$M345=1,Hoja1!$N345=1,Hoja1!$O345=1,Hoja1!$P345=1),"SI","NO")</f>
        <v>SI</v>
      </c>
      <c r="V345" s="60">
        <v>0.0</v>
      </c>
      <c r="W345" s="61">
        <v>0.0</v>
      </c>
      <c r="X345" s="61">
        <v>0.0</v>
      </c>
      <c r="Y345" s="60">
        <v>0.0</v>
      </c>
      <c r="Z345" s="61">
        <v>0.0</v>
      </c>
      <c r="AA345" s="61">
        <v>0.0</v>
      </c>
      <c r="AB345" s="60">
        <v>0.0</v>
      </c>
      <c r="AC345" s="61">
        <v>0.0</v>
      </c>
      <c r="AD345" s="61">
        <v>0.0</v>
      </c>
      <c r="AE345" s="60">
        <v>0.0</v>
      </c>
      <c r="AF345" s="61">
        <v>0.0</v>
      </c>
      <c r="AG345" s="61">
        <v>0.0</v>
      </c>
      <c r="AH345" s="60">
        <v>0.0</v>
      </c>
      <c r="AI345" s="61">
        <v>35.0</v>
      </c>
      <c r="AJ345" s="61">
        <v>5.0</v>
      </c>
      <c r="AK345" s="60">
        <v>40.0</v>
      </c>
      <c r="AL345" s="61">
        <v>12.0</v>
      </c>
      <c r="AM345" s="61">
        <v>29.0</v>
      </c>
      <c r="AN345" s="60">
        <v>41.0</v>
      </c>
      <c r="AO345" s="62">
        <v>12.0</v>
      </c>
      <c r="AP345" s="62">
        <v>29.0</v>
      </c>
      <c r="AQ345" s="60">
        <v>41.0</v>
      </c>
      <c r="AR345" s="60" t="str">
        <f>IF(Hoja1!$AQ345&gt;0,Hoja1!$AQ345,IF(Hoja1!$AN345&gt;0,Hoja1!$AN345,IF(Hoja1!$AK345&gt;0,Hoja1!$AK345,IF(Hoja1!$AH345&gt;0,Hoja1!$AH345,IF(Hoja1!$AE345&gt;0,Hoja1!$AE345,IF(Hoja1!$AB345&gt;0,Hoja1!$AB345,IF(Hoja1!$Y345&gt;0,Hoja1!$Y345,IF(Hoja1!$V345&gt;0,Hoja1!$V345," ---"))))))))</f>
        <v>41</v>
      </c>
      <c r="AS345" s="63">
        <v>0.0</v>
      </c>
      <c r="AT345" s="63">
        <v>0.0</v>
      </c>
      <c r="AU345" s="63">
        <v>0.0</v>
      </c>
      <c r="AV345" s="63">
        <v>0.0</v>
      </c>
      <c r="AW345" s="63">
        <v>0.0</v>
      </c>
      <c r="AX345" s="63">
        <v>0.0</v>
      </c>
      <c r="AY345" s="63">
        <v>28.0</v>
      </c>
      <c r="AZ345" s="63">
        <v>4.0</v>
      </c>
      <c r="BA345" s="63">
        <v>39.0</v>
      </c>
      <c r="BB345" s="63">
        <v>2.0</v>
      </c>
      <c r="BC345" s="63">
        <v>40.0</v>
      </c>
      <c r="BD345" s="63">
        <v>0.0</v>
      </c>
      <c r="BE345" s="64">
        <v>0.0</v>
      </c>
      <c r="BF345" s="69">
        <v>0.0</v>
      </c>
      <c r="BG345" s="69">
        <v>0.0</v>
      </c>
      <c r="BH345" s="64">
        <v>0.0</v>
      </c>
      <c r="BI345" s="67" t="str">
        <f t="shared" si="133"/>
        <v>#REF!</v>
      </c>
      <c r="BJ345" s="68" t="str">
        <f t="shared" si="134"/>
        <v>#REF!</v>
      </c>
      <c r="BK345" s="69">
        <v>0.0</v>
      </c>
      <c r="BL345" s="69">
        <v>0.0</v>
      </c>
      <c r="BM345" s="64">
        <v>0.0</v>
      </c>
      <c r="BN345" s="67" t="str">
        <f t="shared" si="135"/>
        <v>#REF!</v>
      </c>
      <c r="BO345" s="68" t="str">
        <f t="shared" si="136"/>
        <v>#REF!</v>
      </c>
      <c r="BP345" s="65">
        <v>0.0</v>
      </c>
      <c r="BQ345" s="65">
        <v>0.0</v>
      </c>
      <c r="BR345" s="66">
        <v>0.0</v>
      </c>
      <c r="BS345" s="67" t="str">
        <f t="shared" si="137"/>
        <v>#REF!</v>
      </c>
      <c r="BT345" s="68" t="str">
        <f>'[1]DATA CONSOLIDADA 2018-2025 '!$BR345-Hoja1!$BO345</f>
        <v>#REF!</v>
      </c>
      <c r="BU345" s="69">
        <v>0.0</v>
      </c>
      <c r="BV345" s="65">
        <v>0.0</v>
      </c>
      <c r="BW345" s="66">
        <v>0.0</v>
      </c>
      <c r="BX345" s="67" t="str">
        <f t="shared" si="138"/>
        <v>#REF!</v>
      </c>
      <c r="BY345" s="68" t="str">
        <f t="shared" si="139"/>
        <v>#REF!</v>
      </c>
      <c r="BZ345" s="65">
        <v>120060.0</v>
      </c>
      <c r="CA345" s="65">
        <v>0.0</v>
      </c>
      <c r="CB345" s="66">
        <v>120060.0</v>
      </c>
      <c r="CC345" s="67" t="str">
        <f t="shared" si="140"/>
        <v>#REF!</v>
      </c>
      <c r="CD345" s="68" t="str">
        <f>'[1]DATA CONSOLIDADA 2018-2025 '!$CB345-Hoja1!$BW345</f>
        <v>#REF!</v>
      </c>
      <c r="CE345" s="70">
        <v>132181.5</v>
      </c>
      <c r="CF345" s="70">
        <v>0.0</v>
      </c>
      <c r="CG345" s="71">
        <v>132181.5</v>
      </c>
      <c r="CH345" s="67" t="str">
        <f t="shared" si="141"/>
        <v>#REF!</v>
      </c>
      <c r="CI345" s="68" t="str">
        <f>'[1]DATA CONSOLIDADA 2018-2025 '!$CG345-Hoja1!$CB345</f>
        <v>#REF!</v>
      </c>
      <c r="CJ345" s="64" t="str">
        <f t="shared" si="114"/>
        <v>#REF!</v>
      </c>
      <c r="CK345" s="64">
        <v>0.0</v>
      </c>
      <c r="CL345" s="64">
        <v>0.0</v>
      </c>
      <c r="CM345" s="64">
        <v>0.0</v>
      </c>
      <c r="CN345" s="64" t="str">
        <f t="shared" si="12"/>
        <v>#REF!</v>
      </c>
      <c r="CO345" s="68" t="str">
        <f>'[1]DATA CONSOLIDADA 2018-2025 '!$CM345-Hoja1!$CG345</f>
        <v>#REF!</v>
      </c>
      <c r="CP345" s="70">
        <v>0.0</v>
      </c>
      <c r="CQ345" s="70">
        <v>120060.0</v>
      </c>
      <c r="CR345" s="70">
        <v>0.0</v>
      </c>
      <c r="CS345" s="70">
        <v>0.0</v>
      </c>
      <c r="CT345" s="70">
        <v>0.0</v>
      </c>
      <c r="CU345" s="70">
        <v>0.0</v>
      </c>
      <c r="CV345" s="64">
        <v>120060.0</v>
      </c>
      <c r="CW345" s="64">
        <v>0.0</v>
      </c>
      <c r="CX345" s="64">
        <v>132181.5</v>
      </c>
      <c r="CY345" s="64">
        <v>0.0</v>
      </c>
      <c r="CZ345" s="64">
        <v>0.0</v>
      </c>
      <c r="DA345" s="64">
        <v>0.0</v>
      </c>
      <c r="DB345" s="64">
        <v>132181.5</v>
      </c>
      <c r="DC345" s="72">
        <v>0.0</v>
      </c>
      <c r="DD345" s="72">
        <v>0.0</v>
      </c>
      <c r="DE345" s="72">
        <v>0.0</v>
      </c>
      <c r="DF345" s="72">
        <v>0.0</v>
      </c>
      <c r="DG345" s="72">
        <v>0.0</v>
      </c>
      <c r="DH345" s="72">
        <v>0.0</v>
      </c>
      <c r="DI345" s="73">
        <v>2.0607331104E10</v>
      </c>
      <c r="DJ345" s="74" t="s">
        <v>1226</v>
      </c>
      <c r="DK345" s="74" t="s">
        <v>138</v>
      </c>
      <c r="DL345" s="75"/>
      <c r="DM345" s="75"/>
      <c r="DN345" s="75"/>
      <c r="DO345" s="75"/>
      <c r="DP345" s="75"/>
      <c r="DQ345" s="75"/>
      <c r="DR345" s="75"/>
      <c r="DS345" s="75"/>
      <c r="DT345" s="75"/>
      <c r="DU345" s="75"/>
      <c r="DV345" s="75"/>
      <c r="DW345" s="75"/>
      <c r="DX345" s="75"/>
      <c r="DY345" s="75"/>
      <c r="DZ345" s="75"/>
      <c r="EA345" s="75"/>
      <c r="EB345" s="75"/>
      <c r="EC345" s="75"/>
      <c r="ED345" s="75"/>
      <c r="EE345" s="75"/>
    </row>
    <row r="346" ht="47.25" hidden="1" customHeight="1">
      <c r="A346" s="55" t="s">
        <v>293</v>
      </c>
      <c r="B346" s="55" t="s">
        <v>198</v>
      </c>
      <c r="C346" s="55" t="s">
        <v>1229</v>
      </c>
      <c r="D346" s="55" t="s">
        <v>289</v>
      </c>
      <c r="E346" s="55" t="s">
        <v>290</v>
      </c>
      <c r="F346" s="55" t="s">
        <v>289</v>
      </c>
      <c r="G346" s="55" t="s">
        <v>291</v>
      </c>
      <c r="H346" s="55" t="s">
        <v>292</v>
      </c>
      <c r="I346" s="56"/>
      <c r="J346" s="56"/>
      <c r="K346" s="56"/>
      <c r="L346" s="56"/>
      <c r="M346" s="56"/>
      <c r="N346" s="56">
        <v>1.0</v>
      </c>
      <c r="O346" s="56">
        <v>1.0</v>
      </c>
      <c r="P346" s="56">
        <v>1.0</v>
      </c>
      <c r="Q346" s="56" t="s">
        <v>131</v>
      </c>
      <c r="R346" s="58" t="str">
        <f t="shared" si="1"/>
        <v>2023-2024 - 2025</v>
      </c>
      <c r="S346" s="59" t="str">
        <f>SUM(Hoja1!$I346:$P346)</f>
        <v>3</v>
      </c>
      <c r="T346" s="59" t="str">
        <f>IF(OR(Hoja1!$J346=1,Hoja1!$K346=1,Hoja1!$L346=1,Hoja1!$M346=1,Hoja1!$N346=1,Hoja1!$O346=1,Hoja1!$P346=1),"SI","NO")</f>
        <v>SI</v>
      </c>
      <c r="U346" s="59" t="str">
        <f>IF(OR(Hoja1!$K346=1,Hoja1!$L346=1,Hoja1!$M346=1,Hoja1!$N346=1,Hoja1!$O346=1,Hoja1!$P346=1),"SI","NO")</f>
        <v>SI</v>
      </c>
      <c r="V346" s="60">
        <v>0.0</v>
      </c>
      <c r="W346" s="61">
        <v>0.0</v>
      </c>
      <c r="X346" s="61">
        <v>0.0</v>
      </c>
      <c r="Y346" s="60">
        <v>0.0</v>
      </c>
      <c r="Z346" s="61">
        <v>0.0</v>
      </c>
      <c r="AA346" s="61">
        <v>0.0</v>
      </c>
      <c r="AB346" s="60">
        <v>0.0</v>
      </c>
      <c r="AC346" s="61">
        <v>0.0</v>
      </c>
      <c r="AD346" s="61">
        <v>0.0</v>
      </c>
      <c r="AE346" s="60">
        <v>0.0</v>
      </c>
      <c r="AF346" s="61">
        <v>0.0</v>
      </c>
      <c r="AG346" s="61">
        <v>0.0</v>
      </c>
      <c r="AH346" s="60">
        <v>0.0</v>
      </c>
      <c r="AI346" s="61">
        <v>20.0</v>
      </c>
      <c r="AJ346" s="61">
        <v>10.0</v>
      </c>
      <c r="AK346" s="60">
        <v>30.0</v>
      </c>
      <c r="AL346" s="61">
        <v>30.0</v>
      </c>
      <c r="AM346" s="61">
        <v>6.0</v>
      </c>
      <c r="AN346" s="60">
        <v>36.0</v>
      </c>
      <c r="AO346" s="62">
        <v>30.0</v>
      </c>
      <c r="AP346" s="62">
        <v>6.0</v>
      </c>
      <c r="AQ346" s="60">
        <v>36.0</v>
      </c>
      <c r="AR346" s="60" t="str">
        <f>IF(Hoja1!$AQ346&gt;0,Hoja1!$AQ346,IF(Hoja1!$AN346&gt;0,Hoja1!$AN346,IF(Hoja1!$AK346&gt;0,Hoja1!$AK346,IF(Hoja1!$AH346&gt;0,Hoja1!$AH346,IF(Hoja1!$AE346&gt;0,Hoja1!$AE346,IF(Hoja1!$AB346&gt;0,Hoja1!$AB346,IF(Hoja1!$Y346&gt;0,Hoja1!$Y346,IF(Hoja1!$V346&gt;0,Hoja1!$V346," ---"))))))))</f>
        <v>36</v>
      </c>
      <c r="AS346" s="63">
        <v>0.0</v>
      </c>
      <c r="AT346" s="63">
        <v>0.0</v>
      </c>
      <c r="AU346" s="63">
        <v>0.0</v>
      </c>
      <c r="AV346" s="63">
        <v>0.0</v>
      </c>
      <c r="AW346" s="63">
        <v>0.0</v>
      </c>
      <c r="AX346" s="63">
        <v>0.0</v>
      </c>
      <c r="AY346" s="63">
        <v>27.0</v>
      </c>
      <c r="AZ346" s="63">
        <v>4.0</v>
      </c>
      <c r="BA346" s="63">
        <v>40.0</v>
      </c>
      <c r="BB346" s="63">
        <v>0.0</v>
      </c>
      <c r="BC346" s="63">
        <v>42.0</v>
      </c>
      <c r="BD346" s="63">
        <v>0.0</v>
      </c>
      <c r="BE346" s="64">
        <v>0.0</v>
      </c>
      <c r="BF346" s="69">
        <v>0.0</v>
      </c>
      <c r="BG346" s="69">
        <v>0.0</v>
      </c>
      <c r="BH346" s="64">
        <v>0.0</v>
      </c>
      <c r="BI346" s="67" t="str">
        <f t="shared" si="133"/>
        <v>#REF!</v>
      </c>
      <c r="BJ346" s="68" t="str">
        <f t="shared" si="134"/>
        <v>#REF!</v>
      </c>
      <c r="BK346" s="69">
        <v>0.0</v>
      </c>
      <c r="BL346" s="69">
        <v>0.0</v>
      </c>
      <c r="BM346" s="64">
        <v>0.0</v>
      </c>
      <c r="BN346" s="67" t="str">
        <f t="shared" si="135"/>
        <v>#REF!</v>
      </c>
      <c r="BO346" s="68" t="str">
        <f t="shared" si="136"/>
        <v>#REF!</v>
      </c>
      <c r="BP346" s="65">
        <v>0.0</v>
      </c>
      <c r="BQ346" s="65">
        <v>0.0</v>
      </c>
      <c r="BR346" s="66">
        <v>0.0</v>
      </c>
      <c r="BS346" s="67" t="str">
        <f t="shared" si="137"/>
        <v>#REF!</v>
      </c>
      <c r="BT346" s="68" t="str">
        <f>'[1]DATA CONSOLIDADA 2018-2025 '!$BR346-Hoja1!$BO346</f>
        <v>#REF!</v>
      </c>
      <c r="BU346" s="69">
        <v>0.0</v>
      </c>
      <c r="BV346" s="65">
        <v>0.0</v>
      </c>
      <c r="BW346" s="66">
        <v>0.0</v>
      </c>
      <c r="BX346" s="67" t="str">
        <f t="shared" si="138"/>
        <v>#REF!</v>
      </c>
      <c r="BY346" s="68" t="str">
        <f t="shared" si="139"/>
        <v>#REF!</v>
      </c>
      <c r="BZ346" s="65">
        <v>240200.0</v>
      </c>
      <c r="CA346" s="65">
        <v>0.0</v>
      </c>
      <c r="CB346" s="66">
        <v>240200.0</v>
      </c>
      <c r="CC346" s="67" t="str">
        <f t="shared" si="140"/>
        <v>#REF!</v>
      </c>
      <c r="CD346" s="68" t="str">
        <f>'[1]DATA CONSOLIDADA 2018-2025 '!$CB346-Hoja1!$BW346</f>
        <v>#REF!</v>
      </c>
      <c r="CE346" s="70">
        <v>251201.0</v>
      </c>
      <c r="CF346" s="70">
        <v>0.0</v>
      </c>
      <c r="CG346" s="71">
        <v>251201.0</v>
      </c>
      <c r="CH346" s="67" t="str">
        <f t="shared" si="141"/>
        <v>#REF!</v>
      </c>
      <c r="CI346" s="68" t="str">
        <f>'[1]DATA CONSOLIDADA 2018-2025 '!$CG346-Hoja1!$CB346</f>
        <v>#REF!</v>
      </c>
      <c r="CJ346" s="64" t="str">
        <f t="shared" si="114"/>
        <v>#REF!</v>
      </c>
      <c r="CK346" s="64">
        <v>0.0</v>
      </c>
      <c r="CL346" s="64">
        <v>0.0</v>
      </c>
      <c r="CM346" s="64">
        <v>0.0</v>
      </c>
      <c r="CN346" s="64" t="str">
        <f t="shared" si="12"/>
        <v>#REF!</v>
      </c>
      <c r="CO346" s="68" t="str">
        <f>'[1]DATA CONSOLIDADA 2018-2025 '!$CM346-Hoja1!$CG346</f>
        <v>#REF!</v>
      </c>
      <c r="CP346" s="70">
        <v>0.0</v>
      </c>
      <c r="CQ346" s="70">
        <v>240200.0</v>
      </c>
      <c r="CR346" s="70">
        <v>0.0</v>
      </c>
      <c r="CS346" s="70">
        <v>0.0</v>
      </c>
      <c r="CT346" s="70">
        <v>0.0</v>
      </c>
      <c r="CU346" s="70">
        <v>0.0</v>
      </c>
      <c r="CV346" s="64">
        <v>240200.0</v>
      </c>
      <c r="CW346" s="64">
        <v>0.0</v>
      </c>
      <c r="CX346" s="64">
        <v>251201.0</v>
      </c>
      <c r="CY346" s="64">
        <v>0.0</v>
      </c>
      <c r="CZ346" s="64">
        <v>0.0</v>
      </c>
      <c r="DA346" s="64">
        <v>0.0</v>
      </c>
      <c r="DB346" s="64">
        <v>251201.0</v>
      </c>
      <c r="DC346" s="72">
        <v>0.0</v>
      </c>
      <c r="DD346" s="72">
        <v>0.0</v>
      </c>
      <c r="DE346" s="72">
        <v>0.0</v>
      </c>
      <c r="DF346" s="72">
        <v>0.0</v>
      </c>
      <c r="DG346" s="72">
        <v>0.0</v>
      </c>
      <c r="DH346" s="72">
        <v>0.0</v>
      </c>
      <c r="DI346" s="73">
        <v>2.060012233E10</v>
      </c>
      <c r="DJ346" s="74" t="s">
        <v>293</v>
      </c>
      <c r="DK346" s="74" t="s">
        <v>132</v>
      </c>
      <c r="DL346" s="75"/>
      <c r="DM346" s="75"/>
      <c r="DN346" s="75"/>
      <c r="DO346" s="75"/>
      <c r="DP346" s="75"/>
      <c r="DQ346" s="75"/>
      <c r="DR346" s="75"/>
      <c r="DS346" s="75"/>
      <c r="DT346" s="75"/>
      <c r="DU346" s="75"/>
      <c r="DV346" s="75"/>
      <c r="DW346" s="75"/>
      <c r="DX346" s="75"/>
      <c r="DY346" s="75"/>
      <c r="DZ346" s="75"/>
      <c r="EA346" s="75"/>
      <c r="EB346" s="75"/>
      <c r="EC346" s="75"/>
      <c r="ED346" s="75"/>
      <c r="EE346" s="75"/>
    </row>
    <row r="347" ht="47.25" hidden="1" customHeight="1">
      <c r="A347" s="55" t="s">
        <v>1230</v>
      </c>
      <c r="B347" s="55" t="s">
        <v>166</v>
      </c>
      <c r="C347" s="55" t="s">
        <v>166</v>
      </c>
      <c r="D347" s="55" t="s">
        <v>289</v>
      </c>
      <c r="E347" s="55" t="s">
        <v>322</v>
      </c>
      <c r="F347" s="55" t="s">
        <v>289</v>
      </c>
      <c r="G347" s="55" t="s">
        <v>289</v>
      </c>
      <c r="H347" s="55" t="s">
        <v>323</v>
      </c>
      <c r="I347" s="56"/>
      <c r="J347" s="56"/>
      <c r="K347" s="56"/>
      <c r="L347" s="56"/>
      <c r="M347" s="56"/>
      <c r="N347" s="56">
        <v>1.0</v>
      </c>
      <c r="O347" s="56">
        <v>1.0</v>
      </c>
      <c r="P347" s="56">
        <v>1.0</v>
      </c>
      <c r="Q347" s="56" t="s">
        <v>131</v>
      </c>
      <c r="R347" s="58" t="str">
        <f t="shared" si="1"/>
        <v>2023-2024 - 2025</v>
      </c>
      <c r="S347" s="59" t="str">
        <f>SUM(Hoja1!$I347:$P347)</f>
        <v>3</v>
      </c>
      <c r="T347" s="59" t="str">
        <f>IF(OR(Hoja1!$J347=1,Hoja1!$K347=1,Hoja1!$L347=1,Hoja1!$M347=1,Hoja1!$N347=1,Hoja1!$O347=1,Hoja1!$P347=1),"SI","NO")</f>
        <v>SI</v>
      </c>
      <c r="U347" s="59" t="str">
        <f>IF(OR(Hoja1!$K347=1,Hoja1!$L347=1,Hoja1!$M347=1,Hoja1!$N347=1,Hoja1!$O347=1,Hoja1!$P347=1),"SI","NO")</f>
        <v>SI</v>
      </c>
      <c r="V347" s="60">
        <v>0.0</v>
      </c>
      <c r="W347" s="61">
        <v>0.0</v>
      </c>
      <c r="X347" s="61">
        <v>0.0</v>
      </c>
      <c r="Y347" s="60">
        <v>0.0</v>
      </c>
      <c r="Z347" s="61">
        <v>0.0</v>
      </c>
      <c r="AA347" s="61">
        <v>0.0</v>
      </c>
      <c r="AB347" s="60">
        <v>0.0</v>
      </c>
      <c r="AC347" s="61">
        <v>0.0</v>
      </c>
      <c r="AD347" s="61">
        <v>0.0</v>
      </c>
      <c r="AE347" s="60">
        <v>0.0</v>
      </c>
      <c r="AF347" s="61">
        <v>0.0</v>
      </c>
      <c r="AG347" s="61">
        <v>0.0</v>
      </c>
      <c r="AH347" s="60">
        <v>0.0</v>
      </c>
      <c r="AI347" s="61">
        <v>45.0</v>
      </c>
      <c r="AJ347" s="61">
        <v>5.0</v>
      </c>
      <c r="AK347" s="60">
        <v>50.0</v>
      </c>
      <c r="AL347" s="61">
        <v>17.0</v>
      </c>
      <c r="AM347" s="61">
        <v>8.0</v>
      </c>
      <c r="AN347" s="60">
        <v>25.0</v>
      </c>
      <c r="AO347" s="62">
        <v>17.0</v>
      </c>
      <c r="AP347" s="62">
        <v>8.0</v>
      </c>
      <c r="AQ347" s="60">
        <v>25.0</v>
      </c>
      <c r="AR347" s="60" t="str">
        <f>IF(Hoja1!$AQ347&gt;0,Hoja1!$AQ347,IF(Hoja1!$AN347&gt;0,Hoja1!$AN347,IF(Hoja1!$AK347&gt;0,Hoja1!$AK347,IF(Hoja1!$AH347&gt;0,Hoja1!$AH347,IF(Hoja1!$AE347&gt;0,Hoja1!$AE347,IF(Hoja1!$AB347&gt;0,Hoja1!$AB347,IF(Hoja1!$Y347&gt;0,Hoja1!$Y347,IF(Hoja1!$V347&gt;0,Hoja1!$V347," ---"))))))))</f>
        <v>25</v>
      </c>
      <c r="AS347" s="63">
        <v>0.0</v>
      </c>
      <c r="AT347" s="63">
        <v>0.0</v>
      </c>
      <c r="AU347" s="63">
        <v>0.0</v>
      </c>
      <c r="AV347" s="63">
        <v>0.0</v>
      </c>
      <c r="AW347" s="63">
        <v>0.0</v>
      </c>
      <c r="AX347" s="63">
        <v>0.0</v>
      </c>
      <c r="AY347" s="63">
        <v>36.0</v>
      </c>
      <c r="AZ347" s="63">
        <v>2.0</v>
      </c>
      <c r="BA347" s="63">
        <v>47.0</v>
      </c>
      <c r="BB347" s="63">
        <v>3.0</v>
      </c>
      <c r="BC347" s="63">
        <v>42.0</v>
      </c>
      <c r="BD347" s="63">
        <v>2.0</v>
      </c>
      <c r="BE347" s="64">
        <v>0.0</v>
      </c>
      <c r="BF347" s="69">
        <v>0.0</v>
      </c>
      <c r="BG347" s="69">
        <v>0.0</v>
      </c>
      <c r="BH347" s="64">
        <v>0.0</v>
      </c>
      <c r="BI347" s="67" t="str">
        <f t="shared" si="133"/>
        <v>#REF!</v>
      </c>
      <c r="BJ347" s="68" t="str">
        <f t="shared" si="134"/>
        <v>#REF!</v>
      </c>
      <c r="BK347" s="69">
        <v>0.0</v>
      </c>
      <c r="BL347" s="69">
        <v>0.0</v>
      </c>
      <c r="BM347" s="64">
        <v>0.0</v>
      </c>
      <c r="BN347" s="67" t="str">
        <f t="shared" si="135"/>
        <v>#REF!</v>
      </c>
      <c r="BO347" s="68" t="str">
        <f t="shared" si="136"/>
        <v>#REF!</v>
      </c>
      <c r="BP347" s="65">
        <v>0.0</v>
      </c>
      <c r="BQ347" s="65">
        <v>0.0</v>
      </c>
      <c r="BR347" s="66">
        <v>0.0</v>
      </c>
      <c r="BS347" s="67" t="str">
        <f t="shared" si="137"/>
        <v>#REF!</v>
      </c>
      <c r="BT347" s="68" t="str">
        <f>'[1]DATA CONSOLIDADA 2018-2025 '!$BR347-Hoja1!$BO347</f>
        <v>#REF!</v>
      </c>
      <c r="BU347" s="69">
        <v>0.0</v>
      </c>
      <c r="BV347" s="65">
        <v>0.0</v>
      </c>
      <c r="BW347" s="66">
        <v>0.0</v>
      </c>
      <c r="BX347" s="67" t="str">
        <f t="shared" si="138"/>
        <v>#REF!</v>
      </c>
      <c r="BY347" s="68" t="str">
        <f t="shared" si="139"/>
        <v>#REF!</v>
      </c>
      <c r="BZ347" s="65">
        <v>664600.0</v>
      </c>
      <c r="CA347" s="65">
        <v>0.0</v>
      </c>
      <c r="CB347" s="66">
        <v>664600.0</v>
      </c>
      <c r="CC347" s="67" t="str">
        <f t="shared" si="140"/>
        <v>#REF!</v>
      </c>
      <c r="CD347" s="68" t="str">
        <f>'[1]DATA CONSOLIDADA 2018-2025 '!$CB347-Hoja1!$BW347</f>
        <v>#REF!</v>
      </c>
      <c r="CE347" s="70">
        <v>1132800.0</v>
      </c>
      <c r="CF347" s="70">
        <v>0.0</v>
      </c>
      <c r="CG347" s="71">
        <v>1132800.0</v>
      </c>
      <c r="CH347" s="67" t="str">
        <f t="shared" si="141"/>
        <v>#REF!</v>
      </c>
      <c r="CI347" s="68" t="str">
        <f>'[1]DATA CONSOLIDADA 2018-2025 '!$CG347-Hoja1!$CB347</f>
        <v>#REF!</v>
      </c>
      <c r="CJ347" s="64" t="str">
        <f t="shared" si="114"/>
        <v>#REF!</v>
      </c>
      <c r="CK347" s="64">
        <v>811600.0</v>
      </c>
      <c r="CL347" s="64">
        <v>0.0</v>
      </c>
      <c r="CM347" s="64">
        <v>811600.0</v>
      </c>
      <c r="CN347" s="64" t="str">
        <f t="shared" si="12"/>
        <v>#REF!</v>
      </c>
      <c r="CO347" s="68" t="str">
        <f>'[1]DATA CONSOLIDADA 2018-2025 '!$CM347-Hoja1!$CG347</f>
        <v>#REF!</v>
      </c>
      <c r="CP347" s="70">
        <v>0.0</v>
      </c>
      <c r="CQ347" s="70">
        <v>664600.0</v>
      </c>
      <c r="CR347" s="70">
        <v>0.0</v>
      </c>
      <c r="CS347" s="70">
        <v>0.0</v>
      </c>
      <c r="CT347" s="70">
        <v>0.0</v>
      </c>
      <c r="CU347" s="70">
        <v>0.0</v>
      </c>
      <c r="CV347" s="64">
        <v>664600.0</v>
      </c>
      <c r="CW347" s="64">
        <v>0.0</v>
      </c>
      <c r="CX347" s="64">
        <v>1132800.0</v>
      </c>
      <c r="CY347" s="64">
        <v>0.0</v>
      </c>
      <c r="CZ347" s="64">
        <v>0.0</v>
      </c>
      <c r="DA347" s="64">
        <v>0.0</v>
      </c>
      <c r="DB347" s="64">
        <v>1132800.0</v>
      </c>
      <c r="DC347" s="72">
        <v>0.0</v>
      </c>
      <c r="DD347" s="72">
        <v>811600.0</v>
      </c>
      <c r="DE347" s="72">
        <v>0.0</v>
      </c>
      <c r="DF347" s="72">
        <v>0.0</v>
      </c>
      <c r="DG347" s="72">
        <v>0.0</v>
      </c>
      <c r="DH347" s="72">
        <v>811600.0</v>
      </c>
      <c r="DI347" s="73">
        <v>2.0454319169E10</v>
      </c>
      <c r="DJ347" s="74" t="s">
        <v>1230</v>
      </c>
      <c r="DK347" s="74" t="s">
        <v>138</v>
      </c>
      <c r="DL347" s="75"/>
      <c r="DM347" s="75"/>
      <c r="DN347" s="75"/>
      <c r="DO347" s="75"/>
      <c r="DP347" s="75"/>
      <c r="DQ347" s="75"/>
      <c r="DR347" s="75"/>
      <c r="DS347" s="75"/>
      <c r="DT347" s="75"/>
      <c r="DU347" s="75"/>
      <c r="DV347" s="75"/>
      <c r="DW347" s="75"/>
      <c r="DX347" s="75"/>
      <c r="DY347" s="75"/>
      <c r="DZ347" s="75"/>
      <c r="EA347" s="75"/>
      <c r="EB347" s="75"/>
      <c r="EC347" s="75"/>
      <c r="ED347" s="75"/>
      <c r="EE347" s="75"/>
    </row>
    <row r="348" ht="47.25" hidden="1" customHeight="1">
      <c r="A348" s="55" t="s">
        <v>1231</v>
      </c>
      <c r="B348" s="55" t="s">
        <v>166</v>
      </c>
      <c r="C348" s="55" t="s">
        <v>166</v>
      </c>
      <c r="D348" s="55" t="s">
        <v>289</v>
      </c>
      <c r="E348" s="55" t="s">
        <v>322</v>
      </c>
      <c r="F348" s="55" t="s">
        <v>289</v>
      </c>
      <c r="G348" s="55" t="s">
        <v>289</v>
      </c>
      <c r="H348" s="55" t="s">
        <v>323</v>
      </c>
      <c r="I348" s="56"/>
      <c r="J348" s="56"/>
      <c r="K348" s="56"/>
      <c r="L348" s="56"/>
      <c r="M348" s="56"/>
      <c r="N348" s="56">
        <v>1.0</v>
      </c>
      <c r="O348" s="56">
        <v>1.0</v>
      </c>
      <c r="P348" s="56">
        <v>1.0</v>
      </c>
      <c r="Q348" s="56" t="s">
        <v>131</v>
      </c>
      <c r="R348" s="58" t="str">
        <f t="shared" si="1"/>
        <v>2023-2024 - 2025</v>
      </c>
      <c r="S348" s="59" t="str">
        <f>SUM(Hoja1!$I348:$P348)</f>
        <v>3</v>
      </c>
      <c r="T348" s="59" t="str">
        <f>IF(OR(Hoja1!$J348=1,Hoja1!$K348=1,Hoja1!$L348=1,Hoja1!$M348=1,Hoja1!$N348=1,Hoja1!$O348=1,Hoja1!$P348=1),"SI","NO")</f>
        <v>SI</v>
      </c>
      <c r="U348" s="59" t="str">
        <f>IF(OR(Hoja1!$K348=1,Hoja1!$L348=1,Hoja1!$M348=1,Hoja1!$N348=1,Hoja1!$O348=1,Hoja1!$P348=1),"SI","NO")</f>
        <v>SI</v>
      </c>
      <c r="V348" s="60">
        <v>0.0</v>
      </c>
      <c r="W348" s="61">
        <v>0.0</v>
      </c>
      <c r="X348" s="61">
        <v>0.0</v>
      </c>
      <c r="Y348" s="60">
        <v>0.0</v>
      </c>
      <c r="Z348" s="61">
        <v>0.0</v>
      </c>
      <c r="AA348" s="61">
        <v>0.0</v>
      </c>
      <c r="AB348" s="60">
        <v>0.0</v>
      </c>
      <c r="AC348" s="61">
        <v>0.0</v>
      </c>
      <c r="AD348" s="61">
        <v>0.0</v>
      </c>
      <c r="AE348" s="60">
        <v>0.0</v>
      </c>
      <c r="AF348" s="61">
        <v>0.0</v>
      </c>
      <c r="AG348" s="61">
        <v>0.0</v>
      </c>
      <c r="AH348" s="60">
        <v>0.0</v>
      </c>
      <c r="AI348" s="61">
        <v>40.0</v>
      </c>
      <c r="AJ348" s="61">
        <v>10.0</v>
      </c>
      <c r="AK348" s="60">
        <v>50.0</v>
      </c>
      <c r="AL348" s="61">
        <v>12.0</v>
      </c>
      <c r="AM348" s="61">
        <v>12.0</v>
      </c>
      <c r="AN348" s="60">
        <v>24.0</v>
      </c>
      <c r="AO348" s="62">
        <v>12.0</v>
      </c>
      <c r="AP348" s="62">
        <v>12.0</v>
      </c>
      <c r="AQ348" s="60">
        <v>24.0</v>
      </c>
      <c r="AR348" s="60" t="str">
        <f>IF(Hoja1!$AQ348&gt;0,Hoja1!$AQ348,IF(Hoja1!$AN348&gt;0,Hoja1!$AN348,IF(Hoja1!$AK348&gt;0,Hoja1!$AK348,IF(Hoja1!$AH348&gt;0,Hoja1!$AH348,IF(Hoja1!$AE348&gt;0,Hoja1!$AE348,IF(Hoja1!$AB348&gt;0,Hoja1!$AB348,IF(Hoja1!$Y348&gt;0,Hoja1!$Y348,IF(Hoja1!$V348&gt;0,Hoja1!$V348," ---"))))))))</f>
        <v>24</v>
      </c>
      <c r="AS348" s="63">
        <v>0.0</v>
      </c>
      <c r="AT348" s="63">
        <v>0.0</v>
      </c>
      <c r="AU348" s="63">
        <v>0.0</v>
      </c>
      <c r="AV348" s="63">
        <v>0.0</v>
      </c>
      <c r="AW348" s="63">
        <v>0.0</v>
      </c>
      <c r="AX348" s="63">
        <v>0.0</v>
      </c>
      <c r="AY348" s="63">
        <v>36.0</v>
      </c>
      <c r="AZ348" s="63">
        <v>2.0</v>
      </c>
      <c r="BA348" s="63">
        <v>48.0</v>
      </c>
      <c r="BB348" s="63">
        <v>3.0</v>
      </c>
      <c r="BC348" s="63">
        <v>42.0</v>
      </c>
      <c r="BD348" s="63">
        <v>2.0</v>
      </c>
      <c r="BE348" s="64">
        <v>0.0</v>
      </c>
      <c r="BF348" s="69">
        <v>0.0</v>
      </c>
      <c r="BG348" s="69">
        <v>0.0</v>
      </c>
      <c r="BH348" s="64">
        <v>0.0</v>
      </c>
      <c r="BI348" s="67" t="str">
        <f t="shared" si="133"/>
        <v>#REF!</v>
      </c>
      <c r="BJ348" s="68" t="str">
        <f t="shared" si="134"/>
        <v>#REF!</v>
      </c>
      <c r="BK348" s="69">
        <v>0.0</v>
      </c>
      <c r="BL348" s="69">
        <v>0.0</v>
      </c>
      <c r="BM348" s="64">
        <v>0.0</v>
      </c>
      <c r="BN348" s="67" t="str">
        <f t="shared" si="135"/>
        <v>#REF!</v>
      </c>
      <c r="BO348" s="68" t="str">
        <f t="shared" si="136"/>
        <v>#REF!</v>
      </c>
      <c r="BP348" s="65">
        <v>0.0</v>
      </c>
      <c r="BQ348" s="65">
        <v>0.0</v>
      </c>
      <c r="BR348" s="66">
        <v>0.0</v>
      </c>
      <c r="BS348" s="67" t="str">
        <f t="shared" si="137"/>
        <v>#REF!</v>
      </c>
      <c r="BT348" s="68" t="str">
        <f>'[1]DATA CONSOLIDADA 2018-2025 '!$BR348-Hoja1!$BO348</f>
        <v>#REF!</v>
      </c>
      <c r="BU348" s="69">
        <v>0.0</v>
      </c>
      <c r="BV348" s="65">
        <v>0.0</v>
      </c>
      <c r="BW348" s="66">
        <v>0.0</v>
      </c>
      <c r="BX348" s="67" t="str">
        <f t="shared" si="138"/>
        <v>#REF!</v>
      </c>
      <c r="BY348" s="68" t="str">
        <f t="shared" si="139"/>
        <v>#REF!</v>
      </c>
      <c r="BZ348" s="65">
        <v>420600.0</v>
      </c>
      <c r="CA348" s="65">
        <v>0.0</v>
      </c>
      <c r="CB348" s="66">
        <v>420600.0</v>
      </c>
      <c r="CC348" s="67" t="str">
        <f t="shared" si="140"/>
        <v>#REF!</v>
      </c>
      <c r="CD348" s="68" t="str">
        <f>'[1]DATA CONSOLIDADA 2018-2025 '!$CB348-Hoja1!$BW348</f>
        <v>#REF!</v>
      </c>
      <c r="CE348" s="70">
        <v>710400.0</v>
      </c>
      <c r="CF348" s="70">
        <v>0.0</v>
      </c>
      <c r="CG348" s="71">
        <v>710400.0</v>
      </c>
      <c r="CH348" s="67" t="str">
        <f t="shared" si="141"/>
        <v>#REF!</v>
      </c>
      <c r="CI348" s="68" t="str">
        <f>'[1]DATA CONSOLIDADA 2018-2025 '!$CG348-Hoja1!$CB348</f>
        <v>#REF!</v>
      </c>
      <c r="CJ348" s="64" t="str">
        <f t="shared" si="114"/>
        <v>#REF!</v>
      </c>
      <c r="CK348" s="64">
        <v>510000.0</v>
      </c>
      <c r="CL348" s="64">
        <v>0.0</v>
      </c>
      <c r="CM348" s="64">
        <v>510000.0</v>
      </c>
      <c r="CN348" s="64" t="str">
        <f t="shared" si="12"/>
        <v>#REF!</v>
      </c>
      <c r="CO348" s="68" t="str">
        <f>'[1]DATA CONSOLIDADA 2018-2025 '!$CM348-Hoja1!$CG348</f>
        <v>#REF!</v>
      </c>
      <c r="CP348" s="70">
        <v>0.0</v>
      </c>
      <c r="CQ348" s="70">
        <v>420600.0</v>
      </c>
      <c r="CR348" s="70">
        <v>0.0</v>
      </c>
      <c r="CS348" s="70">
        <v>0.0</v>
      </c>
      <c r="CT348" s="70">
        <v>0.0</v>
      </c>
      <c r="CU348" s="70">
        <v>0.0</v>
      </c>
      <c r="CV348" s="64">
        <v>420600.0</v>
      </c>
      <c r="CW348" s="64">
        <v>0.0</v>
      </c>
      <c r="CX348" s="64">
        <v>710400.0</v>
      </c>
      <c r="CY348" s="64">
        <v>0.0</v>
      </c>
      <c r="CZ348" s="64">
        <v>0.0</v>
      </c>
      <c r="DA348" s="64">
        <v>0.0</v>
      </c>
      <c r="DB348" s="64">
        <v>710400.0</v>
      </c>
      <c r="DC348" s="72">
        <v>0.0</v>
      </c>
      <c r="DD348" s="72">
        <v>510000.0</v>
      </c>
      <c r="DE348" s="72">
        <v>0.0</v>
      </c>
      <c r="DF348" s="72">
        <v>0.0</v>
      </c>
      <c r="DG348" s="72">
        <v>0.0</v>
      </c>
      <c r="DH348" s="72">
        <v>510000.0</v>
      </c>
      <c r="DI348" s="73">
        <v>2.0600534298E10</v>
      </c>
      <c r="DJ348" s="74" t="s">
        <v>1231</v>
      </c>
      <c r="DK348" s="74" t="s">
        <v>138</v>
      </c>
      <c r="DL348" s="75"/>
      <c r="DM348" s="75"/>
      <c r="DN348" s="75"/>
      <c r="DO348" s="75"/>
      <c r="DP348" s="75"/>
      <c r="DQ348" s="75"/>
      <c r="DR348" s="75"/>
      <c r="DS348" s="75"/>
      <c r="DT348" s="75"/>
      <c r="DU348" s="75"/>
      <c r="DV348" s="75"/>
      <c r="DW348" s="75"/>
      <c r="DX348" s="75"/>
      <c r="DY348" s="75"/>
      <c r="DZ348" s="75"/>
      <c r="EA348" s="75"/>
      <c r="EB348" s="75"/>
      <c r="EC348" s="75"/>
      <c r="ED348" s="75"/>
      <c r="EE348" s="75"/>
    </row>
    <row r="349" ht="47.25" hidden="1" customHeight="1">
      <c r="A349" s="55" t="s">
        <v>1232</v>
      </c>
      <c r="B349" s="55" t="s">
        <v>166</v>
      </c>
      <c r="C349" s="55" t="s">
        <v>166</v>
      </c>
      <c r="D349" s="55" t="s">
        <v>289</v>
      </c>
      <c r="E349" s="55" t="s">
        <v>302</v>
      </c>
      <c r="F349" s="55" t="s">
        <v>289</v>
      </c>
      <c r="G349" s="55" t="s">
        <v>303</v>
      </c>
      <c r="H349" s="55" t="s">
        <v>304</v>
      </c>
      <c r="I349" s="56"/>
      <c r="J349" s="56"/>
      <c r="K349" s="56"/>
      <c r="L349" s="56"/>
      <c r="M349" s="56"/>
      <c r="N349" s="56">
        <v>1.0</v>
      </c>
      <c r="O349" s="56">
        <v>1.0</v>
      </c>
      <c r="P349" s="56">
        <v>1.0</v>
      </c>
      <c r="Q349" s="56" t="s">
        <v>131</v>
      </c>
      <c r="R349" s="58" t="str">
        <f t="shared" si="1"/>
        <v>2023-2024 - 2025</v>
      </c>
      <c r="S349" s="59" t="str">
        <f>SUM(Hoja1!$I349:$P349)</f>
        <v>3</v>
      </c>
      <c r="T349" s="59" t="str">
        <f>IF(OR(Hoja1!$J349=1,Hoja1!$K349=1,Hoja1!$L349=1,Hoja1!$M349=1,Hoja1!$N349=1,Hoja1!$O349=1,Hoja1!$P349=1),"SI","NO")</f>
        <v>SI</v>
      </c>
      <c r="U349" s="59" t="str">
        <f>IF(OR(Hoja1!$K349=1,Hoja1!$L349=1,Hoja1!$M349=1,Hoja1!$N349=1,Hoja1!$O349=1,Hoja1!$P349=1),"SI","NO")</f>
        <v>SI</v>
      </c>
      <c r="V349" s="60">
        <v>0.0</v>
      </c>
      <c r="W349" s="61">
        <v>0.0</v>
      </c>
      <c r="X349" s="61">
        <v>0.0</v>
      </c>
      <c r="Y349" s="60">
        <v>0.0</v>
      </c>
      <c r="Z349" s="61">
        <v>0.0</v>
      </c>
      <c r="AA349" s="61">
        <v>0.0</v>
      </c>
      <c r="AB349" s="60">
        <v>0.0</v>
      </c>
      <c r="AC349" s="61">
        <v>0.0</v>
      </c>
      <c r="AD349" s="61">
        <v>0.0</v>
      </c>
      <c r="AE349" s="60">
        <v>0.0</v>
      </c>
      <c r="AF349" s="61">
        <v>0.0</v>
      </c>
      <c r="AG349" s="61">
        <v>0.0</v>
      </c>
      <c r="AH349" s="60">
        <v>0.0</v>
      </c>
      <c r="AI349" s="61">
        <v>35.0</v>
      </c>
      <c r="AJ349" s="61">
        <v>5.0</v>
      </c>
      <c r="AK349" s="60">
        <v>40.0</v>
      </c>
      <c r="AL349" s="61">
        <v>28.0</v>
      </c>
      <c r="AM349" s="61">
        <v>17.0</v>
      </c>
      <c r="AN349" s="60">
        <v>45.0</v>
      </c>
      <c r="AO349" s="62">
        <v>28.0</v>
      </c>
      <c r="AP349" s="62">
        <v>17.0</v>
      </c>
      <c r="AQ349" s="60">
        <v>45.0</v>
      </c>
      <c r="AR349" s="60" t="str">
        <f>IF(Hoja1!$AQ349&gt;0,Hoja1!$AQ349,IF(Hoja1!$AN349&gt;0,Hoja1!$AN349,IF(Hoja1!$AK349&gt;0,Hoja1!$AK349,IF(Hoja1!$AH349&gt;0,Hoja1!$AH349,IF(Hoja1!$AE349&gt;0,Hoja1!$AE349,IF(Hoja1!$AB349&gt;0,Hoja1!$AB349,IF(Hoja1!$Y349&gt;0,Hoja1!$Y349,IF(Hoja1!$V349&gt;0,Hoja1!$V349," ---"))))))))</f>
        <v>45</v>
      </c>
      <c r="AS349" s="63">
        <v>0.0</v>
      </c>
      <c r="AT349" s="63">
        <v>0.0</v>
      </c>
      <c r="AU349" s="63">
        <v>0.0</v>
      </c>
      <c r="AV349" s="63">
        <v>0.0</v>
      </c>
      <c r="AW349" s="63">
        <v>0.0</v>
      </c>
      <c r="AX349" s="63">
        <v>0.0</v>
      </c>
      <c r="AY349" s="63">
        <v>36.0</v>
      </c>
      <c r="AZ349" s="63">
        <v>2.0</v>
      </c>
      <c r="BA349" s="63">
        <v>48.0</v>
      </c>
      <c r="BB349" s="63">
        <v>3.0</v>
      </c>
      <c r="BC349" s="63">
        <v>42.0</v>
      </c>
      <c r="BD349" s="63">
        <v>2.0</v>
      </c>
      <c r="BE349" s="64">
        <v>0.0</v>
      </c>
      <c r="BF349" s="69">
        <v>0.0</v>
      </c>
      <c r="BG349" s="69">
        <v>0.0</v>
      </c>
      <c r="BH349" s="64">
        <v>0.0</v>
      </c>
      <c r="BI349" s="67" t="str">
        <f t="shared" si="133"/>
        <v>#REF!</v>
      </c>
      <c r="BJ349" s="68" t="str">
        <f t="shared" si="134"/>
        <v>#REF!</v>
      </c>
      <c r="BK349" s="69">
        <v>0.0</v>
      </c>
      <c r="BL349" s="69">
        <v>0.0</v>
      </c>
      <c r="BM349" s="64">
        <v>0.0</v>
      </c>
      <c r="BN349" s="67" t="str">
        <f t="shared" si="135"/>
        <v>#REF!</v>
      </c>
      <c r="BO349" s="68" t="str">
        <f t="shared" si="136"/>
        <v>#REF!</v>
      </c>
      <c r="BP349" s="65">
        <v>0.0</v>
      </c>
      <c r="BQ349" s="65">
        <v>0.0</v>
      </c>
      <c r="BR349" s="66">
        <v>0.0</v>
      </c>
      <c r="BS349" s="67" t="str">
        <f t="shared" si="137"/>
        <v>#REF!</v>
      </c>
      <c r="BT349" s="68" t="str">
        <f>'[1]DATA CONSOLIDADA 2018-2025 '!$BR349-Hoja1!$BO349</f>
        <v>#REF!</v>
      </c>
      <c r="BU349" s="69">
        <v>0.0</v>
      </c>
      <c r="BV349" s="65">
        <v>0.0</v>
      </c>
      <c r="BW349" s="66">
        <v>0.0</v>
      </c>
      <c r="BX349" s="67" t="str">
        <f t="shared" si="138"/>
        <v>#REF!</v>
      </c>
      <c r="BY349" s="68" t="str">
        <f t="shared" si="139"/>
        <v>#REF!</v>
      </c>
      <c r="BZ349" s="65">
        <v>423000.0</v>
      </c>
      <c r="CA349" s="65">
        <v>0.0</v>
      </c>
      <c r="CB349" s="66">
        <v>423000.0</v>
      </c>
      <c r="CC349" s="67" t="str">
        <f t="shared" si="140"/>
        <v>#REF!</v>
      </c>
      <c r="CD349" s="68" t="str">
        <f>'[1]DATA CONSOLIDADA 2018-2025 '!$CB349-Hoja1!$BW349</f>
        <v>#REF!</v>
      </c>
      <c r="CE349" s="70">
        <v>960000.0</v>
      </c>
      <c r="CF349" s="70">
        <v>0.0</v>
      </c>
      <c r="CG349" s="71">
        <v>960000.0</v>
      </c>
      <c r="CH349" s="67" t="str">
        <f t="shared" si="141"/>
        <v>#REF!</v>
      </c>
      <c r="CI349" s="68" t="str">
        <f>'[1]DATA CONSOLIDADA 2018-2025 '!$CG349-Hoja1!$CB349</f>
        <v>#REF!</v>
      </c>
      <c r="CJ349" s="64" t="str">
        <f t="shared" si="114"/>
        <v>#REF!</v>
      </c>
      <c r="CK349" s="64">
        <v>800000.0</v>
      </c>
      <c r="CL349" s="64">
        <v>0.0</v>
      </c>
      <c r="CM349" s="64">
        <v>800000.0</v>
      </c>
      <c r="CN349" s="64" t="str">
        <f t="shared" si="12"/>
        <v>#REF!</v>
      </c>
      <c r="CO349" s="68" t="str">
        <f>'[1]DATA CONSOLIDADA 2018-2025 '!$CM349-Hoja1!$CG349</f>
        <v>#REF!</v>
      </c>
      <c r="CP349" s="70">
        <v>0.0</v>
      </c>
      <c r="CQ349" s="70">
        <v>423000.0</v>
      </c>
      <c r="CR349" s="70">
        <v>0.0</v>
      </c>
      <c r="CS349" s="70">
        <v>0.0</v>
      </c>
      <c r="CT349" s="70">
        <v>0.0</v>
      </c>
      <c r="CU349" s="70">
        <v>0.0</v>
      </c>
      <c r="CV349" s="64">
        <v>423000.0</v>
      </c>
      <c r="CW349" s="64">
        <v>0.0</v>
      </c>
      <c r="CX349" s="64">
        <v>960000.0</v>
      </c>
      <c r="CY349" s="64">
        <v>0.0</v>
      </c>
      <c r="CZ349" s="64">
        <v>0.0</v>
      </c>
      <c r="DA349" s="64">
        <v>0.0</v>
      </c>
      <c r="DB349" s="64">
        <v>960000.0</v>
      </c>
      <c r="DC349" s="72">
        <v>0.0</v>
      </c>
      <c r="DD349" s="72">
        <v>800000.0</v>
      </c>
      <c r="DE349" s="72">
        <v>0.0</v>
      </c>
      <c r="DF349" s="72">
        <v>0.0</v>
      </c>
      <c r="DG349" s="72">
        <v>0.0</v>
      </c>
      <c r="DH349" s="72">
        <v>800000.0</v>
      </c>
      <c r="DI349" s="73">
        <v>2.0606257172E10</v>
      </c>
      <c r="DJ349" s="74" t="s">
        <v>1232</v>
      </c>
      <c r="DK349" s="74" t="s">
        <v>138</v>
      </c>
      <c r="DL349" s="75"/>
      <c r="DM349" s="75"/>
      <c r="DN349" s="75"/>
      <c r="DO349" s="75"/>
      <c r="DP349" s="75"/>
      <c r="DQ349" s="75"/>
      <c r="DR349" s="75"/>
      <c r="DS349" s="75"/>
      <c r="DT349" s="75"/>
      <c r="DU349" s="75"/>
      <c r="DV349" s="75"/>
      <c r="DW349" s="75"/>
      <c r="DX349" s="75"/>
      <c r="DY349" s="75"/>
      <c r="DZ349" s="75"/>
      <c r="EA349" s="75"/>
      <c r="EB349" s="75"/>
      <c r="EC349" s="75"/>
      <c r="ED349" s="75"/>
      <c r="EE349" s="75"/>
    </row>
    <row r="350" ht="47.25" hidden="1" customHeight="1">
      <c r="A350" s="55" t="s">
        <v>1233</v>
      </c>
      <c r="B350" s="55" t="s">
        <v>455</v>
      </c>
      <c r="C350" s="55" t="s">
        <v>455</v>
      </c>
      <c r="D350" s="55" t="s">
        <v>408</v>
      </c>
      <c r="E350" s="55" t="s">
        <v>461</v>
      </c>
      <c r="F350" s="55" t="s">
        <v>408</v>
      </c>
      <c r="G350" s="55" t="s">
        <v>408</v>
      </c>
      <c r="H350" s="55" t="s">
        <v>408</v>
      </c>
      <c r="I350" s="56"/>
      <c r="J350" s="56"/>
      <c r="K350" s="56"/>
      <c r="L350" s="56"/>
      <c r="M350" s="56"/>
      <c r="N350" s="56">
        <v>1.0</v>
      </c>
      <c r="O350" s="56"/>
      <c r="P350" s="56"/>
      <c r="Q350" s="56" t="s">
        <v>131</v>
      </c>
      <c r="R350" s="58" t="str">
        <f t="shared" si="1"/>
        <v>2023</v>
      </c>
      <c r="S350" s="59" t="str">
        <f>SUM(Hoja1!$I350:$P350)</f>
        <v>1</v>
      </c>
      <c r="T350" s="59" t="str">
        <f>IF(OR(Hoja1!$J350=1,Hoja1!$K350=1,Hoja1!$L350=1,Hoja1!$M350=1,Hoja1!$N350=1,Hoja1!$O350=1,Hoja1!$P350=1),"SI","NO")</f>
        <v>SI</v>
      </c>
      <c r="U350" s="59" t="str">
        <f>IF(OR(Hoja1!$K350=1,Hoja1!$L350=1,Hoja1!$M350=1,Hoja1!$N350=1,Hoja1!$O350=1,Hoja1!$P350=1),"SI","NO")</f>
        <v>SI</v>
      </c>
      <c r="V350" s="60">
        <v>0.0</v>
      </c>
      <c r="W350" s="61">
        <v>0.0</v>
      </c>
      <c r="X350" s="61">
        <v>0.0</v>
      </c>
      <c r="Y350" s="60">
        <v>0.0</v>
      </c>
      <c r="Z350" s="61">
        <v>0.0</v>
      </c>
      <c r="AA350" s="61">
        <v>0.0</v>
      </c>
      <c r="AB350" s="60">
        <v>0.0</v>
      </c>
      <c r="AC350" s="61">
        <v>0.0</v>
      </c>
      <c r="AD350" s="61">
        <v>0.0</v>
      </c>
      <c r="AE350" s="60">
        <v>0.0</v>
      </c>
      <c r="AF350" s="61">
        <v>0.0</v>
      </c>
      <c r="AG350" s="61">
        <v>0.0</v>
      </c>
      <c r="AH350" s="60">
        <v>0.0</v>
      </c>
      <c r="AI350" s="61">
        <v>13.0</v>
      </c>
      <c r="AJ350" s="61">
        <v>19.0</v>
      </c>
      <c r="AK350" s="60">
        <v>32.0</v>
      </c>
      <c r="AL350" s="61">
        <v>0.0</v>
      </c>
      <c r="AM350" s="61">
        <v>0.0</v>
      </c>
      <c r="AN350" s="60">
        <v>0.0</v>
      </c>
      <c r="AO350" s="62">
        <v>0.0</v>
      </c>
      <c r="AP350" s="62">
        <v>0.0</v>
      </c>
      <c r="AQ350" s="60">
        <v>0.0</v>
      </c>
      <c r="AR350" s="60" t="str">
        <f>IF(Hoja1!$AQ350&gt;0,Hoja1!$AQ350,IF(Hoja1!$AN350&gt;0,Hoja1!$AN350,IF(Hoja1!$AK350&gt;0,Hoja1!$AK350,IF(Hoja1!$AH350&gt;0,Hoja1!$AH350,IF(Hoja1!$AE350&gt;0,Hoja1!$AE350,IF(Hoja1!$AB350&gt;0,Hoja1!$AB350,IF(Hoja1!$Y350&gt;0,Hoja1!$Y350,IF(Hoja1!$V350&gt;0,Hoja1!$V350," ---"))))))))</f>
        <v>32</v>
      </c>
      <c r="AS350" s="63">
        <v>0.0</v>
      </c>
      <c r="AT350" s="63">
        <v>0.0</v>
      </c>
      <c r="AU350" s="63">
        <v>0.0</v>
      </c>
      <c r="AV350" s="63">
        <v>0.0</v>
      </c>
      <c r="AW350" s="63">
        <v>0.0</v>
      </c>
      <c r="AX350" s="63">
        <v>0.0</v>
      </c>
      <c r="AY350" s="63">
        <v>12.0</v>
      </c>
      <c r="AZ350" s="63">
        <v>5.0</v>
      </c>
      <c r="BA350" s="63">
        <v>0.0</v>
      </c>
      <c r="BB350" s="63">
        <v>0.0</v>
      </c>
      <c r="BC350" s="63">
        <v>0.0</v>
      </c>
      <c r="BD350" s="63">
        <v>0.0</v>
      </c>
      <c r="BE350" s="64">
        <v>0.0</v>
      </c>
      <c r="BF350" s="69">
        <v>0.0</v>
      </c>
      <c r="BG350" s="69">
        <v>0.0</v>
      </c>
      <c r="BH350" s="64">
        <v>0.0</v>
      </c>
      <c r="BI350" s="67" t="str">
        <f t="shared" si="133"/>
        <v>#REF!</v>
      </c>
      <c r="BJ350" s="68" t="str">
        <f t="shared" si="134"/>
        <v>#REF!</v>
      </c>
      <c r="BK350" s="69">
        <v>0.0</v>
      </c>
      <c r="BL350" s="69">
        <v>0.0</v>
      </c>
      <c r="BM350" s="64">
        <v>0.0</v>
      </c>
      <c r="BN350" s="67" t="str">
        <f t="shared" si="135"/>
        <v>#REF!</v>
      </c>
      <c r="BO350" s="68" t="str">
        <f t="shared" si="136"/>
        <v>#REF!</v>
      </c>
      <c r="BP350" s="65">
        <v>0.0</v>
      </c>
      <c r="BQ350" s="65">
        <v>0.0</v>
      </c>
      <c r="BR350" s="66">
        <v>0.0</v>
      </c>
      <c r="BS350" s="67" t="str">
        <f t="shared" si="137"/>
        <v>#REF!</v>
      </c>
      <c r="BT350" s="68" t="str">
        <f>'[1]DATA CONSOLIDADA 2018-2025 '!$BR423-Hoja1!$BO350</f>
        <v>#REF!</v>
      </c>
      <c r="BU350" s="69">
        <v>0.0</v>
      </c>
      <c r="BV350" s="65">
        <v>0.0</v>
      </c>
      <c r="BW350" s="66">
        <v>0.0</v>
      </c>
      <c r="BX350" s="67" t="str">
        <f t="shared" si="138"/>
        <v>#REF!</v>
      </c>
      <c r="BY350" s="68" t="str">
        <f t="shared" si="139"/>
        <v>#REF!</v>
      </c>
      <c r="BZ350" s="65">
        <v>31775.0</v>
      </c>
      <c r="CA350" s="65">
        <v>0.0</v>
      </c>
      <c r="CB350" s="66">
        <v>31775.0</v>
      </c>
      <c r="CC350" s="67" t="str">
        <f t="shared" si="140"/>
        <v>#REF!</v>
      </c>
      <c r="CD350" s="68" t="str">
        <f>'[1]DATA CONSOLIDADA 2018-2025 '!$CB423-Hoja1!$BW350</f>
        <v>#REF!</v>
      </c>
      <c r="CE350" s="70">
        <v>0.0</v>
      </c>
      <c r="CF350" s="70">
        <v>0.0</v>
      </c>
      <c r="CG350" s="71">
        <v>0.0</v>
      </c>
      <c r="CH350" s="67" t="str">
        <f t="shared" si="141"/>
        <v>#REF!</v>
      </c>
      <c r="CI350" s="68" t="str">
        <f>'[1]DATA CONSOLIDADA 2018-2025 '!$CG423-Hoja1!$CB350</f>
        <v>#REF!</v>
      </c>
      <c r="CJ350" s="64" t="str">
        <f>'[1]DATA CONSOLIDADA 2018-2025 '!$BE423+'[1]DATA CONSOLIDADA 2018-2025 '!$BH423+'[1]DATA CONSOLIDADA 2018-2025 '!$BM423+'[1]DATA CONSOLIDADA 2018-2025 '!$BR423+'[1]DATA CONSOLIDADA 2018-2025 '!$BW423+'[1]DATA CONSOLIDADA 2018-2025 '!$CB423+'[1]DATA CONSOLIDADA 2018-2025 '!$CG423</f>
        <v>#REF!</v>
      </c>
      <c r="CK350" s="64">
        <v>0.0</v>
      </c>
      <c r="CL350" s="64">
        <v>0.0</v>
      </c>
      <c r="CM350" s="64">
        <v>0.0</v>
      </c>
      <c r="CN350" s="64" t="str">
        <f t="shared" si="12"/>
        <v>#REF!</v>
      </c>
      <c r="CO350" s="68" t="str">
        <f>'[1]DATA CONSOLIDADA 2018-2025 '!$CM350-Hoja1!$CG350</f>
        <v>#REF!</v>
      </c>
      <c r="CP350" s="70">
        <v>2260.0</v>
      </c>
      <c r="CQ350" s="70">
        <v>29515.0</v>
      </c>
      <c r="CR350" s="70">
        <v>0.0</v>
      </c>
      <c r="CS350" s="70">
        <v>0.0</v>
      </c>
      <c r="CT350" s="70">
        <v>0.0</v>
      </c>
      <c r="CU350" s="70">
        <v>0.0</v>
      </c>
      <c r="CV350" s="64">
        <v>31775.0</v>
      </c>
      <c r="CW350" s="64">
        <v>0.0</v>
      </c>
      <c r="CX350" s="64">
        <v>0.0</v>
      </c>
      <c r="CY350" s="64">
        <v>0.0</v>
      </c>
      <c r="CZ350" s="64">
        <v>0.0</v>
      </c>
      <c r="DA350" s="64">
        <v>0.0</v>
      </c>
      <c r="DB350" s="64">
        <v>0.0</v>
      </c>
      <c r="DC350" s="72">
        <v>0.0</v>
      </c>
      <c r="DD350" s="72">
        <v>0.0</v>
      </c>
      <c r="DE350" s="72">
        <v>0.0</v>
      </c>
      <c r="DF350" s="72">
        <v>0.0</v>
      </c>
      <c r="DG350" s="72">
        <v>0.0</v>
      </c>
      <c r="DH350" s="72">
        <v>0.0</v>
      </c>
      <c r="DI350" s="73">
        <v>2.0607144347E10</v>
      </c>
      <c r="DJ350" s="74" t="s">
        <v>1234</v>
      </c>
      <c r="DK350" s="74" t="s">
        <v>138</v>
      </c>
      <c r="DL350" s="75"/>
      <c r="DM350" s="75"/>
      <c r="DN350" s="75"/>
      <c r="DO350" s="75"/>
      <c r="DP350" s="75"/>
      <c r="DQ350" s="75"/>
      <c r="DR350" s="75"/>
      <c r="DS350" s="75"/>
      <c r="DT350" s="75"/>
      <c r="DU350" s="75"/>
      <c r="DV350" s="75"/>
      <c r="DW350" s="75"/>
      <c r="DX350" s="75"/>
      <c r="DY350" s="75"/>
      <c r="DZ350" s="75"/>
      <c r="EA350" s="75"/>
      <c r="EB350" s="75"/>
      <c r="EC350" s="75"/>
      <c r="ED350" s="75"/>
      <c r="EE350" s="75"/>
    </row>
    <row r="351" ht="47.25" hidden="1" customHeight="1">
      <c r="A351" s="55" t="s">
        <v>1235</v>
      </c>
      <c r="B351" s="55" t="s">
        <v>287</v>
      </c>
      <c r="C351" s="55" t="s">
        <v>287</v>
      </c>
      <c r="D351" s="55" t="s">
        <v>408</v>
      </c>
      <c r="E351" s="55" t="s">
        <v>1236</v>
      </c>
      <c r="F351" s="55" t="s">
        <v>408</v>
      </c>
      <c r="G351" s="55" t="s">
        <v>428</v>
      </c>
      <c r="H351" s="55" t="s">
        <v>428</v>
      </c>
      <c r="I351" s="56"/>
      <c r="J351" s="56"/>
      <c r="K351" s="56"/>
      <c r="L351" s="56"/>
      <c r="M351" s="56"/>
      <c r="N351" s="56">
        <v>1.0</v>
      </c>
      <c r="O351" s="56">
        <v>1.0</v>
      </c>
      <c r="P351" s="56"/>
      <c r="Q351" s="56" t="s">
        <v>131</v>
      </c>
      <c r="R351" s="58" t="str">
        <f t="shared" si="1"/>
        <v>2023-2024</v>
      </c>
      <c r="S351" s="59" t="str">
        <f>SUM(Hoja1!$I351:$P351)</f>
        <v>2</v>
      </c>
      <c r="T351" s="59" t="str">
        <f>IF(OR(Hoja1!$J351=1,Hoja1!$K351=1,Hoja1!$L351=1,Hoja1!$M351=1,Hoja1!$N351=1,Hoja1!$O351=1,Hoja1!$P351=1),"SI","NO")</f>
        <v>SI</v>
      </c>
      <c r="U351" s="59" t="str">
        <f>IF(OR(Hoja1!$K351=1,Hoja1!$L351=1,Hoja1!$M351=1,Hoja1!$N351=1,Hoja1!$O351=1,Hoja1!$P351=1),"SI","NO")</f>
        <v>SI</v>
      </c>
      <c r="V351" s="60">
        <v>0.0</v>
      </c>
      <c r="W351" s="61">
        <v>0.0</v>
      </c>
      <c r="X351" s="61">
        <v>0.0</v>
      </c>
      <c r="Y351" s="60">
        <v>0.0</v>
      </c>
      <c r="Z351" s="61">
        <v>0.0</v>
      </c>
      <c r="AA351" s="61">
        <v>0.0</v>
      </c>
      <c r="AB351" s="60">
        <v>0.0</v>
      </c>
      <c r="AC351" s="61">
        <v>0.0</v>
      </c>
      <c r="AD351" s="61">
        <v>0.0</v>
      </c>
      <c r="AE351" s="60">
        <v>0.0</v>
      </c>
      <c r="AF351" s="61">
        <v>0.0</v>
      </c>
      <c r="AG351" s="61">
        <v>0.0</v>
      </c>
      <c r="AH351" s="60">
        <v>0.0</v>
      </c>
      <c r="AI351" s="61">
        <v>6.0</v>
      </c>
      <c r="AJ351" s="61">
        <v>9.0</v>
      </c>
      <c r="AK351" s="60">
        <v>15.0</v>
      </c>
      <c r="AL351" s="61">
        <v>8.0</v>
      </c>
      <c r="AM351" s="61">
        <v>7.0</v>
      </c>
      <c r="AN351" s="60">
        <v>15.0</v>
      </c>
      <c r="AO351" s="62">
        <v>0.0</v>
      </c>
      <c r="AP351" s="62">
        <v>0.0</v>
      </c>
      <c r="AQ351" s="60">
        <v>0.0</v>
      </c>
      <c r="AR351" s="60" t="str">
        <f>IF(Hoja1!$AQ351&gt;0,Hoja1!$AQ351,IF(Hoja1!$AN351&gt;0,Hoja1!$AN351,IF(Hoja1!$AK351&gt;0,Hoja1!$AK351,IF(Hoja1!$AH351&gt;0,Hoja1!$AH351,IF(Hoja1!$AE351&gt;0,Hoja1!$AE351,IF(Hoja1!$AB351&gt;0,Hoja1!$AB351,IF(Hoja1!$Y351&gt;0,Hoja1!$Y351,IF(Hoja1!$V351&gt;0,Hoja1!$V351," ---"))))))))</f>
        <v>15</v>
      </c>
      <c r="AS351" s="63">
        <v>0.0</v>
      </c>
      <c r="AT351" s="63">
        <v>0.0</v>
      </c>
      <c r="AU351" s="63">
        <v>0.0</v>
      </c>
      <c r="AV351" s="63">
        <v>0.0</v>
      </c>
      <c r="AW351" s="63">
        <v>0.0</v>
      </c>
      <c r="AX351" s="63">
        <v>0.0</v>
      </c>
      <c r="AY351" s="63">
        <v>47.0</v>
      </c>
      <c r="AZ351" s="63">
        <v>5.0</v>
      </c>
      <c r="BA351" s="63">
        <v>30.0</v>
      </c>
      <c r="BB351" s="63">
        <v>5.0</v>
      </c>
      <c r="BC351" s="63">
        <v>0.0</v>
      </c>
      <c r="BD351" s="63">
        <v>0.0</v>
      </c>
      <c r="BE351" s="64">
        <v>0.0</v>
      </c>
      <c r="BF351" s="69">
        <v>0.0</v>
      </c>
      <c r="BG351" s="69">
        <v>0.0</v>
      </c>
      <c r="BH351" s="64">
        <v>0.0</v>
      </c>
      <c r="BI351" s="67" t="str">
        <f t="shared" si="133"/>
        <v>#REF!</v>
      </c>
      <c r="BJ351" s="68" t="str">
        <f t="shared" si="134"/>
        <v>#REF!</v>
      </c>
      <c r="BK351" s="69">
        <v>0.0</v>
      </c>
      <c r="BL351" s="69">
        <v>0.0</v>
      </c>
      <c r="BM351" s="64">
        <v>0.0</v>
      </c>
      <c r="BN351" s="67" t="str">
        <f t="shared" si="135"/>
        <v>#REF!</v>
      </c>
      <c r="BO351" s="68" t="str">
        <f t="shared" si="136"/>
        <v>#REF!</v>
      </c>
      <c r="BP351" s="65">
        <v>0.0</v>
      </c>
      <c r="BQ351" s="65">
        <v>0.0</v>
      </c>
      <c r="BR351" s="66">
        <v>0.0</v>
      </c>
      <c r="BS351" s="67" t="str">
        <f t="shared" si="137"/>
        <v>#REF!</v>
      </c>
      <c r="BT351" s="68" t="str">
        <f>'[1]DATA CONSOLIDADA 2018-2025 '!$BR351-Hoja1!$BO351</f>
        <v>#REF!</v>
      </c>
      <c r="BU351" s="69">
        <v>0.0</v>
      </c>
      <c r="BV351" s="65">
        <v>0.0</v>
      </c>
      <c r="BW351" s="66">
        <v>0.0</v>
      </c>
      <c r="BX351" s="67" t="str">
        <f t="shared" si="138"/>
        <v>#REF!</v>
      </c>
      <c r="BY351" s="68" t="str">
        <f t="shared" si="139"/>
        <v>#REF!</v>
      </c>
      <c r="BZ351" s="65">
        <v>102162.0</v>
      </c>
      <c r="CA351" s="65">
        <v>0.0</v>
      </c>
      <c r="CB351" s="66">
        <v>102162.0</v>
      </c>
      <c r="CC351" s="67" t="str">
        <f t="shared" si="140"/>
        <v>#REF!</v>
      </c>
      <c r="CD351" s="68" t="str">
        <f>'[1]DATA CONSOLIDADA 2018-2025 '!$CB351-Hoja1!$BW351</f>
        <v>#REF!</v>
      </c>
      <c r="CE351" s="70">
        <v>91660.0</v>
      </c>
      <c r="CF351" s="70">
        <v>0.0</v>
      </c>
      <c r="CG351" s="71">
        <v>91660.0</v>
      </c>
      <c r="CH351" s="67" t="str">
        <f t="shared" si="141"/>
        <v>#REF!</v>
      </c>
      <c r="CI351" s="68" t="str">
        <f>'[1]DATA CONSOLIDADA 2018-2025 '!$CG351-Hoja1!$CB351</f>
        <v>#REF!</v>
      </c>
      <c r="CJ351" s="64" t="str">
        <f>'[1]DATA CONSOLIDADA 2018-2025 '!$BE351+'[1]DATA CONSOLIDADA 2018-2025 '!$BH351+'[1]DATA CONSOLIDADA 2018-2025 '!$BM351+'[1]DATA CONSOLIDADA 2018-2025 '!$BR351+'[1]DATA CONSOLIDADA 2018-2025 '!$BW351+'[1]DATA CONSOLIDADA 2018-2025 '!$CB351+'[1]DATA CONSOLIDADA 2018-2025 '!$CG351</f>
        <v>#REF!</v>
      </c>
      <c r="CK351" s="64">
        <v>0.0</v>
      </c>
      <c r="CL351" s="64">
        <v>0.0</v>
      </c>
      <c r="CM351" s="64">
        <v>0.0</v>
      </c>
      <c r="CN351" s="64" t="str">
        <f t="shared" si="12"/>
        <v>#REF!</v>
      </c>
      <c r="CO351" s="68" t="str">
        <f>'[1]DATA CONSOLIDADA 2018-2025 '!$CM351-Hoja1!$CG351</f>
        <v>#REF!</v>
      </c>
      <c r="CP351" s="70">
        <v>0.0</v>
      </c>
      <c r="CQ351" s="70">
        <v>102162.0026</v>
      </c>
      <c r="CR351" s="70">
        <v>0.0</v>
      </c>
      <c r="CS351" s="70">
        <v>0.0</v>
      </c>
      <c r="CT351" s="70">
        <v>0.0</v>
      </c>
      <c r="CU351" s="70">
        <v>0.0</v>
      </c>
      <c r="CV351" s="64">
        <v>102162.0026</v>
      </c>
      <c r="CW351" s="64">
        <v>0.0</v>
      </c>
      <c r="CX351" s="64">
        <v>91660.0</v>
      </c>
      <c r="CY351" s="64">
        <v>0.0</v>
      </c>
      <c r="CZ351" s="64">
        <v>0.0</v>
      </c>
      <c r="DA351" s="64">
        <v>0.0</v>
      </c>
      <c r="DB351" s="64">
        <v>91660.0</v>
      </c>
      <c r="DC351" s="72">
        <v>0.0</v>
      </c>
      <c r="DD351" s="72">
        <v>0.0</v>
      </c>
      <c r="DE351" s="72">
        <v>0.0</v>
      </c>
      <c r="DF351" s="72">
        <v>0.0</v>
      </c>
      <c r="DG351" s="72">
        <v>0.0</v>
      </c>
      <c r="DH351" s="72">
        <v>0.0</v>
      </c>
      <c r="DI351" s="73">
        <v>2.0601812151E10</v>
      </c>
      <c r="DJ351" s="74" t="s">
        <v>1237</v>
      </c>
      <c r="DK351" s="74" t="s">
        <v>138</v>
      </c>
      <c r="DL351" s="75"/>
      <c r="DM351" s="75"/>
      <c r="DN351" s="75"/>
      <c r="DO351" s="75"/>
      <c r="DP351" s="75"/>
      <c r="DQ351" s="75"/>
      <c r="DR351" s="75"/>
      <c r="DS351" s="75"/>
      <c r="DT351" s="75"/>
      <c r="DU351" s="75"/>
      <c r="DV351" s="75"/>
      <c r="DW351" s="75"/>
      <c r="DX351" s="75"/>
      <c r="DY351" s="75"/>
      <c r="DZ351" s="75"/>
      <c r="EA351" s="75"/>
      <c r="EB351" s="75"/>
      <c r="EC351" s="75"/>
      <c r="ED351" s="75"/>
      <c r="EE351" s="75"/>
    </row>
    <row r="352" ht="47.25" hidden="1" customHeight="1">
      <c r="A352" s="55" t="s">
        <v>1238</v>
      </c>
      <c r="B352" s="55" t="s">
        <v>455</v>
      </c>
      <c r="C352" s="55" t="s">
        <v>455</v>
      </c>
      <c r="D352" s="55" t="s">
        <v>408</v>
      </c>
      <c r="E352" s="55" t="s">
        <v>1239</v>
      </c>
      <c r="F352" s="55" t="s">
        <v>408</v>
      </c>
      <c r="G352" s="55" t="s">
        <v>408</v>
      </c>
      <c r="H352" s="55" t="s">
        <v>1240</v>
      </c>
      <c r="I352" s="56"/>
      <c r="J352" s="56"/>
      <c r="K352" s="56"/>
      <c r="L352" s="56"/>
      <c r="M352" s="56"/>
      <c r="N352" s="56">
        <v>1.0</v>
      </c>
      <c r="O352" s="56"/>
      <c r="P352" s="56"/>
      <c r="Q352" s="56" t="s">
        <v>131</v>
      </c>
      <c r="R352" s="58" t="str">
        <f t="shared" si="1"/>
        <v>2023</v>
      </c>
      <c r="S352" s="59" t="str">
        <f>SUM(Hoja1!$I352:$P352)</f>
        <v>1</v>
      </c>
      <c r="T352" s="59" t="str">
        <f>IF(OR(Hoja1!$J352=1,Hoja1!$K352=1,Hoja1!$L352=1,Hoja1!$M352=1,Hoja1!$N352=1,Hoja1!$O352=1,Hoja1!$P352=1),"SI","NO")</f>
        <v>SI</v>
      </c>
      <c r="U352" s="59" t="str">
        <f>IF(OR(Hoja1!$K352=1,Hoja1!$L352=1,Hoja1!$M352=1,Hoja1!$N352=1,Hoja1!$O352=1,Hoja1!$P352=1),"SI","NO")</f>
        <v>SI</v>
      </c>
      <c r="V352" s="60">
        <v>0.0</v>
      </c>
      <c r="W352" s="61">
        <v>0.0</v>
      </c>
      <c r="X352" s="61">
        <v>0.0</v>
      </c>
      <c r="Y352" s="60">
        <v>0.0</v>
      </c>
      <c r="Z352" s="61">
        <v>0.0</v>
      </c>
      <c r="AA352" s="61">
        <v>0.0</v>
      </c>
      <c r="AB352" s="60">
        <v>0.0</v>
      </c>
      <c r="AC352" s="61">
        <v>0.0</v>
      </c>
      <c r="AD352" s="61">
        <v>0.0</v>
      </c>
      <c r="AE352" s="60">
        <v>0.0</v>
      </c>
      <c r="AF352" s="61">
        <v>0.0</v>
      </c>
      <c r="AG352" s="61">
        <v>0.0</v>
      </c>
      <c r="AH352" s="60">
        <v>0.0</v>
      </c>
      <c r="AI352" s="61">
        <v>20.0</v>
      </c>
      <c r="AJ352" s="61">
        <v>17.0</v>
      </c>
      <c r="AK352" s="60">
        <v>37.0</v>
      </c>
      <c r="AL352" s="61">
        <v>0.0</v>
      </c>
      <c r="AM352" s="61">
        <v>0.0</v>
      </c>
      <c r="AN352" s="60">
        <v>0.0</v>
      </c>
      <c r="AO352" s="62">
        <v>0.0</v>
      </c>
      <c r="AP352" s="62">
        <v>0.0</v>
      </c>
      <c r="AQ352" s="60">
        <v>0.0</v>
      </c>
      <c r="AR352" s="60" t="str">
        <f>IF(Hoja1!$AQ352&gt;0,Hoja1!$AQ352,IF(Hoja1!$AN352&gt;0,Hoja1!$AN352,IF(Hoja1!$AK352&gt;0,Hoja1!$AK352,IF(Hoja1!$AH352&gt;0,Hoja1!$AH352,IF(Hoja1!$AE352&gt;0,Hoja1!$AE352,IF(Hoja1!$AB352&gt;0,Hoja1!$AB352,IF(Hoja1!$Y352&gt;0,Hoja1!$Y352,IF(Hoja1!$V352&gt;0,Hoja1!$V352," ---"))))))))</f>
        <v>37</v>
      </c>
      <c r="AS352" s="63">
        <v>0.0</v>
      </c>
      <c r="AT352" s="63">
        <v>0.0</v>
      </c>
      <c r="AU352" s="63">
        <v>0.0</v>
      </c>
      <c r="AV352" s="63">
        <v>0.0</v>
      </c>
      <c r="AW352" s="63">
        <v>0.0</v>
      </c>
      <c r="AX352" s="63">
        <v>0.0</v>
      </c>
      <c r="AY352" s="63">
        <v>12.0</v>
      </c>
      <c r="AZ352" s="63">
        <v>5.0</v>
      </c>
      <c r="BA352" s="63">
        <v>0.0</v>
      </c>
      <c r="BB352" s="63">
        <v>0.0</v>
      </c>
      <c r="BC352" s="63">
        <v>0.0</v>
      </c>
      <c r="BD352" s="63">
        <v>0.0</v>
      </c>
      <c r="BE352" s="64">
        <v>0.0</v>
      </c>
      <c r="BF352" s="69">
        <v>0.0</v>
      </c>
      <c r="BG352" s="69">
        <v>0.0</v>
      </c>
      <c r="BH352" s="64">
        <v>0.0</v>
      </c>
      <c r="BI352" s="67" t="str">
        <f t="shared" si="133"/>
        <v>#REF!</v>
      </c>
      <c r="BJ352" s="68" t="str">
        <f t="shared" si="134"/>
        <v>#REF!</v>
      </c>
      <c r="BK352" s="69">
        <v>0.0</v>
      </c>
      <c r="BL352" s="69">
        <v>0.0</v>
      </c>
      <c r="BM352" s="64">
        <v>0.0</v>
      </c>
      <c r="BN352" s="67" t="str">
        <f t="shared" si="135"/>
        <v>#REF!</v>
      </c>
      <c r="BO352" s="68" t="str">
        <f t="shared" si="136"/>
        <v>#REF!</v>
      </c>
      <c r="BP352" s="65">
        <v>0.0</v>
      </c>
      <c r="BQ352" s="65">
        <v>0.0</v>
      </c>
      <c r="BR352" s="66">
        <v>0.0</v>
      </c>
      <c r="BS352" s="67" t="str">
        <f t="shared" si="137"/>
        <v>#REF!</v>
      </c>
      <c r="BT352" s="68" t="str">
        <f>'[1]DATA CONSOLIDADA 2018-2025 '!$BR424-Hoja1!$BO352</f>
        <v>#REF!</v>
      </c>
      <c r="BU352" s="69">
        <v>0.0</v>
      </c>
      <c r="BV352" s="65">
        <v>0.0</v>
      </c>
      <c r="BW352" s="66">
        <v>0.0</v>
      </c>
      <c r="BX352" s="67" t="str">
        <f t="shared" si="138"/>
        <v>#REF!</v>
      </c>
      <c r="BY352" s="68" t="str">
        <f t="shared" si="139"/>
        <v>#REF!</v>
      </c>
      <c r="BZ352" s="65">
        <v>27609.0</v>
      </c>
      <c r="CA352" s="65">
        <v>0.0</v>
      </c>
      <c r="CB352" s="66">
        <v>27609.0</v>
      </c>
      <c r="CC352" s="67" t="str">
        <f t="shared" si="140"/>
        <v>#REF!</v>
      </c>
      <c r="CD352" s="68" t="str">
        <f>'[1]DATA CONSOLIDADA 2018-2025 '!$CB424-Hoja1!$BW352</f>
        <v>#REF!</v>
      </c>
      <c r="CE352" s="70">
        <v>0.0</v>
      </c>
      <c r="CF352" s="70">
        <v>0.0</v>
      </c>
      <c r="CG352" s="71">
        <v>0.0</v>
      </c>
      <c r="CH352" s="67" t="str">
        <f t="shared" si="141"/>
        <v>#REF!</v>
      </c>
      <c r="CI352" s="68" t="str">
        <f>'[1]DATA CONSOLIDADA 2018-2025 '!$CG424-Hoja1!$CB352</f>
        <v>#REF!</v>
      </c>
      <c r="CJ352" s="64" t="str">
        <f>'[1]DATA CONSOLIDADA 2018-2025 '!$BE424+'[1]DATA CONSOLIDADA 2018-2025 '!$BH424+'[1]DATA CONSOLIDADA 2018-2025 '!$BM424+'[1]DATA CONSOLIDADA 2018-2025 '!$BR424+'[1]DATA CONSOLIDADA 2018-2025 '!$BW424+'[1]DATA CONSOLIDADA 2018-2025 '!$CB424+'[1]DATA CONSOLIDADA 2018-2025 '!$CG424</f>
        <v>#REF!</v>
      </c>
      <c r="CK352" s="64">
        <v>0.0</v>
      </c>
      <c r="CL352" s="64">
        <v>0.0</v>
      </c>
      <c r="CM352" s="64">
        <v>0.0</v>
      </c>
      <c r="CN352" s="64" t="str">
        <f t="shared" si="12"/>
        <v>#REF!</v>
      </c>
      <c r="CO352" s="68" t="str">
        <f>'[1]DATA CONSOLIDADA 2018-2025 '!$CM352-Hoja1!$CG352</f>
        <v>#REF!</v>
      </c>
      <c r="CP352" s="70">
        <v>0.0</v>
      </c>
      <c r="CQ352" s="70">
        <v>27609.0</v>
      </c>
      <c r="CR352" s="70">
        <v>0.0</v>
      </c>
      <c r="CS352" s="70">
        <v>0.0</v>
      </c>
      <c r="CT352" s="70">
        <v>0.0</v>
      </c>
      <c r="CU352" s="70">
        <v>0.0</v>
      </c>
      <c r="CV352" s="64">
        <v>27609.0</v>
      </c>
      <c r="CW352" s="64">
        <v>0.0</v>
      </c>
      <c r="CX352" s="64">
        <v>0.0</v>
      </c>
      <c r="CY352" s="64">
        <v>0.0</v>
      </c>
      <c r="CZ352" s="64">
        <v>0.0</v>
      </c>
      <c r="DA352" s="64">
        <v>0.0</v>
      </c>
      <c r="DB352" s="64">
        <v>0.0</v>
      </c>
      <c r="DC352" s="72">
        <v>0.0</v>
      </c>
      <c r="DD352" s="72">
        <v>0.0</v>
      </c>
      <c r="DE352" s="72">
        <v>0.0</v>
      </c>
      <c r="DF352" s="72">
        <v>0.0</v>
      </c>
      <c r="DG352" s="72">
        <v>0.0</v>
      </c>
      <c r="DH352" s="72">
        <v>0.0</v>
      </c>
      <c r="DI352" s="73">
        <v>2.0607009261E10</v>
      </c>
      <c r="DJ352" s="74" t="s">
        <v>1238</v>
      </c>
      <c r="DK352" s="74" t="s">
        <v>138</v>
      </c>
      <c r="DL352" s="75"/>
      <c r="DM352" s="75"/>
      <c r="DN352" s="75"/>
      <c r="DO352" s="75"/>
      <c r="DP352" s="75"/>
      <c r="DQ352" s="75"/>
      <c r="DR352" s="75"/>
      <c r="DS352" s="75"/>
      <c r="DT352" s="75"/>
      <c r="DU352" s="75"/>
      <c r="DV352" s="75"/>
      <c r="DW352" s="75"/>
      <c r="DX352" s="75"/>
      <c r="DY352" s="75"/>
      <c r="DZ352" s="75"/>
      <c r="EA352" s="75"/>
      <c r="EB352" s="75"/>
      <c r="EC352" s="75"/>
      <c r="ED352" s="75"/>
      <c r="EE352" s="75"/>
    </row>
    <row r="353" ht="47.25" hidden="1" customHeight="1">
      <c r="A353" s="55" t="s">
        <v>1241</v>
      </c>
      <c r="B353" s="55" t="s">
        <v>287</v>
      </c>
      <c r="C353" s="55" t="s">
        <v>287</v>
      </c>
      <c r="D353" s="55" t="s">
        <v>408</v>
      </c>
      <c r="E353" s="55" t="s">
        <v>1242</v>
      </c>
      <c r="F353" s="55" t="s">
        <v>408</v>
      </c>
      <c r="G353" s="55" t="s">
        <v>408</v>
      </c>
      <c r="H353" s="55" t="s">
        <v>1243</v>
      </c>
      <c r="I353" s="56"/>
      <c r="J353" s="56"/>
      <c r="K353" s="56"/>
      <c r="L353" s="56"/>
      <c r="M353" s="56"/>
      <c r="N353" s="56">
        <v>1.0</v>
      </c>
      <c r="O353" s="56">
        <v>1.0</v>
      </c>
      <c r="P353" s="56">
        <v>1.0</v>
      </c>
      <c r="Q353" s="56" t="s">
        <v>131</v>
      </c>
      <c r="R353" s="58" t="str">
        <f t="shared" si="1"/>
        <v>2023-2024 - 2025</v>
      </c>
      <c r="S353" s="59" t="str">
        <f>SUM(Hoja1!$I353:$P353)</f>
        <v>3</v>
      </c>
      <c r="T353" s="59" t="str">
        <f>IF(OR(Hoja1!$J353=1,Hoja1!$K353=1,Hoja1!$L353=1,Hoja1!$M353=1,Hoja1!$N353=1,Hoja1!$O353=1,Hoja1!$P353=1),"SI","NO")</f>
        <v>SI</v>
      </c>
      <c r="U353" s="59" t="str">
        <f>IF(OR(Hoja1!$K353=1,Hoja1!$L353=1,Hoja1!$M353=1,Hoja1!$N353=1,Hoja1!$O353=1,Hoja1!$P353=1),"SI","NO")</f>
        <v>SI</v>
      </c>
      <c r="V353" s="60">
        <v>0.0</v>
      </c>
      <c r="W353" s="61">
        <v>0.0</v>
      </c>
      <c r="X353" s="61">
        <v>0.0</v>
      </c>
      <c r="Y353" s="60">
        <v>0.0</v>
      </c>
      <c r="Z353" s="61">
        <v>0.0</v>
      </c>
      <c r="AA353" s="61">
        <v>0.0</v>
      </c>
      <c r="AB353" s="60">
        <v>0.0</v>
      </c>
      <c r="AC353" s="61">
        <v>0.0</v>
      </c>
      <c r="AD353" s="61">
        <v>0.0</v>
      </c>
      <c r="AE353" s="60">
        <v>0.0</v>
      </c>
      <c r="AF353" s="61">
        <v>0.0</v>
      </c>
      <c r="AG353" s="61">
        <v>0.0</v>
      </c>
      <c r="AH353" s="60">
        <v>0.0</v>
      </c>
      <c r="AI353" s="61">
        <v>250.0</v>
      </c>
      <c r="AJ353" s="61">
        <v>42.0</v>
      </c>
      <c r="AK353" s="60">
        <v>292.0</v>
      </c>
      <c r="AL353" s="61">
        <v>199.0</v>
      </c>
      <c r="AM353" s="61">
        <v>93.0</v>
      </c>
      <c r="AN353" s="60">
        <v>292.0</v>
      </c>
      <c r="AO353" s="62">
        <v>24.0</v>
      </c>
      <c r="AP353" s="62">
        <v>5.0</v>
      </c>
      <c r="AQ353" s="60">
        <v>29.0</v>
      </c>
      <c r="AR353" s="60" t="str">
        <f>IF(Hoja1!$AQ353&gt;0,Hoja1!$AQ353,IF(Hoja1!$AN353&gt;0,Hoja1!$AN353,IF(Hoja1!$AK353&gt;0,Hoja1!$AK353,IF(Hoja1!$AH353&gt;0,Hoja1!$AH353,IF(Hoja1!$AE353&gt;0,Hoja1!$AE353,IF(Hoja1!$AB353&gt;0,Hoja1!$AB353,IF(Hoja1!$Y353&gt;0,Hoja1!$Y353,IF(Hoja1!$V353&gt;0,Hoja1!$V353," ---"))))))))</f>
        <v>29</v>
      </c>
      <c r="AS353" s="63">
        <v>0.0</v>
      </c>
      <c r="AT353" s="63">
        <v>0.0</v>
      </c>
      <c r="AU353" s="63">
        <v>0.0</v>
      </c>
      <c r="AV353" s="63">
        <v>0.0</v>
      </c>
      <c r="AW353" s="63">
        <v>0.0</v>
      </c>
      <c r="AX353" s="63">
        <v>0.0</v>
      </c>
      <c r="AY353" s="63">
        <v>47.0</v>
      </c>
      <c r="AZ353" s="63">
        <v>5.0</v>
      </c>
      <c r="BA353" s="63">
        <v>30.0</v>
      </c>
      <c r="BB353" s="63">
        <v>5.0</v>
      </c>
      <c r="BC353" s="63">
        <v>30.0</v>
      </c>
      <c r="BD353" s="63">
        <v>4.0</v>
      </c>
      <c r="BE353" s="64">
        <v>0.0</v>
      </c>
      <c r="BF353" s="69">
        <v>0.0</v>
      </c>
      <c r="BG353" s="69">
        <v>0.0</v>
      </c>
      <c r="BH353" s="64">
        <v>0.0</v>
      </c>
      <c r="BI353" s="67" t="str">
        <f t="shared" si="133"/>
        <v>#REF!</v>
      </c>
      <c r="BJ353" s="68" t="str">
        <f t="shared" si="134"/>
        <v>#REF!</v>
      </c>
      <c r="BK353" s="69">
        <v>0.0</v>
      </c>
      <c r="BL353" s="69">
        <v>0.0</v>
      </c>
      <c r="BM353" s="64">
        <v>0.0</v>
      </c>
      <c r="BN353" s="67" t="str">
        <f t="shared" si="135"/>
        <v>#REF!</v>
      </c>
      <c r="BO353" s="68" t="str">
        <f t="shared" si="136"/>
        <v>#REF!</v>
      </c>
      <c r="BP353" s="65">
        <v>0.0</v>
      </c>
      <c r="BQ353" s="65">
        <v>0.0</v>
      </c>
      <c r="BR353" s="66">
        <v>0.0</v>
      </c>
      <c r="BS353" s="67" t="str">
        <f t="shared" si="137"/>
        <v>#REF!</v>
      </c>
      <c r="BT353" s="68" t="str">
        <f>'[1]DATA CONSOLIDADA 2018-2025 '!$BR353-Hoja1!$BO353</f>
        <v>#REF!</v>
      </c>
      <c r="BU353" s="69">
        <v>0.0</v>
      </c>
      <c r="BV353" s="65">
        <v>0.0</v>
      </c>
      <c r="BW353" s="66">
        <v>0.0</v>
      </c>
      <c r="BX353" s="67" t="str">
        <f t="shared" si="138"/>
        <v>#REF!</v>
      </c>
      <c r="BY353" s="68" t="str">
        <f t="shared" si="139"/>
        <v>#REF!</v>
      </c>
      <c r="BZ353" s="65">
        <v>15015.6</v>
      </c>
      <c r="CA353" s="65">
        <v>0.0</v>
      </c>
      <c r="CB353" s="66">
        <v>15015.6</v>
      </c>
      <c r="CC353" s="67" t="str">
        <f t="shared" si="140"/>
        <v>#REF!</v>
      </c>
      <c r="CD353" s="68" t="str">
        <f>'[1]DATA CONSOLIDADA 2018-2025 '!$CB353-Hoja1!$BW353</f>
        <v>#REF!</v>
      </c>
      <c r="CE353" s="70">
        <v>17323.0</v>
      </c>
      <c r="CF353" s="70">
        <v>0.0</v>
      </c>
      <c r="CG353" s="71">
        <v>17323.0</v>
      </c>
      <c r="CH353" s="67" t="str">
        <f t="shared" si="141"/>
        <v>#REF!</v>
      </c>
      <c r="CI353" s="68" t="str">
        <f>'[1]DATA CONSOLIDADA 2018-2025 '!$CG353-Hoja1!$CB353</f>
        <v>#REF!</v>
      </c>
      <c r="CJ353" s="64" t="str">
        <f t="shared" ref="CJ353:CJ375" si="142">'[1]DATA CONSOLIDADA 2018-2025 '!$BE353+'[1]DATA CONSOLIDADA 2018-2025 '!$BH353+'[1]DATA CONSOLIDADA 2018-2025 '!$BM353+'[1]DATA CONSOLIDADA 2018-2025 '!$BR353+'[1]DATA CONSOLIDADA 2018-2025 '!$BW353+'[1]DATA CONSOLIDADA 2018-2025 '!$CB353+'[1]DATA CONSOLIDADA 2018-2025 '!$CG353</f>
        <v>#REF!</v>
      </c>
      <c r="CK353" s="64">
        <v>15800.0</v>
      </c>
      <c r="CL353" s="64">
        <v>0.0</v>
      </c>
      <c r="CM353" s="64">
        <v>15800.0</v>
      </c>
      <c r="CN353" s="64" t="str">
        <f t="shared" si="12"/>
        <v>#REF!</v>
      </c>
      <c r="CO353" s="68" t="str">
        <f>'[1]DATA CONSOLIDADA 2018-2025 '!$CM353-Hoja1!$CG353</f>
        <v>#REF!</v>
      </c>
      <c r="CP353" s="70">
        <v>0.0</v>
      </c>
      <c r="CQ353" s="70">
        <v>15015.599999999999</v>
      </c>
      <c r="CR353" s="70">
        <v>0.0</v>
      </c>
      <c r="CS353" s="70">
        <v>0.0</v>
      </c>
      <c r="CT353" s="70">
        <v>0.0</v>
      </c>
      <c r="CU353" s="70">
        <v>0.0</v>
      </c>
      <c r="CV353" s="64">
        <v>15015.599999999999</v>
      </c>
      <c r="CW353" s="64">
        <v>0.0</v>
      </c>
      <c r="CX353" s="64">
        <v>17323.0</v>
      </c>
      <c r="CY353" s="64">
        <v>0.0</v>
      </c>
      <c r="CZ353" s="64">
        <v>0.0</v>
      </c>
      <c r="DA353" s="64">
        <v>0.0</v>
      </c>
      <c r="DB353" s="64">
        <v>17323.0</v>
      </c>
      <c r="DC353" s="72">
        <v>0.0</v>
      </c>
      <c r="DD353" s="72">
        <v>15800.0</v>
      </c>
      <c r="DE353" s="72">
        <v>0.0</v>
      </c>
      <c r="DF353" s="72">
        <v>0.0</v>
      </c>
      <c r="DG353" s="72">
        <v>0.0</v>
      </c>
      <c r="DH353" s="72">
        <v>15800.0</v>
      </c>
      <c r="DI353" s="73">
        <v>2.0175089111E10</v>
      </c>
      <c r="DJ353" s="74" t="s">
        <v>1241</v>
      </c>
      <c r="DK353" s="74" t="s">
        <v>132</v>
      </c>
      <c r="DL353" s="75"/>
      <c r="DM353" s="75"/>
      <c r="DN353" s="75"/>
      <c r="DO353" s="75"/>
      <c r="DP353" s="75"/>
      <c r="DQ353" s="75"/>
      <c r="DR353" s="75"/>
      <c r="DS353" s="75"/>
      <c r="DT353" s="75"/>
      <c r="DU353" s="75"/>
      <c r="DV353" s="75"/>
      <c r="DW353" s="75"/>
      <c r="DX353" s="75"/>
      <c r="DY353" s="75"/>
      <c r="DZ353" s="75"/>
      <c r="EA353" s="75"/>
      <c r="EB353" s="75"/>
      <c r="EC353" s="75"/>
      <c r="ED353" s="75"/>
      <c r="EE353" s="75"/>
    </row>
    <row r="354" ht="47.25" hidden="1" customHeight="1">
      <c r="A354" s="55" t="s">
        <v>1244</v>
      </c>
      <c r="B354" s="55" t="s">
        <v>198</v>
      </c>
      <c r="C354" s="55" t="s">
        <v>1229</v>
      </c>
      <c r="D354" s="55" t="s">
        <v>408</v>
      </c>
      <c r="E354" s="55" t="s">
        <v>1245</v>
      </c>
      <c r="F354" s="55" t="s">
        <v>408</v>
      </c>
      <c r="G354" s="55" t="s">
        <v>408</v>
      </c>
      <c r="H354" s="55" t="s">
        <v>1246</v>
      </c>
      <c r="I354" s="56"/>
      <c r="J354" s="56"/>
      <c r="K354" s="56"/>
      <c r="L354" s="56"/>
      <c r="M354" s="56"/>
      <c r="N354" s="56">
        <v>1.0</v>
      </c>
      <c r="O354" s="56">
        <v>1.0</v>
      </c>
      <c r="P354" s="56">
        <v>1.0</v>
      </c>
      <c r="Q354" s="56" t="s">
        <v>131</v>
      </c>
      <c r="R354" s="58" t="str">
        <f t="shared" si="1"/>
        <v>2023-2024 - 2025</v>
      </c>
      <c r="S354" s="59" t="str">
        <f>SUM(Hoja1!$I354:$P354)</f>
        <v>3</v>
      </c>
      <c r="T354" s="59" t="str">
        <f>IF(OR(Hoja1!$J354=1,Hoja1!$K354=1,Hoja1!$L354=1,Hoja1!$M354=1,Hoja1!$N354=1,Hoja1!$O354=1,Hoja1!$P354=1),"SI","NO")</f>
        <v>SI</v>
      </c>
      <c r="U354" s="59" t="str">
        <f>IF(OR(Hoja1!$K354=1,Hoja1!$L354=1,Hoja1!$M354=1,Hoja1!$N354=1,Hoja1!$O354=1,Hoja1!$P354=1),"SI","NO")</f>
        <v>SI</v>
      </c>
      <c r="V354" s="60">
        <v>0.0</v>
      </c>
      <c r="W354" s="61">
        <v>0.0</v>
      </c>
      <c r="X354" s="61">
        <v>0.0</v>
      </c>
      <c r="Y354" s="60">
        <v>0.0</v>
      </c>
      <c r="Z354" s="61">
        <v>0.0</v>
      </c>
      <c r="AA354" s="61">
        <v>0.0</v>
      </c>
      <c r="AB354" s="60">
        <v>0.0</v>
      </c>
      <c r="AC354" s="61">
        <v>0.0</v>
      </c>
      <c r="AD354" s="61">
        <v>0.0</v>
      </c>
      <c r="AE354" s="60">
        <v>0.0</v>
      </c>
      <c r="AF354" s="61">
        <v>0.0</v>
      </c>
      <c r="AG354" s="61">
        <v>0.0</v>
      </c>
      <c r="AH354" s="60">
        <v>0.0</v>
      </c>
      <c r="AI354" s="61">
        <v>12.0</v>
      </c>
      <c r="AJ354" s="61">
        <v>15.0</v>
      </c>
      <c r="AK354" s="60">
        <v>27.0</v>
      </c>
      <c r="AL354" s="61">
        <v>12.0</v>
      </c>
      <c r="AM354" s="61">
        <v>15.0</v>
      </c>
      <c r="AN354" s="60">
        <v>27.0</v>
      </c>
      <c r="AO354" s="62">
        <v>13.0</v>
      </c>
      <c r="AP354" s="62">
        <v>5.0</v>
      </c>
      <c r="AQ354" s="60">
        <v>18.0</v>
      </c>
      <c r="AR354" s="60" t="str">
        <f>IF(Hoja1!$AQ354&gt;0,Hoja1!$AQ354,IF(Hoja1!$AN354&gt;0,Hoja1!$AN354,IF(Hoja1!$AK354&gt;0,Hoja1!$AK354,IF(Hoja1!$AH354&gt;0,Hoja1!$AH354,IF(Hoja1!$AE354&gt;0,Hoja1!$AE354,IF(Hoja1!$AB354&gt;0,Hoja1!$AB354,IF(Hoja1!$Y354&gt;0,Hoja1!$Y354,IF(Hoja1!$V354&gt;0,Hoja1!$V354," ---"))))))))</f>
        <v>18</v>
      </c>
      <c r="AS354" s="63">
        <v>0.0</v>
      </c>
      <c r="AT354" s="63">
        <v>0.0</v>
      </c>
      <c r="AU354" s="63">
        <v>0.0</v>
      </c>
      <c r="AV354" s="63">
        <v>0.0</v>
      </c>
      <c r="AW354" s="63">
        <v>0.0</v>
      </c>
      <c r="AX354" s="63">
        <v>0.0</v>
      </c>
      <c r="AY354" s="63">
        <v>28.0</v>
      </c>
      <c r="AZ354" s="63">
        <v>4.0</v>
      </c>
      <c r="BA354" s="63">
        <v>25.0</v>
      </c>
      <c r="BB354" s="63">
        <v>3.0</v>
      </c>
      <c r="BC354" s="63">
        <v>25.0</v>
      </c>
      <c r="BD354" s="63">
        <v>4.0</v>
      </c>
      <c r="BE354" s="64">
        <v>0.0</v>
      </c>
      <c r="BF354" s="69">
        <v>0.0</v>
      </c>
      <c r="BG354" s="69">
        <v>0.0</v>
      </c>
      <c r="BH354" s="64">
        <v>0.0</v>
      </c>
      <c r="BI354" s="67" t="str">
        <f t="shared" si="133"/>
        <v>#REF!</v>
      </c>
      <c r="BJ354" s="68" t="str">
        <f t="shared" si="134"/>
        <v>#REF!</v>
      </c>
      <c r="BK354" s="69">
        <v>0.0</v>
      </c>
      <c r="BL354" s="69">
        <v>0.0</v>
      </c>
      <c r="BM354" s="64">
        <v>0.0</v>
      </c>
      <c r="BN354" s="67" t="str">
        <f t="shared" si="135"/>
        <v>#REF!</v>
      </c>
      <c r="BO354" s="68" t="str">
        <f t="shared" si="136"/>
        <v>#REF!</v>
      </c>
      <c r="BP354" s="65">
        <v>0.0</v>
      </c>
      <c r="BQ354" s="65">
        <v>0.0</v>
      </c>
      <c r="BR354" s="66">
        <v>0.0</v>
      </c>
      <c r="BS354" s="67" t="str">
        <f t="shared" si="137"/>
        <v>#REF!</v>
      </c>
      <c r="BT354" s="68" t="str">
        <f>'[1]DATA CONSOLIDADA 2018-2025 '!$BR354-Hoja1!$BO354</f>
        <v>#REF!</v>
      </c>
      <c r="BU354" s="69">
        <v>0.0</v>
      </c>
      <c r="BV354" s="65">
        <v>0.0</v>
      </c>
      <c r="BW354" s="66">
        <v>0.0</v>
      </c>
      <c r="BX354" s="67" t="str">
        <f t="shared" si="138"/>
        <v>#REF!</v>
      </c>
      <c r="BY354" s="68" t="str">
        <f t="shared" si="139"/>
        <v>#REF!</v>
      </c>
      <c r="BZ354" s="65">
        <v>20996.0</v>
      </c>
      <c r="CA354" s="65">
        <v>0.0</v>
      </c>
      <c r="CB354" s="66">
        <v>20996.0</v>
      </c>
      <c r="CC354" s="67" t="str">
        <f t="shared" si="140"/>
        <v>#REF!</v>
      </c>
      <c r="CD354" s="68" t="str">
        <f>'[1]DATA CONSOLIDADA 2018-2025 '!$CB354-Hoja1!$BW354</f>
        <v>#REF!</v>
      </c>
      <c r="CE354" s="70">
        <v>70290.0</v>
      </c>
      <c r="CF354" s="70">
        <v>0.0</v>
      </c>
      <c r="CG354" s="71">
        <v>70290.0</v>
      </c>
      <c r="CH354" s="67" t="str">
        <f t="shared" si="141"/>
        <v>#REF!</v>
      </c>
      <c r="CI354" s="68" t="str">
        <f>'[1]DATA CONSOLIDADA 2018-2025 '!$CG354-Hoja1!$CB354</f>
        <v>#REF!</v>
      </c>
      <c r="CJ354" s="64" t="str">
        <f t="shared" si="142"/>
        <v>#REF!</v>
      </c>
      <c r="CK354" s="64">
        <v>83703.9969</v>
      </c>
      <c r="CL354" s="64">
        <v>0.0</v>
      </c>
      <c r="CM354" s="64">
        <v>83703.9969</v>
      </c>
      <c r="CN354" s="64" t="str">
        <f t="shared" si="12"/>
        <v>#REF!</v>
      </c>
      <c r="CO354" s="68" t="str">
        <f>'[1]DATA CONSOLIDADA 2018-2025 '!$CM354-Hoja1!$CG354</f>
        <v>#REF!</v>
      </c>
      <c r="CP354" s="70">
        <v>0.0</v>
      </c>
      <c r="CQ354" s="70">
        <v>20995.9985</v>
      </c>
      <c r="CR354" s="70">
        <v>0.0</v>
      </c>
      <c r="CS354" s="70">
        <v>0.0</v>
      </c>
      <c r="CT354" s="70">
        <v>0.0</v>
      </c>
      <c r="CU354" s="70">
        <v>0.0</v>
      </c>
      <c r="CV354" s="64">
        <v>20995.9985</v>
      </c>
      <c r="CW354" s="64">
        <v>0.0</v>
      </c>
      <c r="CX354" s="64">
        <v>70290.0</v>
      </c>
      <c r="CY354" s="64">
        <v>0.0</v>
      </c>
      <c r="CZ354" s="64">
        <v>0.0</v>
      </c>
      <c r="DA354" s="64">
        <v>0.0</v>
      </c>
      <c r="DB354" s="64">
        <v>70290.0</v>
      </c>
      <c r="DC354" s="72">
        <v>0.0</v>
      </c>
      <c r="DD354" s="72">
        <v>83403.9969</v>
      </c>
      <c r="DE354" s="72">
        <v>300.0</v>
      </c>
      <c r="DF354" s="72">
        <v>0.0</v>
      </c>
      <c r="DG354" s="72">
        <v>0.0</v>
      </c>
      <c r="DH354" s="72">
        <v>83703.9969</v>
      </c>
      <c r="DI354" s="73">
        <v>2.0570822242E10</v>
      </c>
      <c r="DJ354" s="74" t="s">
        <v>1244</v>
      </c>
      <c r="DK354" s="74" t="s">
        <v>138</v>
      </c>
      <c r="DL354" s="75"/>
      <c r="DM354" s="75"/>
      <c r="DN354" s="75"/>
      <c r="DO354" s="75"/>
      <c r="DP354" s="75"/>
      <c r="DQ354" s="75"/>
      <c r="DR354" s="75"/>
      <c r="DS354" s="75"/>
      <c r="DT354" s="75"/>
      <c r="DU354" s="75"/>
      <c r="DV354" s="75"/>
      <c r="DW354" s="75"/>
      <c r="DX354" s="75"/>
      <c r="DY354" s="75"/>
      <c r="DZ354" s="75"/>
      <c r="EA354" s="75"/>
      <c r="EB354" s="75"/>
      <c r="EC354" s="75"/>
      <c r="ED354" s="75"/>
      <c r="EE354" s="75"/>
    </row>
    <row r="355" ht="47.25" hidden="1" customHeight="1">
      <c r="A355" s="55" t="s">
        <v>1247</v>
      </c>
      <c r="B355" s="55" t="s">
        <v>166</v>
      </c>
      <c r="C355" s="55" t="s">
        <v>166</v>
      </c>
      <c r="D355" s="55" t="s">
        <v>408</v>
      </c>
      <c r="E355" s="55" t="s">
        <v>1248</v>
      </c>
      <c r="F355" s="55" t="s">
        <v>408</v>
      </c>
      <c r="G355" s="55" t="s">
        <v>457</v>
      </c>
      <c r="H355" s="55" t="s">
        <v>1249</v>
      </c>
      <c r="I355" s="56"/>
      <c r="J355" s="56"/>
      <c r="K355" s="56"/>
      <c r="L355" s="56"/>
      <c r="M355" s="56"/>
      <c r="N355" s="56">
        <v>1.0</v>
      </c>
      <c r="O355" s="56">
        <v>1.0</v>
      </c>
      <c r="P355" s="56">
        <v>1.0</v>
      </c>
      <c r="Q355" s="56" t="s">
        <v>131</v>
      </c>
      <c r="R355" s="58" t="str">
        <f t="shared" si="1"/>
        <v>2023-2024 - 2025</v>
      </c>
      <c r="S355" s="59" t="str">
        <f>SUM(Hoja1!$I355:$P355)</f>
        <v>3</v>
      </c>
      <c r="T355" s="59" t="str">
        <f>IF(OR(Hoja1!$J355=1,Hoja1!$K355=1,Hoja1!$L355=1,Hoja1!$M355=1,Hoja1!$N355=1,Hoja1!$O355=1,Hoja1!$P355=1),"SI","NO")</f>
        <v>SI</v>
      </c>
      <c r="U355" s="59" t="str">
        <f>IF(OR(Hoja1!$K355=1,Hoja1!$L355=1,Hoja1!$M355=1,Hoja1!$N355=1,Hoja1!$O355=1,Hoja1!$P355=1),"SI","NO")</f>
        <v>SI</v>
      </c>
      <c r="V355" s="60">
        <v>0.0</v>
      </c>
      <c r="W355" s="61">
        <v>0.0</v>
      </c>
      <c r="X355" s="61">
        <v>0.0</v>
      </c>
      <c r="Y355" s="60">
        <v>0.0</v>
      </c>
      <c r="Z355" s="61">
        <v>0.0</v>
      </c>
      <c r="AA355" s="61">
        <v>0.0</v>
      </c>
      <c r="AB355" s="60">
        <v>0.0</v>
      </c>
      <c r="AC355" s="61">
        <v>0.0</v>
      </c>
      <c r="AD355" s="61">
        <v>0.0</v>
      </c>
      <c r="AE355" s="60">
        <v>0.0</v>
      </c>
      <c r="AF355" s="61">
        <v>0.0</v>
      </c>
      <c r="AG355" s="61">
        <v>0.0</v>
      </c>
      <c r="AH355" s="60">
        <v>0.0</v>
      </c>
      <c r="AI355" s="61">
        <v>200.0</v>
      </c>
      <c r="AJ355" s="61">
        <v>44.0</v>
      </c>
      <c r="AK355" s="60">
        <v>244.0</v>
      </c>
      <c r="AL355" s="61">
        <v>15.0</v>
      </c>
      <c r="AM355" s="61">
        <v>5.0</v>
      </c>
      <c r="AN355" s="60">
        <v>20.0</v>
      </c>
      <c r="AO355" s="62">
        <v>12.0</v>
      </c>
      <c r="AP355" s="62">
        <v>8.0</v>
      </c>
      <c r="AQ355" s="60">
        <v>20.0</v>
      </c>
      <c r="AR355" s="60" t="str">
        <f>IF(Hoja1!$AQ355&gt;0,Hoja1!$AQ355,IF(Hoja1!$AN355&gt;0,Hoja1!$AN355,IF(Hoja1!$AK355&gt;0,Hoja1!$AK355,IF(Hoja1!$AH355&gt;0,Hoja1!$AH355,IF(Hoja1!$AE355&gt;0,Hoja1!$AE355,IF(Hoja1!$AB355&gt;0,Hoja1!$AB355,IF(Hoja1!$Y355&gt;0,Hoja1!$Y355,IF(Hoja1!$V355&gt;0,Hoja1!$V355," ---"))))))))</f>
        <v>20</v>
      </c>
      <c r="AS355" s="63">
        <v>0.0</v>
      </c>
      <c r="AT355" s="63">
        <v>0.0</v>
      </c>
      <c r="AU355" s="63">
        <v>0.0</v>
      </c>
      <c r="AV355" s="63">
        <v>0.0</v>
      </c>
      <c r="AW355" s="63">
        <v>0.0</v>
      </c>
      <c r="AX355" s="63">
        <v>0.0</v>
      </c>
      <c r="AY355" s="63">
        <v>32.0</v>
      </c>
      <c r="AZ355" s="63">
        <v>3.0</v>
      </c>
      <c r="BA355" s="63">
        <v>35.0</v>
      </c>
      <c r="BB355" s="63">
        <v>4.0</v>
      </c>
      <c r="BC355" s="63">
        <v>15.0</v>
      </c>
      <c r="BD355" s="63">
        <v>2.0</v>
      </c>
      <c r="BE355" s="64">
        <v>0.0</v>
      </c>
      <c r="BF355" s="69">
        <v>0.0</v>
      </c>
      <c r="BG355" s="69">
        <v>0.0</v>
      </c>
      <c r="BH355" s="64">
        <v>0.0</v>
      </c>
      <c r="BI355" s="67" t="str">
        <f t="shared" si="133"/>
        <v>#REF!</v>
      </c>
      <c r="BJ355" s="68" t="str">
        <f t="shared" si="134"/>
        <v>#REF!</v>
      </c>
      <c r="BK355" s="69">
        <v>0.0</v>
      </c>
      <c r="BL355" s="69">
        <v>0.0</v>
      </c>
      <c r="BM355" s="64">
        <v>0.0</v>
      </c>
      <c r="BN355" s="67" t="str">
        <f t="shared" si="135"/>
        <v>#REF!</v>
      </c>
      <c r="BO355" s="68" t="str">
        <f t="shared" si="136"/>
        <v>#REF!</v>
      </c>
      <c r="BP355" s="65">
        <v>0.0</v>
      </c>
      <c r="BQ355" s="65">
        <v>0.0</v>
      </c>
      <c r="BR355" s="66">
        <v>0.0</v>
      </c>
      <c r="BS355" s="67" t="str">
        <f t="shared" si="137"/>
        <v>#REF!</v>
      </c>
      <c r="BT355" s="68" t="str">
        <f>'[1]DATA CONSOLIDADA 2018-2025 '!$BR355-Hoja1!$BO355</f>
        <v>#REF!</v>
      </c>
      <c r="BU355" s="69">
        <v>0.0</v>
      </c>
      <c r="BV355" s="65">
        <v>0.0</v>
      </c>
      <c r="BW355" s="66">
        <v>0.0</v>
      </c>
      <c r="BX355" s="67" t="str">
        <f t="shared" si="138"/>
        <v>#REF!</v>
      </c>
      <c r="BY355" s="68" t="str">
        <f t="shared" si="139"/>
        <v>#REF!</v>
      </c>
      <c r="BZ355" s="65">
        <v>50000.0</v>
      </c>
      <c r="CA355" s="65">
        <v>0.0</v>
      </c>
      <c r="CB355" s="66">
        <v>50000.0</v>
      </c>
      <c r="CC355" s="67" t="str">
        <f t="shared" si="140"/>
        <v>#REF!</v>
      </c>
      <c r="CD355" s="68" t="str">
        <f>'[1]DATA CONSOLIDADA 2018-2025 '!$CB355-Hoja1!$BW355</f>
        <v>#REF!</v>
      </c>
      <c r="CE355" s="70">
        <v>159800.996676</v>
      </c>
      <c r="CF355" s="70">
        <v>0.0</v>
      </c>
      <c r="CG355" s="71">
        <v>159800.996676</v>
      </c>
      <c r="CH355" s="67" t="str">
        <f t="shared" si="141"/>
        <v>#REF!</v>
      </c>
      <c r="CI355" s="68" t="str">
        <f>'[1]DATA CONSOLIDADA 2018-2025 '!$CG355-Hoja1!$CB355</f>
        <v>#REF!</v>
      </c>
      <c r="CJ355" s="64" t="str">
        <f t="shared" si="142"/>
        <v>#REF!</v>
      </c>
      <c r="CK355" s="64">
        <v>40082.6</v>
      </c>
      <c r="CL355" s="64">
        <v>0.0</v>
      </c>
      <c r="CM355" s="64">
        <v>40082.6</v>
      </c>
      <c r="CN355" s="64" t="str">
        <f t="shared" si="12"/>
        <v>#REF!</v>
      </c>
      <c r="CO355" s="68" t="str">
        <f>'[1]DATA CONSOLIDADA 2018-2025 '!$CM355-Hoja1!$CG355</f>
        <v>#REF!</v>
      </c>
      <c r="CP355" s="70">
        <v>0.0</v>
      </c>
      <c r="CQ355" s="70">
        <v>50000.0</v>
      </c>
      <c r="CR355" s="70">
        <v>0.0</v>
      </c>
      <c r="CS355" s="70">
        <v>0.0</v>
      </c>
      <c r="CT355" s="70">
        <v>0.0</v>
      </c>
      <c r="CU355" s="70">
        <v>0.0</v>
      </c>
      <c r="CV355" s="64">
        <v>50000.0</v>
      </c>
      <c r="CW355" s="64">
        <v>0.0</v>
      </c>
      <c r="CX355" s="64">
        <v>159800.996676</v>
      </c>
      <c r="CY355" s="64">
        <v>0.0</v>
      </c>
      <c r="CZ355" s="64">
        <v>0.0</v>
      </c>
      <c r="DA355" s="64">
        <v>0.0</v>
      </c>
      <c r="DB355" s="64">
        <v>159800.996676</v>
      </c>
      <c r="DC355" s="72">
        <v>0.0</v>
      </c>
      <c r="DD355" s="72">
        <v>40082.6</v>
      </c>
      <c r="DE355" s="72">
        <v>0.0</v>
      </c>
      <c r="DF355" s="72">
        <v>0.0</v>
      </c>
      <c r="DG355" s="72">
        <v>0.0</v>
      </c>
      <c r="DH355" s="72">
        <v>40082.6</v>
      </c>
      <c r="DI355" s="73">
        <v>2.0606307625E10</v>
      </c>
      <c r="DJ355" s="74" t="s">
        <v>1247</v>
      </c>
      <c r="DK355" s="74" t="s">
        <v>138</v>
      </c>
      <c r="DL355" s="75"/>
      <c r="DM355" s="75"/>
      <c r="DN355" s="75"/>
      <c r="DO355" s="75"/>
      <c r="DP355" s="75"/>
      <c r="DQ355" s="75"/>
      <c r="DR355" s="75"/>
      <c r="DS355" s="75"/>
      <c r="DT355" s="75"/>
      <c r="DU355" s="75"/>
      <c r="DV355" s="75"/>
      <c r="DW355" s="75"/>
      <c r="DX355" s="75"/>
      <c r="DY355" s="75"/>
      <c r="DZ355" s="75"/>
      <c r="EA355" s="75"/>
      <c r="EB355" s="75"/>
      <c r="EC355" s="75"/>
      <c r="ED355" s="75"/>
      <c r="EE355" s="75"/>
    </row>
    <row r="356" ht="47.25" hidden="1" customHeight="1">
      <c r="A356" s="55" t="s">
        <v>1250</v>
      </c>
      <c r="B356" s="55" t="s">
        <v>166</v>
      </c>
      <c r="C356" s="55" t="s">
        <v>166</v>
      </c>
      <c r="D356" s="55" t="s">
        <v>408</v>
      </c>
      <c r="E356" s="55" t="s">
        <v>1251</v>
      </c>
      <c r="F356" s="55" t="s">
        <v>408</v>
      </c>
      <c r="G356" s="55" t="s">
        <v>376</v>
      </c>
      <c r="H356" s="55" t="s">
        <v>376</v>
      </c>
      <c r="I356" s="56"/>
      <c r="J356" s="56"/>
      <c r="K356" s="56"/>
      <c r="L356" s="56"/>
      <c r="M356" s="56"/>
      <c r="N356" s="56">
        <v>1.0</v>
      </c>
      <c r="O356" s="56">
        <v>1.0</v>
      </c>
      <c r="P356" s="56">
        <v>1.0</v>
      </c>
      <c r="Q356" s="56" t="s">
        <v>131</v>
      </c>
      <c r="R356" s="58" t="str">
        <f t="shared" si="1"/>
        <v>2023-2024 - 2025</v>
      </c>
      <c r="S356" s="59" t="str">
        <f>SUM(Hoja1!$I356:$P356)</f>
        <v>3</v>
      </c>
      <c r="T356" s="59" t="str">
        <f>IF(OR(Hoja1!$J356=1,Hoja1!$K356=1,Hoja1!$L356=1,Hoja1!$M356=1,Hoja1!$N356=1,Hoja1!$O356=1,Hoja1!$P356=1),"SI","NO")</f>
        <v>SI</v>
      </c>
      <c r="U356" s="59" t="str">
        <f>IF(OR(Hoja1!$K356=1,Hoja1!$L356=1,Hoja1!$M356=1,Hoja1!$N356=1,Hoja1!$O356=1,Hoja1!$P356=1),"SI","NO")</f>
        <v>SI</v>
      </c>
      <c r="V356" s="60">
        <v>0.0</v>
      </c>
      <c r="W356" s="61">
        <v>0.0</v>
      </c>
      <c r="X356" s="61">
        <v>0.0</v>
      </c>
      <c r="Y356" s="60">
        <v>0.0</v>
      </c>
      <c r="Z356" s="61">
        <v>0.0</v>
      </c>
      <c r="AA356" s="61">
        <v>0.0</v>
      </c>
      <c r="AB356" s="60">
        <v>0.0</v>
      </c>
      <c r="AC356" s="61">
        <v>0.0</v>
      </c>
      <c r="AD356" s="61">
        <v>0.0</v>
      </c>
      <c r="AE356" s="60">
        <v>0.0</v>
      </c>
      <c r="AF356" s="61">
        <v>0.0</v>
      </c>
      <c r="AG356" s="61">
        <v>0.0</v>
      </c>
      <c r="AH356" s="60">
        <v>0.0</v>
      </c>
      <c r="AI356" s="61">
        <v>16.0</v>
      </c>
      <c r="AJ356" s="61">
        <v>2.0</v>
      </c>
      <c r="AK356" s="60">
        <v>18.0</v>
      </c>
      <c r="AL356" s="61">
        <v>11.0</v>
      </c>
      <c r="AM356" s="61">
        <v>2.0</v>
      </c>
      <c r="AN356" s="60">
        <v>13.0</v>
      </c>
      <c r="AO356" s="62">
        <v>11.0</v>
      </c>
      <c r="AP356" s="62">
        <v>2.0</v>
      </c>
      <c r="AQ356" s="60">
        <v>13.0</v>
      </c>
      <c r="AR356" s="60" t="str">
        <f>IF(Hoja1!$AQ356&gt;0,Hoja1!$AQ356,IF(Hoja1!$AN356&gt;0,Hoja1!$AN356,IF(Hoja1!$AK356&gt;0,Hoja1!$AK356,IF(Hoja1!$AH356&gt;0,Hoja1!$AH356,IF(Hoja1!$AE356&gt;0,Hoja1!$AE356,IF(Hoja1!$AB356&gt;0,Hoja1!$AB356,IF(Hoja1!$Y356&gt;0,Hoja1!$Y356,IF(Hoja1!$V356&gt;0,Hoja1!$V356," ---"))))))))</f>
        <v>13</v>
      </c>
      <c r="AS356" s="63">
        <v>0.0</v>
      </c>
      <c r="AT356" s="63">
        <v>0.0</v>
      </c>
      <c r="AU356" s="63">
        <v>0.0</v>
      </c>
      <c r="AV356" s="63">
        <v>0.0</v>
      </c>
      <c r="AW356" s="63">
        <v>0.0</v>
      </c>
      <c r="AX356" s="63">
        <v>0.0</v>
      </c>
      <c r="AY356" s="63">
        <v>32.0</v>
      </c>
      <c r="AZ356" s="63">
        <v>3.0</v>
      </c>
      <c r="BA356" s="63">
        <v>34.0</v>
      </c>
      <c r="BB356" s="63">
        <v>4.0</v>
      </c>
      <c r="BC356" s="63">
        <v>15.0</v>
      </c>
      <c r="BD356" s="63">
        <v>2.0</v>
      </c>
      <c r="BE356" s="64">
        <v>0.0</v>
      </c>
      <c r="BF356" s="69">
        <v>0.0</v>
      </c>
      <c r="BG356" s="69">
        <v>0.0</v>
      </c>
      <c r="BH356" s="64">
        <v>0.0</v>
      </c>
      <c r="BI356" s="67" t="str">
        <f t="shared" si="133"/>
        <v>#REF!</v>
      </c>
      <c r="BJ356" s="68" t="str">
        <f t="shared" si="134"/>
        <v>#REF!</v>
      </c>
      <c r="BK356" s="69">
        <v>0.0</v>
      </c>
      <c r="BL356" s="69">
        <v>0.0</v>
      </c>
      <c r="BM356" s="64">
        <v>0.0</v>
      </c>
      <c r="BN356" s="67" t="str">
        <f t="shared" si="135"/>
        <v>#REF!</v>
      </c>
      <c r="BO356" s="68" t="str">
        <f t="shared" si="136"/>
        <v>#REF!</v>
      </c>
      <c r="BP356" s="65">
        <v>0.0</v>
      </c>
      <c r="BQ356" s="65">
        <v>0.0</v>
      </c>
      <c r="BR356" s="66">
        <v>0.0</v>
      </c>
      <c r="BS356" s="67" t="str">
        <f t="shared" si="137"/>
        <v>#REF!</v>
      </c>
      <c r="BT356" s="68" t="str">
        <f>'[1]DATA CONSOLIDADA 2018-2025 '!$BR356-Hoja1!$BO356</f>
        <v>#REF!</v>
      </c>
      <c r="BU356" s="69">
        <v>0.0</v>
      </c>
      <c r="BV356" s="65">
        <v>0.0</v>
      </c>
      <c r="BW356" s="66">
        <v>0.0</v>
      </c>
      <c r="BX356" s="67" t="str">
        <f t="shared" si="138"/>
        <v>#REF!</v>
      </c>
      <c r="BY356" s="68" t="str">
        <f t="shared" si="139"/>
        <v>#REF!</v>
      </c>
      <c r="BZ356" s="65">
        <v>50000.0</v>
      </c>
      <c r="CA356" s="65">
        <v>0.0</v>
      </c>
      <c r="CB356" s="66">
        <v>50000.0</v>
      </c>
      <c r="CC356" s="67" t="str">
        <f t="shared" si="140"/>
        <v>#REF!</v>
      </c>
      <c r="CD356" s="68" t="str">
        <f>'[1]DATA CONSOLIDADA 2018-2025 '!$CB356-Hoja1!$BW356</f>
        <v>#REF!</v>
      </c>
      <c r="CE356" s="70">
        <v>108548.0</v>
      </c>
      <c r="CF356" s="70">
        <v>0.0</v>
      </c>
      <c r="CG356" s="71">
        <v>108548.0</v>
      </c>
      <c r="CH356" s="67" t="str">
        <f t="shared" si="141"/>
        <v>#REF!</v>
      </c>
      <c r="CI356" s="68" t="str">
        <f>'[1]DATA CONSOLIDADA 2018-2025 '!$CG356-Hoja1!$CB356</f>
        <v>#REF!</v>
      </c>
      <c r="CJ356" s="64" t="str">
        <f t="shared" si="142"/>
        <v>#REF!</v>
      </c>
      <c r="CK356" s="64">
        <v>37089.7</v>
      </c>
      <c r="CL356" s="64">
        <v>0.0</v>
      </c>
      <c r="CM356" s="64">
        <v>37089.7</v>
      </c>
      <c r="CN356" s="64" t="str">
        <f t="shared" si="12"/>
        <v>#REF!</v>
      </c>
      <c r="CO356" s="68" t="str">
        <f>'[1]DATA CONSOLIDADA 2018-2025 '!$CM356-Hoja1!$CG356</f>
        <v>#REF!</v>
      </c>
      <c r="CP356" s="70">
        <v>0.0</v>
      </c>
      <c r="CQ356" s="70">
        <v>50000.0</v>
      </c>
      <c r="CR356" s="70">
        <v>0.0</v>
      </c>
      <c r="CS356" s="70">
        <v>0.0</v>
      </c>
      <c r="CT356" s="70">
        <v>0.0</v>
      </c>
      <c r="CU356" s="70">
        <v>0.0</v>
      </c>
      <c r="CV356" s="64">
        <v>50000.0</v>
      </c>
      <c r="CW356" s="64">
        <v>0.0</v>
      </c>
      <c r="CX356" s="64">
        <v>108548.0</v>
      </c>
      <c r="CY356" s="64">
        <v>0.0</v>
      </c>
      <c r="CZ356" s="64">
        <v>0.0</v>
      </c>
      <c r="DA356" s="64">
        <v>0.0</v>
      </c>
      <c r="DB356" s="64">
        <v>108548.0</v>
      </c>
      <c r="DC356" s="72">
        <v>0.0</v>
      </c>
      <c r="DD356" s="72">
        <v>37089.7</v>
      </c>
      <c r="DE356" s="72">
        <v>0.0</v>
      </c>
      <c r="DF356" s="72">
        <v>0.0</v>
      </c>
      <c r="DG356" s="72">
        <v>0.0</v>
      </c>
      <c r="DH356" s="72">
        <v>37089.7</v>
      </c>
      <c r="DI356" s="73">
        <v>2.0611180625E10</v>
      </c>
      <c r="DJ356" s="74" t="s">
        <v>1250</v>
      </c>
      <c r="DK356" s="74" t="s">
        <v>138</v>
      </c>
      <c r="DL356" s="75"/>
      <c r="DM356" s="75"/>
      <c r="DN356" s="75"/>
      <c r="DO356" s="75"/>
      <c r="DP356" s="75"/>
      <c r="DQ356" s="75"/>
      <c r="DR356" s="75"/>
      <c r="DS356" s="75"/>
      <c r="DT356" s="75"/>
      <c r="DU356" s="75"/>
      <c r="DV356" s="75"/>
      <c r="DW356" s="75"/>
      <c r="DX356" s="75"/>
      <c r="DY356" s="75"/>
      <c r="DZ356" s="75"/>
      <c r="EA356" s="75"/>
      <c r="EB356" s="75"/>
      <c r="EC356" s="75"/>
      <c r="ED356" s="75"/>
      <c r="EE356" s="75"/>
    </row>
    <row r="357" ht="47.25" hidden="1" customHeight="1">
      <c r="A357" s="55" t="s">
        <v>1252</v>
      </c>
      <c r="B357" s="55" t="s">
        <v>198</v>
      </c>
      <c r="C357" s="55" t="s">
        <v>1229</v>
      </c>
      <c r="D357" s="55" t="s">
        <v>408</v>
      </c>
      <c r="E357" s="55" t="s">
        <v>1253</v>
      </c>
      <c r="F357" s="55" t="s">
        <v>408</v>
      </c>
      <c r="G357" s="55" t="s">
        <v>1254</v>
      </c>
      <c r="H357" s="55" t="s">
        <v>1254</v>
      </c>
      <c r="I357" s="56"/>
      <c r="J357" s="56"/>
      <c r="K357" s="56"/>
      <c r="L357" s="56"/>
      <c r="M357" s="56"/>
      <c r="N357" s="56">
        <v>1.0</v>
      </c>
      <c r="O357" s="56">
        <v>1.0</v>
      </c>
      <c r="P357" s="56">
        <v>1.0</v>
      </c>
      <c r="Q357" s="56" t="s">
        <v>131</v>
      </c>
      <c r="R357" s="58" t="str">
        <f t="shared" si="1"/>
        <v>2023-2024 - 2025</v>
      </c>
      <c r="S357" s="59" t="str">
        <f>SUM(Hoja1!$I357:$P357)</f>
        <v>3</v>
      </c>
      <c r="T357" s="59" t="str">
        <f>IF(OR(Hoja1!$J357=1,Hoja1!$K357=1,Hoja1!$L357=1,Hoja1!$M357=1,Hoja1!$N357=1,Hoja1!$O357=1,Hoja1!$P357=1),"SI","NO")</f>
        <v>SI</v>
      </c>
      <c r="U357" s="59" t="str">
        <f>IF(OR(Hoja1!$K357=1,Hoja1!$L357=1,Hoja1!$M357=1,Hoja1!$N357=1,Hoja1!$O357=1,Hoja1!$P357=1),"SI","NO")</f>
        <v>SI</v>
      </c>
      <c r="V357" s="60">
        <v>0.0</v>
      </c>
      <c r="W357" s="61">
        <v>0.0</v>
      </c>
      <c r="X357" s="61">
        <v>0.0</v>
      </c>
      <c r="Y357" s="60">
        <v>0.0</v>
      </c>
      <c r="Z357" s="61">
        <v>0.0</v>
      </c>
      <c r="AA357" s="61">
        <v>0.0</v>
      </c>
      <c r="AB357" s="60">
        <v>0.0</v>
      </c>
      <c r="AC357" s="61">
        <v>0.0</v>
      </c>
      <c r="AD357" s="61">
        <v>0.0</v>
      </c>
      <c r="AE357" s="60">
        <v>0.0</v>
      </c>
      <c r="AF357" s="61">
        <v>0.0</v>
      </c>
      <c r="AG357" s="61">
        <v>0.0</v>
      </c>
      <c r="AH357" s="60">
        <v>0.0</v>
      </c>
      <c r="AI357" s="61">
        <v>80.0</v>
      </c>
      <c r="AJ357" s="61">
        <v>25.0</v>
      </c>
      <c r="AK357" s="60">
        <v>105.0</v>
      </c>
      <c r="AL357" s="61">
        <v>15.0</v>
      </c>
      <c r="AM357" s="61">
        <v>5.0</v>
      </c>
      <c r="AN357" s="60">
        <v>20.0</v>
      </c>
      <c r="AO357" s="62">
        <v>10.0</v>
      </c>
      <c r="AP357" s="62">
        <v>16.0</v>
      </c>
      <c r="AQ357" s="60">
        <v>26.0</v>
      </c>
      <c r="AR357" s="60" t="str">
        <f>IF(Hoja1!$AQ357&gt;0,Hoja1!$AQ357,IF(Hoja1!$AN357&gt;0,Hoja1!$AN357,IF(Hoja1!$AK357&gt;0,Hoja1!$AK357,IF(Hoja1!$AH357&gt;0,Hoja1!$AH357,IF(Hoja1!$AE357&gt;0,Hoja1!$AE357,IF(Hoja1!$AB357&gt;0,Hoja1!$AB357,IF(Hoja1!$Y357&gt;0,Hoja1!$Y357,IF(Hoja1!$V357&gt;0,Hoja1!$V357," ---"))))))))</f>
        <v>26</v>
      </c>
      <c r="AS357" s="63">
        <v>0.0</v>
      </c>
      <c r="AT357" s="63">
        <v>0.0</v>
      </c>
      <c r="AU357" s="63">
        <v>0.0</v>
      </c>
      <c r="AV357" s="63">
        <v>0.0</v>
      </c>
      <c r="AW357" s="63">
        <v>0.0</v>
      </c>
      <c r="AX357" s="63">
        <v>0.0</v>
      </c>
      <c r="AY357" s="63">
        <v>27.0</v>
      </c>
      <c r="AZ357" s="63">
        <v>3.0</v>
      </c>
      <c r="BA357" s="63">
        <v>25.0</v>
      </c>
      <c r="BB357" s="63">
        <v>3.0</v>
      </c>
      <c r="BC357" s="63">
        <v>25.0</v>
      </c>
      <c r="BD357" s="63">
        <v>4.0</v>
      </c>
      <c r="BE357" s="64">
        <v>0.0</v>
      </c>
      <c r="BF357" s="69">
        <v>0.0</v>
      </c>
      <c r="BG357" s="69">
        <v>0.0</v>
      </c>
      <c r="BH357" s="64">
        <v>0.0</v>
      </c>
      <c r="BI357" s="67" t="str">
        <f t="shared" si="133"/>
        <v>#REF!</v>
      </c>
      <c r="BJ357" s="68" t="str">
        <f t="shared" si="134"/>
        <v>#REF!</v>
      </c>
      <c r="BK357" s="69">
        <v>0.0</v>
      </c>
      <c r="BL357" s="69">
        <v>0.0</v>
      </c>
      <c r="BM357" s="64">
        <v>0.0</v>
      </c>
      <c r="BN357" s="67" t="str">
        <f t="shared" si="135"/>
        <v>#REF!</v>
      </c>
      <c r="BO357" s="68" t="str">
        <f t="shared" si="136"/>
        <v>#REF!</v>
      </c>
      <c r="BP357" s="65">
        <v>0.0</v>
      </c>
      <c r="BQ357" s="65">
        <v>0.0</v>
      </c>
      <c r="BR357" s="66">
        <v>0.0</v>
      </c>
      <c r="BS357" s="67" t="str">
        <f t="shared" si="137"/>
        <v>#REF!</v>
      </c>
      <c r="BT357" s="68" t="str">
        <f>'[1]DATA CONSOLIDADA 2018-2025 '!$BR357-Hoja1!$BO357</f>
        <v>#REF!</v>
      </c>
      <c r="BU357" s="69">
        <v>0.0</v>
      </c>
      <c r="BV357" s="65">
        <v>0.0</v>
      </c>
      <c r="BW357" s="66">
        <v>0.0</v>
      </c>
      <c r="BX357" s="67" t="str">
        <f t="shared" si="138"/>
        <v>#REF!</v>
      </c>
      <c r="BY357" s="68" t="str">
        <f t="shared" si="139"/>
        <v>#REF!</v>
      </c>
      <c r="BZ357" s="65">
        <v>33500.0</v>
      </c>
      <c r="CA357" s="65">
        <v>0.0</v>
      </c>
      <c r="CB357" s="66">
        <v>33500.0</v>
      </c>
      <c r="CC357" s="67" t="str">
        <f t="shared" si="140"/>
        <v>#REF!</v>
      </c>
      <c r="CD357" s="68" t="str">
        <f>'[1]DATA CONSOLIDADA 2018-2025 '!$CB357-Hoja1!$BW357</f>
        <v>#REF!</v>
      </c>
      <c r="CE357" s="70">
        <v>36486.0</v>
      </c>
      <c r="CF357" s="70">
        <v>0.0</v>
      </c>
      <c r="CG357" s="71">
        <v>36486.0</v>
      </c>
      <c r="CH357" s="67" t="str">
        <f t="shared" si="141"/>
        <v>#REF!</v>
      </c>
      <c r="CI357" s="68" t="str">
        <f>'[1]DATA CONSOLIDADA 2018-2025 '!$CG357-Hoja1!$CB357</f>
        <v>#REF!</v>
      </c>
      <c r="CJ357" s="64" t="str">
        <f t="shared" si="142"/>
        <v>#REF!</v>
      </c>
      <c r="CK357" s="64">
        <v>39920.3699981</v>
      </c>
      <c r="CL357" s="64">
        <v>0.0</v>
      </c>
      <c r="CM357" s="64">
        <v>39920.3699981</v>
      </c>
      <c r="CN357" s="64" t="str">
        <f t="shared" si="12"/>
        <v>#REF!</v>
      </c>
      <c r="CO357" s="68" t="str">
        <f>'[1]DATA CONSOLIDADA 2018-2025 '!$CM357-Hoja1!$CG357</f>
        <v>#REF!</v>
      </c>
      <c r="CP357" s="70">
        <v>0.0</v>
      </c>
      <c r="CQ357" s="70">
        <v>33499.997</v>
      </c>
      <c r="CR357" s="70">
        <v>0.0</v>
      </c>
      <c r="CS357" s="70">
        <v>0.0</v>
      </c>
      <c r="CT357" s="70">
        <v>0.0</v>
      </c>
      <c r="CU357" s="70">
        <v>0.0</v>
      </c>
      <c r="CV357" s="64">
        <v>33499.997</v>
      </c>
      <c r="CW357" s="64">
        <v>0.0</v>
      </c>
      <c r="CX357" s="64">
        <v>36486.0</v>
      </c>
      <c r="CY357" s="64">
        <v>0.0</v>
      </c>
      <c r="CZ357" s="64">
        <v>0.0</v>
      </c>
      <c r="DA357" s="64">
        <v>0.0</v>
      </c>
      <c r="DB357" s="64">
        <v>36486.0</v>
      </c>
      <c r="DC357" s="72">
        <v>0.0</v>
      </c>
      <c r="DD357" s="72">
        <v>39920.3699981</v>
      </c>
      <c r="DE357" s="72">
        <v>0.0</v>
      </c>
      <c r="DF357" s="72">
        <v>0.0</v>
      </c>
      <c r="DG357" s="72">
        <v>0.0</v>
      </c>
      <c r="DH357" s="72">
        <v>39920.3699981</v>
      </c>
      <c r="DI357" s="73">
        <v>2.0570839056E10</v>
      </c>
      <c r="DJ357" s="74" t="s">
        <v>1252</v>
      </c>
      <c r="DK357" s="74" t="s">
        <v>138</v>
      </c>
      <c r="DL357" s="75"/>
      <c r="DM357" s="75"/>
      <c r="DN357" s="75"/>
      <c r="DO357" s="75"/>
      <c r="DP357" s="75"/>
      <c r="DQ357" s="75"/>
      <c r="DR357" s="75"/>
      <c r="DS357" s="75"/>
      <c r="DT357" s="75"/>
      <c r="DU357" s="75"/>
      <c r="DV357" s="75"/>
      <c r="DW357" s="75"/>
      <c r="DX357" s="75"/>
      <c r="DY357" s="75"/>
      <c r="DZ357" s="75"/>
      <c r="EA357" s="75"/>
      <c r="EB357" s="75"/>
      <c r="EC357" s="75"/>
      <c r="ED357" s="75"/>
      <c r="EE357" s="75"/>
    </row>
    <row r="358" ht="47.25" hidden="1" customHeight="1">
      <c r="A358" s="55" t="s">
        <v>1255</v>
      </c>
      <c r="B358" s="55" t="s">
        <v>449</v>
      </c>
      <c r="C358" s="55" t="s">
        <v>780</v>
      </c>
      <c r="D358" s="55" t="s">
        <v>434</v>
      </c>
      <c r="E358" s="55" t="s">
        <v>521</v>
      </c>
      <c r="F358" s="55" t="s">
        <v>434</v>
      </c>
      <c r="G358" s="55" t="s">
        <v>470</v>
      </c>
      <c r="H358" s="55" t="s">
        <v>522</v>
      </c>
      <c r="I358" s="56"/>
      <c r="J358" s="56"/>
      <c r="K358" s="56"/>
      <c r="L358" s="56"/>
      <c r="M358" s="56"/>
      <c r="N358" s="56">
        <v>1.0</v>
      </c>
      <c r="O358" s="56">
        <v>1.0</v>
      </c>
      <c r="P358" s="56">
        <v>1.0</v>
      </c>
      <c r="Q358" s="56" t="s">
        <v>131</v>
      </c>
      <c r="R358" s="58" t="str">
        <f t="shared" si="1"/>
        <v>2023-2024 - 2025</v>
      </c>
      <c r="S358" s="59" t="str">
        <f>SUM(Hoja1!$I358:$P358)</f>
        <v>3</v>
      </c>
      <c r="T358" s="59" t="str">
        <f>IF(OR(Hoja1!$J358=1,Hoja1!$K358=1,Hoja1!$L358=1,Hoja1!$M358=1,Hoja1!$N358=1,Hoja1!$O358=1,Hoja1!$P358=1),"SI","NO")</f>
        <v>SI</v>
      </c>
      <c r="U358" s="59" t="str">
        <f>IF(OR(Hoja1!$K358=1,Hoja1!$L358=1,Hoja1!$M358=1,Hoja1!$N358=1,Hoja1!$O358=1,Hoja1!$P358=1),"SI","NO")</f>
        <v>SI</v>
      </c>
      <c r="V358" s="60">
        <v>0.0</v>
      </c>
      <c r="W358" s="61">
        <v>0.0</v>
      </c>
      <c r="X358" s="61">
        <v>0.0</v>
      </c>
      <c r="Y358" s="60">
        <v>0.0</v>
      </c>
      <c r="Z358" s="61">
        <v>0.0</v>
      </c>
      <c r="AA358" s="61">
        <v>0.0</v>
      </c>
      <c r="AB358" s="60">
        <v>0.0</v>
      </c>
      <c r="AC358" s="61">
        <v>0.0</v>
      </c>
      <c r="AD358" s="61">
        <v>0.0</v>
      </c>
      <c r="AE358" s="60">
        <v>0.0</v>
      </c>
      <c r="AF358" s="61">
        <v>0.0</v>
      </c>
      <c r="AG358" s="61">
        <v>0.0</v>
      </c>
      <c r="AH358" s="60">
        <v>0.0</v>
      </c>
      <c r="AI358" s="61">
        <v>24.0</v>
      </c>
      <c r="AJ358" s="61">
        <v>12.0</v>
      </c>
      <c r="AK358" s="60">
        <v>36.0</v>
      </c>
      <c r="AL358" s="61">
        <v>24.0</v>
      </c>
      <c r="AM358" s="61">
        <v>12.0</v>
      </c>
      <c r="AN358" s="60">
        <v>36.0</v>
      </c>
      <c r="AO358" s="62">
        <v>24.0</v>
      </c>
      <c r="AP358" s="62">
        <v>39.0</v>
      </c>
      <c r="AQ358" s="60">
        <v>63.0</v>
      </c>
      <c r="AR358" s="60" t="str">
        <f>IF(Hoja1!$AQ358&gt;0,Hoja1!$AQ358,IF(Hoja1!$AN358&gt;0,Hoja1!$AN358,IF(Hoja1!$AK358&gt;0,Hoja1!$AK358,IF(Hoja1!$AH358&gt;0,Hoja1!$AH358,IF(Hoja1!$AE358&gt;0,Hoja1!$AE358,IF(Hoja1!$AB358&gt;0,Hoja1!$AB358,IF(Hoja1!$Y358&gt;0,Hoja1!$Y358,IF(Hoja1!$V358&gt;0,Hoja1!$V358," ---"))))))))</f>
        <v>63</v>
      </c>
      <c r="AS358" s="63">
        <v>0.0</v>
      </c>
      <c r="AT358" s="63">
        <v>0.0</v>
      </c>
      <c r="AU358" s="63">
        <v>0.0</v>
      </c>
      <c r="AV358" s="63">
        <v>0.0</v>
      </c>
      <c r="AW358" s="63">
        <v>0.0</v>
      </c>
      <c r="AX358" s="63">
        <v>0.0</v>
      </c>
      <c r="AY358" s="63">
        <v>23.0</v>
      </c>
      <c r="AZ358" s="63">
        <v>5.0</v>
      </c>
      <c r="BA358" s="63">
        <v>22.0</v>
      </c>
      <c r="BB358" s="63">
        <v>4.0</v>
      </c>
      <c r="BC358" s="63">
        <v>11.0</v>
      </c>
      <c r="BD358" s="63">
        <v>2.0</v>
      </c>
      <c r="BE358" s="64">
        <v>0.0</v>
      </c>
      <c r="BF358" s="69">
        <v>0.0</v>
      </c>
      <c r="BG358" s="69">
        <v>0.0</v>
      </c>
      <c r="BH358" s="64">
        <v>0.0</v>
      </c>
      <c r="BI358" s="67" t="str">
        <f t="shared" si="133"/>
        <v>#REF!</v>
      </c>
      <c r="BJ358" s="68" t="str">
        <f t="shared" si="134"/>
        <v>#REF!</v>
      </c>
      <c r="BK358" s="69">
        <v>0.0</v>
      </c>
      <c r="BL358" s="69">
        <v>0.0</v>
      </c>
      <c r="BM358" s="64">
        <v>0.0</v>
      </c>
      <c r="BN358" s="67" t="str">
        <f t="shared" si="135"/>
        <v>#REF!</v>
      </c>
      <c r="BO358" s="68" t="str">
        <f t="shared" si="136"/>
        <v>#REF!</v>
      </c>
      <c r="BP358" s="65">
        <v>0.0</v>
      </c>
      <c r="BQ358" s="65">
        <v>0.0</v>
      </c>
      <c r="BR358" s="66">
        <v>0.0</v>
      </c>
      <c r="BS358" s="67" t="str">
        <f t="shared" si="137"/>
        <v>#REF!</v>
      </c>
      <c r="BT358" s="68" t="str">
        <f>'[1]DATA CONSOLIDADA 2018-2025 '!$BR358-Hoja1!$BO358</f>
        <v>#REF!</v>
      </c>
      <c r="BU358" s="69">
        <v>0.0</v>
      </c>
      <c r="BV358" s="65">
        <v>0.0</v>
      </c>
      <c r="BW358" s="66">
        <v>0.0</v>
      </c>
      <c r="BX358" s="67" t="str">
        <f t="shared" si="138"/>
        <v>#REF!</v>
      </c>
      <c r="BY358" s="68" t="str">
        <f t="shared" si="139"/>
        <v>#REF!</v>
      </c>
      <c r="BZ358" s="65">
        <v>285700.0</v>
      </c>
      <c r="CA358" s="65">
        <v>0.0</v>
      </c>
      <c r="CB358" s="66">
        <v>285700.0</v>
      </c>
      <c r="CC358" s="67" t="str">
        <f t="shared" si="140"/>
        <v>#REF!</v>
      </c>
      <c r="CD358" s="68" t="str">
        <f>'[1]DATA CONSOLIDADA 2018-2025 '!$CB358-Hoja1!$BW358</f>
        <v>#REF!</v>
      </c>
      <c r="CE358" s="70">
        <v>287000.0</v>
      </c>
      <c r="CF358" s="70">
        <v>0.0</v>
      </c>
      <c r="CG358" s="71">
        <v>287000.0</v>
      </c>
      <c r="CH358" s="67" t="str">
        <f t="shared" si="141"/>
        <v>#REF!</v>
      </c>
      <c r="CI358" s="68" t="str">
        <f>'[1]DATA CONSOLIDADA 2018-2025 '!$CG358-Hoja1!$CB358</f>
        <v>#REF!</v>
      </c>
      <c r="CJ358" s="64" t="str">
        <f t="shared" si="142"/>
        <v>#REF!</v>
      </c>
      <c r="CK358" s="64">
        <v>119483.97</v>
      </c>
      <c r="CL358" s="64">
        <v>0.0</v>
      </c>
      <c r="CM358" s="64">
        <v>119483.97</v>
      </c>
      <c r="CN358" s="64" t="str">
        <f t="shared" si="12"/>
        <v>#REF!</v>
      </c>
      <c r="CO358" s="68" t="str">
        <f>'[1]DATA CONSOLIDADA 2018-2025 '!$CM358-Hoja1!$CG358</f>
        <v>#REF!</v>
      </c>
      <c r="CP358" s="70">
        <v>0.0</v>
      </c>
      <c r="CQ358" s="70">
        <v>285700.0</v>
      </c>
      <c r="CR358" s="70">
        <v>0.0</v>
      </c>
      <c r="CS358" s="70">
        <v>0.0</v>
      </c>
      <c r="CT358" s="70">
        <v>0.0</v>
      </c>
      <c r="CU358" s="70">
        <v>0.0</v>
      </c>
      <c r="CV358" s="64">
        <v>285700.0</v>
      </c>
      <c r="CW358" s="64">
        <v>0.0</v>
      </c>
      <c r="CX358" s="64">
        <v>287000.0</v>
      </c>
      <c r="CY358" s="64">
        <v>0.0</v>
      </c>
      <c r="CZ358" s="64">
        <v>0.0</v>
      </c>
      <c r="DA358" s="64">
        <v>0.0</v>
      </c>
      <c r="DB358" s="64">
        <v>287000.0</v>
      </c>
      <c r="DC358" s="72">
        <v>0.0</v>
      </c>
      <c r="DD358" s="72">
        <v>0.0</v>
      </c>
      <c r="DE358" s="72">
        <v>0.0</v>
      </c>
      <c r="DF358" s="72">
        <v>0.0</v>
      </c>
      <c r="DG358" s="72">
        <v>119483.97</v>
      </c>
      <c r="DH358" s="72">
        <v>119483.97</v>
      </c>
      <c r="DI358" s="73" t="s">
        <v>991</v>
      </c>
      <c r="DJ358" s="74">
        <v>0.0</v>
      </c>
      <c r="DK358" s="74" t="s">
        <v>523</v>
      </c>
      <c r="DL358" s="75"/>
      <c r="DM358" s="75"/>
      <c r="DN358" s="75"/>
      <c r="DO358" s="75"/>
      <c r="DP358" s="75"/>
      <c r="DQ358" s="75"/>
      <c r="DR358" s="75"/>
      <c r="DS358" s="75"/>
      <c r="DT358" s="75"/>
      <c r="DU358" s="75"/>
      <c r="DV358" s="75"/>
      <c r="DW358" s="75"/>
      <c r="DX358" s="75"/>
      <c r="DY358" s="75"/>
      <c r="DZ358" s="75"/>
      <c r="EA358" s="75"/>
      <c r="EB358" s="75"/>
      <c r="EC358" s="75"/>
      <c r="ED358" s="75"/>
      <c r="EE358" s="75"/>
    </row>
    <row r="359" ht="47.25" hidden="1" customHeight="1">
      <c r="A359" s="55" t="s">
        <v>1256</v>
      </c>
      <c r="B359" s="55" t="s">
        <v>287</v>
      </c>
      <c r="C359" s="55" t="s">
        <v>287</v>
      </c>
      <c r="D359" s="55" t="s">
        <v>434</v>
      </c>
      <c r="E359" s="55" t="s">
        <v>1257</v>
      </c>
      <c r="F359" s="55" t="s">
        <v>434</v>
      </c>
      <c r="G359" s="55" t="s">
        <v>1258</v>
      </c>
      <c r="H359" s="55" t="s">
        <v>1258</v>
      </c>
      <c r="I359" s="56"/>
      <c r="J359" s="56"/>
      <c r="K359" s="56"/>
      <c r="L359" s="56"/>
      <c r="M359" s="56"/>
      <c r="N359" s="56">
        <v>1.0</v>
      </c>
      <c r="O359" s="56">
        <v>1.0</v>
      </c>
      <c r="P359" s="56">
        <v>1.0</v>
      </c>
      <c r="Q359" s="56" t="s">
        <v>131</v>
      </c>
      <c r="R359" s="58" t="str">
        <f t="shared" si="1"/>
        <v>2023-2024 - 2025</v>
      </c>
      <c r="S359" s="59" t="str">
        <f>SUM(Hoja1!$I359:$P359)</f>
        <v>3</v>
      </c>
      <c r="T359" s="59" t="str">
        <f>IF(OR(Hoja1!$J359=1,Hoja1!$K359=1,Hoja1!$L359=1,Hoja1!$M359=1,Hoja1!$N359=1,Hoja1!$O359=1,Hoja1!$P359=1),"SI","NO")</f>
        <v>SI</v>
      </c>
      <c r="U359" s="59" t="str">
        <f>IF(OR(Hoja1!$K359=1,Hoja1!$L359=1,Hoja1!$M359=1,Hoja1!$N359=1,Hoja1!$O359=1,Hoja1!$P359=1),"SI","NO")</f>
        <v>SI</v>
      </c>
      <c r="V359" s="60">
        <v>0.0</v>
      </c>
      <c r="W359" s="61">
        <v>0.0</v>
      </c>
      <c r="X359" s="61">
        <v>0.0</v>
      </c>
      <c r="Y359" s="60">
        <v>0.0</v>
      </c>
      <c r="Z359" s="61">
        <v>0.0</v>
      </c>
      <c r="AA359" s="61">
        <v>0.0</v>
      </c>
      <c r="AB359" s="60">
        <v>0.0</v>
      </c>
      <c r="AC359" s="61">
        <v>0.0</v>
      </c>
      <c r="AD359" s="61">
        <v>0.0</v>
      </c>
      <c r="AE359" s="60">
        <v>0.0</v>
      </c>
      <c r="AF359" s="61">
        <v>0.0</v>
      </c>
      <c r="AG359" s="61">
        <v>0.0</v>
      </c>
      <c r="AH359" s="60">
        <v>0.0</v>
      </c>
      <c r="AI359" s="61">
        <v>15.0</v>
      </c>
      <c r="AJ359" s="61">
        <v>8.0</v>
      </c>
      <c r="AK359" s="60">
        <v>23.0</v>
      </c>
      <c r="AL359" s="61">
        <v>15.0</v>
      </c>
      <c r="AM359" s="61">
        <v>8.0</v>
      </c>
      <c r="AN359" s="60">
        <v>23.0</v>
      </c>
      <c r="AO359" s="62">
        <v>5.0</v>
      </c>
      <c r="AP359" s="62">
        <v>23.0</v>
      </c>
      <c r="AQ359" s="60">
        <v>28.0</v>
      </c>
      <c r="AR359" s="60" t="str">
        <f>IF(Hoja1!$AQ359&gt;0,Hoja1!$AQ359,IF(Hoja1!$AN359&gt;0,Hoja1!$AN359,IF(Hoja1!$AK359&gt;0,Hoja1!$AK359,IF(Hoja1!$AH359&gt;0,Hoja1!$AH359,IF(Hoja1!$AE359&gt;0,Hoja1!$AE359,IF(Hoja1!$AB359&gt;0,Hoja1!$AB359,IF(Hoja1!$Y359&gt;0,Hoja1!$Y359,IF(Hoja1!$V359&gt;0,Hoja1!$V359," ---"))))))))</f>
        <v>28</v>
      </c>
      <c r="AS359" s="63">
        <v>0.0</v>
      </c>
      <c r="AT359" s="63">
        <v>0.0</v>
      </c>
      <c r="AU359" s="63">
        <v>0.0</v>
      </c>
      <c r="AV359" s="63">
        <v>0.0</v>
      </c>
      <c r="AW359" s="63">
        <v>0.0</v>
      </c>
      <c r="AX359" s="63">
        <v>0.0</v>
      </c>
      <c r="AY359" s="63">
        <v>24.0</v>
      </c>
      <c r="AZ359" s="63">
        <v>5.0</v>
      </c>
      <c r="BA359" s="63">
        <v>35.0</v>
      </c>
      <c r="BB359" s="63">
        <v>6.0</v>
      </c>
      <c r="BC359" s="63">
        <v>11.0</v>
      </c>
      <c r="BD359" s="63">
        <v>2.0</v>
      </c>
      <c r="BE359" s="64">
        <v>0.0</v>
      </c>
      <c r="BF359" s="69">
        <v>0.0</v>
      </c>
      <c r="BG359" s="69">
        <v>0.0</v>
      </c>
      <c r="BH359" s="64">
        <v>0.0</v>
      </c>
      <c r="BI359" s="67" t="str">
        <f t="shared" si="133"/>
        <v>#REF!</v>
      </c>
      <c r="BJ359" s="68" t="str">
        <f t="shared" si="134"/>
        <v>#REF!</v>
      </c>
      <c r="BK359" s="69">
        <v>0.0</v>
      </c>
      <c r="BL359" s="69">
        <v>0.0</v>
      </c>
      <c r="BM359" s="64">
        <v>0.0</v>
      </c>
      <c r="BN359" s="67" t="str">
        <f t="shared" si="135"/>
        <v>#REF!</v>
      </c>
      <c r="BO359" s="68" t="str">
        <f t="shared" si="136"/>
        <v>#REF!</v>
      </c>
      <c r="BP359" s="65">
        <v>0.0</v>
      </c>
      <c r="BQ359" s="65">
        <v>0.0</v>
      </c>
      <c r="BR359" s="66">
        <v>0.0</v>
      </c>
      <c r="BS359" s="67" t="str">
        <f t="shared" si="137"/>
        <v>#REF!</v>
      </c>
      <c r="BT359" s="68" t="str">
        <f>'[1]DATA CONSOLIDADA 2018-2025 '!$BR359-Hoja1!$BO359</f>
        <v>#REF!</v>
      </c>
      <c r="BU359" s="69">
        <v>0.0</v>
      </c>
      <c r="BV359" s="65">
        <v>0.0</v>
      </c>
      <c r="BW359" s="66">
        <v>0.0</v>
      </c>
      <c r="BX359" s="67" t="str">
        <f t="shared" si="138"/>
        <v>#REF!</v>
      </c>
      <c r="BY359" s="68" t="str">
        <f t="shared" si="139"/>
        <v>#REF!</v>
      </c>
      <c r="BZ359" s="65">
        <v>143776.8</v>
      </c>
      <c r="CA359" s="65">
        <v>0.0</v>
      </c>
      <c r="CB359" s="66">
        <v>143776.8</v>
      </c>
      <c r="CC359" s="67" t="str">
        <f t="shared" si="140"/>
        <v>#REF!</v>
      </c>
      <c r="CD359" s="68" t="str">
        <f>'[1]DATA CONSOLIDADA 2018-2025 '!$CB359-Hoja1!$BW359</f>
        <v>#REF!</v>
      </c>
      <c r="CE359" s="70">
        <v>162883.20000000004</v>
      </c>
      <c r="CF359" s="70">
        <v>0.0</v>
      </c>
      <c r="CG359" s="71">
        <v>162883.20000000004</v>
      </c>
      <c r="CH359" s="67" t="str">
        <f t="shared" si="141"/>
        <v>#REF!</v>
      </c>
      <c r="CI359" s="68" t="str">
        <f>'[1]DATA CONSOLIDADA 2018-2025 '!$CG359-Hoja1!$CB359</f>
        <v>#REF!</v>
      </c>
      <c r="CJ359" s="64" t="str">
        <f t="shared" si="142"/>
        <v>#REF!</v>
      </c>
      <c r="CK359" s="64">
        <v>155547.5</v>
      </c>
      <c r="CL359" s="64">
        <v>0.0</v>
      </c>
      <c r="CM359" s="64">
        <v>155547.5</v>
      </c>
      <c r="CN359" s="64" t="str">
        <f t="shared" si="12"/>
        <v>#REF!</v>
      </c>
      <c r="CO359" s="68" t="str">
        <f>'[1]DATA CONSOLIDADA 2018-2025 '!$CM359-Hoja1!$CG359</f>
        <v>#REF!</v>
      </c>
      <c r="CP359" s="70">
        <v>0.0</v>
      </c>
      <c r="CQ359" s="70">
        <v>0.0</v>
      </c>
      <c r="CR359" s="70">
        <v>0.0</v>
      </c>
      <c r="CS359" s="70">
        <v>143776.79999999996</v>
      </c>
      <c r="CT359" s="70">
        <v>0.0</v>
      </c>
      <c r="CU359" s="70">
        <v>0.0</v>
      </c>
      <c r="CV359" s="64">
        <v>143776.79999999996</v>
      </c>
      <c r="CW359" s="64">
        <v>0.0</v>
      </c>
      <c r="CX359" s="64">
        <v>0.0</v>
      </c>
      <c r="CY359" s="64">
        <v>162883.20000000004</v>
      </c>
      <c r="CZ359" s="64">
        <v>0.0</v>
      </c>
      <c r="DA359" s="64">
        <v>0.0</v>
      </c>
      <c r="DB359" s="64">
        <v>162883.20000000004</v>
      </c>
      <c r="DC359" s="72">
        <v>0.0</v>
      </c>
      <c r="DD359" s="72">
        <v>155547.5</v>
      </c>
      <c r="DE359" s="72">
        <v>0.0</v>
      </c>
      <c r="DF359" s="72">
        <v>0.0</v>
      </c>
      <c r="DG359" s="72">
        <v>0.0</v>
      </c>
      <c r="DH359" s="72">
        <v>155547.5</v>
      </c>
      <c r="DI359" s="73">
        <v>2.0527622434E10</v>
      </c>
      <c r="DJ359" s="74" t="s">
        <v>1256</v>
      </c>
      <c r="DK359" s="74" t="s">
        <v>138</v>
      </c>
      <c r="DL359" s="75"/>
      <c r="DM359" s="75"/>
      <c r="DN359" s="75"/>
      <c r="DO359" s="75"/>
      <c r="DP359" s="75"/>
      <c r="DQ359" s="75"/>
      <c r="DR359" s="75"/>
      <c r="DS359" s="75"/>
      <c r="DT359" s="75"/>
      <c r="DU359" s="75"/>
      <c r="DV359" s="75"/>
      <c r="DW359" s="75"/>
      <c r="DX359" s="75"/>
      <c r="DY359" s="75"/>
      <c r="DZ359" s="75"/>
      <c r="EA359" s="75"/>
      <c r="EB359" s="75"/>
      <c r="EC359" s="75"/>
      <c r="ED359" s="75"/>
      <c r="EE359" s="75"/>
    </row>
    <row r="360" ht="47.25" hidden="1" customHeight="1">
      <c r="A360" s="55" t="s">
        <v>1259</v>
      </c>
      <c r="B360" s="55" t="s">
        <v>449</v>
      </c>
      <c r="C360" s="55" t="s">
        <v>780</v>
      </c>
      <c r="D360" s="55" t="s">
        <v>434</v>
      </c>
      <c r="E360" s="55" t="s">
        <v>521</v>
      </c>
      <c r="F360" s="55" t="s">
        <v>434</v>
      </c>
      <c r="G360" s="55" t="s">
        <v>470</v>
      </c>
      <c r="H360" s="55" t="s">
        <v>522</v>
      </c>
      <c r="I360" s="56"/>
      <c r="J360" s="56"/>
      <c r="K360" s="56"/>
      <c r="L360" s="56"/>
      <c r="M360" s="56"/>
      <c r="N360" s="56">
        <v>1.0</v>
      </c>
      <c r="O360" s="56">
        <v>1.0</v>
      </c>
      <c r="P360" s="56">
        <v>1.0</v>
      </c>
      <c r="Q360" s="56" t="s">
        <v>131</v>
      </c>
      <c r="R360" s="58" t="str">
        <f t="shared" si="1"/>
        <v>2023-2024 - 2025</v>
      </c>
      <c r="S360" s="59" t="str">
        <f>SUM(Hoja1!$I360:$P360)</f>
        <v>3</v>
      </c>
      <c r="T360" s="59" t="str">
        <f>IF(OR(Hoja1!$J360=1,Hoja1!$K360=1,Hoja1!$L360=1,Hoja1!$M360=1,Hoja1!$N360=1,Hoja1!$O360=1,Hoja1!$P360=1),"SI","NO")</f>
        <v>SI</v>
      </c>
      <c r="U360" s="59" t="str">
        <f>IF(OR(Hoja1!$K360=1,Hoja1!$L360=1,Hoja1!$M360=1,Hoja1!$N360=1,Hoja1!$O360=1,Hoja1!$P360=1),"SI","NO")</f>
        <v>SI</v>
      </c>
      <c r="V360" s="60">
        <v>0.0</v>
      </c>
      <c r="W360" s="61">
        <v>0.0</v>
      </c>
      <c r="X360" s="61">
        <v>0.0</v>
      </c>
      <c r="Y360" s="60">
        <v>0.0</v>
      </c>
      <c r="Z360" s="61">
        <v>0.0</v>
      </c>
      <c r="AA360" s="61">
        <v>0.0</v>
      </c>
      <c r="AB360" s="60">
        <v>0.0</v>
      </c>
      <c r="AC360" s="61">
        <v>0.0</v>
      </c>
      <c r="AD360" s="61">
        <v>0.0</v>
      </c>
      <c r="AE360" s="60">
        <v>0.0</v>
      </c>
      <c r="AF360" s="61">
        <v>0.0</v>
      </c>
      <c r="AG360" s="61">
        <v>0.0</v>
      </c>
      <c r="AH360" s="60">
        <v>0.0</v>
      </c>
      <c r="AI360" s="61">
        <v>23.0</v>
      </c>
      <c r="AJ360" s="61">
        <v>27.0</v>
      </c>
      <c r="AK360" s="60">
        <v>50.0</v>
      </c>
      <c r="AL360" s="61">
        <v>23.0</v>
      </c>
      <c r="AM360" s="61">
        <v>27.0</v>
      </c>
      <c r="AN360" s="60">
        <v>50.0</v>
      </c>
      <c r="AO360" s="62">
        <v>23.0</v>
      </c>
      <c r="AP360" s="62">
        <v>15.0</v>
      </c>
      <c r="AQ360" s="60">
        <v>38.0</v>
      </c>
      <c r="AR360" s="60" t="str">
        <f>IF(Hoja1!$AQ360&gt;0,Hoja1!$AQ360,IF(Hoja1!$AN360&gt;0,Hoja1!$AN360,IF(Hoja1!$AK360&gt;0,Hoja1!$AK360,IF(Hoja1!$AH360&gt;0,Hoja1!$AH360,IF(Hoja1!$AE360&gt;0,Hoja1!$AE360,IF(Hoja1!$AB360&gt;0,Hoja1!$AB360,IF(Hoja1!$Y360&gt;0,Hoja1!$Y360,IF(Hoja1!$V360&gt;0,Hoja1!$V360," ---"))))))))</f>
        <v>38</v>
      </c>
      <c r="AS360" s="63">
        <v>0.0</v>
      </c>
      <c r="AT360" s="63">
        <v>0.0</v>
      </c>
      <c r="AU360" s="63">
        <v>0.0</v>
      </c>
      <c r="AV360" s="63">
        <v>0.0</v>
      </c>
      <c r="AW360" s="63">
        <v>0.0</v>
      </c>
      <c r="AX360" s="63">
        <v>0.0</v>
      </c>
      <c r="AY360" s="63">
        <v>24.0</v>
      </c>
      <c r="AZ360" s="63">
        <v>5.0</v>
      </c>
      <c r="BA360" s="63">
        <v>34.0</v>
      </c>
      <c r="BB360" s="63">
        <v>6.0</v>
      </c>
      <c r="BC360" s="63">
        <v>10.0</v>
      </c>
      <c r="BD360" s="63">
        <v>2.0</v>
      </c>
      <c r="BE360" s="64">
        <v>0.0</v>
      </c>
      <c r="BF360" s="69">
        <v>0.0</v>
      </c>
      <c r="BG360" s="69">
        <v>0.0</v>
      </c>
      <c r="BH360" s="64">
        <v>0.0</v>
      </c>
      <c r="BI360" s="67" t="str">
        <f t="shared" si="133"/>
        <v>#REF!</v>
      </c>
      <c r="BJ360" s="68" t="str">
        <f t="shared" si="134"/>
        <v>#REF!</v>
      </c>
      <c r="BK360" s="69">
        <v>0.0</v>
      </c>
      <c r="BL360" s="69">
        <v>0.0</v>
      </c>
      <c r="BM360" s="64">
        <v>0.0</v>
      </c>
      <c r="BN360" s="67" t="str">
        <f t="shared" si="135"/>
        <v>#REF!</v>
      </c>
      <c r="BO360" s="68" t="str">
        <f t="shared" si="136"/>
        <v>#REF!</v>
      </c>
      <c r="BP360" s="65">
        <v>0.0</v>
      </c>
      <c r="BQ360" s="65">
        <v>0.0</v>
      </c>
      <c r="BR360" s="66">
        <v>0.0</v>
      </c>
      <c r="BS360" s="67" t="str">
        <f t="shared" si="137"/>
        <v>#REF!</v>
      </c>
      <c r="BT360" s="68" t="str">
        <f>'[1]DATA CONSOLIDADA 2018-2025 '!$BR360-Hoja1!$BO360</f>
        <v>#REF!</v>
      </c>
      <c r="BU360" s="69">
        <v>0.0</v>
      </c>
      <c r="BV360" s="65">
        <v>0.0</v>
      </c>
      <c r="BW360" s="66">
        <v>0.0</v>
      </c>
      <c r="BX360" s="67" t="str">
        <f t="shared" si="138"/>
        <v>#REF!</v>
      </c>
      <c r="BY360" s="68" t="str">
        <f t="shared" si="139"/>
        <v>#REF!</v>
      </c>
      <c r="BZ360" s="65">
        <v>485000.0</v>
      </c>
      <c r="CA360" s="65">
        <v>0.0</v>
      </c>
      <c r="CB360" s="66">
        <v>485000.0</v>
      </c>
      <c r="CC360" s="67" t="str">
        <f t="shared" si="140"/>
        <v>#REF!</v>
      </c>
      <c r="CD360" s="68" t="str">
        <f>'[1]DATA CONSOLIDADA 2018-2025 '!$CB360-Hoja1!$BW360</f>
        <v>#REF!</v>
      </c>
      <c r="CE360" s="70">
        <v>289100.0</v>
      </c>
      <c r="CF360" s="70">
        <v>0.0</v>
      </c>
      <c r="CG360" s="71">
        <v>289100.0</v>
      </c>
      <c r="CH360" s="67" t="str">
        <f t="shared" si="141"/>
        <v>#REF!</v>
      </c>
      <c r="CI360" s="68" t="str">
        <f>'[1]DATA CONSOLIDADA 2018-2025 '!$CG360-Hoja1!$CB360</f>
        <v>#REF!</v>
      </c>
      <c r="CJ360" s="64" t="str">
        <f t="shared" si="142"/>
        <v>#REF!</v>
      </c>
      <c r="CK360" s="64">
        <v>261241.354</v>
      </c>
      <c r="CL360" s="64">
        <v>0.0</v>
      </c>
      <c r="CM360" s="64">
        <v>261241.354</v>
      </c>
      <c r="CN360" s="64" t="str">
        <f t="shared" si="12"/>
        <v>#REF!</v>
      </c>
      <c r="CO360" s="68" t="str">
        <f>'[1]DATA CONSOLIDADA 2018-2025 '!$CM360-Hoja1!$CG360</f>
        <v>#REF!</v>
      </c>
      <c r="CP360" s="70">
        <v>0.0</v>
      </c>
      <c r="CQ360" s="70">
        <v>485000.0</v>
      </c>
      <c r="CR360" s="70">
        <v>0.0</v>
      </c>
      <c r="CS360" s="70">
        <v>0.0</v>
      </c>
      <c r="CT360" s="70">
        <v>0.0</v>
      </c>
      <c r="CU360" s="70">
        <v>0.0</v>
      </c>
      <c r="CV360" s="64">
        <v>485000.0</v>
      </c>
      <c r="CW360" s="64">
        <v>0.0</v>
      </c>
      <c r="CX360" s="64">
        <v>289100.0</v>
      </c>
      <c r="CY360" s="64">
        <v>0.0</v>
      </c>
      <c r="CZ360" s="64">
        <v>0.0</v>
      </c>
      <c r="DA360" s="64">
        <v>0.0</v>
      </c>
      <c r="DB360" s="64">
        <v>289100.0</v>
      </c>
      <c r="DC360" s="72">
        <v>0.0</v>
      </c>
      <c r="DD360" s="72">
        <v>0.0</v>
      </c>
      <c r="DE360" s="72">
        <v>0.0</v>
      </c>
      <c r="DF360" s="72">
        <v>0.0</v>
      </c>
      <c r="DG360" s="72">
        <v>261241.354</v>
      </c>
      <c r="DH360" s="72">
        <v>261241.354</v>
      </c>
      <c r="DI360" s="73" t="s">
        <v>991</v>
      </c>
      <c r="DJ360" s="74">
        <v>0.0</v>
      </c>
      <c r="DK360" s="74" t="s">
        <v>523</v>
      </c>
      <c r="DL360" s="75"/>
      <c r="DM360" s="75"/>
      <c r="DN360" s="75"/>
      <c r="DO360" s="75"/>
      <c r="DP360" s="75"/>
      <c r="DQ360" s="75"/>
      <c r="DR360" s="75"/>
      <c r="DS360" s="75"/>
      <c r="DT360" s="75"/>
      <c r="DU360" s="75"/>
      <c r="DV360" s="75"/>
      <c r="DW360" s="75"/>
      <c r="DX360" s="75"/>
      <c r="DY360" s="75"/>
      <c r="DZ360" s="75"/>
      <c r="EA360" s="75"/>
      <c r="EB360" s="75"/>
      <c r="EC360" s="75"/>
      <c r="ED360" s="75"/>
      <c r="EE360" s="75"/>
    </row>
    <row r="361" ht="47.25" hidden="1" customHeight="1">
      <c r="A361" s="55" t="s">
        <v>1260</v>
      </c>
      <c r="B361" s="55" t="s">
        <v>530</v>
      </c>
      <c r="C361" s="55" t="s">
        <v>530</v>
      </c>
      <c r="D361" s="55" t="s">
        <v>434</v>
      </c>
      <c r="E361" s="55" t="s">
        <v>531</v>
      </c>
      <c r="F361" s="55" t="s">
        <v>434</v>
      </c>
      <c r="G361" s="55" t="s">
        <v>476</v>
      </c>
      <c r="H361" s="55" t="s">
        <v>532</v>
      </c>
      <c r="I361" s="56"/>
      <c r="J361" s="56"/>
      <c r="K361" s="56"/>
      <c r="L361" s="56"/>
      <c r="M361" s="56"/>
      <c r="N361" s="56">
        <v>1.0</v>
      </c>
      <c r="O361" s="56">
        <v>1.0</v>
      </c>
      <c r="P361" s="56">
        <v>1.0</v>
      </c>
      <c r="Q361" s="56" t="s">
        <v>131</v>
      </c>
      <c r="R361" s="58" t="str">
        <f t="shared" si="1"/>
        <v>2023-2024 - 2025</v>
      </c>
      <c r="S361" s="59" t="str">
        <f>SUM(Hoja1!$I361:$P361)</f>
        <v>3</v>
      </c>
      <c r="T361" s="59" t="str">
        <f>IF(OR(Hoja1!$J361=1,Hoja1!$K361=1,Hoja1!$L361=1,Hoja1!$M361=1,Hoja1!$N361=1,Hoja1!$O361=1,Hoja1!$P361=1),"SI","NO")</f>
        <v>SI</v>
      </c>
      <c r="U361" s="59" t="str">
        <f>IF(OR(Hoja1!$K361=1,Hoja1!$L361=1,Hoja1!$M361=1,Hoja1!$N361=1,Hoja1!$O361=1,Hoja1!$P361=1),"SI","NO")</f>
        <v>SI</v>
      </c>
      <c r="V361" s="60">
        <v>0.0</v>
      </c>
      <c r="W361" s="61">
        <v>0.0</v>
      </c>
      <c r="X361" s="61">
        <v>0.0</v>
      </c>
      <c r="Y361" s="60">
        <v>0.0</v>
      </c>
      <c r="Z361" s="61">
        <v>0.0</v>
      </c>
      <c r="AA361" s="61">
        <v>0.0</v>
      </c>
      <c r="AB361" s="60">
        <v>0.0</v>
      </c>
      <c r="AC361" s="61">
        <v>0.0</v>
      </c>
      <c r="AD361" s="61">
        <v>0.0</v>
      </c>
      <c r="AE361" s="60">
        <v>0.0</v>
      </c>
      <c r="AF361" s="61">
        <v>0.0</v>
      </c>
      <c r="AG361" s="61">
        <v>0.0</v>
      </c>
      <c r="AH361" s="60">
        <v>0.0</v>
      </c>
      <c r="AI361" s="61">
        <v>15.0</v>
      </c>
      <c r="AJ361" s="61">
        <v>10.0</v>
      </c>
      <c r="AK361" s="60">
        <v>25.0</v>
      </c>
      <c r="AL361" s="61">
        <v>34.0</v>
      </c>
      <c r="AM361" s="61">
        <v>8.0</v>
      </c>
      <c r="AN361" s="60">
        <v>42.0</v>
      </c>
      <c r="AO361" s="62">
        <v>34.0</v>
      </c>
      <c r="AP361" s="62">
        <v>8.0</v>
      </c>
      <c r="AQ361" s="60">
        <v>42.0</v>
      </c>
      <c r="AR361" s="60" t="str">
        <f>IF(Hoja1!$AQ361&gt;0,Hoja1!$AQ361,IF(Hoja1!$AN361&gt;0,Hoja1!$AN361,IF(Hoja1!$AK361&gt;0,Hoja1!$AK361,IF(Hoja1!$AH361&gt;0,Hoja1!$AH361,IF(Hoja1!$AE361&gt;0,Hoja1!$AE361,IF(Hoja1!$AB361&gt;0,Hoja1!$AB361,IF(Hoja1!$Y361&gt;0,Hoja1!$Y361,IF(Hoja1!$V361&gt;0,Hoja1!$V361," ---"))))))))</f>
        <v>42</v>
      </c>
      <c r="AS361" s="63">
        <v>0.0</v>
      </c>
      <c r="AT361" s="63">
        <v>0.0</v>
      </c>
      <c r="AU361" s="63">
        <v>0.0</v>
      </c>
      <c r="AV361" s="63">
        <v>0.0</v>
      </c>
      <c r="AW361" s="63">
        <v>0.0</v>
      </c>
      <c r="AX361" s="63">
        <v>0.0</v>
      </c>
      <c r="AY361" s="63">
        <v>12.0</v>
      </c>
      <c r="AZ361" s="63">
        <v>3.0</v>
      </c>
      <c r="BA361" s="63">
        <v>33.0</v>
      </c>
      <c r="BB361" s="63">
        <v>9.0</v>
      </c>
      <c r="BC361" s="63">
        <v>30.0</v>
      </c>
      <c r="BD361" s="63">
        <v>6.0</v>
      </c>
      <c r="BE361" s="64">
        <v>0.0</v>
      </c>
      <c r="BF361" s="69">
        <v>0.0</v>
      </c>
      <c r="BG361" s="69">
        <v>0.0</v>
      </c>
      <c r="BH361" s="64">
        <v>0.0</v>
      </c>
      <c r="BI361" s="67" t="str">
        <f t="shared" si="133"/>
        <v>#REF!</v>
      </c>
      <c r="BJ361" s="68" t="str">
        <f t="shared" si="134"/>
        <v>#REF!</v>
      </c>
      <c r="BK361" s="69">
        <v>0.0</v>
      </c>
      <c r="BL361" s="69">
        <v>0.0</v>
      </c>
      <c r="BM361" s="64">
        <v>0.0</v>
      </c>
      <c r="BN361" s="67" t="str">
        <f t="shared" si="135"/>
        <v>#REF!</v>
      </c>
      <c r="BO361" s="68" t="str">
        <f t="shared" si="136"/>
        <v>#REF!</v>
      </c>
      <c r="BP361" s="65">
        <v>0.0</v>
      </c>
      <c r="BQ361" s="65">
        <v>0.0</v>
      </c>
      <c r="BR361" s="66">
        <v>0.0</v>
      </c>
      <c r="BS361" s="67" t="str">
        <f t="shared" si="137"/>
        <v>#REF!</v>
      </c>
      <c r="BT361" s="68" t="str">
        <f>'[1]DATA CONSOLIDADA 2018-2025 '!$BR361-Hoja1!$BO361</f>
        <v>#REF!</v>
      </c>
      <c r="BU361" s="69">
        <v>0.0</v>
      </c>
      <c r="BV361" s="65">
        <v>0.0</v>
      </c>
      <c r="BW361" s="66">
        <v>0.0</v>
      </c>
      <c r="BX361" s="67" t="str">
        <f t="shared" si="138"/>
        <v>#REF!</v>
      </c>
      <c r="BY361" s="68" t="str">
        <f t="shared" si="139"/>
        <v>#REF!</v>
      </c>
      <c r="BZ361" s="65">
        <v>1154000.0</v>
      </c>
      <c r="CA361" s="65">
        <v>0.0</v>
      </c>
      <c r="CB361" s="66">
        <v>1154000.0</v>
      </c>
      <c r="CC361" s="67" t="str">
        <f t="shared" si="140"/>
        <v>#REF!</v>
      </c>
      <c r="CD361" s="68" t="str">
        <f>'[1]DATA CONSOLIDADA 2018-2025 '!$CB361-Hoja1!$BW361</f>
        <v>#REF!</v>
      </c>
      <c r="CE361" s="70">
        <v>693800.0</v>
      </c>
      <c r="CF361" s="70">
        <v>0.0</v>
      </c>
      <c r="CG361" s="71">
        <v>693800.0</v>
      </c>
      <c r="CH361" s="67" t="str">
        <f t="shared" si="141"/>
        <v>#REF!</v>
      </c>
      <c r="CI361" s="68" t="str">
        <f>'[1]DATA CONSOLIDADA 2018-2025 '!$CG361-Hoja1!$CB361</f>
        <v>#REF!</v>
      </c>
      <c r="CJ361" s="64" t="str">
        <f t="shared" si="142"/>
        <v>#REF!</v>
      </c>
      <c r="CK361" s="64">
        <v>730200.0</v>
      </c>
      <c r="CL361" s="64">
        <v>0.0</v>
      </c>
      <c r="CM361" s="64">
        <v>730200.0</v>
      </c>
      <c r="CN361" s="64" t="str">
        <f t="shared" si="12"/>
        <v>#REF!</v>
      </c>
      <c r="CO361" s="68" t="str">
        <f>'[1]DATA CONSOLIDADA 2018-2025 '!$CM361-Hoja1!$CG361</f>
        <v>#REF!</v>
      </c>
      <c r="CP361" s="70">
        <v>0.0</v>
      </c>
      <c r="CQ361" s="70">
        <v>1154000.0</v>
      </c>
      <c r="CR361" s="70">
        <v>0.0</v>
      </c>
      <c r="CS361" s="70">
        <v>0.0</v>
      </c>
      <c r="CT361" s="70">
        <v>0.0</v>
      </c>
      <c r="CU361" s="70">
        <v>0.0</v>
      </c>
      <c r="CV361" s="64">
        <v>1154000.0</v>
      </c>
      <c r="CW361" s="64">
        <v>0.0</v>
      </c>
      <c r="CX361" s="64">
        <v>693800.0</v>
      </c>
      <c r="CY361" s="64">
        <v>0.0</v>
      </c>
      <c r="CZ361" s="64">
        <v>0.0</v>
      </c>
      <c r="DA361" s="64">
        <v>0.0</v>
      </c>
      <c r="DB361" s="64">
        <v>693800.0</v>
      </c>
      <c r="DC361" s="72">
        <v>0.0</v>
      </c>
      <c r="DD361" s="72">
        <v>730200.0</v>
      </c>
      <c r="DE361" s="72">
        <v>0.0</v>
      </c>
      <c r="DF361" s="72">
        <v>0.0</v>
      </c>
      <c r="DG361" s="72">
        <v>0.0</v>
      </c>
      <c r="DH361" s="72">
        <v>730200.0</v>
      </c>
      <c r="DI361" s="73">
        <v>2.0608517741E10</v>
      </c>
      <c r="DJ361" s="74" t="s">
        <v>1260</v>
      </c>
      <c r="DK361" s="74" t="s">
        <v>138</v>
      </c>
      <c r="DL361" s="75"/>
      <c r="DM361" s="75"/>
      <c r="DN361" s="75"/>
      <c r="DO361" s="75"/>
      <c r="DP361" s="75"/>
      <c r="DQ361" s="75"/>
      <c r="DR361" s="75"/>
      <c r="DS361" s="75"/>
      <c r="DT361" s="75"/>
      <c r="DU361" s="75"/>
      <c r="DV361" s="75"/>
      <c r="DW361" s="75"/>
      <c r="DX361" s="75"/>
      <c r="DY361" s="75"/>
      <c r="DZ361" s="75"/>
      <c r="EA361" s="75"/>
      <c r="EB361" s="75"/>
      <c r="EC361" s="75"/>
      <c r="ED361" s="75"/>
      <c r="EE361" s="75"/>
    </row>
    <row r="362" ht="47.25" hidden="1" customHeight="1">
      <c r="A362" s="55" t="s">
        <v>1261</v>
      </c>
      <c r="B362" s="55" t="s">
        <v>530</v>
      </c>
      <c r="C362" s="55" t="s">
        <v>530</v>
      </c>
      <c r="D362" s="55" t="s">
        <v>434</v>
      </c>
      <c r="E362" s="55" t="s">
        <v>852</v>
      </c>
      <c r="F362" s="55" t="s">
        <v>434</v>
      </c>
      <c r="G362" s="55" t="s">
        <v>435</v>
      </c>
      <c r="H362" s="55" t="s">
        <v>853</v>
      </c>
      <c r="I362" s="56"/>
      <c r="J362" s="56"/>
      <c r="K362" s="56"/>
      <c r="L362" s="56"/>
      <c r="M362" s="56"/>
      <c r="N362" s="56">
        <v>1.0</v>
      </c>
      <c r="O362" s="56">
        <v>1.0</v>
      </c>
      <c r="P362" s="56">
        <v>1.0</v>
      </c>
      <c r="Q362" s="56" t="s">
        <v>131</v>
      </c>
      <c r="R362" s="58" t="str">
        <f t="shared" si="1"/>
        <v>2023-2024 - 2025</v>
      </c>
      <c r="S362" s="59" t="str">
        <f>SUM(Hoja1!$I362:$P362)</f>
        <v>3</v>
      </c>
      <c r="T362" s="59" t="str">
        <f>IF(OR(Hoja1!$J362=1,Hoja1!$K362=1,Hoja1!$L362=1,Hoja1!$M362=1,Hoja1!$N362=1,Hoja1!$O362=1,Hoja1!$P362=1),"SI","NO")</f>
        <v>SI</v>
      </c>
      <c r="U362" s="59" t="str">
        <f>IF(OR(Hoja1!$K362=1,Hoja1!$L362=1,Hoja1!$M362=1,Hoja1!$N362=1,Hoja1!$O362=1,Hoja1!$P362=1),"SI","NO")</f>
        <v>SI</v>
      </c>
      <c r="V362" s="60">
        <v>0.0</v>
      </c>
      <c r="W362" s="61">
        <v>0.0</v>
      </c>
      <c r="X362" s="61">
        <v>0.0</v>
      </c>
      <c r="Y362" s="60">
        <v>0.0</v>
      </c>
      <c r="Z362" s="61">
        <v>0.0</v>
      </c>
      <c r="AA362" s="61">
        <v>0.0</v>
      </c>
      <c r="AB362" s="60">
        <v>0.0</v>
      </c>
      <c r="AC362" s="61">
        <v>0.0</v>
      </c>
      <c r="AD362" s="61">
        <v>0.0</v>
      </c>
      <c r="AE362" s="60">
        <v>0.0</v>
      </c>
      <c r="AF362" s="61">
        <v>0.0</v>
      </c>
      <c r="AG362" s="61">
        <v>0.0</v>
      </c>
      <c r="AH362" s="60">
        <v>0.0</v>
      </c>
      <c r="AI362" s="61">
        <v>17.0</v>
      </c>
      <c r="AJ362" s="61">
        <v>11.0</v>
      </c>
      <c r="AK362" s="60">
        <v>28.0</v>
      </c>
      <c r="AL362" s="61">
        <v>17.0</v>
      </c>
      <c r="AM362" s="61">
        <v>11.0</v>
      </c>
      <c r="AN362" s="60">
        <v>28.0</v>
      </c>
      <c r="AO362" s="62">
        <v>26.0</v>
      </c>
      <c r="AP362" s="62">
        <v>12.0</v>
      </c>
      <c r="AQ362" s="60">
        <v>38.0</v>
      </c>
      <c r="AR362" s="60" t="str">
        <f>IF(Hoja1!$AQ362&gt;0,Hoja1!$AQ362,IF(Hoja1!$AN362&gt;0,Hoja1!$AN362,IF(Hoja1!$AK362&gt;0,Hoja1!$AK362,IF(Hoja1!$AH362&gt;0,Hoja1!$AH362,IF(Hoja1!$AE362&gt;0,Hoja1!$AE362,IF(Hoja1!$AB362&gt;0,Hoja1!$AB362,IF(Hoja1!$Y362&gt;0,Hoja1!$Y362,IF(Hoja1!$V362&gt;0,Hoja1!$V362," ---"))))))))</f>
        <v>38</v>
      </c>
      <c r="AS362" s="63">
        <v>0.0</v>
      </c>
      <c r="AT362" s="63">
        <v>0.0</v>
      </c>
      <c r="AU362" s="63">
        <v>0.0</v>
      </c>
      <c r="AV362" s="63">
        <v>0.0</v>
      </c>
      <c r="AW362" s="63">
        <v>0.0</v>
      </c>
      <c r="AX362" s="63">
        <v>0.0</v>
      </c>
      <c r="AY362" s="63">
        <v>11.0</v>
      </c>
      <c r="AZ362" s="63">
        <v>4.0</v>
      </c>
      <c r="BA362" s="63">
        <v>31.0</v>
      </c>
      <c r="BB362" s="63">
        <v>8.0</v>
      </c>
      <c r="BC362" s="63">
        <v>30.0</v>
      </c>
      <c r="BD362" s="63">
        <v>6.0</v>
      </c>
      <c r="BE362" s="64">
        <v>0.0</v>
      </c>
      <c r="BF362" s="69">
        <v>0.0</v>
      </c>
      <c r="BG362" s="69">
        <v>0.0</v>
      </c>
      <c r="BH362" s="64">
        <v>0.0</v>
      </c>
      <c r="BI362" s="67" t="str">
        <f t="shared" si="133"/>
        <v>#REF!</v>
      </c>
      <c r="BJ362" s="68" t="str">
        <f t="shared" si="134"/>
        <v>#REF!</v>
      </c>
      <c r="BK362" s="69">
        <v>0.0</v>
      </c>
      <c r="BL362" s="69">
        <v>0.0</v>
      </c>
      <c r="BM362" s="64">
        <v>0.0</v>
      </c>
      <c r="BN362" s="67" t="str">
        <f t="shared" si="135"/>
        <v>#REF!</v>
      </c>
      <c r="BO362" s="68" t="str">
        <f t="shared" si="136"/>
        <v>#REF!</v>
      </c>
      <c r="BP362" s="65">
        <v>0.0</v>
      </c>
      <c r="BQ362" s="65">
        <v>0.0</v>
      </c>
      <c r="BR362" s="66">
        <v>0.0</v>
      </c>
      <c r="BS362" s="67" t="str">
        <f t="shared" si="137"/>
        <v>#REF!</v>
      </c>
      <c r="BT362" s="68" t="str">
        <f>'[1]DATA CONSOLIDADA 2018-2025 '!$BR362-Hoja1!$BO362</f>
        <v>#REF!</v>
      </c>
      <c r="BU362" s="69">
        <v>0.0</v>
      </c>
      <c r="BV362" s="65">
        <v>0.0</v>
      </c>
      <c r="BW362" s="66">
        <v>0.0</v>
      </c>
      <c r="BX362" s="67" t="str">
        <f t="shared" si="138"/>
        <v>#REF!</v>
      </c>
      <c r="BY362" s="68" t="str">
        <f t="shared" si="139"/>
        <v>#REF!</v>
      </c>
      <c r="BZ362" s="65">
        <v>1196000.0</v>
      </c>
      <c r="CA362" s="65">
        <v>0.0</v>
      </c>
      <c r="CB362" s="66">
        <v>1196000.0</v>
      </c>
      <c r="CC362" s="67" t="str">
        <f t="shared" si="140"/>
        <v>#REF!</v>
      </c>
      <c r="CD362" s="68" t="str">
        <f>'[1]DATA CONSOLIDADA 2018-2025 '!$CB362-Hoja1!$BW362</f>
        <v>#REF!</v>
      </c>
      <c r="CE362" s="70">
        <v>756400.0</v>
      </c>
      <c r="CF362" s="70">
        <v>0.0</v>
      </c>
      <c r="CG362" s="71">
        <v>756400.0</v>
      </c>
      <c r="CH362" s="67" t="str">
        <f t="shared" si="141"/>
        <v>#REF!</v>
      </c>
      <c r="CI362" s="68" t="str">
        <f>'[1]DATA CONSOLIDADA 2018-2025 '!$CG362-Hoja1!$CB362</f>
        <v>#REF!</v>
      </c>
      <c r="CJ362" s="64" t="str">
        <f t="shared" si="142"/>
        <v>#REF!</v>
      </c>
      <c r="CK362" s="64">
        <v>635100.0</v>
      </c>
      <c r="CL362" s="64">
        <v>0.0</v>
      </c>
      <c r="CM362" s="64">
        <v>635100.0</v>
      </c>
      <c r="CN362" s="64" t="str">
        <f t="shared" si="12"/>
        <v>#REF!</v>
      </c>
      <c r="CO362" s="68" t="str">
        <f>'[1]DATA CONSOLIDADA 2018-2025 '!$CM362-Hoja1!$CG362</f>
        <v>#REF!</v>
      </c>
      <c r="CP362" s="70">
        <v>0.0</v>
      </c>
      <c r="CQ362" s="70">
        <v>1196000.0</v>
      </c>
      <c r="CR362" s="70">
        <v>0.0</v>
      </c>
      <c r="CS362" s="70">
        <v>0.0</v>
      </c>
      <c r="CT362" s="70">
        <v>0.0</v>
      </c>
      <c r="CU362" s="70">
        <v>0.0</v>
      </c>
      <c r="CV362" s="64">
        <v>1196000.0</v>
      </c>
      <c r="CW362" s="64">
        <v>0.0</v>
      </c>
      <c r="CX362" s="64">
        <v>756400.0</v>
      </c>
      <c r="CY362" s="64">
        <v>0.0</v>
      </c>
      <c r="CZ362" s="64">
        <v>0.0</v>
      </c>
      <c r="DA362" s="64">
        <v>0.0</v>
      </c>
      <c r="DB362" s="64">
        <v>756400.0</v>
      </c>
      <c r="DC362" s="72">
        <v>0.0</v>
      </c>
      <c r="DD362" s="72">
        <v>635100.0</v>
      </c>
      <c r="DE362" s="72">
        <v>0.0</v>
      </c>
      <c r="DF362" s="72">
        <v>0.0</v>
      </c>
      <c r="DG362" s="72">
        <v>0.0</v>
      </c>
      <c r="DH362" s="72">
        <v>635100.0</v>
      </c>
      <c r="DI362" s="73">
        <v>2.060386406E10</v>
      </c>
      <c r="DJ362" s="74" t="s">
        <v>1262</v>
      </c>
      <c r="DK362" s="74" t="s">
        <v>138</v>
      </c>
      <c r="DL362" s="75"/>
      <c r="DM362" s="75"/>
      <c r="DN362" s="75"/>
      <c r="DO362" s="75"/>
      <c r="DP362" s="75"/>
      <c r="DQ362" s="75"/>
      <c r="DR362" s="75"/>
      <c r="DS362" s="75"/>
      <c r="DT362" s="75"/>
      <c r="DU362" s="75"/>
      <c r="DV362" s="75"/>
      <c r="DW362" s="75"/>
      <c r="DX362" s="75"/>
      <c r="DY362" s="75"/>
      <c r="DZ362" s="75"/>
      <c r="EA362" s="75"/>
      <c r="EB362" s="75"/>
      <c r="EC362" s="75"/>
      <c r="ED362" s="75"/>
      <c r="EE362" s="75"/>
    </row>
    <row r="363" ht="47.25" hidden="1" customHeight="1">
      <c r="A363" s="55" t="s">
        <v>1263</v>
      </c>
      <c r="B363" s="55" t="s">
        <v>530</v>
      </c>
      <c r="C363" s="55" t="s">
        <v>530</v>
      </c>
      <c r="D363" s="55" t="s">
        <v>434</v>
      </c>
      <c r="E363" s="55" t="s">
        <v>852</v>
      </c>
      <c r="F363" s="55" t="s">
        <v>434</v>
      </c>
      <c r="G363" s="55" t="s">
        <v>435</v>
      </c>
      <c r="H363" s="55" t="s">
        <v>853</v>
      </c>
      <c r="I363" s="56"/>
      <c r="J363" s="56"/>
      <c r="K363" s="56"/>
      <c r="L363" s="56"/>
      <c r="M363" s="56"/>
      <c r="N363" s="56">
        <v>1.0</v>
      </c>
      <c r="O363" s="56">
        <v>1.0</v>
      </c>
      <c r="P363" s="56">
        <v>1.0</v>
      </c>
      <c r="Q363" s="56" t="s">
        <v>131</v>
      </c>
      <c r="R363" s="58" t="str">
        <f t="shared" si="1"/>
        <v>2023-2024 - 2025</v>
      </c>
      <c r="S363" s="59" t="str">
        <f>SUM(Hoja1!$I363:$P363)</f>
        <v>3</v>
      </c>
      <c r="T363" s="59" t="str">
        <f>IF(OR(Hoja1!$J363=1,Hoja1!$K363=1,Hoja1!$L363=1,Hoja1!$M363=1,Hoja1!$N363=1,Hoja1!$O363=1,Hoja1!$P363=1),"SI","NO")</f>
        <v>SI</v>
      </c>
      <c r="U363" s="59" t="str">
        <f>IF(OR(Hoja1!$K363=1,Hoja1!$L363=1,Hoja1!$M363=1,Hoja1!$N363=1,Hoja1!$O363=1,Hoja1!$P363=1),"SI","NO")</f>
        <v>SI</v>
      </c>
      <c r="V363" s="60">
        <v>0.0</v>
      </c>
      <c r="W363" s="61">
        <v>0.0</v>
      </c>
      <c r="X363" s="61">
        <v>0.0</v>
      </c>
      <c r="Y363" s="60">
        <v>0.0</v>
      </c>
      <c r="Z363" s="61">
        <v>0.0</v>
      </c>
      <c r="AA363" s="61">
        <v>0.0</v>
      </c>
      <c r="AB363" s="60">
        <v>0.0</v>
      </c>
      <c r="AC363" s="61">
        <v>0.0</v>
      </c>
      <c r="AD363" s="61">
        <v>0.0</v>
      </c>
      <c r="AE363" s="60">
        <v>0.0</v>
      </c>
      <c r="AF363" s="61">
        <v>0.0</v>
      </c>
      <c r="AG363" s="61">
        <v>0.0</v>
      </c>
      <c r="AH363" s="60">
        <v>0.0</v>
      </c>
      <c r="AI363" s="61">
        <v>16.0</v>
      </c>
      <c r="AJ363" s="61">
        <v>12.0</v>
      </c>
      <c r="AK363" s="60">
        <v>28.0</v>
      </c>
      <c r="AL363" s="61">
        <v>16.0</v>
      </c>
      <c r="AM363" s="61">
        <v>12.0</v>
      </c>
      <c r="AN363" s="60">
        <v>28.0</v>
      </c>
      <c r="AO363" s="62">
        <v>29.0</v>
      </c>
      <c r="AP363" s="62">
        <v>18.0</v>
      </c>
      <c r="AQ363" s="60">
        <v>47.0</v>
      </c>
      <c r="AR363" s="60" t="str">
        <f>IF(Hoja1!$AQ363&gt;0,Hoja1!$AQ363,IF(Hoja1!$AN363&gt;0,Hoja1!$AN363,IF(Hoja1!$AK363&gt;0,Hoja1!$AK363,IF(Hoja1!$AH363&gt;0,Hoja1!$AH363,IF(Hoja1!$AE363&gt;0,Hoja1!$AE363,IF(Hoja1!$AB363&gt;0,Hoja1!$AB363,IF(Hoja1!$Y363&gt;0,Hoja1!$Y363,IF(Hoja1!$V363&gt;0,Hoja1!$V363," ---"))))))))</f>
        <v>47</v>
      </c>
      <c r="AS363" s="63">
        <v>0.0</v>
      </c>
      <c r="AT363" s="63">
        <v>0.0</v>
      </c>
      <c r="AU363" s="63">
        <v>0.0</v>
      </c>
      <c r="AV363" s="63">
        <v>0.0</v>
      </c>
      <c r="AW363" s="63">
        <v>0.0</v>
      </c>
      <c r="AX363" s="63">
        <v>0.0</v>
      </c>
      <c r="AY363" s="63">
        <v>10.0</v>
      </c>
      <c r="AZ363" s="63">
        <v>4.0</v>
      </c>
      <c r="BA363" s="63">
        <v>30.0</v>
      </c>
      <c r="BB363" s="63">
        <v>8.0</v>
      </c>
      <c r="BC363" s="63">
        <v>30.0</v>
      </c>
      <c r="BD363" s="63">
        <v>6.0</v>
      </c>
      <c r="BE363" s="64">
        <v>0.0</v>
      </c>
      <c r="BF363" s="69">
        <v>0.0</v>
      </c>
      <c r="BG363" s="69">
        <v>0.0</v>
      </c>
      <c r="BH363" s="64">
        <v>0.0</v>
      </c>
      <c r="BI363" s="67" t="str">
        <f t="shared" si="133"/>
        <v>#REF!</v>
      </c>
      <c r="BJ363" s="68" t="str">
        <f t="shared" si="134"/>
        <v>#REF!</v>
      </c>
      <c r="BK363" s="69">
        <v>0.0</v>
      </c>
      <c r="BL363" s="69">
        <v>0.0</v>
      </c>
      <c r="BM363" s="64">
        <v>0.0</v>
      </c>
      <c r="BN363" s="67" t="str">
        <f t="shared" si="135"/>
        <v>#REF!</v>
      </c>
      <c r="BO363" s="68" t="str">
        <f t="shared" si="136"/>
        <v>#REF!</v>
      </c>
      <c r="BP363" s="65">
        <v>0.0</v>
      </c>
      <c r="BQ363" s="65">
        <v>0.0</v>
      </c>
      <c r="BR363" s="66">
        <v>0.0</v>
      </c>
      <c r="BS363" s="67" t="str">
        <f t="shared" si="137"/>
        <v>#REF!</v>
      </c>
      <c r="BT363" s="68" t="str">
        <f>'[1]DATA CONSOLIDADA 2018-2025 '!$BR363-Hoja1!$BO363</f>
        <v>#REF!</v>
      </c>
      <c r="BU363" s="69">
        <v>0.0</v>
      </c>
      <c r="BV363" s="65">
        <v>0.0</v>
      </c>
      <c r="BW363" s="66">
        <v>0.0</v>
      </c>
      <c r="BX363" s="67" t="str">
        <f t="shared" si="138"/>
        <v>#REF!</v>
      </c>
      <c r="BY363" s="68" t="str">
        <f t="shared" si="139"/>
        <v>#REF!</v>
      </c>
      <c r="BZ363" s="65">
        <v>755000.0</v>
      </c>
      <c r="CA363" s="65">
        <v>0.0</v>
      </c>
      <c r="CB363" s="66">
        <v>755000.0</v>
      </c>
      <c r="CC363" s="67" t="str">
        <f t="shared" si="140"/>
        <v>#REF!</v>
      </c>
      <c r="CD363" s="68" t="str">
        <f>'[1]DATA CONSOLIDADA 2018-2025 '!$CB363-Hoja1!$BW363</f>
        <v>#REF!</v>
      </c>
      <c r="CE363" s="70">
        <v>716900.0</v>
      </c>
      <c r="CF363" s="70">
        <v>0.0</v>
      </c>
      <c r="CG363" s="71">
        <v>716900.0</v>
      </c>
      <c r="CH363" s="67" t="str">
        <f t="shared" si="141"/>
        <v>#REF!</v>
      </c>
      <c r="CI363" s="68" t="str">
        <f>'[1]DATA CONSOLIDADA 2018-2025 '!$CG363-Hoja1!$CB363</f>
        <v>#REF!</v>
      </c>
      <c r="CJ363" s="64" t="str">
        <f t="shared" si="142"/>
        <v>#REF!</v>
      </c>
      <c r="CK363" s="64">
        <v>680467.6</v>
      </c>
      <c r="CL363" s="64">
        <v>0.0</v>
      </c>
      <c r="CM363" s="64">
        <v>680467.6</v>
      </c>
      <c r="CN363" s="64" t="str">
        <f t="shared" si="12"/>
        <v>#REF!</v>
      </c>
      <c r="CO363" s="68" t="str">
        <f>'[1]DATA CONSOLIDADA 2018-2025 '!$CM363-Hoja1!$CG363</f>
        <v>#REF!</v>
      </c>
      <c r="CP363" s="70">
        <v>0.0</v>
      </c>
      <c r="CQ363" s="70">
        <v>755000.0</v>
      </c>
      <c r="CR363" s="70">
        <v>0.0</v>
      </c>
      <c r="CS363" s="70">
        <v>0.0</v>
      </c>
      <c r="CT363" s="70">
        <v>0.0</v>
      </c>
      <c r="CU363" s="70">
        <v>0.0</v>
      </c>
      <c r="CV363" s="64">
        <v>755000.0</v>
      </c>
      <c r="CW363" s="64">
        <v>0.0</v>
      </c>
      <c r="CX363" s="64">
        <v>716900.0</v>
      </c>
      <c r="CY363" s="64">
        <v>0.0</v>
      </c>
      <c r="CZ363" s="64">
        <v>0.0</v>
      </c>
      <c r="DA363" s="64">
        <v>0.0</v>
      </c>
      <c r="DB363" s="64">
        <v>716900.0</v>
      </c>
      <c r="DC363" s="72">
        <v>0.0</v>
      </c>
      <c r="DD363" s="72">
        <v>680467.6</v>
      </c>
      <c r="DE363" s="72">
        <v>0.0</v>
      </c>
      <c r="DF363" s="72">
        <v>0.0</v>
      </c>
      <c r="DG363" s="72">
        <v>0.0</v>
      </c>
      <c r="DH363" s="72">
        <v>680467.6</v>
      </c>
      <c r="DI363" s="73">
        <v>2.0608734725E10</v>
      </c>
      <c r="DJ363" s="74" t="s">
        <v>1264</v>
      </c>
      <c r="DK363" s="74" t="s">
        <v>138</v>
      </c>
      <c r="DL363" s="75"/>
      <c r="DM363" s="75"/>
      <c r="DN363" s="75"/>
      <c r="DO363" s="75"/>
      <c r="DP363" s="75"/>
      <c r="DQ363" s="75"/>
      <c r="DR363" s="75"/>
      <c r="DS363" s="75"/>
      <c r="DT363" s="75"/>
      <c r="DU363" s="75"/>
      <c r="DV363" s="75"/>
      <c r="DW363" s="75"/>
      <c r="DX363" s="75"/>
      <c r="DY363" s="75"/>
      <c r="DZ363" s="75"/>
      <c r="EA363" s="75"/>
      <c r="EB363" s="75"/>
      <c r="EC363" s="75"/>
      <c r="ED363" s="75"/>
      <c r="EE363" s="75"/>
    </row>
    <row r="364" ht="47.25" hidden="1" customHeight="1">
      <c r="A364" s="55" t="s">
        <v>1265</v>
      </c>
      <c r="B364" s="55" t="s">
        <v>250</v>
      </c>
      <c r="C364" s="55" t="s">
        <v>250</v>
      </c>
      <c r="D364" s="55" t="s">
        <v>434</v>
      </c>
      <c r="E364" s="55" t="s">
        <v>469</v>
      </c>
      <c r="F364" s="55" t="s">
        <v>434</v>
      </c>
      <c r="G364" s="55" t="s">
        <v>470</v>
      </c>
      <c r="H364" s="55" t="s">
        <v>471</v>
      </c>
      <c r="I364" s="56"/>
      <c r="J364" s="56"/>
      <c r="K364" s="56"/>
      <c r="L364" s="56"/>
      <c r="M364" s="56"/>
      <c r="N364" s="56">
        <v>1.0</v>
      </c>
      <c r="O364" s="56">
        <v>1.0</v>
      </c>
      <c r="P364" s="56">
        <v>1.0</v>
      </c>
      <c r="Q364" s="56" t="s">
        <v>131</v>
      </c>
      <c r="R364" s="58" t="str">
        <f t="shared" si="1"/>
        <v>2023-2024 - 2025</v>
      </c>
      <c r="S364" s="59" t="str">
        <f>SUM(Hoja1!$I364:$P364)</f>
        <v>3</v>
      </c>
      <c r="T364" s="59" t="str">
        <f>IF(OR(Hoja1!$J364=1,Hoja1!$K364=1,Hoja1!$L364=1,Hoja1!$M364=1,Hoja1!$N364=1,Hoja1!$O364=1,Hoja1!$P364=1),"SI","NO")</f>
        <v>SI</v>
      </c>
      <c r="U364" s="59" t="str">
        <f>IF(OR(Hoja1!$K364=1,Hoja1!$L364=1,Hoja1!$M364=1,Hoja1!$N364=1,Hoja1!$O364=1,Hoja1!$P364=1),"SI","NO")</f>
        <v>SI</v>
      </c>
      <c r="V364" s="60">
        <v>0.0</v>
      </c>
      <c r="W364" s="61">
        <v>0.0</v>
      </c>
      <c r="X364" s="61">
        <v>0.0</v>
      </c>
      <c r="Y364" s="60">
        <v>0.0</v>
      </c>
      <c r="Z364" s="61">
        <v>0.0</v>
      </c>
      <c r="AA364" s="61">
        <v>0.0</v>
      </c>
      <c r="AB364" s="60">
        <v>0.0</v>
      </c>
      <c r="AC364" s="61">
        <v>0.0</v>
      </c>
      <c r="AD364" s="61">
        <v>0.0</v>
      </c>
      <c r="AE364" s="60">
        <v>0.0</v>
      </c>
      <c r="AF364" s="61">
        <v>0.0</v>
      </c>
      <c r="AG364" s="61">
        <v>0.0</v>
      </c>
      <c r="AH364" s="60">
        <v>0.0</v>
      </c>
      <c r="AI364" s="61">
        <v>100.0</v>
      </c>
      <c r="AJ364" s="61">
        <v>50.0</v>
      </c>
      <c r="AK364" s="60">
        <v>150.0</v>
      </c>
      <c r="AL364" s="61">
        <v>68.0</v>
      </c>
      <c r="AM364" s="61">
        <v>26.0</v>
      </c>
      <c r="AN364" s="60">
        <v>94.0</v>
      </c>
      <c r="AO364" s="62">
        <v>43.0</v>
      </c>
      <c r="AP364" s="62">
        <v>41.0</v>
      </c>
      <c r="AQ364" s="60">
        <v>84.0</v>
      </c>
      <c r="AR364" s="60" t="str">
        <f>IF(Hoja1!$AQ364&gt;0,Hoja1!$AQ364,IF(Hoja1!$AN364&gt;0,Hoja1!$AN364,IF(Hoja1!$AK364&gt;0,Hoja1!$AK364,IF(Hoja1!$AH364&gt;0,Hoja1!$AH364,IF(Hoja1!$AE364&gt;0,Hoja1!$AE364,IF(Hoja1!$AB364&gt;0,Hoja1!$AB364,IF(Hoja1!$Y364&gt;0,Hoja1!$Y364,IF(Hoja1!$V364&gt;0,Hoja1!$V364," ---"))))))))</f>
        <v>84</v>
      </c>
      <c r="AS364" s="63">
        <v>0.0</v>
      </c>
      <c r="AT364" s="63">
        <v>0.0</v>
      </c>
      <c r="AU364" s="63">
        <v>0.0</v>
      </c>
      <c r="AV364" s="63">
        <v>0.0</v>
      </c>
      <c r="AW364" s="63">
        <v>0.0</v>
      </c>
      <c r="AX364" s="63">
        <v>0.0</v>
      </c>
      <c r="AY364" s="63">
        <v>10.0</v>
      </c>
      <c r="AZ364" s="63">
        <v>2.0</v>
      </c>
      <c r="BA364" s="63">
        <v>0.0</v>
      </c>
      <c r="BB364" s="63">
        <v>0.0</v>
      </c>
      <c r="BC364" s="63">
        <v>6.0</v>
      </c>
      <c r="BD364" s="63">
        <v>1.0</v>
      </c>
      <c r="BE364" s="64">
        <v>0.0</v>
      </c>
      <c r="BF364" s="69">
        <v>0.0</v>
      </c>
      <c r="BG364" s="69">
        <v>0.0</v>
      </c>
      <c r="BH364" s="64">
        <v>0.0</v>
      </c>
      <c r="BI364" s="67" t="str">
        <f t="shared" si="133"/>
        <v>#REF!</v>
      </c>
      <c r="BJ364" s="68" t="str">
        <f t="shared" si="134"/>
        <v>#REF!</v>
      </c>
      <c r="BK364" s="69">
        <v>0.0</v>
      </c>
      <c r="BL364" s="69">
        <v>0.0</v>
      </c>
      <c r="BM364" s="64">
        <v>0.0</v>
      </c>
      <c r="BN364" s="67" t="str">
        <f t="shared" si="135"/>
        <v>#REF!</v>
      </c>
      <c r="BO364" s="68" t="str">
        <f t="shared" si="136"/>
        <v>#REF!</v>
      </c>
      <c r="BP364" s="65">
        <v>0.0</v>
      </c>
      <c r="BQ364" s="65">
        <v>0.0</v>
      </c>
      <c r="BR364" s="66">
        <v>0.0</v>
      </c>
      <c r="BS364" s="67" t="str">
        <f t="shared" si="137"/>
        <v>#REF!</v>
      </c>
      <c r="BT364" s="68" t="str">
        <f>'[1]DATA CONSOLIDADA 2018-2025 '!$BR364-Hoja1!$BO364</f>
        <v>#REF!</v>
      </c>
      <c r="BU364" s="69">
        <v>0.0</v>
      </c>
      <c r="BV364" s="65">
        <v>0.0</v>
      </c>
      <c r="BW364" s="66">
        <v>0.0</v>
      </c>
      <c r="BX364" s="67" t="str">
        <f t="shared" si="138"/>
        <v>#REF!</v>
      </c>
      <c r="BY364" s="68" t="str">
        <f t="shared" si="139"/>
        <v>#REF!</v>
      </c>
      <c r="BZ364" s="65">
        <v>437703.0</v>
      </c>
      <c r="CA364" s="65">
        <v>0.0</v>
      </c>
      <c r="CB364" s="66">
        <v>437703.0</v>
      </c>
      <c r="CC364" s="67" t="str">
        <f t="shared" si="140"/>
        <v>#REF!</v>
      </c>
      <c r="CD364" s="68" t="str">
        <f>'[1]DATA CONSOLIDADA 2018-2025 '!$CB364-Hoja1!$BW364</f>
        <v>#REF!</v>
      </c>
      <c r="CE364" s="70">
        <v>675901.4976756</v>
      </c>
      <c r="CF364" s="70">
        <v>0.0</v>
      </c>
      <c r="CG364" s="71">
        <v>675901.4976756</v>
      </c>
      <c r="CH364" s="67" t="str">
        <f t="shared" si="141"/>
        <v>#REF!</v>
      </c>
      <c r="CI364" s="68" t="str">
        <f>'[1]DATA CONSOLIDADA 2018-2025 '!$CG364-Hoja1!$CB364</f>
        <v>#REF!</v>
      </c>
      <c r="CJ364" s="64" t="str">
        <f t="shared" si="142"/>
        <v>#REF!</v>
      </c>
      <c r="CK364" s="64">
        <v>1139096.9964</v>
      </c>
      <c r="CL364" s="64">
        <v>0.0</v>
      </c>
      <c r="CM364" s="64">
        <v>1139096.9964</v>
      </c>
      <c r="CN364" s="64" t="str">
        <f t="shared" si="12"/>
        <v>#REF!</v>
      </c>
      <c r="CO364" s="68" t="str">
        <f>'[1]DATA CONSOLIDADA 2018-2025 '!$CM364-Hoja1!$CG364</f>
        <v>#REF!</v>
      </c>
      <c r="CP364" s="70">
        <v>0.0</v>
      </c>
      <c r="CQ364" s="70">
        <v>437703.0</v>
      </c>
      <c r="CR364" s="70">
        <v>0.0</v>
      </c>
      <c r="CS364" s="70">
        <v>0.0</v>
      </c>
      <c r="CT364" s="70">
        <v>0.0</v>
      </c>
      <c r="CU364" s="70">
        <v>0.0</v>
      </c>
      <c r="CV364" s="64">
        <v>437703.0</v>
      </c>
      <c r="CW364" s="64">
        <v>0.0</v>
      </c>
      <c r="CX364" s="64">
        <v>675901.4976756</v>
      </c>
      <c r="CY364" s="64">
        <v>0.0</v>
      </c>
      <c r="CZ364" s="64">
        <v>0.0</v>
      </c>
      <c r="DA364" s="64">
        <v>0.0</v>
      </c>
      <c r="DB364" s="64">
        <v>675901.4976756</v>
      </c>
      <c r="DC364" s="72">
        <v>0.0</v>
      </c>
      <c r="DD364" s="72">
        <v>1139096.9964</v>
      </c>
      <c r="DE364" s="72">
        <v>0.0</v>
      </c>
      <c r="DF364" s="72">
        <v>0.0</v>
      </c>
      <c r="DG364" s="72">
        <v>0.0</v>
      </c>
      <c r="DH364" s="72">
        <v>1139096.9964</v>
      </c>
      <c r="DI364" s="73">
        <v>2.0609529891E10</v>
      </c>
      <c r="DJ364" s="74" t="s">
        <v>1266</v>
      </c>
      <c r="DK364" s="74" t="s">
        <v>138</v>
      </c>
      <c r="DL364" s="75"/>
      <c r="DM364" s="75"/>
      <c r="DN364" s="75"/>
      <c r="DO364" s="75"/>
      <c r="DP364" s="75"/>
      <c r="DQ364" s="75"/>
      <c r="DR364" s="75"/>
      <c r="DS364" s="75"/>
      <c r="DT364" s="75"/>
      <c r="DU364" s="75"/>
      <c r="DV364" s="75"/>
      <c r="DW364" s="75"/>
      <c r="DX364" s="75"/>
      <c r="DY364" s="75"/>
      <c r="DZ364" s="75"/>
      <c r="EA364" s="75"/>
      <c r="EB364" s="75"/>
      <c r="EC364" s="75"/>
      <c r="ED364" s="75"/>
      <c r="EE364" s="75"/>
    </row>
    <row r="365" ht="47.25" hidden="1" customHeight="1">
      <c r="A365" s="55" t="s">
        <v>1267</v>
      </c>
      <c r="B365" s="55" t="s">
        <v>250</v>
      </c>
      <c r="C365" s="55" t="s">
        <v>250</v>
      </c>
      <c r="D365" s="55" t="s">
        <v>434</v>
      </c>
      <c r="E365" s="55" t="s">
        <v>1268</v>
      </c>
      <c r="F365" s="55" t="s">
        <v>434</v>
      </c>
      <c r="G365" s="55" t="s">
        <v>1269</v>
      </c>
      <c r="H365" s="55" t="s">
        <v>1269</v>
      </c>
      <c r="I365" s="56"/>
      <c r="J365" s="56"/>
      <c r="K365" s="56"/>
      <c r="L365" s="56"/>
      <c r="M365" s="56"/>
      <c r="N365" s="56">
        <v>1.0</v>
      </c>
      <c r="O365" s="56"/>
      <c r="P365" s="56"/>
      <c r="Q365" s="56" t="s">
        <v>131</v>
      </c>
      <c r="R365" s="58" t="str">
        <f t="shared" si="1"/>
        <v>2023</v>
      </c>
      <c r="S365" s="59" t="str">
        <f>SUM(Hoja1!$I365:$P365)</f>
        <v>1</v>
      </c>
      <c r="T365" s="59" t="str">
        <f>IF(OR(Hoja1!$J365=1,Hoja1!$K365=1,Hoja1!$L365=1,Hoja1!$M365=1,Hoja1!$N365=1,Hoja1!$O365=1,Hoja1!$P365=1),"SI","NO")</f>
        <v>SI</v>
      </c>
      <c r="U365" s="59" t="str">
        <f>IF(OR(Hoja1!$K365=1,Hoja1!$L365=1,Hoja1!$M365=1,Hoja1!$N365=1,Hoja1!$O365=1,Hoja1!$P365=1),"SI","NO")</f>
        <v>SI</v>
      </c>
      <c r="V365" s="60">
        <v>0.0</v>
      </c>
      <c r="W365" s="61">
        <v>0.0</v>
      </c>
      <c r="X365" s="61">
        <v>0.0</v>
      </c>
      <c r="Y365" s="60">
        <v>0.0</v>
      </c>
      <c r="Z365" s="61">
        <v>0.0</v>
      </c>
      <c r="AA365" s="61">
        <v>0.0</v>
      </c>
      <c r="AB365" s="60">
        <v>0.0</v>
      </c>
      <c r="AC365" s="61">
        <v>0.0</v>
      </c>
      <c r="AD365" s="61">
        <v>0.0</v>
      </c>
      <c r="AE365" s="60">
        <v>0.0</v>
      </c>
      <c r="AF365" s="61">
        <v>0.0</v>
      </c>
      <c r="AG365" s="61">
        <v>0.0</v>
      </c>
      <c r="AH365" s="60">
        <v>0.0</v>
      </c>
      <c r="AI365" s="61">
        <v>26.0</v>
      </c>
      <c r="AJ365" s="61">
        <v>8.0</v>
      </c>
      <c r="AK365" s="60">
        <v>34.0</v>
      </c>
      <c r="AL365" s="61">
        <v>0.0</v>
      </c>
      <c r="AM365" s="61">
        <v>0.0</v>
      </c>
      <c r="AN365" s="60">
        <v>0.0</v>
      </c>
      <c r="AO365" s="62">
        <v>0.0</v>
      </c>
      <c r="AP365" s="62">
        <v>0.0</v>
      </c>
      <c r="AQ365" s="60">
        <v>0.0</v>
      </c>
      <c r="AR365" s="60" t="str">
        <f>IF(Hoja1!$AQ365&gt;0,Hoja1!$AQ365,IF(Hoja1!$AN365&gt;0,Hoja1!$AN365,IF(Hoja1!$AK365&gt;0,Hoja1!$AK365,IF(Hoja1!$AH365&gt;0,Hoja1!$AH365,IF(Hoja1!$AE365&gt;0,Hoja1!$AE365,IF(Hoja1!$AB365&gt;0,Hoja1!$AB365,IF(Hoja1!$Y365&gt;0,Hoja1!$Y365,IF(Hoja1!$V365&gt;0,Hoja1!$V365," ---"))))))))</f>
        <v>34</v>
      </c>
      <c r="AS365" s="63">
        <v>0.0</v>
      </c>
      <c r="AT365" s="63">
        <v>0.0</v>
      </c>
      <c r="AU365" s="63">
        <v>0.0</v>
      </c>
      <c r="AV365" s="63">
        <v>0.0</v>
      </c>
      <c r="AW365" s="63">
        <v>0.0</v>
      </c>
      <c r="AX365" s="63">
        <v>0.0</v>
      </c>
      <c r="AY365" s="63">
        <v>10.0</v>
      </c>
      <c r="AZ365" s="63">
        <v>2.0</v>
      </c>
      <c r="BA365" s="63">
        <v>0.0</v>
      </c>
      <c r="BB365" s="63">
        <v>0.0</v>
      </c>
      <c r="BC365" s="63">
        <v>0.0</v>
      </c>
      <c r="BD365" s="63">
        <v>0.0</v>
      </c>
      <c r="BE365" s="64">
        <v>0.0</v>
      </c>
      <c r="BF365" s="69">
        <v>0.0</v>
      </c>
      <c r="BG365" s="69">
        <v>0.0</v>
      </c>
      <c r="BH365" s="64">
        <v>0.0</v>
      </c>
      <c r="BI365" s="67" t="str">
        <f t="shared" si="133"/>
        <v>#REF!</v>
      </c>
      <c r="BJ365" s="68" t="str">
        <f t="shared" si="134"/>
        <v>#REF!</v>
      </c>
      <c r="BK365" s="69">
        <v>0.0</v>
      </c>
      <c r="BL365" s="69">
        <v>0.0</v>
      </c>
      <c r="BM365" s="64">
        <v>0.0</v>
      </c>
      <c r="BN365" s="67" t="str">
        <f t="shared" si="135"/>
        <v>#REF!</v>
      </c>
      <c r="BO365" s="68" t="str">
        <f t="shared" si="136"/>
        <v>#REF!</v>
      </c>
      <c r="BP365" s="65">
        <v>0.0</v>
      </c>
      <c r="BQ365" s="65">
        <v>0.0</v>
      </c>
      <c r="BR365" s="66">
        <v>0.0</v>
      </c>
      <c r="BS365" s="67" t="str">
        <f t="shared" si="137"/>
        <v>#REF!</v>
      </c>
      <c r="BT365" s="68" t="str">
        <f>'[1]DATA CONSOLIDADA 2018-2025 '!$BR365-Hoja1!$BO365</f>
        <v>#REF!</v>
      </c>
      <c r="BU365" s="69">
        <v>0.0</v>
      </c>
      <c r="BV365" s="65">
        <v>0.0</v>
      </c>
      <c r="BW365" s="66">
        <v>0.0</v>
      </c>
      <c r="BX365" s="67" t="str">
        <f t="shared" si="138"/>
        <v>#REF!</v>
      </c>
      <c r="BY365" s="68" t="str">
        <f t="shared" si="139"/>
        <v>#REF!</v>
      </c>
      <c r="BZ365" s="65">
        <v>170725.0</v>
      </c>
      <c r="CA365" s="65">
        <v>0.0</v>
      </c>
      <c r="CB365" s="66">
        <v>170725.0</v>
      </c>
      <c r="CC365" s="67" t="str">
        <f t="shared" si="140"/>
        <v>#REF!</v>
      </c>
      <c r="CD365" s="68" t="str">
        <f>'[1]DATA CONSOLIDADA 2018-2025 '!$CB365-Hoja1!$BW365</f>
        <v>#REF!</v>
      </c>
      <c r="CE365" s="70">
        <v>0.0</v>
      </c>
      <c r="CF365" s="70">
        <v>0.0</v>
      </c>
      <c r="CG365" s="71">
        <v>0.0</v>
      </c>
      <c r="CH365" s="67" t="str">
        <f t="shared" si="141"/>
        <v>#REF!</v>
      </c>
      <c r="CI365" s="68" t="str">
        <f>'[1]DATA CONSOLIDADA 2018-2025 '!$CG365-Hoja1!$CB365</f>
        <v>#REF!</v>
      </c>
      <c r="CJ365" s="64" t="str">
        <f t="shared" si="142"/>
        <v>#REF!</v>
      </c>
      <c r="CK365" s="64">
        <v>0.0</v>
      </c>
      <c r="CL365" s="64">
        <v>0.0</v>
      </c>
      <c r="CM365" s="64">
        <v>0.0</v>
      </c>
      <c r="CN365" s="64" t="str">
        <f t="shared" si="12"/>
        <v>#REF!</v>
      </c>
      <c r="CO365" s="68" t="str">
        <f>'[1]DATA CONSOLIDADA 2018-2025 '!$CM365-Hoja1!$CG365</f>
        <v>#REF!</v>
      </c>
      <c r="CP365" s="70">
        <v>0.0</v>
      </c>
      <c r="CQ365" s="70">
        <v>170725.0</v>
      </c>
      <c r="CR365" s="70">
        <v>0.0</v>
      </c>
      <c r="CS365" s="70">
        <v>0.0</v>
      </c>
      <c r="CT365" s="70">
        <v>0.0</v>
      </c>
      <c r="CU365" s="70">
        <v>0.0</v>
      </c>
      <c r="CV365" s="64">
        <v>170725.0</v>
      </c>
      <c r="CW365" s="64">
        <v>0.0</v>
      </c>
      <c r="CX365" s="64">
        <v>0.0</v>
      </c>
      <c r="CY365" s="64">
        <v>0.0</v>
      </c>
      <c r="CZ365" s="64">
        <v>0.0</v>
      </c>
      <c r="DA365" s="64">
        <v>0.0</v>
      </c>
      <c r="DB365" s="64">
        <v>0.0</v>
      </c>
      <c r="DC365" s="72">
        <v>0.0</v>
      </c>
      <c r="DD365" s="72">
        <v>0.0</v>
      </c>
      <c r="DE365" s="72">
        <v>0.0</v>
      </c>
      <c r="DF365" s="72">
        <v>0.0</v>
      </c>
      <c r="DG365" s="72">
        <v>0.0</v>
      </c>
      <c r="DH365" s="72">
        <v>0.0</v>
      </c>
      <c r="DI365" s="73">
        <v>2.0563823641E10</v>
      </c>
      <c r="DJ365" s="74" t="s">
        <v>1270</v>
      </c>
      <c r="DK365" s="74" t="s">
        <v>138</v>
      </c>
      <c r="DL365" s="75"/>
      <c r="DM365" s="75"/>
      <c r="DN365" s="75"/>
      <c r="DO365" s="75"/>
      <c r="DP365" s="75"/>
      <c r="DQ365" s="75"/>
      <c r="DR365" s="75"/>
      <c r="DS365" s="75"/>
      <c r="DT365" s="75"/>
      <c r="DU365" s="75"/>
      <c r="DV365" s="75"/>
      <c r="DW365" s="75"/>
      <c r="DX365" s="75"/>
      <c r="DY365" s="75"/>
      <c r="DZ365" s="75"/>
      <c r="EA365" s="75"/>
      <c r="EB365" s="75"/>
      <c r="EC365" s="75"/>
      <c r="ED365" s="75"/>
      <c r="EE365" s="75"/>
    </row>
    <row r="366" ht="47.25" hidden="1" customHeight="1">
      <c r="A366" s="55" t="s">
        <v>1271</v>
      </c>
      <c r="B366" s="55" t="s">
        <v>166</v>
      </c>
      <c r="C366" s="55" t="s">
        <v>166</v>
      </c>
      <c r="D366" s="55" t="s">
        <v>563</v>
      </c>
      <c r="E366" s="55" t="s">
        <v>1272</v>
      </c>
      <c r="F366" s="55" t="s">
        <v>563</v>
      </c>
      <c r="G366" s="55" t="s">
        <v>1273</v>
      </c>
      <c r="H366" s="55" t="s">
        <v>1273</v>
      </c>
      <c r="I366" s="56"/>
      <c r="J366" s="56"/>
      <c r="K366" s="56"/>
      <c r="L366" s="56"/>
      <c r="M366" s="56"/>
      <c r="N366" s="56">
        <v>1.0</v>
      </c>
      <c r="O366" s="56">
        <v>1.0</v>
      </c>
      <c r="P366" s="56">
        <v>1.0</v>
      </c>
      <c r="Q366" s="56" t="s">
        <v>131</v>
      </c>
      <c r="R366" s="58" t="str">
        <f t="shared" si="1"/>
        <v>2023-2024 - 2025</v>
      </c>
      <c r="S366" s="59" t="str">
        <f>SUM(Hoja1!$I366:$P366)</f>
        <v>3</v>
      </c>
      <c r="T366" s="59" t="str">
        <f>IF(OR(Hoja1!$J366=1,Hoja1!$K366=1,Hoja1!$L366=1,Hoja1!$M366=1,Hoja1!$N366=1,Hoja1!$O366=1,Hoja1!$P366=1),"SI","NO")</f>
        <v>SI</v>
      </c>
      <c r="U366" s="59" t="str">
        <f>IF(OR(Hoja1!$K366=1,Hoja1!$L366=1,Hoja1!$M366=1,Hoja1!$N366=1,Hoja1!$O366=1,Hoja1!$P366=1),"SI","NO")</f>
        <v>SI</v>
      </c>
      <c r="V366" s="60">
        <v>0.0</v>
      </c>
      <c r="W366" s="61">
        <v>0.0</v>
      </c>
      <c r="X366" s="61">
        <v>0.0</v>
      </c>
      <c r="Y366" s="60">
        <v>0.0</v>
      </c>
      <c r="Z366" s="61">
        <v>0.0</v>
      </c>
      <c r="AA366" s="61">
        <v>0.0</v>
      </c>
      <c r="AB366" s="60">
        <v>0.0</v>
      </c>
      <c r="AC366" s="61">
        <v>0.0</v>
      </c>
      <c r="AD366" s="61">
        <v>0.0</v>
      </c>
      <c r="AE366" s="60">
        <v>0.0</v>
      </c>
      <c r="AF366" s="61">
        <v>0.0</v>
      </c>
      <c r="AG366" s="61">
        <v>0.0</v>
      </c>
      <c r="AH366" s="60">
        <v>0.0</v>
      </c>
      <c r="AI366" s="61">
        <v>36.0</v>
      </c>
      <c r="AJ366" s="61">
        <v>13.0</v>
      </c>
      <c r="AK366" s="60">
        <v>49.0</v>
      </c>
      <c r="AL366" s="61">
        <v>36.0</v>
      </c>
      <c r="AM366" s="61">
        <v>13.0</v>
      </c>
      <c r="AN366" s="60">
        <v>49.0</v>
      </c>
      <c r="AO366" s="62">
        <v>39.0</v>
      </c>
      <c r="AP366" s="62">
        <v>10.0</v>
      </c>
      <c r="AQ366" s="60">
        <v>49.0</v>
      </c>
      <c r="AR366" s="60" t="str">
        <f>IF(Hoja1!$AQ366&gt;0,Hoja1!$AQ366,IF(Hoja1!$AN366&gt;0,Hoja1!$AN366,IF(Hoja1!$AK366&gt;0,Hoja1!$AK366,IF(Hoja1!$AH366&gt;0,Hoja1!$AH366,IF(Hoja1!$AE366&gt;0,Hoja1!$AE366,IF(Hoja1!$AB366&gt;0,Hoja1!$AB366,IF(Hoja1!$Y366&gt;0,Hoja1!$Y366,IF(Hoja1!$V366&gt;0,Hoja1!$V366," ---"))))))))</f>
        <v>49</v>
      </c>
      <c r="AS366" s="63">
        <v>0.0</v>
      </c>
      <c r="AT366" s="63">
        <v>0.0</v>
      </c>
      <c r="AU366" s="63">
        <v>0.0</v>
      </c>
      <c r="AV366" s="63">
        <v>0.0</v>
      </c>
      <c r="AW366" s="63">
        <v>0.0</v>
      </c>
      <c r="AX366" s="63">
        <v>0.0</v>
      </c>
      <c r="AY366" s="63">
        <v>36.0</v>
      </c>
      <c r="AZ366" s="63">
        <v>6.0</v>
      </c>
      <c r="BA366" s="63">
        <v>52.0</v>
      </c>
      <c r="BB366" s="63">
        <v>6.0</v>
      </c>
      <c r="BC366" s="63">
        <v>24.0</v>
      </c>
      <c r="BD366" s="63">
        <v>5.0</v>
      </c>
      <c r="BE366" s="64">
        <v>0.0</v>
      </c>
      <c r="BF366" s="69">
        <v>0.0</v>
      </c>
      <c r="BG366" s="69">
        <v>0.0</v>
      </c>
      <c r="BH366" s="64">
        <v>0.0</v>
      </c>
      <c r="BI366" s="67" t="str">
        <f t="shared" si="133"/>
        <v>#REF!</v>
      </c>
      <c r="BJ366" s="68" t="str">
        <f t="shared" si="134"/>
        <v>#REF!</v>
      </c>
      <c r="BK366" s="69">
        <v>0.0</v>
      </c>
      <c r="BL366" s="69">
        <v>0.0</v>
      </c>
      <c r="BM366" s="64">
        <v>0.0</v>
      </c>
      <c r="BN366" s="67" t="str">
        <f t="shared" si="135"/>
        <v>#REF!</v>
      </c>
      <c r="BO366" s="68" t="str">
        <f t="shared" si="136"/>
        <v>#REF!</v>
      </c>
      <c r="BP366" s="65">
        <v>0.0</v>
      </c>
      <c r="BQ366" s="65">
        <v>0.0</v>
      </c>
      <c r="BR366" s="66">
        <v>0.0</v>
      </c>
      <c r="BS366" s="67" t="str">
        <f t="shared" si="137"/>
        <v>#REF!</v>
      </c>
      <c r="BT366" s="68" t="str">
        <f>'[1]DATA CONSOLIDADA 2018-2025 '!$BR366-Hoja1!$BO366</f>
        <v>#REF!</v>
      </c>
      <c r="BU366" s="69">
        <v>0.0</v>
      </c>
      <c r="BV366" s="65">
        <v>0.0</v>
      </c>
      <c r="BW366" s="66">
        <v>0.0</v>
      </c>
      <c r="BX366" s="67" t="str">
        <f t="shared" si="138"/>
        <v>#REF!</v>
      </c>
      <c r="BY366" s="68" t="str">
        <f t="shared" si="139"/>
        <v>#REF!</v>
      </c>
      <c r="BZ366" s="65">
        <v>1050000.0</v>
      </c>
      <c r="CA366" s="65">
        <v>0.0</v>
      </c>
      <c r="CB366" s="66">
        <v>1050000.0</v>
      </c>
      <c r="CC366" s="67" t="str">
        <f t="shared" si="140"/>
        <v>#REF!</v>
      </c>
      <c r="CD366" s="68" t="str">
        <f>'[1]DATA CONSOLIDADA 2018-2025 '!$CB366-Hoja1!$BW366</f>
        <v>#REF!</v>
      </c>
      <c r="CE366" s="70">
        <v>1280000.0</v>
      </c>
      <c r="CF366" s="70">
        <v>0.0</v>
      </c>
      <c r="CG366" s="71">
        <v>1280000.0</v>
      </c>
      <c r="CH366" s="67" t="str">
        <f t="shared" si="141"/>
        <v>#REF!</v>
      </c>
      <c r="CI366" s="68" t="str">
        <f>'[1]DATA CONSOLIDADA 2018-2025 '!$CG366-Hoja1!$CB366</f>
        <v>#REF!</v>
      </c>
      <c r="CJ366" s="64" t="str">
        <f t="shared" si="142"/>
        <v>#REF!</v>
      </c>
      <c r="CK366" s="64">
        <v>0.0</v>
      </c>
      <c r="CL366" s="64">
        <v>0.0</v>
      </c>
      <c r="CM366" s="64">
        <v>0.0</v>
      </c>
      <c r="CN366" s="64" t="str">
        <f t="shared" si="12"/>
        <v>#REF!</v>
      </c>
      <c r="CO366" s="68" t="str">
        <f>'[1]DATA CONSOLIDADA 2018-2025 '!$CM366-Hoja1!$CG366</f>
        <v>#REF!</v>
      </c>
      <c r="CP366" s="70">
        <v>0.0</v>
      </c>
      <c r="CQ366" s="70">
        <v>1050000.0</v>
      </c>
      <c r="CR366" s="70">
        <v>0.0</v>
      </c>
      <c r="CS366" s="70">
        <v>0.0</v>
      </c>
      <c r="CT366" s="70">
        <v>0.0</v>
      </c>
      <c r="CU366" s="70">
        <v>0.0</v>
      </c>
      <c r="CV366" s="64">
        <v>1050000.0</v>
      </c>
      <c r="CW366" s="64">
        <v>0.0</v>
      </c>
      <c r="CX366" s="64">
        <v>1280000.0</v>
      </c>
      <c r="CY366" s="64">
        <v>0.0</v>
      </c>
      <c r="CZ366" s="64">
        <v>0.0</v>
      </c>
      <c r="DA366" s="64">
        <v>0.0</v>
      </c>
      <c r="DB366" s="64">
        <v>1280000.0</v>
      </c>
      <c r="DC366" s="72">
        <v>0.0</v>
      </c>
      <c r="DD366" s="72">
        <v>0.0</v>
      </c>
      <c r="DE366" s="72">
        <v>0.0</v>
      </c>
      <c r="DF366" s="72">
        <v>0.0</v>
      </c>
      <c r="DG366" s="72">
        <v>0.0</v>
      </c>
      <c r="DH366" s="72">
        <v>0.0</v>
      </c>
      <c r="DI366" s="73">
        <v>2.0495177697E10</v>
      </c>
      <c r="DJ366" s="74" t="s">
        <v>1274</v>
      </c>
      <c r="DK366" s="74" t="s">
        <v>138</v>
      </c>
      <c r="DL366" s="75"/>
      <c r="DM366" s="75"/>
      <c r="DN366" s="75"/>
      <c r="DO366" s="75"/>
      <c r="DP366" s="75"/>
      <c r="DQ366" s="75"/>
      <c r="DR366" s="75"/>
      <c r="DS366" s="75"/>
      <c r="DT366" s="75"/>
      <c r="DU366" s="75"/>
      <c r="DV366" s="75"/>
      <c r="DW366" s="75"/>
      <c r="DX366" s="75"/>
      <c r="DY366" s="75"/>
      <c r="DZ366" s="75"/>
      <c r="EA366" s="75"/>
      <c r="EB366" s="75"/>
      <c r="EC366" s="75"/>
      <c r="ED366" s="75"/>
      <c r="EE366" s="75"/>
    </row>
    <row r="367" ht="47.25" hidden="1" customHeight="1">
      <c r="A367" s="55" t="s">
        <v>1275</v>
      </c>
      <c r="B367" s="55" t="s">
        <v>166</v>
      </c>
      <c r="C367" s="55" t="s">
        <v>166</v>
      </c>
      <c r="D367" s="55" t="s">
        <v>563</v>
      </c>
      <c r="E367" s="55" t="s">
        <v>1272</v>
      </c>
      <c r="F367" s="55" t="s">
        <v>563</v>
      </c>
      <c r="G367" s="55" t="s">
        <v>1273</v>
      </c>
      <c r="H367" s="55" t="s">
        <v>1273</v>
      </c>
      <c r="I367" s="56"/>
      <c r="J367" s="56"/>
      <c r="K367" s="56"/>
      <c r="L367" s="56"/>
      <c r="M367" s="56"/>
      <c r="N367" s="56">
        <v>1.0</v>
      </c>
      <c r="O367" s="56">
        <v>1.0</v>
      </c>
      <c r="P367" s="56">
        <v>1.0</v>
      </c>
      <c r="Q367" s="56" t="s">
        <v>131</v>
      </c>
      <c r="R367" s="58" t="str">
        <f t="shared" si="1"/>
        <v>2023-2024 - 2025</v>
      </c>
      <c r="S367" s="59" t="str">
        <f>SUM(Hoja1!$I367:$P367)</f>
        <v>3</v>
      </c>
      <c r="T367" s="59" t="str">
        <f>IF(OR(Hoja1!$J367=1,Hoja1!$K367=1,Hoja1!$L367=1,Hoja1!$M367=1,Hoja1!$N367=1,Hoja1!$O367=1,Hoja1!$P367=1),"SI","NO")</f>
        <v>SI</v>
      </c>
      <c r="U367" s="59" t="str">
        <f>IF(OR(Hoja1!$K367=1,Hoja1!$L367=1,Hoja1!$M367=1,Hoja1!$N367=1,Hoja1!$O367=1,Hoja1!$P367=1),"SI","NO")</f>
        <v>SI</v>
      </c>
      <c r="V367" s="60">
        <v>0.0</v>
      </c>
      <c r="W367" s="61">
        <v>0.0</v>
      </c>
      <c r="X367" s="61">
        <v>0.0</v>
      </c>
      <c r="Y367" s="60">
        <v>0.0</v>
      </c>
      <c r="Z367" s="61">
        <v>0.0</v>
      </c>
      <c r="AA367" s="61">
        <v>0.0</v>
      </c>
      <c r="AB367" s="60">
        <v>0.0</v>
      </c>
      <c r="AC367" s="61">
        <v>0.0</v>
      </c>
      <c r="AD367" s="61">
        <v>0.0</v>
      </c>
      <c r="AE367" s="60">
        <v>0.0</v>
      </c>
      <c r="AF367" s="61">
        <v>0.0</v>
      </c>
      <c r="AG367" s="61">
        <v>0.0</v>
      </c>
      <c r="AH367" s="60">
        <v>0.0</v>
      </c>
      <c r="AI367" s="61">
        <v>17.0</v>
      </c>
      <c r="AJ367" s="61">
        <v>8.0</v>
      </c>
      <c r="AK367" s="60">
        <v>25.0</v>
      </c>
      <c r="AL367" s="61">
        <v>17.0</v>
      </c>
      <c r="AM367" s="61">
        <v>8.0</v>
      </c>
      <c r="AN367" s="60">
        <v>25.0</v>
      </c>
      <c r="AO367" s="62">
        <v>16.0</v>
      </c>
      <c r="AP367" s="62">
        <v>9.0</v>
      </c>
      <c r="AQ367" s="60">
        <v>25.0</v>
      </c>
      <c r="AR367" s="60" t="str">
        <f>IF(Hoja1!$AQ367&gt;0,Hoja1!$AQ367,IF(Hoja1!$AN367&gt;0,Hoja1!$AN367,IF(Hoja1!$AK367&gt;0,Hoja1!$AK367,IF(Hoja1!$AH367&gt;0,Hoja1!$AH367,IF(Hoja1!$AE367&gt;0,Hoja1!$AE367,IF(Hoja1!$AB367&gt;0,Hoja1!$AB367,IF(Hoja1!$Y367&gt;0,Hoja1!$Y367,IF(Hoja1!$V367&gt;0,Hoja1!$V367," ---"))))))))</f>
        <v>25</v>
      </c>
      <c r="AS367" s="63">
        <v>0.0</v>
      </c>
      <c r="AT367" s="63">
        <v>0.0</v>
      </c>
      <c r="AU367" s="63">
        <v>0.0</v>
      </c>
      <c r="AV367" s="63">
        <v>0.0</v>
      </c>
      <c r="AW367" s="63">
        <v>0.0</v>
      </c>
      <c r="AX367" s="63">
        <v>0.0</v>
      </c>
      <c r="AY367" s="63">
        <v>36.0</v>
      </c>
      <c r="AZ367" s="63">
        <v>6.0</v>
      </c>
      <c r="BA367" s="63">
        <v>55.0</v>
      </c>
      <c r="BB367" s="63">
        <v>6.0</v>
      </c>
      <c r="BC367" s="63">
        <v>23.0</v>
      </c>
      <c r="BD367" s="63">
        <v>6.0</v>
      </c>
      <c r="BE367" s="64">
        <v>0.0</v>
      </c>
      <c r="BF367" s="69">
        <v>0.0</v>
      </c>
      <c r="BG367" s="69">
        <v>0.0</v>
      </c>
      <c r="BH367" s="64">
        <v>0.0</v>
      </c>
      <c r="BI367" s="67" t="str">
        <f t="shared" si="133"/>
        <v>#REF!</v>
      </c>
      <c r="BJ367" s="68" t="str">
        <f t="shared" si="134"/>
        <v>#REF!</v>
      </c>
      <c r="BK367" s="69">
        <v>0.0</v>
      </c>
      <c r="BL367" s="69">
        <v>0.0</v>
      </c>
      <c r="BM367" s="64">
        <v>0.0</v>
      </c>
      <c r="BN367" s="67" t="str">
        <f t="shared" si="135"/>
        <v>#REF!</v>
      </c>
      <c r="BO367" s="68" t="str">
        <f t="shared" si="136"/>
        <v>#REF!</v>
      </c>
      <c r="BP367" s="65">
        <v>0.0</v>
      </c>
      <c r="BQ367" s="65">
        <v>0.0</v>
      </c>
      <c r="BR367" s="66">
        <v>0.0</v>
      </c>
      <c r="BS367" s="67" t="str">
        <f t="shared" si="137"/>
        <v>#REF!</v>
      </c>
      <c r="BT367" s="68" t="str">
        <f>'[1]DATA CONSOLIDADA 2018-2025 '!$BR367-Hoja1!$BO367</f>
        <v>#REF!</v>
      </c>
      <c r="BU367" s="69">
        <v>0.0</v>
      </c>
      <c r="BV367" s="65">
        <v>0.0</v>
      </c>
      <c r="BW367" s="66">
        <v>0.0</v>
      </c>
      <c r="BX367" s="67" t="str">
        <f t="shared" si="138"/>
        <v>#REF!</v>
      </c>
      <c r="BY367" s="68" t="str">
        <f t="shared" si="139"/>
        <v>#REF!</v>
      </c>
      <c r="BZ367" s="65">
        <v>332500.0</v>
      </c>
      <c r="CA367" s="65">
        <v>0.0</v>
      </c>
      <c r="CB367" s="66">
        <v>332500.0</v>
      </c>
      <c r="CC367" s="67" t="str">
        <f t="shared" si="140"/>
        <v>#REF!</v>
      </c>
      <c r="CD367" s="68" t="str">
        <f>'[1]DATA CONSOLIDADA 2018-2025 '!$CB367-Hoja1!$BW367</f>
        <v>#REF!</v>
      </c>
      <c r="CE367" s="70">
        <v>412000.0</v>
      </c>
      <c r="CF367" s="70">
        <v>0.0</v>
      </c>
      <c r="CG367" s="71">
        <v>412000.0</v>
      </c>
      <c r="CH367" s="67" t="str">
        <f t="shared" si="141"/>
        <v>#REF!</v>
      </c>
      <c r="CI367" s="68" t="str">
        <f>'[1]DATA CONSOLIDADA 2018-2025 '!$CG367-Hoja1!$CB367</f>
        <v>#REF!</v>
      </c>
      <c r="CJ367" s="64" t="str">
        <f t="shared" si="142"/>
        <v>#REF!</v>
      </c>
      <c r="CK367" s="64">
        <v>0.0</v>
      </c>
      <c r="CL367" s="64">
        <v>0.0</v>
      </c>
      <c r="CM367" s="64">
        <v>0.0</v>
      </c>
      <c r="CN367" s="64" t="str">
        <f t="shared" si="12"/>
        <v>#REF!</v>
      </c>
      <c r="CO367" s="68" t="str">
        <f>'[1]DATA CONSOLIDADA 2018-2025 '!$CM367-Hoja1!$CG367</f>
        <v>#REF!</v>
      </c>
      <c r="CP367" s="70">
        <v>0.0</v>
      </c>
      <c r="CQ367" s="70">
        <v>332500.0</v>
      </c>
      <c r="CR367" s="70">
        <v>0.0</v>
      </c>
      <c r="CS367" s="70">
        <v>0.0</v>
      </c>
      <c r="CT367" s="70">
        <v>0.0</v>
      </c>
      <c r="CU367" s="70">
        <v>0.0</v>
      </c>
      <c r="CV367" s="64">
        <v>332500.0</v>
      </c>
      <c r="CW367" s="64">
        <v>0.0</v>
      </c>
      <c r="CX367" s="64">
        <v>412000.0</v>
      </c>
      <c r="CY367" s="64">
        <v>0.0</v>
      </c>
      <c r="CZ367" s="64">
        <v>0.0</v>
      </c>
      <c r="DA367" s="64">
        <v>0.0</v>
      </c>
      <c r="DB367" s="64">
        <v>412000.0</v>
      </c>
      <c r="DC367" s="72">
        <v>0.0</v>
      </c>
      <c r="DD367" s="72">
        <v>0.0</v>
      </c>
      <c r="DE367" s="72">
        <v>0.0</v>
      </c>
      <c r="DF367" s="72">
        <v>0.0</v>
      </c>
      <c r="DG367" s="72">
        <v>0.0</v>
      </c>
      <c r="DH367" s="72">
        <v>0.0</v>
      </c>
      <c r="DI367" s="73">
        <v>2.0602446019E10</v>
      </c>
      <c r="DJ367" s="74" t="s">
        <v>1276</v>
      </c>
      <c r="DK367" s="74" t="s">
        <v>138</v>
      </c>
      <c r="DL367" s="75"/>
      <c r="DM367" s="75"/>
      <c r="DN367" s="75"/>
      <c r="DO367" s="75"/>
      <c r="DP367" s="75"/>
      <c r="DQ367" s="75"/>
      <c r="DR367" s="75"/>
      <c r="DS367" s="75"/>
      <c r="DT367" s="75"/>
      <c r="DU367" s="75"/>
      <c r="DV367" s="75"/>
      <c r="DW367" s="75"/>
      <c r="DX367" s="75"/>
      <c r="DY367" s="75"/>
      <c r="DZ367" s="75"/>
      <c r="EA367" s="75"/>
      <c r="EB367" s="75"/>
      <c r="EC367" s="75"/>
      <c r="ED367" s="75"/>
      <c r="EE367" s="75"/>
    </row>
    <row r="368" ht="47.25" hidden="1" customHeight="1">
      <c r="A368" s="55" t="s">
        <v>1277</v>
      </c>
      <c r="B368" s="55" t="s">
        <v>250</v>
      </c>
      <c r="C368" s="55" t="s">
        <v>250</v>
      </c>
      <c r="D368" s="55" t="s">
        <v>563</v>
      </c>
      <c r="E368" s="55" t="s">
        <v>1278</v>
      </c>
      <c r="F368" s="55" t="s">
        <v>563</v>
      </c>
      <c r="G368" s="55" t="s">
        <v>577</v>
      </c>
      <c r="H368" s="55" t="s">
        <v>577</v>
      </c>
      <c r="I368" s="56"/>
      <c r="J368" s="56"/>
      <c r="K368" s="56"/>
      <c r="L368" s="56"/>
      <c r="M368" s="56"/>
      <c r="N368" s="56">
        <v>1.0</v>
      </c>
      <c r="O368" s="56">
        <v>1.0</v>
      </c>
      <c r="P368" s="56"/>
      <c r="Q368" s="56" t="s">
        <v>131</v>
      </c>
      <c r="R368" s="58" t="str">
        <f t="shared" si="1"/>
        <v>2023-2024</v>
      </c>
      <c r="S368" s="59" t="str">
        <f>SUM(Hoja1!$I368:$P368)</f>
        <v>2</v>
      </c>
      <c r="T368" s="59" t="str">
        <f>IF(OR(Hoja1!$J368=1,Hoja1!$K368=1,Hoja1!$L368=1,Hoja1!$M368=1,Hoja1!$N368=1,Hoja1!$O368=1,Hoja1!$P368=1),"SI","NO")</f>
        <v>SI</v>
      </c>
      <c r="U368" s="59" t="str">
        <f>IF(OR(Hoja1!$K368=1,Hoja1!$L368=1,Hoja1!$M368=1,Hoja1!$N368=1,Hoja1!$O368=1,Hoja1!$P368=1),"SI","NO")</f>
        <v>SI</v>
      </c>
      <c r="V368" s="60">
        <v>0.0</v>
      </c>
      <c r="W368" s="61">
        <v>0.0</v>
      </c>
      <c r="X368" s="61">
        <v>0.0</v>
      </c>
      <c r="Y368" s="60">
        <v>0.0</v>
      </c>
      <c r="Z368" s="61">
        <v>0.0</v>
      </c>
      <c r="AA368" s="61">
        <v>0.0</v>
      </c>
      <c r="AB368" s="60">
        <v>0.0</v>
      </c>
      <c r="AC368" s="61">
        <v>0.0</v>
      </c>
      <c r="AD368" s="61">
        <v>0.0</v>
      </c>
      <c r="AE368" s="60">
        <v>0.0</v>
      </c>
      <c r="AF368" s="61">
        <v>0.0</v>
      </c>
      <c r="AG368" s="61">
        <v>0.0</v>
      </c>
      <c r="AH368" s="60">
        <v>0.0</v>
      </c>
      <c r="AI368" s="61">
        <v>13.0</v>
      </c>
      <c r="AJ368" s="61">
        <v>3.0</v>
      </c>
      <c r="AK368" s="60">
        <v>16.0</v>
      </c>
      <c r="AL368" s="61">
        <v>13.0</v>
      </c>
      <c r="AM368" s="61">
        <v>3.0</v>
      </c>
      <c r="AN368" s="60">
        <v>16.0</v>
      </c>
      <c r="AO368" s="62">
        <v>0.0</v>
      </c>
      <c r="AP368" s="62">
        <v>0.0</v>
      </c>
      <c r="AQ368" s="60">
        <v>0.0</v>
      </c>
      <c r="AR368" s="60" t="str">
        <f>IF(Hoja1!$AQ368&gt;0,Hoja1!$AQ368,IF(Hoja1!$AN368&gt;0,Hoja1!$AN368,IF(Hoja1!$AK368&gt;0,Hoja1!$AK368,IF(Hoja1!$AH368&gt;0,Hoja1!$AH368,IF(Hoja1!$AE368&gt;0,Hoja1!$AE368,IF(Hoja1!$AB368&gt;0,Hoja1!$AB368,IF(Hoja1!$Y368&gt;0,Hoja1!$Y368,IF(Hoja1!$V368&gt;0,Hoja1!$V368," ---"))))))))</f>
        <v>16</v>
      </c>
      <c r="AS368" s="63">
        <v>0.0</v>
      </c>
      <c r="AT368" s="63">
        <v>0.0</v>
      </c>
      <c r="AU368" s="63">
        <v>0.0</v>
      </c>
      <c r="AV368" s="63">
        <v>0.0</v>
      </c>
      <c r="AW368" s="63">
        <v>0.0</v>
      </c>
      <c r="AX368" s="63">
        <v>0.0</v>
      </c>
      <c r="AY368" s="63">
        <v>8.0</v>
      </c>
      <c r="AZ368" s="63">
        <v>4.0</v>
      </c>
      <c r="BA368" s="63">
        <v>23.0</v>
      </c>
      <c r="BB368" s="63">
        <v>2.0</v>
      </c>
      <c r="BC368" s="63">
        <v>0.0</v>
      </c>
      <c r="BD368" s="63">
        <v>0.0</v>
      </c>
      <c r="BE368" s="64">
        <v>0.0</v>
      </c>
      <c r="BF368" s="69">
        <v>0.0</v>
      </c>
      <c r="BG368" s="69">
        <v>0.0</v>
      </c>
      <c r="BH368" s="64">
        <v>0.0</v>
      </c>
      <c r="BI368" s="67" t="str">
        <f t="shared" si="133"/>
        <v>#REF!</v>
      </c>
      <c r="BJ368" s="68" t="str">
        <f t="shared" si="134"/>
        <v>#REF!</v>
      </c>
      <c r="BK368" s="69">
        <v>0.0</v>
      </c>
      <c r="BL368" s="69">
        <v>0.0</v>
      </c>
      <c r="BM368" s="64">
        <v>0.0</v>
      </c>
      <c r="BN368" s="67" t="str">
        <f t="shared" si="135"/>
        <v>#REF!</v>
      </c>
      <c r="BO368" s="68" t="str">
        <f t="shared" si="136"/>
        <v>#REF!</v>
      </c>
      <c r="BP368" s="65">
        <v>0.0</v>
      </c>
      <c r="BQ368" s="65">
        <v>0.0</v>
      </c>
      <c r="BR368" s="66">
        <v>0.0</v>
      </c>
      <c r="BS368" s="67" t="str">
        <f t="shared" si="137"/>
        <v>#REF!</v>
      </c>
      <c r="BT368" s="68" t="str">
        <f>'[1]DATA CONSOLIDADA 2018-2025 '!$BR368-Hoja1!$BO368</f>
        <v>#REF!</v>
      </c>
      <c r="BU368" s="69">
        <v>0.0</v>
      </c>
      <c r="BV368" s="65">
        <v>0.0</v>
      </c>
      <c r="BW368" s="66">
        <v>0.0</v>
      </c>
      <c r="BX368" s="67" t="str">
        <f t="shared" si="138"/>
        <v>#REF!</v>
      </c>
      <c r="BY368" s="68" t="str">
        <f t="shared" si="139"/>
        <v>#REF!</v>
      </c>
      <c r="BZ368" s="65">
        <v>30000.0</v>
      </c>
      <c r="CA368" s="65">
        <v>0.0</v>
      </c>
      <c r="CB368" s="66">
        <v>30000.0</v>
      </c>
      <c r="CC368" s="67" t="str">
        <f t="shared" si="140"/>
        <v>#REF!</v>
      </c>
      <c r="CD368" s="68" t="str">
        <f>'[1]DATA CONSOLIDADA 2018-2025 '!$CB368-Hoja1!$BW368</f>
        <v>#REF!</v>
      </c>
      <c r="CE368" s="70">
        <v>0.0</v>
      </c>
      <c r="CF368" s="70">
        <v>0.0</v>
      </c>
      <c r="CG368" s="71">
        <v>0.0</v>
      </c>
      <c r="CH368" s="67" t="str">
        <f t="shared" si="141"/>
        <v>#REF!</v>
      </c>
      <c r="CI368" s="68" t="str">
        <f>'[1]DATA CONSOLIDADA 2018-2025 '!$CG368-Hoja1!$CB368</f>
        <v>#REF!</v>
      </c>
      <c r="CJ368" s="64" t="str">
        <f t="shared" si="142"/>
        <v>#REF!</v>
      </c>
      <c r="CK368" s="64">
        <v>0.0</v>
      </c>
      <c r="CL368" s="64">
        <v>0.0</v>
      </c>
      <c r="CM368" s="64">
        <v>0.0</v>
      </c>
      <c r="CN368" s="64" t="str">
        <f t="shared" si="12"/>
        <v>#REF!</v>
      </c>
      <c r="CO368" s="68" t="str">
        <f>'[1]DATA CONSOLIDADA 2018-2025 '!$CM368-Hoja1!$CG368</f>
        <v>#REF!</v>
      </c>
      <c r="CP368" s="70">
        <v>0.0</v>
      </c>
      <c r="CQ368" s="70">
        <v>30000.0</v>
      </c>
      <c r="CR368" s="70">
        <v>0.0</v>
      </c>
      <c r="CS368" s="70">
        <v>0.0</v>
      </c>
      <c r="CT368" s="70">
        <v>0.0</v>
      </c>
      <c r="CU368" s="70">
        <v>0.0</v>
      </c>
      <c r="CV368" s="64">
        <v>30000.0</v>
      </c>
      <c r="CW368" s="64">
        <v>0.0</v>
      </c>
      <c r="CX368" s="64">
        <v>0.0</v>
      </c>
      <c r="CY368" s="64">
        <v>0.0</v>
      </c>
      <c r="CZ368" s="64">
        <v>0.0</v>
      </c>
      <c r="DA368" s="64">
        <v>0.0</v>
      </c>
      <c r="DB368" s="64">
        <v>0.0</v>
      </c>
      <c r="DC368" s="72">
        <v>0.0</v>
      </c>
      <c r="DD368" s="72">
        <v>0.0</v>
      </c>
      <c r="DE368" s="72">
        <v>0.0</v>
      </c>
      <c r="DF368" s="72">
        <v>0.0</v>
      </c>
      <c r="DG368" s="72">
        <v>0.0</v>
      </c>
      <c r="DH368" s="72">
        <v>0.0</v>
      </c>
      <c r="DI368" s="73">
        <v>2.0600515412E10</v>
      </c>
      <c r="DJ368" s="74" t="s">
        <v>1279</v>
      </c>
      <c r="DK368" s="74" t="s">
        <v>138</v>
      </c>
      <c r="DL368" s="75"/>
      <c r="DM368" s="75"/>
      <c r="DN368" s="75"/>
      <c r="DO368" s="75"/>
      <c r="DP368" s="75"/>
      <c r="DQ368" s="75"/>
      <c r="DR368" s="75"/>
      <c r="DS368" s="75"/>
      <c r="DT368" s="75"/>
      <c r="DU368" s="75"/>
      <c r="DV368" s="75"/>
      <c r="DW368" s="75"/>
      <c r="DX368" s="75"/>
      <c r="DY368" s="75"/>
      <c r="DZ368" s="75"/>
      <c r="EA368" s="75"/>
      <c r="EB368" s="75"/>
      <c r="EC368" s="75"/>
      <c r="ED368" s="75"/>
      <c r="EE368" s="75"/>
    </row>
    <row r="369" ht="47.25" hidden="1" customHeight="1">
      <c r="A369" s="55" t="s">
        <v>1280</v>
      </c>
      <c r="B369" s="55" t="s">
        <v>250</v>
      </c>
      <c r="C369" s="55" t="s">
        <v>250</v>
      </c>
      <c r="D369" s="55" t="s">
        <v>563</v>
      </c>
      <c r="E369" s="55" t="s">
        <v>564</v>
      </c>
      <c r="F369" s="55" t="s">
        <v>563</v>
      </c>
      <c r="G369" s="55" t="s">
        <v>563</v>
      </c>
      <c r="H369" s="55" t="s">
        <v>563</v>
      </c>
      <c r="I369" s="56"/>
      <c r="J369" s="56"/>
      <c r="K369" s="56"/>
      <c r="L369" s="56"/>
      <c r="M369" s="56"/>
      <c r="N369" s="56">
        <v>1.0</v>
      </c>
      <c r="O369" s="56">
        <v>1.0</v>
      </c>
      <c r="P369" s="56"/>
      <c r="Q369" s="56" t="s">
        <v>131</v>
      </c>
      <c r="R369" s="58" t="str">
        <f t="shared" si="1"/>
        <v>2023-2024</v>
      </c>
      <c r="S369" s="59" t="str">
        <f>SUM(Hoja1!$I369:$P369)</f>
        <v>2</v>
      </c>
      <c r="T369" s="59" t="str">
        <f>IF(OR(Hoja1!$J369=1,Hoja1!$K369=1,Hoja1!$L369=1,Hoja1!$M369=1,Hoja1!$N369=1,Hoja1!$O369=1,Hoja1!$P369=1),"SI","NO")</f>
        <v>SI</v>
      </c>
      <c r="U369" s="59" t="str">
        <f>IF(OR(Hoja1!$K369=1,Hoja1!$L369=1,Hoja1!$M369=1,Hoja1!$N369=1,Hoja1!$O369=1,Hoja1!$P369=1),"SI","NO")</f>
        <v>SI</v>
      </c>
      <c r="V369" s="60">
        <v>0.0</v>
      </c>
      <c r="W369" s="61">
        <v>0.0</v>
      </c>
      <c r="X369" s="61">
        <v>0.0</v>
      </c>
      <c r="Y369" s="60">
        <v>0.0</v>
      </c>
      <c r="Z369" s="61">
        <v>0.0</v>
      </c>
      <c r="AA369" s="61">
        <v>0.0</v>
      </c>
      <c r="AB369" s="60">
        <v>0.0</v>
      </c>
      <c r="AC369" s="61">
        <v>0.0</v>
      </c>
      <c r="AD369" s="61">
        <v>0.0</v>
      </c>
      <c r="AE369" s="60">
        <v>0.0</v>
      </c>
      <c r="AF369" s="61">
        <v>0.0</v>
      </c>
      <c r="AG369" s="61">
        <v>0.0</v>
      </c>
      <c r="AH369" s="60">
        <v>0.0</v>
      </c>
      <c r="AI369" s="61">
        <v>6.0</v>
      </c>
      <c r="AJ369" s="61">
        <v>9.0</v>
      </c>
      <c r="AK369" s="60">
        <v>15.0</v>
      </c>
      <c r="AL369" s="61">
        <v>6.0</v>
      </c>
      <c r="AM369" s="61">
        <v>9.0</v>
      </c>
      <c r="AN369" s="60">
        <v>15.0</v>
      </c>
      <c r="AO369" s="62">
        <v>0.0</v>
      </c>
      <c r="AP369" s="62">
        <v>0.0</v>
      </c>
      <c r="AQ369" s="60">
        <v>0.0</v>
      </c>
      <c r="AR369" s="60" t="str">
        <f>IF(Hoja1!$AQ369&gt;0,Hoja1!$AQ369,IF(Hoja1!$AN369&gt;0,Hoja1!$AN369,IF(Hoja1!$AK369&gt;0,Hoja1!$AK369,IF(Hoja1!$AH369&gt;0,Hoja1!$AH369,IF(Hoja1!$AE369&gt;0,Hoja1!$AE369,IF(Hoja1!$AB369&gt;0,Hoja1!$AB369,IF(Hoja1!$Y369&gt;0,Hoja1!$Y369,IF(Hoja1!$V369&gt;0,Hoja1!$V369," ---"))))))))</f>
        <v>15</v>
      </c>
      <c r="AS369" s="63">
        <v>0.0</v>
      </c>
      <c r="AT369" s="63">
        <v>0.0</v>
      </c>
      <c r="AU369" s="63">
        <v>0.0</v>
      </c>
      <c r="AV369" s="63">
        <v>0.0</v>
      </c>
      <c r="AW369" s="63">
        <v>0.0</v>
      </c>
      <c r="AX369" s="63">
        <v>0.0</v>
      </c>
      <c r="AY369" s="63">
        <v>8.0</v>
      </c>
      <c r="AZ369" s="63">
        <v>4.0</v>
      </c>
      <c r="BA369" s="63">
        <v>30.0</v>
      </c>
      <c r="BB369" s="63">
        <v>0.0</v>
      </c>
      <c r="BC369" s="63">
        <v>0.0</v>
      </c>
      <c r="BD369" s="63">
        <v>0.0</v>
      </c>
      <c r="BE369" s="64">
        <v>0.0</v>
      </c>
      <c r="BF369" s="69">
        <v>0.0</v>
      </c>
      <c r="BG369" s="69">
        <v>0.0</v>
      </c>
      <c r="BH369" s="64">
        <v>0.0</v>
      </c>
      <c r="BI369" s="67" t="str">
        <f t="shared" si="133"/>
        <v>#REF!</v>
      </c>
      <c r="BJ369" s="68" t="str">
        <f t="shared" si="134"/>
        <v>#REF!</v>
      </c>
      <c r="BK369" s="69">
        <v>0.0</v>
      </c>
      <c r="BL369" s="69">
        <v>0.0</v>
      </c>
      <c r="BM369" s="64">
        <v>0.0</v>
      </c>
      <c r="BN369" s="67" t="str">
        <f t="shared" si="135"/>
        <v>#REF!</v>
      </c>
      <c r="BO369" s="68" t="str">
        <f t="shared" si="136"/>
        <v>#REF!</v>
      </c>
      <c r="BP369" s="65">
        <v>0.0</v>
      </c>
      <c r="BQ369" s="65">
        <v>0.0</v>
      </c>
      <c r="BR369" s="66">
        <v>0.0</v>
      </c>
      <c r="BS369" s="67" t="str">
        <f t="shared" si="137"/>
        <v>#REF!</v>
      </c>
      <c r="BT369" s="68" t="str">
        <f>'[1]DATA CONSOLIDADA 2018-2025 '!$BR369-Hoja1!$BO369</f>
        <v>#REF!</v>
      </c>
      <c r="BU369" s="69">
        <v>0.0</v>
      </c>
      <c r="BV369" s="65">
        <v>0.0</v>
      </c>
      <c r="BW369" s="66">
        <v>0.0</v>
      </c>
      <c r="BX369" s="67" t="str">
        <f t="shared" si="138"/>
        <v>#REF!</v>
      </c>
      <c r="BY369" s="68" t="str">
        <f t="shared" si="139"/>
        <v>#REF!</v>
      </c>
      <c r="BZ369" s="65">
        <v>22500.0</v>
      </c>
      <c r="CA369" s="65">
        <v>0.0</v>
      </c>
      <c r="CB369" s="66">
        <v>22500.0</v>
      </c>
      <c r="CC369" s="67" t="str">
        <f t="shared" si="140"/>
        <v>#REF!</v>
      </c>
      <c r="CD369" s="68" t="str">
        <f>'[1]DATA CONSOLIDADA 2018-2025 '!$CB369-Hoja1!$BW369</f>
        <v>#REF!</v>
      </c>
      <c r="CE369" s="70">
        <v>0.0</v>
      </c>
      <c r="CF369" s="70">
        <v>0.0</v>
      </c>
      <c r="CG369" s="71">
        <v>0.0</v>
      </c>
      <c r="CH369" s="67" t="str">
        <f t="shared" si="141"/>
        <v>#REF!</v>
      </c>
      <c r="CI369" s="68" t="str">
        <f>'[1]DATA CONSOLIDADA 2018-2025 '!$CG369-Hoja1!$CB369</f>
        <v>#REF!</v>
      </c>
      <c r="CJ369" s="64" t="str">
        <f t="shared" si="142"/>
        <v>#REF!</v>
      </c>
      <c r="CK369" s="64">
        <v>0.0</v>
      </c>
      <c r="CL369" s="64">
        <v>0.0</v>
      </c>
      <c r="CM369" s="64">
        <v>0.0</v>
      </c>
      <c r="CN369" s="64" t="str">
        <f t="shared" si="12"/>
        <v>#REF!</v>
      </c>
      <c r="CO369" s="68" t="str">
        <f>'[1]DATA CONSOLIDADA 2018-2025 '!$CM369-Hoja1!$CG369</f>
        <v>#REF!</v>
      </c>
      <c r="CP369" s="70">
        <v>0.0</v>
      </c>
      <c r="CQ369" s="70">
        <v>22500.0</v>
      </c>
      <c r="CR369" s="70">
        <v>0.0</v>
      </c>
      <c r="CS369" s="70">
        <v>0.0</v>
      </c>
      <c r="CT369" s="70">
        <v>0.0</v>
      </c>
      <c r="CU369" s="70">
        <v>0.0</v>
      </c>
      <c r="CV369" s="64">
        <v>22500.0</v>
      </c>
      <c r="CW369" s="64">
        <v>0.0</v>
      </c>
      <c r="CX369" s="64">
        <v>0.0</v>
      </c>
      <c r="CY369" s="64">
        <v>0.0</v>
      </c>
      <c r="CZ369" s="64">
        <v>0.0</v>
      </c>
      <c r="DA369" s="64">
        <v>0.0</v>
      </c>
      <c r="DB369" s="64">
        <v>0.0</v>
      </c>
      <c r="DC369" s="72">
        <v>0.0</v>
      </c>
      <c r="DD369" s="72">
        <v>0.0</v>
      </c>
      <c r="DE369" s="72">
        <v>0.0</v>
      </c>
      <c r="DF369" s="72">
        <v>0.0</v>
      </c>
      <c r="DG369" s="72">
        <v>0.0</v>
      </c>
      <c r="DH369" s="72">
        <v>0.0</v>
      </c>
      <c r="DI369" s="73">
        <v>2.0608190776E10</v>
      </c>
      <c r="DJ369" s="74" t="s">
        <v>1280</v>
      </c>
      <c r="DK369" s="74" t="s">
        <v>138</v>
      </c>
      <c r="DL369" s="75"/>
      <c r="DM369" s="75"/>
      <c r="DN369" s="75"/>
      <c r="DO369" s="75"/>
      <c r="DP369" s="75"/>
      <c r="DQ369" s="75"/>
      <c r="DR369" s="75"/>
      <c r="DS369" s="75"/>
      <c r="DT369" s="75"/>
      <c r="DU369" s="75"/>
      <c r="DV369" s="75"/>
      <c r="DW369" s="75"/>
      <c r="DX369" s="75"/>
      <c r="DY369" s="75"/>
      <c r="DZ369" s="75"/>
      <c r="EA369" s="75"/>
      <c r="EB369" s="75"/>
      <c r="EC369" s="75"/>
      <c r="ED369" s="75"/>
      <c r="EE369" s="75"/>
    </row>
    <row r="370" ht="47.25" hidden="1" customHeight="1">
      <c r="A370" s="55" t="s">
        <v>1281</v>
      </c>
      <c r="B370" s="55" t="s">
        <v>256</v>
      </c>
      <c r="C370" s="55" t="s">
        <v>272</v>
      </c>
      <c r="D370" s="55" t="s">
        <v>563</v>
      </c>
      <c r="E370" s="55" t="s">
        <v>584</v>
      </c>
      <c r="F370" s="55" t="s">
        <v>563</v>
      </c>
      <c r="G370" s="55" t="s">
        <v>585</v>
      </c>
      <c r="H370" s="55" t="s">
        <v>585</v>
      </c>
      <c r="I370" s="56"/>
      <c r="J370" s="56"/>
      <c r="K370" s="56"/>
      <c r="L370" s="56"/>
      <c r="M370" s="56"/>
      <c r="N370" s="56">
        <v>1.0</v>
      </c>
      <c r="O370" s="56">
        <v>1.0</v>
      </c>
      <c r="P370" s="56">
        <v>1.0</v>
      </c>
      <c r="Q370" s="56" t="s">
        <v>131</v>
      </c>
      <c r="R370" s="58" t="str">
        <f t="shared" si="1"/>
        <v>2023-2024 - 2025</v>
      </c>
      <c r="S370" s="59" t="str">
        <f>SUM(Hoja1!$I370:$P370)</f>
        <v>3</v>
      </c>
      <c r="T370" s="59" t="str">
        <f>IF(OR(Hoja1!$J370=1,Hoja1!$K370=1,Hoja1!$L370=1,Hoja1!$M370=1,Hoja1!$N370=1,Hoja1!$O370=1,Hoja1!$P370=1),"SI","NO")</f>
        <v>SI</v>
      </c>
      <c r="U370" s="59" t="str">
        <f>IF(OR(Hoja1!$K370=1,Hoja1!$L370=1,Hoja1!$M370=1,Hoja1!$N370=1,Hoja1!$O370=1,Hoja1!$P370=1),"SI","NO")</f>
        <v>SI</v>
      </c>
      <c r="V370" s="60">
        <v>0.0</v>
      </c>
      <c r="W370" s="61">
        <v>0.0</v>
      </c>
      <c r="X370" s="61">
        <v>0.0</v>
      </c>
      <c r="Y370" s="60">
        <v>0.0</v>
      </c>
      <c r="Z370" s="61">
        <v>0.0</v>
      </c>
      <c r="AA370" s="61">
        <v>0.0</v>
      </c>
      <c r="AB370" s="60">
        <v>0.0</v>
      </c>
      <c r="AC370" s="61">
        <v>0.0</v>
      </c>
      <c r="AD370" s="61">
        <v>0.0</v>
      </c>
      <c r="AE370" s="60">
        <v>0.0</v>
      </c>
      <c r="AF370" s="61">
        <v>0.0</v>
      </c>
      <c r="AG370" s="61">
        <v>0.0</v>
      </c>
      <c r="AH370" s="60">
        <v>0.0</v>
      </c>
      <c r="AI370" s="61">
        <v>0.0</v>
      </c>
      <c r="AJ370" s="61">
        <v>24.0</v>
      </c>
      <c r="AK370" s="60">
        <v>24.0</v>
      </c>
      <c r="AL370" s="61">
        <v>0.0</v>
      </c>
      <c r="AM370" s="61">
        <v>24.0</v>
      </c>
      <c r="AN370" s="60">
        <v>24.0</v>
      </c>
      <c r="AO370" s="62">
        <v>0.0</v>
      </c>
      <c r="AP370" s="62">
        <v>15.0</v>
      </c>
      <c r="AQ370" s="60">
        <v>15.0</v>
      </c>
      <c r="AR370" s="60" t="str">
        <f>IF(Hoja1!$AQ370&gt;0,Hoja1!$AQ370,IF(Hoja1!$AN370&gt;0,Hoja1!$AN370,IF(Hoja1!$AK370&gt;0,Hoja1!$AK370,IF(Hoja1!$AH370&gt;0,Hoja1!$AH370,IF(Hoja1!$AE370&gt;0,Hoja1!$AE370,IF(Hoja1!$AB370&gt;0,Hoja1!$AB370,IF(Hoja1!$Y370&gt;0,Hoja1!$Y370,IF(Hoja1!$V370&gt;0,Hoja1!$V370," ---"))))))))</f>
        <v>15</v>
      </c>
      <c r="AS370" s="63">
        <v>0.0</v>
      </c>
      <c r="AT370" s="63">
        <v>0.0</v>
      </c>
      <c r="AU370" s="63">
        <v>0.0</v>
      </c>
      <c r="AV370" s="63">
        <v>0.0</v>
      </c>
      <c r="AW370" s="63">
        <v>0.0</v>
      </c>
      <c r="AX370" s="63">
        <v>0.0</v>
      </c>
      <c r="AY370" s="63">
        <v>23.0</v>
      </c>
      <c r="AZ370" s="63">
        <v>4.0</v>
      </c>
      <c r="BA370" s="63">
        <v>39.0</v>
      </c>
      <c r="BB370" s="63">
        <v>1.0</v>
      </c>
      <c r="BC370" s="63">
        <v>51.0</v>
      </c>
      <c r="BD370" s="63">
        <v>6.0</v>
      </c>
      <c r="BE370" s="64">
        <v>0.0</v>
      </c>
      <c r="BF370" s="69">
        <v>0.0</v>
      </c>
      <c r="BG370" s="69">
        <v>0.0</v>
      </c>
      <c r="BH370" s="64">
        <v>0.0</v>
      </c>
      <c r="BI370" s="67" t="str">
        <f t="shared" si="133"/>
        <v>#REF!</v>
      </c>
      <c r="BJ370" s="68" t="str">
        <f t="shared" si="134"/>
        <v>#REF!</v>
      </c>
      <c r="BK370" s="69">
        <v>0.0</v>
      </c>
      <c r="BL370" s="69">
        <v>0.0</v>
      </c>
      <c r="BM370" s="64">
        <v>0.0</v>
      </c>
      <c r="BN370" s="67" t="str">
        <f t="shared" si="135"/>
        <v>#REF!</v>
      </c>
      <c r="BO370" s="68" t="str">
        <f t="shared" si="136"/>
        <v>#REF!</v>
      </c>
      <c r="BP370" s="65">
        <v>0.0</v>
      </c>
      <c r="BQ370" s="65">
        <v>0.0</v>
      </c>
      <c r="BR370" s="66">
        <v>0.0</v>
      </c>
      <c r="BS370" s="67" t="str">
        <f t="shared" si="137"/>
        <v>#REF!</v>
      </c>
      <c r="BT370" s="68" t="str">
        <f>'[1]DATA CONSOLIDADA 2018-2025 '!$BR370-Hoja1!$BO370</f>
        <v>#REF!</v>
      </c>
      <c r="BU370" s="69">
        <v>0.0</v>
      </c>
      <c r="BV370" s="65">
        <v>0.0</v>
      </c>
      <c r="BW370" s="66">
        <v>0.0</v>
      </c>
      <c r="BX370" s="67" t="str">
        <f t="shared" si="138"/>
        <v>#REF!</v>
      </c>
      <c r="BY370" s="68" t="str">
        <f t="shared" si="139"/>
        <v>#REF!</v>
      </c>
      <c r="BZ370" s="65">
        <v>0.0</v>
      </c>
      <c r="CA370" s="65">
        <v>0.0</v>
      </c>
      <c r="CB370" s="66">
        <v>0.0</v>
      </c>
      <c r="CC370" s="67" t="str">
        <f t="shared" si="140"/>
        <v>#REF!</v>
      </c>
      <c r="CD370" s="68" t="str">
        <f>'[1]DATA CONSOLIDADA 2018-2025 '!$CB370-Hoja1!$BW370</f>
        <v>#REF!</v>
      </c>
      <c r="CE370" s="70">
        <v>0.0</v>
      </c>
      <c r="CF370" s="70">
        <v>0.0</v>
      </c>
      <c r="CG370" s="71">
        <v>0.0</v>
      </c>
      <c r="CH370" s="67" t="str">
        <f t="shared" si="141"/>
        <v>#REF!</v>
      </c>
      <c r="CI370" s="68" t="str">
        <f>'[1]DATA CONSOLIDADA 2018-2025 '!$CG370-Hoja1!$CB370</f>
        <v>#REF!</v>
      </c>
      <c r="CJ370" s="64" t="str">
        <f t="shared" si="142"/>
        <v>#REF!</v>
      </c>
      <c r="CK370" s="64">
        <v>49612.5</v>
      </c>
      <c r="CL370" s="64">
        <v>0.0</v>
      </c>
      <c r="CM370" s="64">
        <v>49612.5</v>
      </c>
      <c r="CN370" s="64" t="str">
        <f t="shared" si="12"/>
        <v>#REF!</v>
      </c>
      <c r="CO370" s="68" t="str">
        <f>'[1]DATA CONSOLIDADA 2018-2025 '!$CM370-Hoja1!$CG370</f>
        <v>#REF!</v>
      </c>
      <c r="CP370" s="70">
        <v>0.0</v>
      </c>
      <c r="CQ370" s="70">
        <v>0.0</v>
      </c>
      <c r="CR370" s="70">
        <v>0.0</v>
      </c>
      <c r="CS370" s="70">
        <v>0.0</v>
      </c>
      <c r="CT370" s="70">
        <v>0.0</v>
      </c>
      <c r="CU370" s="70">
        <v>0.0</v>
      </c>
      <c r="CV370" s="64">
        <v>0.0</v>
      </c>
      <c r="CW370" s="64">
        <v>0.0</v>
      </c>
      <c r="CX370" s="64">
        <v>0.0</v>
      </c>
      <c r="CY370" s="64">
        <v>0.0</v>
      </c>
      <c r="CZ370" s="64">
        <v>0.0</v>
      </c>
      <c r="DA370" s="64">
        <v>0.0</v>
      </c>
      <c r="DB370" s="64">
        <v>0.0</v>
      </c>
      <c r="DC370" s="72">
        <v>0.0</v>
      </c>
      <c r="DD370" s="72">
        <v>0.0</v>
      </c>
      <c r="DE370" s="72">
        <v>49612.5</v>
      </c>
      <c r="DF370" s="72">
        <v>0.0</v>
      </c>
      <c r="DG370" s="72">
        <v>0.0</v>
      </c>
      <c r="DH370" s="72">
        <v>49612.5</v>
      </c>
      <c r="DI370" s="73">
        <v>2.0601074843E10</v>
      </c>
      <c r="DJ370" s="74" t="s">
        <v>1281</v>
      </c>
      <c r="DK370" s="74" t="s">
        <v>138</v>
      </c>
      <c r="DL370" s="75"/>
      <c r="DM370" s="75"/>
      <c r="DN370" s="75"/>
      <c r="DO370" s="75"/>
      <c r="DP370" s="75"/>
      <c r="DQ370" s="75"/>
      <c r="DR370" s="75"/>
      <c r="DS370" s="75"/>
      <c r="DT370" s="75"/>
      <c r="DU370" s="75"/>
      <c r="DV370" s="75"/>
      <c r="DW370" s="75"/>
      <c r="DX370" s="75"/>
      <c r="DY370" s="75"/>
      <c r="DZ370" s="75"/>
      <c r="EA370" s="75"/>
      <c r="EB370" s="75"/>
      <c r="EC370" s="75"/>
      <c r="ED370" s="75"/>
      <c r="EE370" s="75"/>
    </row>
    <row r="371" ht="47.25" hidden="1" customHeight="1">
      <c r="A371" s="55" t="s">
        <v>1282</v>
      </c>
      <c r="B371" s="55" t="s">
        <v>256</v>
      </c>
      <c r="C371" s="55" t="s">
        <v>272</v>
      </c>
      <c r="D371" s="55" t="s">
        <v>563</v>
      </c>
      <c r="E371" s="55" t="s">
        <v>584</v>
      </c>
      <c r="F371" s="55" t="s">
        <v>563</v>
      </c>
      <c r="G371" s="55" t="s">
        <v>585</v>
      </c>
      <c r="H371" s="55" t="s">
        <v>585</v>
      </c>
      <c r="I371" s="56"/>
      <c r="J371" s="56"/>
      <c r="K371" s="56"/>
      <c r="L371" s="56"/>
      <c r="M371" s="56"/>
      <c r="N371" s="56">
        <v>1.0</v>
      </c>
      <c r="O371" s="56">
        <v>1.0</v>
      </c>
      <c r="P371" s="56">
        <v>1.0</v>
      </c>
      <c r="Q371" s="56" t="s">
        <v>131</v>
      </c>
      <c r="R371" s="58" t="str">
        <f t="shared" si="1"/>
        <v>2023-2024 - 2025</v>
      </c>
      <c r="S371" s="59" t="str">
        <f>SUM(Hoja1!$I371:$P371)</f>
        <v>3</v>
      </c>
      <c r="T371" s="59" t="str">
        <f>IF(OR(Hoja1!$J371=1,Hoja1!$K371=1,Hoja1!$L371=1,Hoja1!$M371=1,Hoja1!$N371=1,Hoja1!$O371=1,Hoja1!$P371=1),"SI","NO")</f>
        <v>SI</v>
      </c>
      <c r="U371" s="59" t="str">
        <f>IF(OR(Hoja1!$K371=1,Hoja1!$L371=1,Hoja1!$M371=1,Hoja1!$N371=1,Hoja1!$O371=1,Hoja1!$P371=1),"SI","NO")</f>
        <v>SI</v>
      </c>
      <c r="V371" s="60">
        <v>0.0</v>
      </c>
      <c r="W371" s="61">
        <v>0.0</v>
      </c>
      <c r="X371" s="61">
        <v>0.0</v>
      </c>
      <c r="Y371" s="60">
        <v>0.0</v>
      </c>
      <c r="Z371" s="61">
        <v>0.0</v>
      </c>
      <c r="AA371" s="61">
        <v>0.0</v>
      </c>
      <c r="AB371" s="60">
        <v>0.0</v>
      </c>
      <c r="AC371" s="61">
        <v>0.0</v>
      </c>
      <c r="AD371" s="61">
        <v>0.0</v>
      </c>
      <c r="AE371" s="60">
        <v>0.0</v>
      </c>
      <c r="AF371" s="61">
        <v>0.0</v>
      </c>
      <c r="AG371" s="61">
        <v>0.0</v>
      </c>
      <c r="AH371" s="60">
        <v>0.0</v>
      </c>
      <c r="AI371" s="61">
        <v>0.0</v>
      </c>
      <c r="AJ371" s="61">
        <v>12.0</v>
      </c>
      <c r="AK371" s="60">
        <v>12.0</v>
      </c>
      <c r="AL371" s="61">
        <v>0.0</v>
      </c>
      <c r="AM371" s="61">
        <v>12.0</v>
      </c>
      <c r="AN371" s="60">
        <v>12.0</v>
      </c>
      <c r="AO371" s="62">
        <v>0.0</v>
      </c>
      <c r="AP371" s="62">
        <v>13.0</v>
      </c>
      <c r="AQ371" s="60">
        <v>13.0</v>
      </c>
      <c r="AR371" s="60" t="str">
        <f>IF(Hoja1!$AQ371&gt;0,Hoja1!$AQ371,IF(Hoja1!$AN371&gt;0,Hoja1!$AN371,IF(Hoja1!$AK371&gt;0,Hoja1!$AK371,IF(Hoja1!$AH371&gt;0,Hoja1!$AH371,IF(Hoja1!$AE371&gt;0,Hoja1!$AE371,IF(Hoja1!$AB371&gt;0,Hoja1!$AB371,IF(Hoja1!$Y371&gt;0,Hoja1!$Y371,IF(Hoja1!$V371&gt;0,Hoja1!$V371," ---"))))))))</f>
        <v>13</v>
      </c>
      <c r="AS371" s="63">
        <v>0.0</v>
      </c>
      <c r="AT371" s="63">
        <v>0.0</v>
      </c>
      <c r="AU371" s="63">
        <v>0.0</v>
      </c>
      <c r="AV371" s="63">
        <v>0.0</v>
      </c>
      <c r="AW371" s="63">
        <v>0.0</v>
      </c>
      <c r="AX371" s="63">
        <v>0.0</v>
      </c>
      <c r="AY371" s="63">
        <v>24.0</v>
      </c>
      <c r="AZ371" s="63">
        <v>4.0</v>
      </c>
      <c r="BA371" s="63">
        <v>44.0</v>
      </c>
      <c r="BB371" s="63">
        <v>1.0</v>
      </c>
      <c r="BC371" s="63">
        <v>33.0</v>
      </c>
      <c r="BD371" s="63">
        <v>5.0</v>
      </c>
      <c r="BE371" s="64">
        <v>0.0</v>
      </c>
      <c r="BF371" s="69">
        <v>0.0</v>
      </c>
      <c r="BG371" s="69">
        <v>0.0</v>
      </c>
      <c r="BH371" s="64">
        <v>0.0</v>
      </c>
      <c r="BI371" s="67" t="str">
        <f t="shared" si="133"/>
        <v>#REF!</v>
      </c>
      <c r="BJ371" s="68" t="str">
        <f t="shared" si="134"/>
        <v>#REF!</v>
      </c>
      <c r="BK371" s="69">
        <v>0.0</v>
      </c>
      <c r="BL371" s="69">
        <v>0.0</v>
      </c>
      <c r="BM371" s="64">
        <v>0.0</v>
      </c>
      <c r="BN371" s="67" t="str">
        <f t="shared" si="135"/>
        <v>#REF!</v>
      </c>
      <c r="BO371" s="68" t="str">
        <f t="shared" si="136"/>
        <v>#REF!</v>
      </c>
      <c r="BP371" s="65">
        <v>0.0</v>
      </c>
      <c r="BQ371" s="65">
        <v>0.0</v>
      </c>
      <c r="BR371" s="66">
        <v>0.0</v>
      </c>
      <c r="BS371" s="67" t="str">
        <f t="shared" si="137"/>
        <v>#REF!</v>
      </c>
      <c r="BT371" s="68" t="str">
        <f>'[1]DATA CONSOLIDADA 2018-2025 '!$BR371-Hoja1!$BO371</f>
        <v>#REF!</v>
      </c>
      <c r="BU371" s="69">
        <v>0.0</v>
      </c>
      <c r="BV371" s="65">
        <v>0.0</v>
      </c>
      <c r="BW371" s="66">
        <v>0.0</v>
      </c>
      <c r="BX371" s="67" t="str">
        <f t="shared" si="138"/>
        <v>#REF!</v>
      </c>
      <c r="BY371" s="68" t="str">
        <f t="shared" si="139"/>
        <v>#REF!</v>
      </c>
      <c r="BZ371" s="65">
        <v>0.0</v>
      </c>
      <c r="CA371" s="65">
        <v>0.0</v>
      </c>
      <c r="CB371" s="66">
        <v>0.0</v>
      </c>
      <c r="CC371" s="67" t="str">
        <f t="shared" si="140"/>
        <v>#REF!</v>
      </c>
      <c r="CD371" s="68" t="str">
        <f>'[1]DATA CONSOLIDADA 2018-2025 '!$CB371-Hoja1!$BW371</f>
        <v>#REF!</v>
      </c>
      <c r="CE371" s="70">
        <v>0.0</v>
      </c>
      <c r="CF371" s="70">
        <v>0.0</v>
      </c>
      <c r="CG371" s="71">
        <v>0.0</v>
      </c>
      <c r="CH371" s="67" t="str">
        <f t="shared" si="141"/>
        <v>#REF!</v>
      </c>
      <c r="CI371" s="68" t="str">
        <f>'[1]DATA CONSOLIDADA 2018-2025 '!$CG371-Hoja1!$CB371</f>
        <v>#REF!</v>
      </c>
      <c r="CJ371" s="64" t="str">
        <f t="shared" si="142"/>
        <v>#REF!</v>
      </c>
      <c r="CK371" s="64">
        <v>30852.9</v>
      </c>
      <c r="CL371" s="64">
        <v>0.0</v>
      </c>
      <c r="CM371" s="64">
        <v>30852.9</v>
      </c>
      <c r="CN371" s="64" t="str">
        <f t="shared" si="12"/>
        <v>#REF!</v>
      </c>
      <c r="CO371" s="68" t="str">
        <f>'[1]DATA CONSOLIDADA 2018-2025 '!$CM371-Hoja1!$CG371</f>
        <v>#REF!</v>
      </c>
      <c r="CP371" s="70">
        <v>0.0</v>
      </c>
      <c r="CQ371" s="70">
        <v>0.0</v>
      </c>
      <c r="CR371" s="70">
        <v>0.0</v>
      </c>
      <c r="CS371" s="70">
        <v>0.0</v>
      </c>
      <c r="CT371" s="70">
        <v>0.0</v>
      </c>
      <c r="CU371" s="70">
        <v>0.0</v>
      </c>
      <c r="CV371" s="64">
        <v>0.0</v>
      </c>
      <c r="CW371" s="64">
        <v>0.0</v>
      </c>
      <c r="CX371" s="64">
        <v>0.0</v>
      </c>
      <c r="CY371" s="64">
        <v>0.0</v>
      </c>
      <c r="CZ371" s="64">
        <v>0.0</v>
      </c>
      <c r="DA371" s="64">
        <v>0.0</v>
      </c>
      <c r="DB371" s="64">
        <v>0.0</v>
      </c>
      <c r="DC371" s="72">
        <v>0.0</v>
      </c>
      <c r="DD371" s="72">
        <v>0.0</v>
      </c>
      <c r="DE371" s="72">
        <v>30852.9</v>
      </c>
      <c r="DF371" s="72">
        <v>0.0</v>
      </c>
      <c r="DG371" s="72">
        <v>0.0</v>
      </c>
      <c r="DH371" s="72">
        <v>30852.9</v>
      </c>
      <c r="DI371" s="73">
        <v>2.060104183E10</v>
      </c>
      <c r="DJ371" s="74" t="s">
        <v>1283</v>
      </c>
      <c r="DK371" s="74" t="s">
        <v>138</v>
      </c>
      <c r="DL371" s="75"/>
      <c r="DM371" s="75"/>
      <c r="DN371" s="75"/>
      <c r="DO371" s="75"/>
      <c r="DP371" s="75"/>
      <c r="DQ371" s="75"/>
      <c r="DR371" s="75"/>
      <c r="DS371" s="75"/>
      <c r="DT371" s="75"/>
      <c r="DU371" s="75"/>
      <c r="DV371" s="75"/>
      <c r="DW371" s="75"/>
      <c r="DX371" s="75"/>
      <c r="DY371" s="75"/>
      <c r="DZ371" s="75"/>
      <c r="EA371" s="75"/>
      <c r="EB371" s="75"/>
      <c r="EC371" s="75"/>
      <c r="ED371" s="75"/>
      <c r="EE371" s="75"/>
    </row>
    <row r="372" ht="47.25" hidden="1" customHeight="1">
      <c r="A372" s="55" t="s">
        <v>1284</v>
      </c>
      <c r="B372" s="55" t="s">
        <v>621</v>
      </c>
      <c r="C372" s="55" t="s">
        <v>621</v>
      </c>
      <c r="D372" s="55" t="s">
        <v>593</v>
      </c>
      <c r="E372" s="55" t="s">
        <v>660</v>
      </c>
      <c r="F372" s="55" t="s">
        <v>593</v>
      </c>
      <c r="G372" s="55" t="s">
        <v>595</v>
      </c>
      <c r="H372" s="55" t="s">
        <v>661</v>
      </c>
      <c r="I372" s="56"/>
      <c r="J372" s="56"/>
      <c r="K372" s="56"/>
      <c r="L372" s="56"/>
      <c r="M372" s="56"/>
      <c r="N372" s="56">
        <v>1.0</v>
      </c>
      <c r="O372" s="56">
        <v>1.0</v>
      </c>
      <c r="P372" s="56">
        <v>1.0</v>
      </c>
      <c r="Q372" s="56" t="s">
        <v>131</v>
      </c>
      <c r="R372" s="58" t="str">
        <f t="shared" si="1"/>
        <v>2023-2024 - 2025</v>
      </c>
      <c r="S372" s="59" t="str">
        <f>SUM(Hoja1!$I372:$P372)</f>
        <v>3</v>
      </c>
      <c r="T372" s="59" t="str">
        <f>IF(OR(Hoja1!$J372=1,Hoja1!$K372=1,Hoja1!$L372=1,Hoja1!$M372=1,Hoja1!$N372=1,Hoja1!$O372=1,Hoja1!$P372=1),"SI","NO")</f>
        <v>SI</v>
      </c>
      <c r="U372" s="59" t="str">
        <f>IF(OR(Hoja1!$K372=1,Hoja1!$L372=1,Hoja1!$M372=1,Hoja1!$N372=1,Hoja1!$O372=1,Hoja1!$P372=1),"SI","NO")</f>
        <v>SI</v>
      </c>
      <c r="V372" s="60">
        <v>0.0</v>
      </c>
      <c r="W372" s="61">
        <v>0.0</v>
      </c>
      <c r="X372" s="61">
        <v>0.0</v>
      </c>
      <c r="Y372" s="60">
        <v>0.0</v>
      </c>
      <c r="Z372" s="61">
        <v>0.0</v>
      </c>
      <c r="AA372" s="61">
        <v>0.0</v>
      </c>
      <c r="AB372" s="60">
        <v>0.0</v>
      </c>
      <c r="AC372" s="61">
        <v>0.0</v>
      </c>
      <c r="AD372" s="61">
        <v>0.0</v>
      </c>
      <c r="AE372" s="60">
        <v>0.0</v>
      </c>
      <c r="AF372" s="61">
        <v>0.0</v>
      </c>
      <c r="AG372" s="61">
        <v>0.0</v>
      </c>
      <c r="AH372" s="60">
        <v>0.0</v>
      </c>
      <c r="AI372" s="61">
        <v>17.0</v>
      </c>
      <c r="AJ372" s="61">
        <v>3.0</v>
      </c>
      <c r="AK372" s="60">
        <v>20.0</v>
      </c>
      <c r="AL372" s="61">
        <v>9.0</v>
      </c>
      <c r="AM372" s="61">
        <v>3.0</v>
      </c>
      <c r="AN372" s="60">
        <v>12.0</v>
      </c>
      <c r="AO372" s="62">
        <v>12.0</v>
      </c>
      <c r="AP372" s="62">
        <v>7.0</v>
      </c>
      <c r="AQ372" s="60">
        <v>19.0</v>
      </c>
      <c r="AR372" s="60" t="str">
        <f>IF(Hoja1!$AQ372&gt;0,Hoja1!$AQ372,IF(Hoja1!$AN372&gt;0,Hoja1!$AN372,IF(Hoja1!$AK372&gt;0,Hoja1!$AK372,IF(Hoja1!$AH372&gt;0,Hoja1!$AH372,IF(Hoja1!$AE372&gt;0,Hoja1!$AE372,IF(Hoja1!$AB372&gt;0,Hoja1!$AB372,IF(Hoja1!$Y372&gt;0,Hoja1!$Y372,IF(Hoja1!$V372&gt;0,Hoja1!$V372," ---"))))))))</f>
        <v>19</v>
      </c>
      <c r="AS372" s="63">
        <v>0.0</v>
      </c>
      <c r="AT372" s="63">
        <v>0.0</v>
      </c>
      <c r="AU372" s="63">
        <v>0.0</v>
      </c>
      <c r="AV372" s="63">
        <v>0.0</v>
      </c>
      <c r="AW372" s="63">
        <v>0.0</v>
      </c>
      <c r="AX372" s="63">
        <v>0.0</v>
      </c>
      <c r="AY372" s="63">
        <v>77.0</v>
      </c>
      <c r="AZ372" s="63">
        <v>3.0</v>
      </c>
      <c r="BA372" s="63">
        <v>56.0</v>
      </c>
      <c r="BB372" s="63">
        <v>0.0</v>
      </c>
      <c r="BC372" s="63">
        <v>48.0</v>
      </c>
      <c r="BD372" s="63">
        <v>0.0</v>
      </c>
      <c r="BE372" s="64">
        <v>0.0</v>
      </c>
      <c r="BF372" s="69">
        <v>0.0</v>
      </c>
      <c r="BG372" s="69">
        <v>0.0</v>
      </c>
      <c r="BH372" s="64">
        <v>0.0</v>
      </c>
      <c r="BI372" s="67" t="str">
        <f t="shared" si="133"/>
        <v>#REF!</v>
      </c>
      <c r="BJ372" s="68" t="str">
        <f t="shared" si="134"/>
        <v>#REF!</v>
      </c>
      <c r="BK372" s="69">
        <v>0.0</v>
      </c>
      <c r="BL372" s="69">
        <v>0.0</v>
      </c>
      <c r="BM372" s="64">
        <v>0.0</v>
      </c>
      <c r="BN372" s="67" t="str">
        <f t="shared" si="135"/>
        <v>#REF!</v>
      </c>
      <c r="BO372" s="68" t="str">
        <f t="shared" si="136"/>
        <v>#REF!</v>
      </c>
      <c r="BP372" s="65">
        <v>0.0</v>
      </c>
      <c r="BQ372" s="65">
        <v>0.0</v>
      </c>
      <c r="BR372" s="66">
        <v>0.0</v>
      </c>
      <c r="BS372" s="67" t="str">
        <f t="shared" si="137"/>
        <v>#REF!</v>
      </c>
      <c r="BT372" s="68" t="str">
        <f>'[1]DATA CONSOLIDADA 2018-2025 '!$BR372-Hoja1!$BO372</f>
        <v>#REF!</v>
      </c>
      <c r="BU372" s="69">
        <v>0.0</v>
      </c>
      <c r="BV372" s="65">
        <v>0.0</v>
      </c>
      <c r="BW372" s="66">
        <v>0.0</v>
      </c>
      <c r="BX372" s="67" t="str">
        <f t="shared" si="138"/>
        <v>#REF!</v>
      </c>
      <c r="BY372" s="68" t="str">
        <f t="shared" si="139"/>
        <v>#REF!</v>
      </c>
      <c r="BZ372" s="65">
        <v>13571.0</v>
      </c>
      <c r="CA372" s="65">
        <v>0.0</v>
      </c>
      <c r="CB372" s="66">
        <v>13571.0</v>
      </c>
      <c r="CC372" s="67" t="str">
        <f t="shared" si="140"/>
        <v>#REF!</v>
      </c>
      <c r="CD372" s="68" t="str">
        <f>'[1]DATA CONSOLIDADA 2018-2025 '!$CB372-Hoja1!$BW372</f>
        <v>#REF!</v>
      </c>
      <c r="CE372" s="70">
        <v>25709.9967</v>
      </c>
      <c r="CF372" s="70">
        <v>0.0</v>
      </c>
      <c r="CG372" s="71">
        <v>25709.9967</v>
      </c>
      <c r="CH372" s="67" t="str">
        <f t="shared" si="141"/>
        <v>#REF!</v>
      </c>
      <c r="CI372" s="68" t="str">
        <f>'[1]DATA CONSOLIDADA 2018-2025 '!$CG372-Hoja1!$CB372</f>
        <v>#REF!</v>
      </c>
      <c r="CJ372" s="64" t="str">
        <f t="shared" si="142"/>
        <v>#REF!</v>
      </c>
      <c r="CK372" s="64">
        <v>52357.0</v>
      </c>
      <c r="CL372" s="64">
        <v>0.0</v>
      </c>
      <c r="CM372" s="64">
        <v>52357.0</v>
      </c>
      <c r="CN372" s="64" t="str">
        <f t="shared" si="12"/>
        <v>#REF!</v>
      </c>
      <c r="CO372" s="68" t="str">
        <f>'[1]DATA CONSOLIDADA 2018-2025 '!$CM372-Hoja1!$CG372</f>
        <v>#REF!</v>
      </c>
      <c r="CP372" s="70">
        <v>12371.0</v>
      </c>
      <c r="CQ372" s="70">
        <v>0.0</v>
      </c>
      <c r="CR372" s="70">
        <v>0.0</v>
      </c>
      <c r="CS372" s="70">
        <v>1200.0</v>
      </c>
      <c r="CT372" s="70">
        <v>0.0</v>
      </c>
      <c r="CU372" s="70">
        <v>0.0</v>
      </c>
      <c r="CV372" s="64">
        <v>13571.0</v>
      </c>
      <c r="CW372" s="64">
        <v>5083.0</v>
      </c>
      <c r="CX372" s="64">
        <v>9576.9967</v>
      </c>
      <c r="CY372" s="64">
        <v>11050.0</v>
      </c>
      <c r="CZ372" s="64">
        <v>0.0</v>
      </c>
      <c r="DA372" s="64">
        <v>0.0</v>
      </c>
      <c r="DB372" s="64">
        <v>25709.9967</v>
      </c>
      <c r="DC372" s="72">
        <v>16668.0</v>
      </c>
      <c r="DD372" s="72">
        <v>35689.0</v>
      </c>
      <c r="DE372" s="72">
        <v>0.0</v>
      </c>
      <c r="DF372" s="72">
        <v>0.0</v>
      </c>
      <c r="DG372" s="72">
        <v>0.0</v>
      </c>
      <c r="DH372" s="72">
        <v>52357.0</v>
      </c>
      <c r="DI372" s="73">
        <v>2.0608834746E10</v>
      </c>
      <c r="DJ372" s="74" t="s">
        <v>1285</v>
      </c>
      <c r="DK372" s="74" t="s">
        <v>138</v>
      </c>
      <c r="DL372" s="75"/>
      <c r="DM372" s="75"/>
      <c r="DN372" s="75"/>
      <c r="DO372" s="75"/>
      <c r="DP372" s="75"/>
      <c r="DQ372" s="75"/>
      <c r="DR372" s="75"/>
      <c r="DS372" s="75"/>
      <c r="DT372" s="75"/>
      <c r="DU372" s="75"/>
      <c r="DV372" s="75"/>
      <c r="DW372" s="75"/>
      <c r="DX372" s="75"/>
      <c r="DY372" s="75"/>
      <c r="DZ372" s="75"/>
      <c r="EA372" s="75"/>
      <c r="EB372" s="75"/>
      <c r="EC372" s="75"/>
      <c r="ED372" s="75"/>
      <c r="EE372" s="75"/>
    </row>
    <row r="373" ht="47.25" hidden="1" customHeight="1">
      <c r="A373" s="55" t="s">
        <v>1286</v>
      </c>
      <c r="B373" s="55" t="s">
        <v>256</v>
      </c>
      <c r="C373" s="55" t="s">
        <v>272</v>
      </c>
      <c r="D373" s="55" t="s">
        <v>593</v>
      </c>
      <c r="E373" s="55" t="s">
        <v>1287</v>
      </c>
      <c r="F373" s="55" t="s">
        <v>593</v>
      </c>
      <c r="G373" s="55" t="s">
        <v>651</v>
      </c>
      <c r="H373" s="55" t="s">
        <v>1288</v>
      </c>
      <c r="I373" s="56"/>
      <c r="J373" s="56"/>
      <c r="K373" s="56"/>
      <c r="L373" s="56"/>
      <c r="M373" s="56"/>
      <c r="N373" s="56">
        <v>1.0</v>
      </c>
      <c r="O373" s="56"/>
      <c r="P373" s="56"/>
      <c r="Q373" s="56" t="s">
        <v>131</v>
      </c>
      <c r="R373" s="58" t="str">
        <f t="shared" si="1"/>
        <v>2023</v>
      </c>
      <c r="S373" s="59" t="str">
        <f>SUM(Hoja1!$I373:$P373)</f>
        <v>1</v>
      </c>
      <c r="T373" s="59" t="str">
        <f>IF(OR(Hoja1!$J373=1,Hoja1!$K373=1,Hoja1!$L373=1,Hoja1!$M373=1,Hoja1!$N373=1,Hoja1!$O373=1,Hoja1!$P373=1),"SI","NO")</f>
        <v>SI</v>
      </c>
      <c r="U373" s="59" t="str">
        <f>IF(OR(Hoja1!$K373=1,Hoja1!$L373=1,Hoja1!$M373=1,Hoja1!$N373=1,Hoja1!$O373=1,Hoja1!$P373=1),"SI","NO")</f>
        <v>SI</v>
      </c>
      <c r="V373" s="60">
        <v>0.0</v>
      </c>
      <c r="W373" s="61">
        <v>0.0</v>
      </c>
      <c r="X373" s="61">
        <v>0.0</v>
      </c>
      <c r="Y373" s="60">
        <v>0.0</v>
      </c>
      <c r="Z373" s="61">
        <v>0.0</v>
      </c>
      <c r="AA373" s="61">
        <v>0.0</v>
      </c>
      <c r="AB373" s="60">
        <v>0.0</v>
      </c>
      <c r="AC373" s="61">
        <v>0.0</v>
      </c>
      <c r="AD373" s="61">
        <v>0.0</v>
      </c>
      <c r="AE373" s="60">
        <v>0.0</v>
      </c>
      <c r="AF373" s="61">
        <v>0.0</v>
      </c>
      <c r="AG373" s="61">
        <v>0.0</v>
      </c>
      <c r="AH373" s="60">
        <v>0.0</v>
      </c>
      <c r="AI373" s="61">
        <v>65.0</v>
      </c>
      <c r="AJ373" s="61">
        <v>15.0</v>
      </c>
      <c r="AK373" s="60">
        <v>80.0</v>
      </c>
      <c r="AL373" s="61">
        <v>0.0</v>
      </c>
      <c r="AM373" s="61">
        <v>0.0</v>
      </c>
      <c r="AN373" s="60">
        <v>0.0</v>
      </c>
      <c r="AO373" s="62">
        <v>0.0</v>
      </c>
      <c r="AP373" s="62">
        <v>0.0</v>
      </c>
      <c r="AQ373" s="60">
        <v>0.0</v>
      </c>
      <c r="AR373" s="60" t="str">
        <f>IF(Hoja1!$AQ373&gt;0,Hoja1!$AQ373,IF(Hoja1!$AN373&gt;0,Hoja1!$AN373,IF(Hoja1!$AK373&gt;0,Hoja1!$AK373,IF(Hoja1!$AH373&gt;0,Hoja1!$AH373,IF(Hoja1!$AE373&gt;0,Hoja1!$AE373,IF(Hoja1!$AB373&gt;0,Hoja1!$AB373,IF(Hoja1!$Y373&gt;0,Hoja1!$Y373,IF(Hoja1!$V373&gt;0,Hoja1!$V373," ---"))))))))</f>
        <v>80</v>
      </c>
      <c r="AS373" s="63">
        <v>0.0</v>
      </c>
      <c r="AT373" s="63">
        <v>0.0</v>
      </c>
      <c r="AU373" s="63">
        <v>0.0</v>
      </c>
      <c r="AV373" s="63">
        <v>0.0</v>
      </c>
      <c r="AW373" s="63">
        <v>0.0</v>
      </c>
      <c r="AX373" s="63">
        <v>0.0</v>
      </c>
      <c r="AY373" s="63">
        <v>34.0</v>
      </c>
      <c r="AZ373" s="63">
        <v>1.0</v>
      </c>
      <c r="BA373" s="63">
        <v>0.0</v>
      </c>
      <c r="BB373" s="63">
        <v>0.0</v>
      </c>
      <c r="BC373" s="63">
        <v>0.0</v>
      </c>
      <c r="BD373" s="63">
        <v>0.0</v>
      </c>
      <c r="BE373" s="64">
        <v>0.0</v>
      </c>
      <c r="BF373" s="69">
        <v>0.0</v>
      </c>
      <c r="BG373" s="69">
        <v>0.0</v>
      </c>
      <c r="BH373" s="64">
        <v>0.0</v>
      </c>
      <c r="BI373" s="67" t="str">
        <f t="shared" si="133"/>
        <v>#REF!</v>
      </c>
      <c r="BJ373" s="68" t="str">
        <f t="shared" si="134"/>
        <v>#REF!</v>
      </c>
      <c r="BK373" s="69">
        <v>0.0</v>
      </c>
      <c r="BL373" s="69">
        <v>0.0</v>
      </c>
      <c r="BM373" s="64">
        <v>0.0</v>
      </c>
      <c r="BN373" s="67" t="str">
        <f t="shared" si="135"/>
        <v>#REF!</v>
      </c>
      <c r="BO373" s="68" t="str">
        <f t="shared" si="136"/>
        <v>#REF!</v>
      </c>
      <c r="BP373" s="65">
        <v>0.0</v>
      </c>
      <c r="BQ373" s="65">
        <v>0.0</v>
      </c>
      <c r="BR373" s="66">
        <v>0.0</v>
      </c>
      <c r="BS373" s="67" t="str">
        <f t="shared" si="137"/>
        <v>#REF!</v>
      </c>
      <c r="BT373" s="68" t="str">
        <f>'[1]DATA CONSOLIDADA 2018-2025 '!$BR373-Hoja1!$BO373</f>
        <v>#REF!</v>
      </c>
      <c r="BU373" s="69">
        <v>0.0</v>
      </c>
      <c r="BV373" s="65">
        <v>0.0</v>
      </c>
      <c r="BW373" s="66">
        <v>0.0</v>
      </c>
      <c r="BX373" s="67" t="str">
        <f t="shared" si="138"/>
        <v>#REF!</v>
      </c>
      <c r="BY373" s="68" t="str">
        <f t="shared" si="139"/>
        <v>#REF!</v>
      </c>
      <c r="BZ373" s="65">
        <v>333282.7</v>
      </c>
      <c r="CA373" s="65">
        <v>0.0</v>
      </c>
      <c r="CB373" s="66">
        <v>333282.7</v>
      </c>
      <c r="CC373" s="67" t="str">
        <f t="shared" si="140"/>
        <v>#REF!</v>
      </c>
      <c r="CD373" s="68" t="str">
        <f>'[1]DATA CONSOLIDADA 2018-2025 '!$CB373-Hoja1!$BW373</f>
        <v>#REF!</v>
      </c>
      <c r="CE373" s="70">
        <v>0.0</v>
      </c>
      <c r="CF373" s="70">
        <v>0.0</v>
      </c>
      <c r="CG373" s="71">
        <v>0.0</v>
      </c>
      <c r="CH373" s="67" t="str">
        <f t="shared" si="141"/>
        <v>#REF!</v>
      </c>
      <c r="CI373" s="68" t="str">
        <f>'[1]DATA CONSOLIDADA 2018-2025 '!$CG373-Hoja1!$CB373</f>
        <v>#REF!</v>
      </c>
      <c r="CJ373" s="64" t="str">
        <f t="shared" si="142"/>
        <v>#REF!</v>
      </c>
      <c r="CK373" s="64">
        <v>0.0</v>
      </c>
      <c r="CL373" s="64">
        <v>0.0</v>
      </c>
      <c r="CM373" s="64">
        <v>0.0</v>
      </c>
      <c r="CN373" s="64" t="str">
        <f t="shared" si="12"/>
        <v>#REF!</v>
      </c>
      <c r="CO373" s="68" t="str">
        <f>'[1]DATA CONSOLIDADA 2018-2025 '!$CM373-Hoja1!$CG373</f>
        <v>#REF!</v>
      </c>
      <c r="CP373" s="70">
        <v>0.0</v>
      </c>
      <c r="CQ373" s="70">
        <v>50000.0</v>
      </c>
      <c r="CR373" s="70">
        <v>0.0</v>
      </c>
      <c r="CS373" s="70">
        <v>283282.692</v>
      </c>
      <c r="CT373" s="70">
        <v>0.0</v>
      </c>
      <c r="CU373" s="70">
        <v>0.0</v>
      </c>
      <c r="CV373" s="64">
        <v>333282.692</v>
      </c>
      <c r="CW373" s="64">
        <v>0.0</v>
      </c>
      <c r="CX373" s="64">
        <v>0.0</v>
      </c>
      <c r="CY373" s="64">
        <v>0.0</v>
      </c>
      <c r="CZ373" s="64">
        <v>0.0</v>
      </c>
      <c r="DA373" s="64">
        <v>0.0</v>
      </c>
      <c r="DB373" s="64">
        <v>0.0</v>
      </c>
      <c r="DC373" s="72">
        <v>0.0</v>
      </c>
      <c r="DD373" s="72">
        <v>0.0</v>
      </c>
      <c r="DE373" s="72">
        <v>0.0</v>
      </c>
      <c r="DF373" s="72">
        <v>0.0</v>
      </c>
      <c r="DG373" s="72">
        <v>0.0</v>
      </c>
      <c r="DH373" s="72">
        <v>0.0</v>
      </c>
      <c r="DI373" s="73">
        <v>2.060320115E10</v>
      </c>
      <c r="DJ373" s="74" t="s">
        <v>1286</v>
      </c>
      <c r="DK373" s="74" t="s">
        <v>138</v>
      </c>
      <c r="DL373" s="75"/>
      <c r="DM373" s="75"/>
      <c r="DN373" s="75"/>
      <c r="DO373" s="75"/>
      <c r="DP373" s="75"/>
      <c r="DQ373" s="75"/>
      <c r="DR373" s="75"/>
      <c r="DS373" s="75"/>
      <c r="DT373" s="75"/>
      <c r="DU373" s="75"/>
      <c r="DV373" s="75"/>
      <c r="DW373" s="75"/>
      <c r="DX373" s="75"/>
      <c r="DY373" s="75"/>
      <c r="DZ373" s="75"/>
      <c r="EA373" s="75"/>
      <c r="EB373" s="75"/>
      <c r="EC373" s="75"/>
      <c r="ED373" s="75"/>
      <c r="EE373" s="75"/>
    </row>
    <row r="374" ht="47.25" hidden="1" customHeight="1">
      <c r="A374" s="55" t="s">
        <v>1289</v>
      </c>
      <c r="B374" s="55" t="s">
        <v>256</v>
      </c>
      <c r="C374" s="55" t="s">
        <v>272</v>
      </c>
      <c r="D374" s="55" t="s">
        <v>593</v>
      </c>
      <c r="E374" s="55" t="s">
        <v>1290</v>
      </c>
      <c r="F374" s="55" t="s">
        <v>593</v>
      </c>
      <c r="G374" s="55" t="s">
        <v>600</v>
      </c>
      <c r="H374" s="55" t="s">
        <v>600</v>
      </c>
      <c r="I374" s="56"/>
      <c r="J374" s="56"/>
      <c r="K374" s="56"/>
      <c r="L374" s="56"/>
      <c r="M374" s="56"/>
      <c r="N374" s="56">
        <v>1.0</v>
      </c>
      <c r="O374" s="56"/>
      <c r="P374" s="56"/>
      <c r="Q374" s="56" t="s">
        <v>131</v>
      </c>
      <c r="R374" s="58" t="str">
        <f t="shared" si="1"/>
        <v>2023</v>
      </c>
      <c r="S374" s="59" t="str">
        <f>SUM(Hoja1!$I374:$P374)</f>
        <v>1</v>
      </c>
      <c r="T374" s="59" t="str">
        <f>IF(OR(Hoja1!$J374=1,Hoja1!$K374=1,Hoja1!$L374=1,Hoja1!$M374=1,Hoja1!$N374=1,Hoja1!$O374=1,Hoja1!$P374=1),"SI","NO")</f>
        <v>SI</v>
      </c>
      <c r="U374" s="59" t="str">
        <f>IF(OR(Hoja1!$K374=1,Hoja1!$L374=1,Hoja1!$M374=1,Hoja1!$N374=1,Hoja1!$O374=1,Hoja1!$P374=1),"SI","NO")</f>
        <v>SI</v>
      </c>
      <c r="V374" s="60">
        <v>0.0</v>
      </c>
      <c r="W374" s="61">
        <v>0.0</v>
      </c>
      <c r="X374" s="61">
        <v>0.0</v>
      </c>
      <c r="Y374" s="60">
        <v>0.0</v>
      </c>
      <c r="Z374" s="61">
        <v>0.0</v>
      </c>
      <c r="AA374" s="61">
        <v>0.0</v>
      </c>
      <c r="AB374" s="60">
        <v>0.0</v>
      </c>
      <c r="AC374" s="61">
        <v>0.0</v>
      </c>
      <c r="AD374" s="61">
        <v>0.0</v>
      </c>
      <c r="AE374" s="60">
        <v>0.0</v>
      </c>
      <c r="AF374" s="61">
        <v>0.0</v>
      </c>
      <c r="AG374" s="61">
        <v>0.0</v>
      </c>
      <c r="AH374" s="60">
        <v>0.0</v>
      </c>
      <c r="AI374" s="61">
        <v>13.0</v>
      </c>
      <c r="AJ374" s="61">
        <v>7.0</v>
      </c>
      <c r="AK374" s="60">
        <v>20.0</v>
      </c>
      <c r="AL374" s="61">
        <v>0.0</v>
      </c>
      <c r="AM374" s="61">
        <v>0.0</v>
      </c>
      <c r="AN374" s="60">
        <v>0.0</v>
      </c>
      <c r="AO374" s="62">
        <v>0.0</v>
      </c>
      <c r="AP374" s="62">
        <v>0.0</v>
      </c>
      <c r="AQ374" s="60">
        <v>0.0</v>
      </c>
      <c r="AR374" s="60" t="str">
        <f>IF(Hoja1!$AQ374&gt;0,Hoja1!$AQ374,IF(Hoja1!$AN374&gt;0,Hoja1!$AN374,IF(Hoja1!$AK374&gt;0,Hoja1!$AK374,IF(Hoja1!$AH374&gt;0,Hoja1!$AH374,IF(Hoja1!$AE374&gt;0,Hoja1!$AE374,IF(Hoja1!$AB374&gt;0,Hoja1!$AB374,IF(Hoja1!$Y374&gt;0,Hoja1!$Y374,IF(Hoja1!$V374&gt;0,Hoja1!$V374," ---"))))))))</f>
        <v>20</v>
      </c>
      <c r="AS374" s="63">
        <v>0.0</v>
      </c>
      <c r="AT374" s="63">
        <v>0.0</v>
      </c>
      <c r="AU374" s="63">
        <v>0.0</v>
      </c>
      <c r="AV374" s="63">
        <v>0.0</v>
      </c>
      <c r="AW374" s="63">
        <v>0.0</v>
      </c>
      <c r="AX374" s="63">
        <v>0.0</v>
      </c>
      <c r="AY374" s="63">
        <v>55.0</v>
      </c>
      <c r="AZ374" s="63">
        <v>2.0</v>
      </c>
      <c r="BA374" s="63">
        <v>0.0</v>
      </c>
      <c r="BB374" s="63">
        <v>0.0</v>
      </c>
      <c r="BC374" s="63">
        <v>0.0</v>
      </c>
      <c r="BD374" s="63">
        <v>0.0</v>
      </c>
      <c r="BE374" s="64">
        <v>0.0</v>
      </c>
      <c r="BF374" s="69">
        <v>0.0</v>
      </c>
      <c r="BG374" s="69">
        <v>0.0</v>
      </c>
      <c r="BH374" s="64">
        <v>0.0</v>
      </c>
      <c r="BI374" s="67" t="str">
        <f t="shared" si="133"/>
        <v>#REF!</v>
      </c>
      <c r="BJ374" s="68" t="str">
        <f t="shared" si="134"/>
        <v>#REF!</v>
      </c>
      <c r="BK374" s="69">
        <v>0.0</v>
      </c>
      <c r="BL374" s="69">
        <v>0.0</v>
      </c>
      <c r="BM374" s="64">
        <v>0.0</v>
      </c>
      <c r="BN374" s="67" t="str">
        <f t="shared" si="135"/>
        <v>#REF!</v>
      </c>
      <c r="BO374" s="68" t="str">
        <f t="shared" si="136"/>
        <v>#REF!</v>
      </c>
      <c r="BP374" s="65">
        <v>0.0</v>
      </c>
      <c r="BQ374" s="65">
        <v>0.0</v>
      </c>
      <c r="BR374" s="66">
        <v>0.0</v>
      </c>
      <c r="BS374" s="67" t="str">
        <f t="shared" si="137"/>
        <v>#REF!</v>
      </c>
      <c r="BT374" s="68" t="str">
        <f>'[1]DATA CONSOLIDADA 2018-2025 '!$BR374-Hoja1!$BO374</f>
        <v>#REF!</v>
      </c>
      <c r="BU374" s="69">
        <v>0.0</v>
      </c>
      <c r="BV374" s="65">
        <v>0.0</v>
      </c>
      <c r="BW374" s="66">
        <v>0.0</v>
      </c>
      <c r="BX374" s="67" t="str">
        <f t="shared" si="138"/>
        <v>#REF!</v>
      </c>
      <c r="BY374" s="68" t="str">
        <f t="shared" si="139"/>
        <v>#REF!</v>
      </c>
      <c r="BZ374" s="65">
        <v>231250.6</v>
      </c>
      <c r="CA374" s="65">
        <v>0.0</v>
      </c>
      <c r="CB374" s="66">
        <v>231250.6</v>
      </c>
      <c r="CC374" s="67" t="str">
        <f t="shared" si="140"/>
        <v>#REF!</v>
      </c>
      <c r="CD374" s="68" t="str">
        <f>'[1]DATA CONSOLIDADA 2018-2025 '!$CB374-Hoja1!$BW374</f>
        <v>#REF!</v>
      </c>
      <c r="CE374" s="70">
        <v>0.0</v>
      </c>
      <c r="CF374" s="70">
        <v>0.0</v>
      </c>
      <c r="CG374" s="71">
        <v>0.0</v>
      </c>
      <c r="CH374" s="67" t="str">
        <f t="shared" si="141"/>
        <v>#REF!</v>
      </c>
      <c r="CI374" s="68" t="str">
        <f>'[1]DATA CONSOLIDADA 2018-2025 '!$CG374-Hoja1!$CB374</f>
        <v>#REF!</v>
      </c>
      <c r="CJ374" s="64" t="str">
        <f t="shared" si="142"/>
        <v>#REF!</v>
      </c>
      <c r="CK374" s="64">
        <v>0.0</v>
      </c>
      <c r="CL374" s="64">
        <v>0.0</v>
      </c>
      <c r="CM374" s="64">
        <v>0.0</v>
      </c>
      <c r="CN374" s="64" t="str">
        <f t="shared" si="12"/>
        <v>#REF!</v>
      </c>
      <c r="CO374" s="68" t="str">
        <f>'[1]DATA CONSOLIDADA 2018-2025 '!$CM374-Hoja1!$CG374</f>
        <v>#REF!</v>
      </c>
      <c r="CP374" s="70">
        <v>0.0</v>
      </c>
      <c r="CQ374" s="70">
        <v>231250.60795899996</v>
      </c>
      <c r="CR374" s="70">
        <v>0.0</v>
      </c>
      <c r="CS374" s="70">
        <v>0.0</v>
      </c>
      <c r="CT374" s="70">
        <v>0.0</v>
      </c>
      <c r="CU374" s="70">
        <v>0.0</v>
      </c>
      <c r="CV374" s="64">
        <v>231250.60795899996</v>
      </c>
      <c r="CW374" s="64">
        <v>0.0</v>
      </c>
      <c r="CX374" s="64">
        <v>0.0</v>
      </c>
      <c r="CY374" s="64">
        <v>0.0</v>
      </c>
      <c r="CZ374" s="64">
        <v>0.0</v>
      </c>
      <c r="DA374" s="64">
        <v>0.0</v>
      </c>
      <c r="DB374" s="64">
        <v>0.0</v>
      </c>
      <c r="DC374" s="72">
        <v>0.0</v>
      </c>
      <c r="DD374" s="72">
        <v>0.0</v>
      </c>
      <c r="DE374" s="72">
        <v>0.0</v>
      </c>
      <c r="DF374" s="72">
        <v>0.0</v>
      </c>
      <c r="DG374" s="72">
        <v>0.0</v>
      </c>
      <c r="DH374" s="72">
        <v>0.0</v>
      </c>
      <c r="DI374" s="73">
        <v>2.0606017406E10</v>
      </c>
      <c r="DJ374" s="74" t="s">
        <v>1289</v>
      </c>
      <c r="DK374" s="74" t="s">
        <v>138</v>
      </c>
      <c r="DL374" s="75"/>
      <c r="DM374" s="75"/>
      <c r="DN374" s="75"/>
      <c r="DO374" s="75"/>
      <c r="DP374" s="75"/>
      <c r="DQ374" s="75"/>
      <c r="DR374" s="75"/>
      <c r="DS374" s="75"/>
      <c r="DT374" s="75"/>
      <c r="DU374" s="75"/>
      <c r="DV374" s="75"/>
      <c r="DW374" s="75"/>
      <c r="DX374" s="75"/>
      <c r="DY374" s="75"/>
      <c r="DZ374" s="75"/>
      <c r="EA374" s="75"/>
      <c r="EB374" s="75"/>
      <c r="EC374" s="75"/>
      <c r="ED374" s="75"/>
      <c r="EE374" s="75"/>
    </row>
    <row r="375" ht="47.25" hidden="1" customHeight="1">
      <c r="A375" s="55" t="s">
        <v>1291</v>
      </c>
      <c r="B375" s="55" t="s">
        <v>166</v>
      </c>
      <c r="C375" s="55" t="s">
        <v>166</v>
      </c>
      <c r="D375" s="55" t="s">
        <v>481</v>
      </c>
      <c r="E375" s="55" t="s">
        <v>1292</v>
      </c>
      <c r="F375" s="55" t="s">
        <v>481</v>
      </c>
      <c r="G375" s="55" t="s">
        <v>697</v>
      </c>
      <c r="H375" s="55" t="s">
        <v>697</v>
      </c>
      <c r="I375" s="56"/>
      <c r="J375" s="56"/>
      <c r="K375" s="56"/>
      <c r="L375" s="56"/>
      <c r="M375" s="56"/>
      <c r="N375" s="56">
        <v>1.0</v>
      </c>
      <c r="O375" s="56">
        <v>1.0</v>
      </c>
      <c r="P375" s="56">
        <v>1.0</v>
      </c>
      <c r="Q375" s="56" t="s">
        <v>131</v>
      </c>
      <c r="R375" s="58" t="str">
        <f t="shared" si="1"/>
        <v>2023-2024 - 2025</v>
      </c>
      <c r="S375" s="59" t="str">
        <f>SUM(Hoja1!$I375:$P375)</f>
        <v>3</v>
      </c>
      <c r="T375" s="59" t="str">
        <f>IF(OR(Hoja1!$J375=1,Hoja1!$K375=1,Hoja1!$L375=1,Hoja1!$M375=1,Hoja1!$N375=1,Hoja1!$O375=1,Hoja1!$P375=1),"SI","NO")</f>
        <v>SI</v>
      </c>
      <c r="U375" s="59" t="str">
        <f>IF(OR(Hoja1!$K375=1,Hoja1!$L375=1,Hoja1!$M375=1,Hoja1!$N375=1,Hoja1!$O375=1,Hoja1!$P375=1),"SI","NO")</f>
        <v>SI</v>
      </c>
      <c r="V375" s="60">
        <v>0.0</v>
      </c>
      <c r="W375" s="61">
        <v>0.0</v>
      </c>
      <c r="X375" s="61">
        <v>0.0</v>
      </c>
      <c r="Y375" s="60">
        <v>0.0</v>
      </c>
      <c r="Z375" s="61">
        <v>0.0</v>
      </c>
      <c r="AA375" s="61">
        <v>0.0</v>
      </c>
      <c r="AB375" s="60">
        <v>0.0</v>
      </c>
      <c r="AC375" s="61">
        <v>0.0</v>
      </c>
      <c r="AD375" s="61">
        <v>0.0</v>
      </c>
      <c r="AE375" s="60">
        <v>0.0</v>
      </c>
      <c r="AF375" s="61">
        <v>0.0</v>
      </c>
      <c r="AG375" s="61">
        <v>0.0</v>
      </c>
      <c r="AH375" s="60">
        <v>0.0</v>
      </c>
      <c r="AI375" s="61">
        <v>18.0</v>
      </c>
      <c r="AJ375" s="61">
        <v>7.0</v>
      </c>
      <c r="AK375" s="60">
        <v>25.0</v>
      </c>
      <c r="AL375" s="61">
        <v>18.0</v>
      </c>
      <c r="AM375" s="61">
        <v>7.0</v>
      </c>
      <c r="AN375" s="60">
        <v>25.0</v>
      </c>
      <c r="AO375" s="62">
        <v>20.0</v>
      </c>
      <c r="AP375" s="62">
        <v>5.0</v>
      </c>
      <c r="AQ375" s="60">
        <v>25.0</v>
      </c>
      <c r="AR375" s="60" t="str">
        <f>IF(Hoja1!$AQ375&gt;0,Hoja1!$AQ375,IF(Hoja1!$AN375&gt;0,Hoja1!$AN375,IF(Hoja1!$AK375&gt;0,Hoja1!$AK375,IF(Hoja1!$AH375&gt;0,Hoja1!$AH375,IF(Hoja1!$AE375&gt;0,Hoja1!$AE375,IF(Hoja1!$AB375&gt;0,Hoja1!$AB375,IF(Hoja1!$Y375&gt;0,Hoja1!$Y375,IF(Hoja1!$V375&gt;0,Hoja1!$V375," ---"))))))))</f>
        <v>25</v>
      </c>
      <c r="AS375" s="63">
        <v>0.0</v>
      </c>
      <c r="AT375" s="63">
        <v>0.0</v>
      </c>
      <c r="AU375" s="63">
        <v>0.0</v>
      </c>
      <c r="AV375" s="63">
        <v>0.0</v>
      </c>
      <c r="AW375" s="63">
        <v>0.0</v>
      </c>
      <c r="AX375" s="63">
        <v>0.0</v>
      </c>
      <c r="AY375" s="63">
        <v>38.0</v>
      </c>
      <c r="AZ375" s="63">
        <v>1.0</v>
      </c>
      <c r="BA375" s="63">
        <v>21.0</v>
      </c>
      <c r="BB375" s="63">
        <v>3.0</v>
      </c>
      <c r="BC375" s="63">
        <v>15.0</v>
      </c>
      <c r="BD375" s="63">
        <v>1.0</v>
      </c>
      <c r="BE375" s="64">
        <v>0.0</v>
      </c>
      <c r="BF375" s="69">
        <v>0.0</v>
      </c>
      <c r="BG375" s="69">
        <v>0.0</v>
      </c>
      <c r="BH375" s="64">
        <v>0.0</v>
      </c>
      <c r="BI375" s="67" t="str">
        <f t="shared" si="133"/>
        <v>#REF!</v>
      </c>
      <c r="BJ375" s="68" t="str">
        <f t="shared" si="134"/>
        <v>#REF!</v>
      </c>
      <c r="BK375" s="69">
        <v>0.0</v>
      </c>
      <c r="BL375" s="69">
        <v>0.0</v>
      </c>
      <c r="BM375" s="64">
        <v>0.0</v>
      </c>
      <c r="BN375" s="67" t="str">
        <f t="shared" si="135"/>
        <v>#REF!</v>
      </c>
      <c r="BO375" s="68" t="str">
        <f t="shared" si="136"/>
        <v>#REF!</v>
      </c>
      <c r="BP375" s="65">
        <v>0.0</v>
      </c>
      <c r="BQ375" s="65">
        <v>0.0</v>
      </c>
      <c r="BR375" s="66">
        <v>0.0</v>
      </c>
      <c r="BS375" s="67" t="str">
        <f t="shared" si="137"/>
        <v>#REF!</v>
      </c>
      <c r="BT375" s="68" t="str">
        <f>'[1]DATA CONSOLIDADA 2018-2025 '!$BR375-Hoja1!$BO375</f>
        <v>#REF!</v>
      </c>
      <c r="BU375" s="69">
        <v>0.0</v>
      </c>
      <c r="BV375" s="65">
        <v>0.0</v>
      </c>
      <c r="BW375" s="66">
        <v>0.0</v>
      </c>
      <c r="BX375" s="67" t="str">
        <f t="shared" si="138"/>
        <v>#REF!</v>
      </c>
      <c r="BY375" s="68" t="str">
        <f t="shared" si="139"/>
        <v>#REF!</v>
      </c>
      <c r="BZ375" s="65">
        <v>214974.0</v>
      </c>
      <c r="CA375" s="65">
        <v>0.0</v>
      </c>
      <c r="CB375" s="66">
        <v>214974.0</v>
      </c>
      <c r="CC375" s="67" t="str">
        <f t="shared" si="140"/>
        <v>#REF!</v>
      </c>
      <c r="CD375" s="68" t="str">
        <f>'[1]DATA CONSOLIDADA 2018-2025 '!$CB375-Hoja1!$BW375</f>
        <v>#REF!</v>
      </c>
      <c r="CE375" s="70">
        <v>238280.0</v>
      </c>
      <c r="CF375" s="70">
        <v>0.0</v>
      </c>
      <c r="CG375" s="71">
        <v>238280.0</v>
      </c>
      <c r="CH375" s="67" t="str">
        <f t="shared" si="141"/>
        <v>#REF!</v>
      </c>
      <c r="CI375" s="68" t="str">
        <f>'[1]DATA CONSOLIDADA 2018-2025 '!$CG375-Hoja1!$CB375</f>
        <v>#REF!</v>
      </c>
      <c r="CJ375" s="64" t="str">
        <f t="shared" si="142"/>
        <v>#REF!</v>
      </c>
      <c r="CK375" s="64">
        <v>254000.0</v>
      </c>
      <c r="CL375" s="64">
        <v>0.0</v>
      </c>
      <c r="CM375" s="64">
        <v>254000.0</v>
      </c>
      <c r="CN375" s="64" t="str">
        <f t="shared" si="12"/>
        <v>#REF!</v>
      </c>
      <c r="CO375" s="68" t="str">
        <f>'[1]DATA CONSOLIDADA 2018-2025 '!$CM375-Hoja1!$CG375</f>
        <v>#REF!</v>
      </c>
      <c r="CP375" s="70">
        <v>0.0</v>
      </c>
      <c r="CQ375" s="70">
        <v>211560.0</v>
      </c>
      <c r="CR375" s="70">
        <v>0.0</v>
      </c>
      <c r="CS375" s="70">
        <v>3414.00002276</v>
      </c>
      <c r="CT375" s="70">
        <v>0.0</v>
      </c>
      <c r="CU375" s="70">
        <v>0.0</v>
      </c>
      <c r="CV375" s="64">
        <v>214974.00002276</v>
      </c>
      <c r="CW375" s="64">
        <v>0.0</v>
      </c>
      <c r="CX375" s="64">
        <v>238280.0</v>
      </c>
      <c r="CY375" s="64">
        <v>0.0</v>
      </c>
      <c r="CZ375" s="64">
        <v>0.0</v>
      </c>
      <c r="DA375" s="64">
        <v>0.0</v>
      </c>
      <c r="DB375" s="64">
        <v>238280.0</v>
      </c>
      <c r="DC375" s="72">
        <v>0.0</v>
      </c>
      <c r="DD375" s="72">
        <v>254000.0</v>
      </c>
      <c r="DE375" s="72">
        <v>0.0</v>
      </c>
      <c r="DF375" s="72">
        <v>0.0</v>
      </c>
      <c r="DG375" s="72">
        <v>0.0</v>
      </c>
      <c r="DH375" s="72">
        <v>254000.0</v>
      </c>
      <c r="DI375" s="73">
        <v>2.0600588851E10</v>
      </c>
      <c r="DJ375" s="74" t="s">
        <v>1291</v>
      </c>
      <c r="DK375" s="74" t="s">
        <v>138</v>
      </c>
      <c r="DL375" s="75"/>
      <c r="DM375" s="75"/>
      <c r="DN375" s="75"/>
      <c r="DO375" s="75"/>
      <c r="DP375" s="75"/>
      <c r="DQ375" s="75"/>
      <c r="DR375" s="75"/>
      <c r="DS375" s="75"/>
      <c r="DT375" s="75"/>
      <c r="DU375" s="75"/>
      <c r="DV375" s="75"/>
      <c r="DW375" s="75"/>
      <c r="DX375" s="75"/>
      <c r="DY375" s="75"/>
      <c r="DZ375" s="75"/>
      <c r="EA375" s="75"/>
      <c r="EB375" s="75"/>
      <c r="EC375" s="75"/>
      <c r="ED375" s="75"/>
      <c r="EE375" s="75"/>
    </row>
    <row r="376" ht="47.25" hidden="1" customHeight="1">
      <c r="A376" s="55" t="s">
        <v>1293</v>
      </c>
      <c r="B376" s="55" t="s">
        <v>455</v>
      </c>
      <c r="C376" s="55" t="s">
        <v>455</v>
      </c>
      <c r="D376" s="55" t="s">
        <v>481</v>
      </c>
      <c r="E376" s="55" t="s">
        <v>1292</v>
      </c>
      <c r="F376" s="55" t="s">
        <v>481</v>
      </c>
      <c r="G376" s="55" t="s">
        <v>697</v>
      </c>
      <c r="H376" s="55" t="s">
        <v>697</v>
      </c>
      <c r="I376" s="56"/>
      <c r="J376" s="56"/>
      <c r="K376" s="56"/>
      <c r="L376" s="56"/>
      <c r="M376" s="56"/>
      <c r="N376" s="56">
        <v>1.0</v>
      </c>
      <c r="O376" s="56">
        <v>1.0</v>
      </c>
      <c r="P376" s="56">
        <v>1.0</v>
      </c>
      <c r="Q376" s="56" t="s">
        <v>131</v>
      </c>
      <c r="R376" s="58" t="str">
        <f t="shared" si="1"/>
        <v>2023-2024 - 2025</v>
      </c>
      <c r="S376" s="59" t="str">
        <f>SUM(Hoja1!$I376:$P376)</f>
        <v>3</v>
      </c>
      <c r="T376" s="59" t="str">
        <f>IF(OR(Hoja1!$J376=1,Hoja1!$K376=1,Hoja1!$L376=1,Hoja1!$M376=1,Hoja1!$N376=1,Hoja1!$O376=1,Hoja1!$P376=1),"SI","NO")</f>
        <v>SI</v>
      </c>
      <c r="U376" s="59" t="str">
        <f>IF(OR(Hoja1!$K376=1,Hoja1!$L376=1,Hoja1!$M376=1,Hoja1!$N376=1,Hoja1!$O376=1,Hoja1!$P376=1),"SI","NO")</f>
        <v>SI</v>
      </c>
      <c r="V376" s="60">
        <v>0.0</v>
      </c>
      <c r="W376" s="61">
        <v>0.0</v>
      </c>
      <c r="X376" s="61">
        <v>0.0</v>
      </c>
      <c r="Y376" s="60">
        <v>0.0</v>
      </c>
      <c r="Z376" s="61">
        <v>0.0</v>
      </c>
      <c r="AA376" s="61">
        <v>0.0</v>
      </c>
      <c r="AB376" s="60">
        <v>0.0</v>
      </c>
      <c r="AC376" s="61">
        <v>0.0</v>
      </c>
      <c r="AD376" s="61">
        <v>0.0</v>
      </c>
      <c r="AE376" s="60">
        <v>0.0</v>
      </c>
      <c r="AF376" s="61">
        <v>0.0</v>
      </c>
      <c r="AG376" s="61">
        <v>0.0</v>
      </c>
      <c r="AH376" s="60">
        <v>0.0</v>
      </c>
      <c r="AI376" s="61">
        <v>57.0</v>
      </c>
      <c r="AJ376" s="61">
        <v>27.0</v>
      </c>
      <c r="AK376" s="60">
        <v>84.0</v>
      </c>
      <c r="AL376" s="61">
        <v>18.0</v>
      </c>
      <c r="AM376" s="61">
        <v>7.0</v>
      </c>
      <c r="AN376" s="60">
        <v>25.0</v>
      </c>
      <c r="AO376" s="62">
        <v>4.0</v>
      </c>
      <c r="AP376" s="62">
        <v>22.0</v>
      </c>
      <c r="AQ376" s="60">
        <v>26.0</v>
      </c>
      <c r="AR376" s="60" t="str">
        <f>IF(Hoja1!$AQ376&gt;0,Hoja1!$AQ376,IF(Hoja1!$AN376&gt;0,Hoja1!$AN376,IF(Hoja1!$AK376&gt;0,Hoja1!$AK376,IF(Hoja1!$AH376&gt;0,Hoja1!$AH376,IF(Hoja1!$AE376&gt;0,Hoja1!$AE376,IF(Hoja1!$AB376&gt;0,Hoja1!$AB376,IF(Hoja1!$Y376&gt;0,Hoja1!$Y376,IF(Hoja1!$V376&gt;0,Hoja1!$V376," ---"))))))))</f>
        <v>26</v>
      </c>
      <c r="AS376" s="63">
        <v>0.0</v>
      </c>
      <c r="AT376" s="63">
        <v>0.0</v>
      </c>
      <c r="AU376" s="63">
        <v>0.0</v>
      </c>
      <c r="AV376" s="63">
        <v>0.0</v>
      </c>
      <c r="AW376" s="63">
        <v>0.0</v>
      </c>
      <c r="AX376" s="63">
        <v>0.0</v>
      </c>
      <c r="AY376" s="63">
        <v>34.0</v>
      </c>
      <c r="AZ376" s="63">
        <v>6.0</v>
      </c>
      <c r="BA376" s="63">
        <v>26.0</v>
      </c>
      <c r="BB376" s="63">
        <v>0.0</v>
      </c>
      <c r="BC376" s="63">
        <v>10.0</v>
      </c>
      <c r="BD376" s="63">
        <v>0.0</v>
      </c>
      <c r="BE376" s="64">
        <v>0.0</v>
      </c>
      <c r="BF376" s="69">
        <v>0.0</v>
      </c>
      <c r="BG376" s="69">
        <v>0.0</v>
      </c>
      <c r="BH376" s="64">
        <v>0.0</v>
      </c>
      <c r="BI376" s="67" t="str">
        <f t="shared" si="133"/>
        <v>#REF!</v>
      </c>
      <c r="BJ376" s="68" t="str">
        <f t="shared" si="134"/>
        <v>#REF!</v>
      </c>
      <c r="BK376" s="69">
        <v>0.0</v>
      </c>
      <c r="BL376" s="69">
        <v>0.0</v>
      </c>
      <c r="BM376" s="64">
        <v>0.0</v>
      </c>
      <c r="BN376" s="67" t="str">
        <f t="shared" si="135"/>
        <v>#REF!</v>
      </c>
      <c r="BO376" s="68" t="str">
        <f t="shared" si="136"/>
        <v>#REF!</v>
      </c>
      <c r="BP376" s="65">
        <v>0.0</v>
      </c>
      <c r="BQ376" s="65">
        <v>0.0</v>
      </c>
      <c r="BR376" s="66">
        <v>0.0</v>
      </c>
      <c r="BS376" s="67" t="str">
        <f t="shared" si="137"/>
        <v>#REF!</v>
      </c>
      <c r="BT376" s="68" t="str">
        <f>'[1]DATA CONSOLIDADA 2018-2025 '!$BR535-Hoja1!$BO376</f>
        <v>#REF!</v>
      </c>
      <c r="BU376" s="69">
        <v>0.0</v>
      </c>
      <c r="BV376" s="65">
        <v>0.0</v>
      </c>
      <c r="BW376" s="66">
        <v>0.0</v>
      </c>
      <c r="BX376" s="67" t="str">
        <f t="shared" si="138"/>
        <v>#REF!</v>
      </c>
      <c r="BY376" s="68" t="str">
        <f t="shared" si="139"/>
        <v>#REF!</v>
      </c>
      <c r="BZ376" s="65">
        <v>50128.0</v>
      </c>
      <c r="CA376" s="65">
        <v>0.0</v>
      </c>
      <c r="CB376" s="66">
        <v>50128.0</v>
      </c>
      <c r="CC376" s="67" t="str">
        <f t="shared" si="140"/>
        <v>#REF!</v>
      </c>
      <c r="CD376" s="68" t="str">
        <f>'[1]DATA CONSOLIDADA 2018-2025 '!$CB535-Hoja1!$BW376</f>
        <v>#REF!</v>
      </c>
      <c r="CE376" s="70">
        <v>86825.0</v>
      </c>
      <c r="CF376" s="70">
        <v>0.0</v>
      </c>
      <c r="CG376" s="71">
        <v>86825.0</v>
      </c>
      <c r="CH376" s="67" t="str">
        <f t="shared" si="141"/>
        <v>#REF!</v>
      </c>
      <c r="CI376" s="68" t="str">
        <f>'[1]DATA CONSOLIDADA 2018-2025 '!$CG535-Hoja1!$CB376</f>
        <v>#REF!</v>
      </c>
      <c r="CJ376" s="64" t="str">
        <f>'[1]DATA CONSOLIDADA 2018-2025 '!$BE535+'[1]DATA CONSOLIDADA 2018-2025 '!$BH535+'[1]DATA CONSOLIDADA 2018-2025 '!$BM535+'[1]DATA CONSOLIDADA 2018-2025 '!$BR535+'[1]DATA CONSOLIDADA 2018-2025 '!$BW535+'[1]DATA CONSOLIDADA 2018-2025 '!$CB535+'[1]DATA CONSOLIDADA 2018-2025 '!$CG535</f>
        <v>#REF!</v>
      </c>
      <c r="CK376" s="64">
        <v>62505.0</v>
      </c>
      <c r="CL376" s="64">
        <v>0.0</v>
      </c>
      <c r="CM376" s="64">
        <v>62505.0</v>
      </c>
      <c r="CN376" s="64" t="str">
        <f t="shared" si="12"/>
        <v>#REF!</v>
      </c>
      <c r="CO376" s="68" t="str">
        <f>'[1]DATA CONSOLIDADA 2018-2025 '!$CM376-Hoja1!$CG376</f>
        <v>#REF!</v>
      </c>
      <c r="CP376" s="70">
        <v>0.0</v>
      </c>
      <c r="CQ376" s="70">
        <v>50128.0</v>
      </c>
      <c r="CR376" s="70">
        <v>0.0</v>
      </c>
      <c r="CS376" s="70">
        <v>0.0</v>
      </c>
      <c r="CT376" s="70">
        <v>0.0</v>
      </c>
      <c r="CU376" s="70">
        <v>0.0</v>
      </c>
      <c r="CV376" s="64">
        <v>50128.0</v>
      </c>
      <c r="CW376" s="64">
        <v>0.0</v>
      </c>
      <c r="CX376" s="64">
        <v>86825.0</v>
      </c>
      <c r="CY376" s="64">
        <v>0.0</v>
      </c>
      <c r="CZ376" s="64">
        <v>0.0</v>
      </c>
      <c r="DA376" s="64">
        <v>0.0</v>
      </c>
      <c r="DB376" s="64">
        <v>86825.0</v>
      </c>
      <c r="DC376" s="72">
        <v>0.0</v>
      </c>
      <c r="DD376" s="72">
        <v>62505.0</v>
      </c>
      <c r="DE376" s="72">
        <v>0.0</v>
      </c>
      <c r="DF376" s="72">
        <v>0.0</v>
      </c>
      <c r="DG376" s="72">
        <v>0.0</v>
      </c>
      <c r="DH376" s="72">
        <v>62505.0</v>
      </c>
      <c r="DI376" s="73">
        <v>2.0568257899E10</v>
      </c>
      <c r="DJ376" s="74" t="s">
        <v>1293</v>
      </c>
      <c r="DK376" s="74" t="s">
        <v>138</v>
      </c>
      <c r="DL376" s="75"/>
      <c r="DM376" s="75"/>
      <c r="DN376" s="75"/>
      <c r="DO376" s="75"/>
      <c r="DP376" s="75"/>
      <c r="DQ376" s="75"/>
      <c r="DR376" s="75"/>
      <c r="DS376" s="75"/>
      <c r="DT376" s="75"/>
      <c r="DU376" s="75"/>
      <c r="DV376" s="75"/>
      <c r="DW376" s="75"/>
      <c r="DX376" s="75"/>
      <c r="DY376" s="75"/>
      <c r="DZ376" s="75"/>
      <c r="EA376" s="75"/>
      <c r="EB376" s="75"/>
      <c r="EC376" s="75"/>
      <c r="ED376" s="75"/>
      <c r="EE376" s="75"/>
    </row>
    <row r="377" ht="47.25" hidden="1" customHeight="1">
      <c r="A377" s="55" t="s">
        <v>1294</v>
      </c>
      <c r="B377" s="55" t="s">
        <v>711</v>
      </c>
      <c r="C377" s="55" t="s">
        <v>735</v>
      </c>
      <c r="D377" s="55" t="s">
        <v>481</v>
      </c>
      <c r="E377" s="55" t="s">
        <v>1295</v>
      </c>
      <c r="F377" s="55" t="s">
        <v>481</v>
      </c>
      <c r="G377" s="55" t="s">
        <v>673</v>
      </c>
      <c r="H377" s="55" t="s">
        <v>673</v>
      </c>
      <c r="I377" s="56"/>
      <c r="J377" s="56"/>
      <c r="K377" s="56"/>
      <c r="L377" s="56"/>
      <c r="M377" s="56"/>
      <c r="N377" s="56">
        <v>1.0</v>
      </c>
      <c r="O377" s="56">
        <v>1.0</v>
      </c>
      <c r="P377" s="56"/>
      <c r="Q377" s="56" t="s">
        <v>131</v>
      </c>
      <c r="R377" s="58" t="str">
        <f t="shared" si="1"/>
        <v>2023-2024</v>
      </c>
      <c r="S377" s="59" t="str">
        <f>SUM(Hoja1!$I377:$P377)</f>
        <v>2</v>
      </c>
      <c r="T377" s="59" t="str">
        <f>IF(OR(Hoja1!$J377=1,Hoja1!$K377=1,Hoja1!$L377=1,Hoja1!$M377=1,Hoja1!$N377=1,Hoja1!$O377=1,Hoja1!$P377=1),"SI","NO")</f>
        <v>SI</v>
      </c>
      <c r="U377" s="59" t="str">
        <f>IF(OR(Hoja1!$K377=1,Hoja1!$L377=1,Hoja1!$M377=1,Hoja1!$N377=1,Hoja1!$O377=1,Hoja1!$P377=1),"SI","NO")</f>
        <v>SI</v>
      </c>
      <c r="V377" s="60">
        <v>0.0</v>
      </c>
      <c r="W377" s="61">
        <v>0.0</v>
      </c>
      <c r="X377" s="61">
        <v>0.0</v>
      </c>
      <c r="Y377" s="60">
        <v>0.0</v>
      </c>
      <c r="Z377" s="61">
        <v>0.0</v>
      </c>
      <c r="AA377" s="61">
        <v>0.0</v>
      </c>
      <c r="AB377" s="60">
        <v>0.0</v>
      </c>
      <c r="AC377" s="61">
        <v>0.0</v>
      </c>
      <c r="AD377" s="61">
        <v>0.0</v>
      </c>
      <c r="AE377" s="60">
        <v>0.0</v>
      </c>
      <c r="AF377" s="61">
        <v>0.0</v>
      </c>
      <c r="AG377" s="61">
        <v>0.0</v>
      </c>
      <c r="AH377" s="60">
        <v>0.0</v>
      </c>
      <c r="AI377" s="61">
        <v>70.0</v>
      </c>
      <c r="AJ377" s="61">
        <v>34.0</v>
      </c>
      <c r="AK377" s="60">
        <v>104.0</v>
      </c>
      <c r="AL377" s="61">
        <v>104.0</v>
      </c>
      <c r="AM377" s="61">
        <v>0.0</v>
      </c>
      <c r="AN377" s="60">
        <v>104.0</v>
      </c>
      <c r="AO377" s="62">
        <v>0.0</v>
      </c>
      <c r="AP377" s="62">
        <v>0.0</v>
      </c>
      <c r="AQ377" s="60">
        <v>0.0</v>
      </c>
      <c r="AR377" s="60" t="str">
        <f>IF(Hoja1!$AQ377&gt;0,Hoja1!$AQ377,IF(Hoja1!$AN377&gt;0,Hoja1!$AN377,IF(Hoja1!$AK377&gt;0,Hoja1!$AK377,IF(Hoja1!$AH377&gt;0,Hoja1!$AH377,IF(Hoja1!$AE377&gt;0,Hoja1!$AE377,IF(Hoja1!$AB377&gt;0,Hoja1!$AB377,IF(Hoja1!$Y377&gt;0,Hoja1!$Y377,IF(Hoja1!$V377&gt;0,Hoja1!$V377," ---"))))))))</f>
        <v>104</v>
      </c>
      <c r="AS377" s="63">
        <v>0.0</v>
      </c>
      <c r="AT377" s="63">
        <v>0.0</v>
      </c>
      <c r="AU377" s="63">
        <v>0.0</v>
      </c>
      <c r="AV377" s="63">
        <v>0.0</v>
      </c>
      <c r="AW377" s="63">
        <v>0.0</v>
      </c>
      <c r="AX377" s="63">
        <v>0.0</v>
      </c>
      <c r="AY377" s="63">
        <v>19.0</v>
      </c>
      <c r="AZ377" s="63">
        <v>0.0</v>
      </c>
      <c r="BA377" s="63">
        <v>25.0</v>
      </c>
      <c r="BB377" s="63">
        <v>0.0</v>
      </c>
      <c r="BC377" s="63">
        <v>0.0</v>
      </c>
      <c r="BD377" s="63">
        <v>0.0</v>
      </c>
      <c r="BE377" s="64">
        <v>0.0</v>
      </c>
      <c r="BF377" s="69">
        <v>0.0</v>
      </c>
      <c r="BG377" s="69">
        <v>0.0</v>
      </c>
      <c r="BH377" s="64">
        <v>0.0</v>
      </c>
      <c r="BI377" s="67" t="str">
        <f t="shared" si="133"/>
        <v>#REF!</v>
      </c>
      <c r="BJ377" s="68" t="str">
        <f t="shared" si="134"/>
        <v>#REF!</v>
      </c>
      <c r="BK377" s="69">
        <v>0.0</v>
      </c>
      <c r="BL377" s="69">
        <v>0.0</v>
      </c>
      <c r="BM377" s="64">
        <v>0.0</v>
      </c>
      <c r="BN377" s="67" t="str">
        <f t="shared" si="135"/>
        <v>#REF!</v>
      </c>
      <c r="BO377" s="68" t="str">
        <f t="shared" si="136"/>
        <v>#REF!</v>
      </c>
      <c r="BP377" s="65">
        <v>0.0</v>
      </c>
      <c r="BQ377" s="65">
        <v>0.0</v>
      </c>
      <c r="BR377" s="66">
        <v>0.0</v>
      </c>
      <c r="BS377" s="67" t="str">
        <f t="shared" si="137"/>
        <v>#REF!</v>
      </c>
      <c r="BT377" s="68" t="str">
        <f>'[1]DATA CONSOLIDADA 2018-2025 '!$BR377-Hoja1!$BO377</f>
        <v>#REF!</v>
      </c>
      <c r="BU377" s="69">
        <v>0.0</v>
      </c>
      <c r="BV377" s="65">
        <v>0.0</v>
      </c>
      <c r="BW377" s="66">
        <v>0.0</v>
      </c>
      <c r="BX377" s="67" t="str">
        <f t="shared" si="138"/>
        <v>#REF!</v>
      </c>
      <c r="BY377" s="68" t="str">
        <f t="shared" si="139"/>
        <v>#REF!</v>
      </c>
      <c r="BZ377" s="65">
        <v>0.0</v>
      </c>
      <c r="CA377" s="65">
        <v>0.0</v>
      </c>
      <c r="CB377" s="66">
        <v>0.0</v>
      </c>
      <c r="CC377" s="67" t="str">
        <f t="shared" si="140"/>
        <v>#REF!</v>
      </c>
      <c r="CD377" s="68" t="str">
        <f>'[1]DATA CONSOLIDADA 2018-2025 '!$CB377-Hoja1!$BW377</f>
        <v>#REF!</v>
      </c>
      <c r="CE377" s="70">
        <v>0.0</v>
      </c>
      <c r="CF377" s="70">
        <v>0.0</v>
      </c>
      <c r="CG377" s="71">
        <v>0.0</v>
      </c>
      <c r="CH377" s="67" t="str">
        <f t="shared" si="141"/>
        <v>#REF!</v>
      </c>
      <c r="CI377" s="68" t="str">
        <f>'[1]DATA CONSOLIDADA 2018-2025 '!$CG377-Hoja1!$CB377</f>
        <v>#REF!</v>
      </c>
      <c r="CJ377" s="64" t="str">
        <f t="shared" ref="CJ377:CJ411" si="143">'[1]DATA CONSOLIDADA 2018-2025 '!$BE377+'[1]DATA CONSOLIDADA 2018-2025 '!$BH377+'[1]DATA CONSOLIDADA 2018-2025 '!$BM377+'[1]DATA CONSOLIDADA 2018-2025 '!$BR377+'[1]DATA CONSOLIDADA 2018-2025 '!$BW377+'[1]DATA CONSOLIDADA 2018-2025 '!$CB377+'[1]DATA CONSOLIDADA 2018-2025 '!$CG377</f>
        <v>#REF!</v>
      </c>
      <c r="CK377" s="64">
        <v>0.0</v>
      </c>
      <c r="CL377" s="64">
        <v>0.0</v>
      </c>
      <c r="CM377" s="64">
        <v>0.0</v>
      </c>
      <c r="CN377" s="64" t="str">
        <f t="shared" si="12"/>
        <v>#REF!</v>
      </c>
      <c r="CO377" s="68" t="str">
        <f>'[1]DATA CONSOLIDADA 2018-2025 '!$CM377-Hoja1!$CG377</f>
        <v>#REF!</v>
      </c>
      <c r="CP377" s="70">
        <v>0.0</v>
      </c>
      <c r="CQ377" s="70">
        <v>0.0</v>
      </c>
      <c r="CR377" s="70">
        <v>0.0</v>
      </c>
      <c r="CS377" s="70">
        <v>0.0</v>
      </c>
      <c r="CT377" s="70">
        <v>0.0</v>
      </c>
      <c r="CU377" s="70">
        <v>0.0</v>
      </c>
      <c r="CV377" s="64">
        <v>0.0</v>
      </c>
      <c r="CW377" s="64">
        <v>0.0</v>
      </c>
      <c r="CX377" s="64">
        <v>0.0</v>
      </c>
      <c r="CY377" s="64">
        <v>0.0</v>
      </c>
      <c r="CZ377" s="64">
        <v>0.0</v>
      </c>
      <c r="DA377" s="64">
        <v>0.0</v>
      </c>
      <c r="DB377" s="64">
        <v>0.0</v>
      </c>
      <c r="DC377" s="72">
        <v>0.0</v>
      </c>
      <c r="DD377" s="72">
        <v>0.0</v>
      </c>
      <c r="DE377" s="72">
        <v>0.0</v>
      </c>
      <c r="DF377" s="72">
        <v>0.0</v>
      </c>
      <c r="DG377" s="72">
        <v>0.0</v>
      </c>
      <c r="DH377" s="72">
        <v>0.0</v>
      </c>
      <c r="DI377" s="73">
        <v>2.0603957033E10</v>
      </c>
      <c r="DJ377" s="74" t="s">
        <v>1296</v>
      </c>
      <c r="DK377" s="74" t="s">
        <v>138</v>
      </c>
      <c r="DL377" s="75"/>
      <c r="DM377" s="75"/>
      <c r="DN377" s="75"/>
      <c r="DO377" s="75"/>
      <c r="DP377" s="75"/>
      <c r="DQ377" s="75"/>
      <c r="DR377" s="75"/>
      <c r="DS377" s="75"/>
      <c r="DT377" s="75"/>
      <c r="DU377" s="75"/>
      <c r="DV377" s="75"/>
      <c r="DW377" s="75"/>
      <c r="DX377" s="75"/>
      <c r="DY377" s="75"/>
      <c r="DZ377" s="75"/>
      <c r="EA377" s="75"/>
      <c r="EB377" s="75"/>
      <c r="EC377" s="75"/>
      <c r="ED377" s="75"/>
      <c r="EE377" s="75"/>
    </row>
    <row r="378" ht="47.25" hidden="1" customHeight="1">
      <c r="A378" s="55" t="s">
        <v>1297</v>
      </c>
      <c r="B378" s="55" t="s">
        <v>530</v>
      </c>
      <c r="C378" s="55" t="s">
        <v>530</v>
      </c>
      <c r="D378" s="55" t="s">
        <v>481</v>
      </c>
      <c r="E378" s="55" t="s">
        <v>1295</v>
      </c>
      <c r="F378" s="55" t="s">
        <v>481</v>
      </c>
      <c r="G378" s="55" t="s">
        <v>673</v>
      </c>
      <c r="H378" s="55" t="s">
        <v>673</v>
      </c>
      <c r="I378" s="56"/>
      <c r="J378" s="56"/>
      <c r="K378" s="56"/>
      <c r="L378" s="56"/>
      <c r="M378" s="56"/>
      <c r="N378" s="56">
        <v>1.0</v>
      </c>
      <c r="O378" s="56">
        <v>1.0</v>
      </c>
      <c r="P378" s="56">
        <v>1.0</v>
      </c>
      <c r="Q378" s="56" t="s">
        <v>131</v>
      </c>
      <c r="R378" s="58" t="str">
        <f t="shared" si="1"/>
        <v>2023-2024 - 2025</v>
      </c>
      <c r="S378" s="59" t="str">
        <f>SUM(Hoja1!$I378:$P378)</f>
        <v>3</v>
      </c>
      <c r="T378" s="59" t="str">
        <f>IF(OR(Hoja1!$J378=1,Hoja1!$K378=1,Hoja1!$L378=1,Hoja1!$M378=1,Hoja1!$N378=1,Hoja1!$O378=1,Hoja1!$P378=1),"SI","NO")</f>
        <v>SI</v>
      </c>
      <c r="U378" s="59" t="str">
        <f>IF(OR(Hoja1!$K378=1,Hoja1!$L378=1,Hoja1!$M378=1,Hoja1!$N378=1,Hoja1!$O378=1,Hoja1!$P378=1),"SI","NO")</f>
        <v>SI</v>
      </c>
      <c r="V378" s="60">
        <v>0.0</v>
      </c>
      <c r="W378" s="61">
        <v>0.0</v>
      </c>
      <c r="X378" s="61">
        <v>0.0</v>
      </c>
      <c r="Y378" s="60">
        <v>0.0</v>
      </c>
      <c r="Z378" s="61">
        <v>0.0</v>
      </c>
      <c r="AA378" s="61">
        <v>0.0</v>
      </c>
      <c r="AB378" s="60">
        <v>0.0</v>
      </c>
      <c r="AC378" s="61">
        <v>0.0</v>
      </c>
      <c r="AD378" s="61">
        <v>0.0</v>
      </c>
      <c r="AE378" s="60">
        <v>0.0</v>
      </c>
      <c r="AF378" s="61">
        <v>0.0</v>
      </c>
      <c r="AG378" s="61">
        <v>0.0</v>
      </c>
      <c r="AH378" s="60">
        <v>0.0</v>
      </c>
      <c r="AI378" s="61">
        <v>20.0</v>
      </c>
      <c r="AJ378" s="61">
        <v>5.0</v>
      </c>
      <c r="AK378" s="60">
        <v>25.0</v>
      </c>
      <c r="AL378" s="61">
        <v>138.0</v>
      </c>
      <c r="AM378" s="61">
        <v>59.0</v>
      </c>
      <c r="AN378" s="60">
        <v>197.0</v>
      </c>
      <c r="AO378" s="62">
        <v>137.0</v>
      </c>
      <c r="AP378" s="62">
        <v>58.0</v>
      </c>
      <c r="AQ378" s="60">
        <v>195.0</v>
      </c>
      <c r="AR378" s="60" t="str">
        <f>IF(Hoja1!$AQ378&gt;0,Hoja1!$AQ378,IF(Hoja1!$AN378&gt;0,Hoja1!$AN378,IF(Hoja1!$AK378&gt;0,Hoja1!$AK378,IF(Hoja1!$AH378&gt;0,Hoja1!$AH378,IF(Hoja1!$AE378&gt;0,Hoja1!$AE378,IF(Hoja1!$AB378&gt;0,Hoja1!$AB378,IF(Hoja1!$Y378&gt;0,Hoja1!$Y378,IF(Hoja1!$V378&gt;0,Hoja1!$V378," ---"))))))))</f>
        <v>195</v>
      </c>
      <c r="AS378" s="63">
        <v>0.0</v>
      </c>
      <c r="AT378" s="63">
        <v>0.0</v>
      </c>
      <c r="AU378" s="63">
        <v>0.0</v>
      </c>
      <c r="AV378" s="63">
        <v>0.0</v>
      </c>
      <c r="AW378" s="63">
        <v>0.0</v>
      </c>
      <c r="AX378" s="63">
        <v>0.0</v>
      </c>
      <c r="AY378" s="63">
        <v>14.0</v>
      </c>
      <c r="AZ378" s="63">
        <v>0.0</v>
      </c>
      <c r="BA378" s="63">
        <v>25.0</v>
      </c>
      <c r="BB378" s="63">
        <v>0.0</v>
      </c>
      <c r="BC378" s="63">
        <v>13.0</v>
      </c>
      <c r="BD378" s="63">
        <v>0.0</v>
      </c>
      <c r="BE378" s="64">
        <v>0.0</v>
      </c>
      <c r="BF378" s="69">
        <v>0.0</v>
      </c>
      <c r="BG378" s="69">
        <v>0.0</v>
      </c>
      <c r="BH378" s="64">
        <v>0.0</v>
      </c>
      <c r="BI378" s="67" t="str">
        <f t="shared" si="133"/>
        <v>#REF!</v>
      </c>
      <c r="BJ378" s="68" t="str">
        <f t="shared" si="134"/>
        <v>#REF!</v>
      </c>
      <c r="BK378" s="69">
        <v>0.0</v>
      </c>
      <c r="BL378" s="69">
        <v>0.0</v>
      </c>
      <c r="BM378" s="64">
        <v>0.0</v>
      </c>
      <c r="BN378" s="67" t="str">
        <f t="shared" si="135"/>
        <v>#REF!</v>
      </c>
      <c r="BO378" s="68" t="str">
        <f t="shared" si="136"/>
        <v>#REF!</v>
      </c>
      <c r="BP378" s="65">
        <v>0.0</v>
      </c>
      <c r="BQ378" s="65">
        <v>0.0</v>
      </c>
      <c r="BR378" s="66">
        <v>0.0</v>
      </c>
      <c r="BS378" s="67" t="str">
        <f t="shared" si="137"/>
        <v>#REF!</v>
      </c>
      <c r="BT378" s="68" t="str">
        <f>'[1]DATA CONSOLIDADA 2018-2025 '!$BR378-Hoja1!$BO378</f>
        <v>#REF!</v>
      </c>
      <c r="BU378" s="69">
        <v>0.0</v>
      </c>
      <c r="BV378" s="65">
        <v>0.0</v>
      </c>
      <c r="BW378" s="66">
        <v>0.0</v>
      </c>
      <c r="BX378" s="67" t="str">
        <f t="shared" si="138"/>
        <v>#REF!</v>
      </c>
      <c r="BY378" s="68" t="str">
        <f t="shared" si="139"/>
        <v>#REF!</v>
      </c>
      <c r="BZ378" s="65">
        <v>1008886.35</v>
      </c>
      <c r="CA378" s="65">
        <v>0.0</v>
      </c>
      <c r="CB378" s="66">
        <v>1008886.35</v>
      </c>
      <c r="CC378" s="67" t="str">
        <f t="shared" si="140"/>
        <v>#REF!</v>
      </c>
      <c r="CD378" s="68" t="str">
        <f>'[1]DATA CONSOLIDADA 2018-2025 '!$CB378-Hoja1!$BW378</f>
        <v>#REF!</v>
      </c>
      <c r="CE378" s="70">
        <v>15042.92</v>
      </c>
      <c r="CF378" s="70">
        <v>0.0</v>
      </c>
      <c r="CG378" s="71">
        <v>15042.92</v>
      </c>
      <c r="CH378" s="67" t="str">
        <f t="shared" si="141"/>
        <v>#REF!</v>
      </c>
      <c r="CI378" s="68" t="str">
        <f>'[1]DATA CONSOLIDADA 2018-2025 '!$CG378-Hoja1!$CB378</f>
        <v>#REF!</v>
      </c>
      <c r="CJ378" s="64" t="str">
        <f t="shared" si="143"/>
        <v>#REF!</v>
      </c>
      <c r="CK378" s="64">
        <v>530.0</v>
      </c>
      <c r="CL378" s="64">
        <v>0.0</v>
      </c>
      <c r="CM378" s="64">
        <v>530.0</v>
      </c>
      <c r="CN378" s="64" t="str">
        <f t="shared" si="12"/>
        <v>#REF!</v>
      </c>
      <c r="CO378" s="68" t="str">
        <f>'[1]DATA CONSOLIDADA 2018-2025 '!$CM378-Hoja1!$CG378</f>
        <v>#REF!</v>
      </c>
      <c r="CP378" s="70">
        <v>0.0</v>
      </c>
      <c r="CQ378" s="70">
        <v>1007945.3500000001</v>
      </c>
      <c r="CR378" s="70">
        <v>0.0</v>
      </c>
      <c r="CS378" s="70">
        <v>941.0</v>
      </c>
      <c r="CT378" s="70">
        <v>0.0</v>
      </c>
      <c r="CU378" s="70">
        <v>0.0</v>
      </c>
      <c r="CV378" s="64">
        <v>1008886.3500000001</v>
      </c>
      <c r="CW378" s="64">
        <v>0.0</v>
      </c>
      <c r="CX378" s="64">
        <v>0.0</v>
      </c>
      <c r="CY378" s="64">
        <v>15042.92</v>
      </c>
      <c r="CZ378" s="64">
        <v>0.0</v>
      </c>
      <c r="DA378" s="64">
        <v>0.0</v>
      </c>
      <c r="DB378" s="64">
        <v>15042.92</v>
      </c>
      <c r="DC378" s="72">
        <v>0.0</v>
      </c>
      <c r="DD378" s="72">
        <v>302.0</v>
      </c>
      <c r="DE378" s="72">
        <v>228.0</v>
      </c>
      <c r="DF378" s="72">
        <v>0.0</v>
      </c>
      <c r="DG378" s="72">
        <v>0.0</v>
      </c>
      <c r="DH378" s="72">
        <v>530.0</v>
      </c>
      <c r="DI378" s="73">
        <v>2.0402648504E10</v>
      </c>
      <c r="DJ378" s="74" t="s">
        <v>1298</v>
      </c>
      <c r="DK378" s="74" t="s">
        <v>132</v>
      </c>
      <c r="DL378" s="75"/>
      <c r="DM378" s="75"/>
      <c r="DN378" s="75"/>
      <c r="DO378" s="75"/>
      <c r="DP378" s="75"/>
      <c r="DQ378" s="75"/>
      <c r="DR378" s="75"/>
      <c r="DS378" s="75"/>
      <c r="DT378" s="75"/>
      <c r="DU378" s="75"/>
      <c r="DV378" s="75"/>
      <c r="DW378" s="75"/>
      <c r="DX378" s="75"/>
      <c r="DY378" s="75"/>
      <c r="DZ378" s="75"/>
      <c r="EA378" s="75"/>
      <c r="EB378" s="75"/>
      <c r="EC378" s="75"/>
      <c r="ED378" s="75"/>
      <c r="EE378" s="75"/>
    </row>
    <row r="379" ht="47.25" hidden="1" customHeight="1">
      <c r="A379" s="55" t="s">
        <v>1299</v>
      </c>
      <c r="B379" s="55" t="s">
        <v>287</v>
      </c>
      <c r="C379" s="55" t="s">
        <v>287</v>
      </c>
      <c r="D379" s="55" t="s">
        <v>785</v>
      </c>
      <c r="E379" s="55" t="s">
        <v>1300</v>
      </c>
      <c r="F379" s="55" t="s">
        <v>785</v>
      </c>
      <c r="G379" s="55" t="s">
        <v>800</v>
      </c>
      <c r="H379" s="55" t="s">
        <v>800</v>
      </c>
      <c r="I379" s="56"/>
      <c r="J379" s="56"/>
      <c r="K379" s="56"/>
      <c r="L379" s="56"/>
      <c r="M379" s="56"/>
      <c r="N379" s="56">
        <v>1.0</v>
      </c>
      <c r="O379" s="56"/>
      <c r="P379" s="56"/>
      <c r="Q379" s="56" t="s">
        <v>131</v>
      </c>
      <c r="R379" s="58" t="str">
        <f t="shared" si="1"/>
        <v>2023</v>
      </c>
      <c r="S379" s="59" t="str">
        <f>SUM(Hoja1!$I379:$P379)</f>
        <v>1</v>
      </c>
      <c r="T379" s="59" t="str">
        <f>IF(OR(Hoja1!$J379=1,Hoja1!$K379=1,Hoja1!$L379=1,Hoja1!$M379=1,Hoja1!$N379=1,Hoja1!$O379=1,Hoja1!$P379=1),"SI","NO")</f>
        <v>SI</v>
      </c>
      <c r="U379" s="59" t="str">
        <f>IF(OR(Hoja1!$K379=1,Hoja1!$L379=1,Hoja1!$M379=1,Hoja1!$N379=1,Hoja1!$O379=1,Hoja1!$P379=1),"SI","NO")</f>
        <v>SI</v>
      </c>
      <c r="V379" s="60">
        <v>0.0</v>
      </c>
      <c r="W379" s="61">
        <v>0.0</v>
      </c>
      <c r="X379" s="61">
        <v>0.0</v>
      </c>
      <c r="Y379" s="60">
        <v>0.0</v>
      </c>
      <c r="Z379" s="61">
        <v>0.0</v>
      </c>
      <c r="AA379" s="61">
        <v>0.0</v>
      </c>
      <c r="AB379" s="60">
        <v>0.0</v>
      </c>
      <c r="AC379" s="61">
        <v>0.0</v>
      </c>
      <c r="AD379" s="61">
        <v>0.0</v>
      </c>
      <c r="AE379" s="60">
        <v>0.0</v>
      </c>
      <c r="AF379" s="61">
        <v>0.0</v>
      </c>
      <c r="AG379" s="61">
        <v>0.0</v>
      </c>
      <c r="AH379" s="60">
        <v>0.0</v>
      </c>
      <c r="AI379" s="61">
        <v>7.0</v>
      </c>
      <c r="AJ379" s="61">
        <v>13.0</v>
      </c>
      <c r="AK379" s="60">
        <v>20.0</v>
      </c>
      <c r="AL379" s="61">
        <v>0.0</v>
      </c>
      <c r="AM379" s="61">
        <v>0.0</v>
      </c>
      <c r="AN379" s="60">
        <v>0.0</v>
      </c>
      <c r="AO379" s="62">
        <v>0.0</v>
      </c>
      <c r="AP379" s="62">
        <v>0.0</v>
      </c>
      <c r="AQ379" s="60">
        <v>0.0</v>
      </c>
      <c r="AR379" s="60" t="str">
        <f>IF(Hoja1!$AQ379&gt;0,Hoja1!$AQ379,IF(Hoja1!$AN379&gt;0,Hoja1!$AN379,IF(Hoja1!$AK379&gt;0,Hoja1!$AK379,IF(Hoja1!$AH379&gt;0,Hoja1!$AH379,IF(Hoja1!$AE379&gt;0,Hoja1!$AE379,IF(Hoja1!$AB379&gt;0,Hoja1!$AB379,IF(Hoja1!$Y379&gt;0,Hoja1!$Y379,IF(Hoja1!$V379&gt;0,Hoja1!$V379," ---"))))))))</f>
        <v>20</v>
      </c>
      <c r="AS379" s="63">
        <v>0.0</v>
      </c>
      <c r="AT379" s="63">
        <v>0.0</v>
      </c>
      <c r="AU379" s="63">
        <v>0.0</v>
      </c>
      <c r="AV379" s="63">
        <v>0.0</v>
      </c>
      <c r="AW379" s="63">
        <v>0.0</v>
      </c>
      <c r="AX379" s="63">
        <v>0.0</v>
      </c>
      <c r="AY379" s="63">
        <v>38.0</v>
      </c>
      <c r="AZ379" s="63">
        <v>5.0</v>
      </c>
      <c r="BA379" s="63">
        <v>0.0</v>
      </c>
      <c r="BB379" s="63">
        <v>0.0</v>
      </c>
      <c r="BC379" s="63">
        <v>0.0</v>
      </c>
      <c r="BD379" s="63">
        <v>0.0</v>
      </c>
      <c r="BE379" s="64">
        <v>0.0</v>
      </c>
      <c r="BF379" s="69">
        <v>0.0</v>
      </c>
      <c r="BG379" s="69">
        <v>0.0</v>
      </c>
      <c r="BH379" s="64">
        <v>0.0</v>
      </c>
      <c r="BI379" s="67" t="str">
        <f t="shared" si="133"/>
        <v>#REF!</v>
      </c>
      <c r="BJ379" s="68" t="str">
        <f t="shared" si="134"/>
        <v>#REF!</v>
      </c>
      <c r="BK379" s="69">
        <v>0.0</v>
      </c>
      <c r="BL379" s="69">
        <v>0.0</v>
      </c>
      <c r="BM379" s="64">
        <v>0.0</v>
      </c>
      <c r="BN379" s="67" t="str">
        <f t="shared" si="135"/>
        <v>#REF!</v>
      </c>
      <c r="BO379" s="68" t="str">
        <f t="shared" si="136"/>
        <v>#REF!</v>
      </c>
      <c r="BP379" s="65">
        <v>0.0</v>
      </c>
      <c r="BQ379" s="65">
        <v>0.0</v>
      </c>
      <c r="BR379" s="66">
        <v>0.0</v>
      </c>
      <c r="BS379" s="67" t="str">
        <f t="shared" si="137"/>
        <v>#REF!</v>
      </c>
      <c r="BT379" s="68" t="str">
        <f>'[1]DATA CONSOLIDADA 2018-2025 '!$BR379-Hoja1!$BO379</f>
        <v>#REF!</v>
      </c>
      <c r="BU379" s="69">
        <v>0.0</v>
      </c>
      <c r="BV379" s="65">
        <v>0.0</v>
      </c>
      <c r="BW379" s="66">
        <v>0.0</v>
      </c>
      <c r="BX379" s="67" t="str">
        <f t="shared" si="138"/>
        <v>#REF!</v>
      </c>
      <c r="BY379" s="68" t="str">
        <f t="shared" si="139"/>
        <v>#REF!</v>
      </c>
      <c r="BZ379" s="65">
        <v>447090.5</v>
      </c>
      <c r="CA379" s="65">
        <v>0.0</v>
      </c>
      <c r="CB379" s="66">
        <v>447090.5</v>
      </c>
      <c r="CC379" s="67" t="str">
        <f t="shared" si="140"/>
        <v>#REF!</v>
      </c>
      <c r="CD379" s="68" t="str">
        <f>'[1]DATA CONSOLIDADA 2018-2025 '!$CB379-Hoja1!$BW379</f>
        <v>#REF!</v>
      </c>
      <c r="CE379" s="70">
        <v>0.0</v>
      </c>
      <c r="CF379" s="70">
        <v>0.0</v>
      </c>
      <c r="CG379" s="71">
        <v>0.0</v>
      </c>
      <c r="CH379" s="67" t="str">
        <f t="shared" si="141"/>
        <v>#REF!</v>
      </c>
      <c r="CI379" s="68" t="str">
        <f>'[1]DATA CONSOLIDADA 2018-2025 '!$CG379-Hoja1!$CB379</f>
        <v>#REF!</v>
      </c>
      <c r="CJ379" s="64" t="str">
        <f t="shared" si="143"/>
        <v>#REF!</v>
      </c>
      <c r="CK379" s="64">
        <v>0.0</v>
      </c>
      <c r="CL379" s="64">
        <v>0.0</v>
      </c>
      <c r="CM379" s="64">
        <v>0.0</v>
      </c>
      <c r="CN379" s="64" t="str">
        <f t="shared" si="12"/>
        <v>#REF!</v>
      </c>
      <c r="CO379" s="68" t="str">
        <f>'[1]DATA CONSOLIDADA 2018-2025 '!$CM379-Hoja1!$CG379</f>
        <v>#REF!</v>
      </c>
      <c r="CP379" s="70">
        <v>0.0</v>
      </c>
      <c r="CQ379" s="70">
        <v>447090.5</v>
      </c>
      <c r="CR379" s="70">
        <v>0.0</v>
      </c>
      <c r="CS379" s="70">
        <v>0.0</v>
      </c>
      <c r="CT379" s="70">
        <v>0.0</v>
      </c>
      <c r="CU379" s="70">
        <v>0.0</v>
      </c>
      <c r="CV379" s="64">
        <v>447090.5</v>
      </c>
      <c r="CW379" s="64">
        <v>0.0</v>
      </c>
      <c r="CX379" s="64">
        <v>0.0</v>
      </c>
      <c r="CY379" s="64">
        <v>0.0</v>
      </c>
      <c r="CZ379" s="64">
        <v>0.0</v>
      </c>
      <c r="DA379" s="64">
        <v>0.0</v>
      </c>
      <c r="DB379" s="64">
        <v>0.0</v>
      </c>
      <c r="DC379" s="72">
        <v>0.0</v>
      </c>
      <c r="DD379" s="72">
        <v>0.0</v>
      </c>
      <c r="DE379" s="72">
        <v>0.0</v>
      </c>
      <c r="DF379" s="72">
        <v>0.0</v>
      </c>
      <c r="DG379" s="72">
        <v>0.0</v>
      </c>
      <c r="DH379" s="72">
        <v>0.0</v>
      </c>
      <c r="DI379" s="73">
        <v>2.048242332E10</v>
      </c>
      <c r="DJ379" s="74" t="s">
        <v>1299</v>
      </c>
      <c r="DK379" s="74" t="s">
        <v>138</v>
      </c>
      <c r="DL379" s="75"/>
      <c r="DM379" s="75"/>
      <c r="DN379" s="75"/>
      <c r="DO379" s="75"/>
      <c r="DP379" s="75"/>
      <c r="DQ379" s="75"/>
      <c r="DR379" s="75"/>
      <c r="DS379" s="75"/>
      <c r="DT379" s="75"/>
      <c r="DU379" s="75"/>
      <c r="DV379" s="75"/>
      <c r="DW379" s="75"/>
      <c r="DX379" s="75"/>
      <c r="DY379" s="75"/>
      <c r="DZ379" s="75"/>
      <c r="EA379" s="75"/>
      <c r="EB379" s="75"/>
      <c r="EC379" s="75"/>
      <c r="ED379" s="75"/>
      <c r="EE379" s="75"/>
    </row>
    <row r="380" ht="47.25" hidden="1" customHeight="1">
      <c r="A380" s="55" t="s">
        <v>1301</v>
      </c>
      <c r="B380" s="55" t="s">
        <v>196</v>
      </c>
      <c r="C380" s="55" t="s">
        <v>196</v>
      </c>
      <c r="D380" s="55" t="s">
        <v>785</v>
      </c>
      <c r="E380" s="55" t="s">
        <v>1302</v>
      </c>
      <c r="F380" s="55" t="s">
        <v>785</v>
      </c>
      <c r="G380" s="55" t="s">
        <v>787</v>
      </c>
      <c r="H380" s="55" t="s">
        <v>1303</v>
      </c>
      <c r="I380" s="56"/>
      <c r="J380" s="56"/>
      <c r="K380" s="56"/>
      <c r="L380" s="56"/>
      <c r="M380" s="56"/>
      <c r="N380" s="56">
        <v>1.0</v>
      </c>
      <c r="O380" s="56">
        <v>1.0</v>
      </c>
      <c r="P380" s="56">
        <v>1.0</v>
      </c>
      <c r="Q380" s="56" t="s">
        <v>131</v>
      </c>
      <c r="R380" s="58" t="str">
        <f t="shared" si="1"/>
        <v>2023-2024 - 2025</v>
      </c>
      <c r="S380" s="59" t="str">
        <f>SUM(Hoja1!$I380:$P380)</f>
        <v>3</v>
      </c>
      <c r="T380" s="59" t="str">
        <f>IF(OR(Hoja1!$J380=1,Hoja1!$K380=1,Hoja1!$L380=1,Hoja1!$M380=1,Hoja1!$N380=1,Hoja1!$O380=1,Hoja1!$P380=1),"SI","NO")</f>
        <v>SI</v>
      </c>
      <c r="U380" s="59" t="str">
        <f>IF(OR(Hoja1!$K380=1,Hoja1!$L380=1,Hoja1!$M380=1,Hoja1!$N380=1,Hoja1!$O380=1,Hoja1!$P380=1),"SI","NO")</f>
        <v>SI</v>
      </c>
      <c r="V380" s="60">
        <v>0.0</v>
      </c>
      <c r="W380" s="61">
        <v>0.0</v>
      </c>
      <c r="X380" s="61">
        <v>0.0</v>
      </c>
      <c r="Y380" s="60">
        <v>0.0</v>
      </c>
      <c r="Z380" s="61">
        <v>0.0</v>
      </c>
      <c r="AA380" s="61">
        <v>0.0</v>
      </c>
      <c r="AB380" s="60">
        <v>0.0</v>
      </c>
      <c r="AC380" s="61">
        <v>0.0</v>
      </c>
      <c r="AD380" s="61">
        <v>0.0</v>
      </c>
      <c r="AE380" s="60">
        <v>0.0</v>
      </c>
      <c r="AF380" s="61">
        <v>0.0</v>
      </c>
      <c r="AG380" s="61">
        <v>0.0</v>
      </c>
      <c r="AH380" s="60">
        <v>0.0</v>
      </c>
      <c r="AI380" s="61">
        <v>12.0</v>
      </c>
      <c r="AJ380" s="61">
        <v>10.0</v>
      </c>
      <c r="AK380" s="60">
        <v>22.0</v>
      </c>
      <c r="AL380" s="61">
        <v>12.0</v>
      </c>
      <c r="AM380" s="61">
        <v>10.0</v>
      </c>
      <c r="AN380" s="60">
        <v>22.0</v>
      </c>
      <c r="AO380" s="62">
        <v>0.0</v>
      </c>
      <c r="AP380" s="62">
        <v>0.0</v>
      </c>
      <c r="AQ380" s="60">
        <v>0.0</v>
      </c>
      <c r="AR380" s="60" t="str">
        <f>IF(Hoja1!$AQ380&gt;0,Hoja1!$AQ380,IF(Hoja1!$AN380&gt;0,Hoja1!$AN380,IF(Hoja1!$AK380&gt;0,Hoja1!$AK380,IF(Hoja1!$AH380&gt;0,Hoja1!$AH380,IF(Hoja1!$AE380&gt;0,Hoja1!$AE380,IF(Hoja1!$AB380&gt;0,Hoja1!$AB380,IF(Hoja1!$Y380&gt;0,Hoja1!$Y380,IF(Hoja1!$V380&gt;0,Hoja1!$V380," ---"))))))))</f>
        <v>22</v>
      </c>
      <c r="AS380" s="63">
        <v>0.0</v>
      </c>
      <c r="AT380" s="63">
        <v>0.0</v>
      </c>
      <c r="AU380" s="63">
        <v>0.0</v>
      </c>
      <c r="AV380" s="63">
        <v>0.0</v>
      </c>
      <c r="AW380" s="63">
        <v>0.0</v>
      </c>
      <c r="AX380" s="63">
        <v>0.0</v>
      </c>
      <c r="AY380" s="63">
        <v>24.0</v>
      </c>
      <c r="AZ380" s="63">
        <v>3.0</v>
      </c>
      <c r="BA380" s="63">
        <v>20.0</v>
      </c>
      <c r="BB380" s="63">
        <v>3.0</v>
      </c>
      <c r="BC380" s="63">
        <v>0.0</v>
      </c>
      <c r="BD380" s="63">
        <v>0.0</v>
      </c>
      <c r="BE380" s="64">
        <v>0.0</v>
      </c>
      <c r="BF380" s="69">
        <v>0.0</v>
      </c>
      <c r="BG380" s="69">
        <v>0.0</v>
      </c>
      <c r="BH380" s="64">
        <v>0.0</v>
      </c>
      <c r="BI380" s="67" t="str">
        <f t="shared" si="133"/>
        <v>#REF!</v>
      </c>
      <c r="BJ380" s="68" t="str">
        <f t="shared" si="134"/>
        <v>#REF!</v>
      </c>
      <c r="BK380" s="69">
        <v>0.0</v>
      </c>
      <c r="BL380" s="69">
        <v>0.0</v>
      </c>
      <c r="BM380" s="64">
        <v>0.0</v>
      </c>
      <c r="BN380" s="67" t="str">
        <f t="shared" si="135"/>
        <v>#REF!</v>
      </c>
      <c r="BO380" s="68" t="str">
        <f t="shared" si="136"/>
        <v>#REF!</v>
      </c>
      <c r="BP380" s="65">
        <v>0.0</v>
      </c>
      <c r="BQ380" s="65">
        <v>0.0</v>
      </c>
      <c r="BR380" s="66">
        <v>0.0</v>
      </c>
      <c r="BS380" s="67" t="str">
        <f t="shared" si="137"/>
        <v>#REF!</v>
      </c>
      <c r="BT380" s="68" t="str">
        <f>'[1]DATA CONSOLIDADA 2018-2025 '!$BR380-Hoja1!$BO380</f>
        <v>#REF!</v>
      </c>
      <c r="BU380" s="69">
        <v>0.0</v>
      </c>
      <c r="BV380" s="65">
        <v>0.0</v>
      </c>
      <c r="BW380" s="66">
        <v>0.0</v>
      </c>
      <c r="BX380" s="67" t="str">
        <f t="shared" si="138"/>
        <v>#REF!</v>
      </c>
      <c r="BY380" s="68" t="str">
        <f t="shared" si="139"/>
        <v>#REF!</v>
      </c>
      <c r="BZ380" s="65">
        <v>43120.0</v>
      </c>
      <c r="CA380" s="65">
        <v>0.0</v>
      </c>
      <c r="CB380" s="66">
        <v>43120.0</v>
      </c>
      <c r="CC380" s="67" t="str">
        <f t="shared" si="140"/>
        <v>#REF!</v>
      </c>
      <c r="CD380" s="68" t="str">
        <f>'[1]DATA CONSOLIDADA 2018-2025 '!$CB380-Hoja1!$BW380</f>
        <v>#REF!</v>
      </c>
      <c r="CE380" s="70">
        <v>49300.0</v>
      </c>
      <c r="CF380" s="70">
        <v>0.0</v>
      </c>
      <c r="CG380" s="71">
        <v>49300.0</v>
      </c>
      <c r="CH380" s="67" t="str">
        <f t="shared" si="141"/>
        <v>#REF!</v>
      </c>
      <c r="CI380" s="68" t="str">
        <f>'[1]DATA CONSOLIDADA 2018-2025 '!$CG380-Hoja1!$CB380</f>
        <v>#REF!</v>
      </c>
      <c r="CJ380" s="64" t="str">
        <f t="shared" si="143"/>
        <v>#REF!</v>
      </c>
      <c r="CK380" s="64">
        <v>49500.0</v>
      </c>
      <c r="CL380" s="64">
        <v>0.0</v>
      </c>
      <c r="CM380" s="64">
        <v>49500.0</v>
      </c>
      <c r="CN380" s="64" t="str">
        <f t="shared" si="12"/>
        <v>#REF!</v>
      </c>
      <c r="CO380" s="68" t="str">
        <f>'[1]DATA CONSOLIDADA 2018-2025 '!$CM380-Hoja1!$CG380</f>
        <v>#REF!</v>
      </c>
      <c r="CP380" s="70">
        <v>0.0</v>
      </c>
      <c r="CQ380" s="70">
        <v>43120.0</v>
      </c>
      <c r="CR380" s="70">
        <v>0.0</v>
      </c>
      <c r="CS380" s="70">
        <v>0.0</v>
      </c>
      <c r="CT380" s="70">
        <v>0.0</v>
      </c>
      <c r="CU380" s="70">
        <v>0.0</v>
      </c>
      <c r="CV380" s="64">
        <v>43120.0</v>
      </c>
      <c r="CW380" s="64">
        <v>0.0</v>
      </c>
      <c r="CX380" s="64">
        <v>49300.0</v>
      </c>
      <c r="CY380" s="64">
        <v>0.0</v>
      </c>
      <c r="CZ380" s="64">
        <v>0.0</v>
      </c>
      <c r="DA380" s="64">
        <v>0.0</v>
      </c>
      <c r="DB380" s="64">
        <v>49300.0</v>
      </c>
      <c r="DC380" s="72">
        <v>0.0</v>
      </c>
      <c r="DD380" s="72">
        <v>49500.0</v>
      </c>
      <c r="DE380" s="72">
        <v>0.0</v>
      </c>
      <c r="DF380" s="72">
        <v>0.0</v>
      </c>
      <c r="DG380" s="72">
        <v>0.0</v>
      </c>
      <c r="DH380" s="72">
        <v>49500.0</v>
      </c>
      <c r="DI380" s="73">
        <v>2.0609488621E10</v>
      </c>
      <c r="DJ380" s="74" t="s">
        <v>1301</v>
      </c>
      <c r="DK380" s="74" t="s">
        <v>138</v>
      </c>
      <c r="DL380" s="75"/>
      <c r="DM380" s="75"/>
      <c r="DN380" s="75"/>
      <c r="DO380" s="75"/>
      <c r="DP380" s="75"/>
      <c r="DQ380" s="75"/>
      <c r="DR380" s="75"/>
      <c r="DS380" s="75"/>
      <c r="DT380" s="75"/>
      <c r="DU380" s="75"/>
      <c r="DV380" s="75"/>
      <c r="DW380" s="75"/>
      <c r="DX380" s="75"/>
      <c r="DY380" s="75"/>
      <c r="DZ380" s="75"/>
      <c r="EA380" s="75"/>
      <c r="EB380" s="75"/>
      <c r="EC380" s="75"/>
      <c r="ED380" s="75"/>
      <c r="EE380" s="75"/>
    </row>
    <row r="381" ht="47.25" hidden="1" customHeight="1">
      <c r="A381" s="55" t="s">
        <v>1304</v>
      </c>
      <c r="B381" s="55" t="s">
        <v>1305</v>
      </c>
      <c r="C381" s="55" t="s">
        <v>1305</v>
      </c>
      <c r="D381" s="55" t="s">
        <v>607</v>
      </c>
      <c r="E381" s="55" t="s">
        <v>825</v>
      </c>
      <c r="F381" s="55" t="s">
        <v>607</v>
      </c>
      <c r="G381" s="55" t="s">
        <v>821</v>
      </c>
      <c r="H381" s="55" t="s">
        <v>826</v>
      </c>
      <c r="I381" s="56"/>
      <c r="J381" s="56"/>
      <c r="K381" s="56"/>
      <c r="L381" s="56"/>
      <c r="M381" s="56"/>
      <c r="N381" s="56">
        <v>1.0</v>
      </c>
      <c r="O381" s="56">
        <v>1.0</v>
      </c>
      <c r="P381" s="56">
        <v>1.0</v>
      </c>
      <c r="Q381" s="56" t="s">
        <v>131</v>
      </c>
      <c r="R381" s="58" t="str">
        <f t="shared" si="1"/>
        <v>2023-2024 - 2025</v>
      </c>
      <c r="S381" s="59" t="str">
        <f>SUM(Hoja1!$I381:$P381)</f>
        <v>3</v>
      </c>
      <c r="T381" s="59" t="str">
        <f>IF(OR(Hoja1!$J381=1,Hoja1!$K381=1,Hoja1!$L381=1,Hoja1!$M381=1,Hoja1!$N381=1,Hoja1!$O381=1,Hoja1!$P381=1),"SI","NO")</f>
        <v>SI</v>
      </c>
      <c r="U381" s="59" t="str">
        <f>IF(OR(Hoja1!$K381=1,Hoja1!$L381=1,Hoja1!$M381=1,Hoja1!$N381=1,Hoja1!$O381=1,Hoja1!$P381=1),"SI","NO")</f>
        <v>SI</v>
      </c>
      <c r="V381" s="60">
        <v>0.0</v>
      </c>
      <c r="W381" s="61">
        <v>0.0</v>
      </c>
      <c r="X381" s="61">
        <v>0.0</v>
      </c>
      <c r="Y381" s="60">
        <v>0.0</v>
      </c>
      <c r="Z381" s="61">
        <v>0.0</v>
      </c>
      <c r="AA381" s="61">
        <v>0.0</v>
      </c>
      <c r="AB381" s="60">
        <v>0.0</v>
      </c>
      <c r="AC381" s="61">
        <v>0.0</v>
      </c>
      <c r="AD381" s="61">
        <v>0.0</v>
      </c>
      <c r="AE381" s="60">
        <v>0.0</v>
      </c>
      <c r="AF381" s="61">
        <v>0.0</v>
      </c>
      <c r="AG381" s="61">
        <v>0.0</v>
      </c>
      <c r="AH381" s="60">
        <v>0.0</v>
      </c>
      <c r="AI381" s="61">
        <v>18.0</v>
      </c>
      <c r="AJ381" s="61">
        <v>31.0</v>
      </c>
      <c r="AK381" s="60">
        <v>49.0</v>
      </c>
      <c r="AL381" s="61">
        <v>14.0</v>
      </c>
      <c r="AM381" s="61">
        <v>20.0</v>
      </c>
      <c r="AN381" s="60">
        <v>34.0</v>
      </c>
      <c r="AO381" s="62">
        <v>11.0</v>
      </c>
      <c r="AP381" s="62">
        <v>23.0</v>
      </c>
      <c r="AQ381" s="60">
        <v>34.0</v>
      </c>
      <c r="AR381" s="60" t="str">
        <f>IF(Hoja1!$AQ381&gt;0,Hoja1!$AQ381,IF(Hoja1!$AN381&gt;0,Hoja1!$AN381,IF(Hoja1!$AK381&gt;0,Hoja1!$AK381,IF(Hoja1!$AH381&gt;0,Hoja1!$AH381,IF(Hoja1!$AE381&gt;0,Hoja1!$AE381,IF(Hoja1!$AB381&gt;0,Hoja1!$AB381,IF(Hoja1!$Y381&gt;0,Hoja1!$Y381,IF(Hoja1!$V381&gt;0,Hoja1!$V381," ---"))))))))</f>
        <v>34</v>
      </c>
      <c r="AS381" s="63">
        <v>0.0</v>
      </c>
      <c r="AT381" s="63">
        <v>0.0</v>
      </c>
      <c r="AU381" s="63">
        <v>0.0</v>
      </c>
      <c r="AV381" s="63">
        <v>0.0</v>
      </c>
      <c r="AW381" s="63">
        <v>0.0</v>
      </c>
      <c r="AX381" s="63">
        <v>0.0</v>
      </c>
      <c r="AY381" s="63">
        <v>15.0</v>
      </c>
      <c r="AZ381" s="63">
        <v>5.0</v>
      </c>
      <c r="BA381" s="63">
        <v>24.0</v>
      </c>
      <c r="BB381" s="63">
        <v>6.0</v>
      </c>
      <c r="BC381" s="63">
        <v>15.0</v>
      </c>
      <c r="BD381" s="63">
        <v>0.0</v>
      </c>
      <c r="BE381" s="64">
        <v>0.0</v>
      </c>
      <c r="BF381" s="69">
        <v>0.0</v>
      </c>
      <c r="BG381" s="69">
        <v>0.0</v>
      </c>
      <c r="BH381" s="64">
        <v>0.0</v>
      </c>
      <c r="BI381" s="67" t="str">
        <f t="shared" si="133"/>
        <v>#REF!</v>
      </c>
      <c r="BJ381" s="68" t="str">
        <f t="shared" si="134"/>
        <v>#REF!</v>
      </c>
      <c r="BK381" s="69">
        <v>0.0</v>
      </c>
      <c r="BL381" s="69">
        <v>0.0</v>
      </c>
      <c r="BM381" s="64">
        <v>0.0</v>
      </c>
      <c r="BN381" s="67" t="str">
        <f t="shared" si="135"/>
        <v>#REF!</v>
      </c>
      <c r="BO381" s="68" t="str">
        <f t="shared" si="136"/>
        <v>#REF!</v>
      </c>
      <c r="BP381" s="65">
        <v>0.0</v>
      </c>
      <c r="BQ381" s="65">
        <v>0.0</v>
      </c>
      <c r="BR381" s="66">
        <v>0.0</v>
      </c>
      <c r="BS381" s="67" t="str">
        <f t="shared" si="137"/>
        <v>#REF!</v>
      </c>
      <c r="BT381" s="68" t="str">
        <f>'[1]DATA CONSOLIDADA 2018-2025 '!$BR381-Hoja1!$BO381</f>
        <v>#REF!</v>
      </c>
      <c r="BU381" s="69">
        <v>0.0</v>
      </c>
      <c r="BV381" s="65">
        <v>0.0</v>
      </c>
      <c r="BW381" s="66">
        <v>0.0</v>
      </c>
      <c r="BX381" s="67" t="str">
        <f t="shared" si="138"/>
        <v>#REF!</v>
      </c>
      <c r="BY381" s="68" t="str">
        <f t="shared" si="139"/>
        <v>#REF!</v>
      </c>
      <c r="BZ381" s="65">
        <v>222509.4</v>
      </c>
      <c r="CA381" s="65">
        <v>0.0</v>
      </c>
      <c r="CB381" s="66">
        <v>222509.4</v>
      </c>
      <c r="CC381" s="67" t="str">
        <f t="shared" si="140"/>
        <v>#REF!</v>
      </c>
      <c r="CD381" s="68" t="str">
        <f>'[1]DATA CONSOLIDADA 2018-2025 '!$CB381-Hoja1!$BW381</f>
        <v>#REF!</v>
      </c>
      <c r="CE381" s="70">
        <v>57507.5</v>
      </c>
      <c r="CF381" s="70">
        <v>0.0</v>
      </c>
      <c r="CG381" s="71">
        <v>57507.5</v>
      </c>
      <c r="CH381" s="67" t="str">
        <f t="shared" si="141"/>
        <v>#REF!</v>
      </c>
      <c r="CI381" s="68" t="str">
        <f>'[1]DATA CONSOLIDADA 2018-2025 '!$CG381-Hoja1!$CB381</f>
        <v>#REF!</v>
      </c>
      <c r="CJ381" s="64" t="str">
        <f t="shared" si="143"/>
        <v>#REF!</v>
      </c>
      <c r="CK381" s="64">
        <v>9959.9</v>
      </c>
      <c r="CL381" s="64">
        <v>0.0</v>
      </c>
      <c r="CM381" s="64">
        <v>9959.9</v>
      </c>
      <c r="CN381" s="64" t="str">
        <f t="shared" si="12"/>
        <v>#REF!</v>
      </c>
      <c r="CO381" s="68" t="str">
        <f>'[1]DATA CONSOLIDADA 2018-2025 '!$CM381-Hoja1!$CG381</f>
        <v>#REF!</v>
      </c>
      <c r="CP381" s="70">
        <v>0.0</v>
      </c>
      <c r="CQ381" s="70">
        <v>220216.5</v>
      </c>
      <c r="CR381" s="70">
        <v>0.0</v>
      </c>
      <c r="CS381" s="70">
        <v>2292.9</v>
      </c>
      <c r="CT381" s="70">
        <v>0.0</v>
      </c>
      <c r="CU381" s="70">
        <v>0.0</v>
      </c>
      <c r="CV381" s="64">
        <v>222509.4</v>
      </c>
      <c r="CW381" s="64">
        <v>8928.5</v>
      </c>
      <c r="CX381" s="64">
        <v>48316.0</v>
      </c>
      <c r="CY381" s="64">
        <v>263.0</v>
      </c>
      <c r="CZ381" s="64">
        <v>0.0</v>
      </c>
      <c r="DA381" s="64">
        <v>0.0</v>
      </c>
      <c r="DB381" s="64">
        <v>57507.5</v>
      </c>
      <c r="DC381" s="72">
        <v>1842.002</v>
      </c>
      <c r="DD381" s="72">
        <v>0.0</v>
      </c>
      <c r="DE381" s="72">
        <v>8117.898</v>
      </c>
      <c r="DF381" s="72">
        <v>0.0</v>
      </c>
      <c r="DG381" s="72">
        <v>0.0</v>
      </c>
      <c r="DH381" s="72">
        <v>9959.9</v>
      </c>
      <c r="DI381" s="73">
        <v>2.0608049721E10</v>
      </c>
      <c r="DJ381" s="74" t="s">
        <v>1304</v>
      </c>
      <c r="DK381" s="74" t="s">
        <v>138</v>
      </c>
      <c r="DL381" s="75"/>
      <c r="DM381" s="75"/>
      <c r="DN381" s="75"/>
      <c r="DO381" s="75"/>
      <c r="DP381" s="75"/>
      <c r="DQ381" s="75"/>
      <c r="DR381" s="75"/>
      <c r="DS381" s="75"/>
      <c r="DT381" s="75"/>
      <c r="DU381" s="75"/>
      <c r="DV381" s="75"/>
      <c r="DW381" s="75"/>
      <c r="DX381" s="75"/>
      <c r="DY381" s="75"/>
      <c r="DZ381" s="75"/>
      <c r="EA381" s="75"/>
      <c r="EB381" s="75"/>
      <c r="EC381" s="75"/>
      <c r="ED381" s="75"/>
      <c r="EE381" s="75"/>
    </row>
    <row r="382" ht="47.25" customHeight="1">
      <c r="A382" s="55" t="s">
        <v>1306</v>
      </c>
      <c r="B382" s="55" t="s">
        <v>146</v>
      </c>
      <c r="C382" s="55" t="s">
        <v>146</v>
      </c>
      <c r="D382" s="55" t="s">
        <v>607</v>
      </c>
      <c r="E382" s="55" t="s">
        <v>1307</v>
      </c>
      <c r="F382" s="55" t="s">
        <v>607</v>
      </c>
      <c r="G382" s="55" t="s">
        <v>1308</v>
      </c>
      <c r="H382" s="55" t="s">
        <v>1309</v>
      </c>
      <c r="I382" s="56"/>
      <c r="J382" s="56"/>
      <c r="K382" s="56"/>
      <c r="L382" s="56"/>
      <c r="M382" s="56"/>
      <c r="N382" s="56">
        <v>1.0</v>
      </c>
      <c r="O382" s="56">
        <v>1.0</v>
      </c>
      <c r="P382" s="56"/>
      <c r="Q382" s="56" t="s">
        <v>131</v>
      </c>
      <c r="R382" s="58" t="str">
        <f t="shared" si="1"/>
        <v>2023-2024</v>
      </c>
      <c r="S382" s="59" t="str">
        <f>SUM(Hoja1!$I382:$P382)</f>
        <v>2</v>
      </c>
      <c r="T382" s="59" t="str">
        <f>IF(OR(Hoja1!$J382=1,Hoja1!$K382=1,Hoja1!$L382=1,Hoja1!$M382=1,Hoja1!$N382=1,Hoja1!$O382=1,Hoja1!$P382=1),"SI","NO")</f>
        <v>SI</v>
      </c>
      <c r="U382" s="59" t="str">
        <f>IF(OR(Hoja1!$K382=1,Hoja1!$L382=1,Hoja1!$M382=1,Hoja1!$N382=1,Hoja1!$O382=1,Hoja1!$P382=1),"SI","NO")</f>
        <v>SI</v>
      </c>
      <c r="V382" s="60">
        <v>0.0</v>
      </c>
      <c r="W382" s="61">
        <v>0.0</v>
      </c>
      <c r="X382" s="61">
        <v>0.0</v>
      </c>
      <c r="Y382" s="60">
        <v>0.0</v>
      </c>
      <c r="Z382" s="61">
        <v>0.0</v>
      </c>
      <c r="AA382" s="61">
        <v>0.0</v>
      </c>
      <c r="AB382" s="60">
        <v>0.0</v>
      </c>
      <c r="AC382" s="61">
        <v>0.0</v>
      </c>
      <c r="AD382" s="61">
        <v>0.0</v>
      </c>
      <c r="AE382" s="60">
        <v>0.0</v>
      </c>
      <c r="AF382" s="61">
        <v>0.0</v>
      </c>
      <c r="AG382" s="61">
        <v>0.0</v>
      </c>
      <c r="AH382" s="60">
        <v>0.0</v>
      </c>
      <c r="AI382" s="61">
        <v>42.0</v>
      </c>
      <c r="AJ382" s="61">
        <v>3.0</v>
      </c>
      <c r="AK382" s="60">
        <v>45.0</v>
      </c>
      <c r="AL382" s="61">
        <v>42.0</v>
      </c>
      <c r="AM382" s="61">
        <v>3.0</v>
      </c>
      <c r="AN382" s="60">
        <v>45.0</v>
      </c>
      <c r="AO382" s="62">
        <v>0.0</v>
      </c>
      <c r="AP382" s="62">
        <v>0.0</v>
      </c>
      <c r="AQ382" s="60">
        <v>0.0</v>
      </c>
      <c r="AR382" s="60" t="str">
        <f>IF(Hoja1!$AQ382&gt;0,Hoja1!$AQ382,IF(Hoja1!$AN382&gt;0,Hoja1!$AN382,IF(Hoja1!$AK382&gt;0,Hoja1!$AK382,IF(Hoja1!$AH382&gt;0,Hoja1!$AH382,IF(Hoja1!$AE382&gt;0,Hoja1!$AE382,IF(Hoja1!$AB382&gt;0,Hoja1!$AB382,IF(Hoja1!$Y382&gt;0,Hoja1!$Y382,IF(Hoja1!$V382&gt;0,Hoja1!$V382," ---"))))))))</f>
        <v>45</v>
      </c>
      <c r="AS382" s="63">
        <v>0.0</v>
      </c>
      <c r="AT382" s="63">
        <v>0.0</v>
      </c>
      <c r="AU382" s="63">
        <v>0.0</v>
      </c>
      <c r="AV382" s="63">
        <v>0.0</v>
      </c>
      <c r="AW382" s="63">
        <v>0.0</v>
      </c>
      <c r="AX382" s="63">
        <v>0.0</v>
      </c>
      <c r="AY382" s="63">
        <v>10.0</v>
      </c>
      <c r="AZ382" s="63">
        <v>5.0</v>
      </c>
      <c r="BA382" s="63">
        <v>27.0</v>
      </c>
      <c r="BB382" s="63">
        <v>0.0</v>
      </c>
      <c r="BC382" s="63">
        <v>0.0</v>
      </c>
      <c r="BD382" s="63">
        <v>0.0</v>
      </c>
      <c r="BE382" s="64">
        <v>0.0</v>
      </c>
      <c r="BF382" s="69">
        <v>0.0</v>
      </c>
      <c r="BG382" s="69">
        <v>0.0</v>
      </c>
      <c r="BH382" s="64">
        <v>0.0</v>
      </c>
      <c r="BI382" s="67" t="str">
        <f t="shared" si="133"/>
        <v>#REF!</v>
      </c>
      <c r="BJ382" s="68" t="str">
        <f t="shared" si="134"/>
        <v>#REF!</v>
      </c>
      <c r="BK382" s="69">
        <v>0.0</v>
      </c>
      <c r="BL382" s="69">
        <v>0.0</v>
      </c>
      <c r="BM382" s="64">
        <v>0.0</v>
      </c>
      <c r="BN382" s="67" t="str">
        <f t="shared" si="135"/>
        <v>#REF!</v>
      </c>
      <c r="BO382" s="68" t="str">
        <f t="shared" si="136"/>
        <v>#REF!</v>
      </c>
      <c r="BP382" s="65">
        <v>0.0</v>
      </c>
      <c r="BQ382" s="65">
        <v>0.0</v>
      </c>
      <c r="BR382" s="66">
        <v>0.0</v>
      </c>
      <c r="BS382" s="67" t="str">
        <f t="shared" si="137"/>
        <v>#REF!</v>
      </c>
      <c r="BT382" s="68" t="str">
        <f>'[1]DATA CONSOLIDADA 2018-2025 '!$BR382-Hoja1!$BO382</f>
        <v>#REF!</v>
      </c>
      <c r="BU382" s="69">
        <v>0.0</v>
      </c>
      <c r="BV382" s="65">
        <v>0.0</v>
      </c>
      <c r="BW382" s="66">
        <v>0.0</v>
      </c>
      <c r="BX382" s="67" t="str">
        <f t="shared" si="138"/>
        <v>#REF!</v>
      </c>
      <c r="BY382" s="68" t="str">
        <f t="shared" si="139"/>
        <v>#REF!</v>
      </c>
      <c r="BZ382" s="65">
        <v>96478.0</v>
      </c>
      <c r="CA382" s="65">
        <v>0.0</v>
      </c>
      <c r="CB382" s="66">
        <v>96478.0</v>
      </c>
      <c r="CC382" s="67" t="str">
        <f t="shared" si="140"/>
        <v>#REF!</v>
      </c>
      <c r="CD382" s="68" t="str">
        <f>'[1]DATA CONSOLIDADA 2018-2025 '!$CB382-Hoja1!$BW382</f>
        <v>#REF!</v>
      </c>
      <c r="CE382" s="70">
        <v>321698.5</v>
      </c>
      <c r="CF382" s="70">
        <v>0.0</v>
      </c>
      <c r="CG382" s="71">
        <v>321698.5</v>
      </c>
      <c r="CH382" s="67" t="str">
        <f t="shared" si="141"/>
        <v>#REF!</v>
      </c>
      <c r="CI382" s="68" t="str">
        <f>'[1]DATA CONSOLIDADA 2018-2025 '!$CG382-Hoja1!$CB382</f>
        <v>#REF!</v>
      </c>
      <c r="CJ382" s="64" t="str">
        <f t="shared" si="143"/>
        <v>#REF!</v>
      </c>
      <c r="CK382" s="64">
        <v>0.0</v>
      </c>
      <c r="CL382" s="64">
        <v>0.0</v>
      </c>
      <c r="CM382" s="64">
        <v>0.0</v>
      </c>
      <c r="CN382" s="64" t="str">
        <f t="shared" si="12"/>
        <v>#REF!</v>
      </c>
      <c r="CO382" s="68" t="str">
        <f>'[1]DATA CONSOLIDADA 2018-2025 '!$CM382-Hoja1!$CG382</f>
        <v>#REF!</v>
      </c>
      <c r="CP382" s="70">
        <v>0.0</v>
      </c>
      <c r="CQ382" s="70">
        <v>12838.0</v>
      </c>
      <c r="CR382" s="70">
        <v>0.0</v>
      </c>
      <c r="CS382" s="70">
        <v>83640.0</v>
      </c>
      <c r="CT382" s="70">
        <v>0.0</v>
      </c>
      <c r="CU382" s="70">
        <v>0.0</v>
      </c>
      <c r="CV382" s="64">
        <v>96478.0</v>
      </c>
      <c r="CW382" s="64">
        <v>0.0</v>
      </c>
      <c r="CX382" s="64">
        <v>109228.5</v>
      </c>
      <c r="CY382" s="64">
        <v>212470.0</v>
      </c>
      <c r="CZ382" s="64">
        <v>0.0</v>
      </c>
      <c r="DA382" s="64">
        <v>0.0</v>
      </c>
      <c r="DB382" s="64">
        <v>321698.5</v>
      </c>
      <c r="DC382" s="72">
        <v>0.0</v>
      </c>
      <c r="DD382" s="72">
        <v>0.0</v>
      </c>
      <c r="DE382" s="72">
        <v>0.0</v>
      </c>
      <c r="DF382" s="72">
        <v>0.0</v>
      </c>
      <c r="DG382" s="72">
        <v>0.0</v>
      </c>
      <c r="DH382" s="72">
        <v>0.0</v>
      </c>
      <c r="DI382" s="73">
        <v>2.0542311569E10</v>
      </c>
      <c r="DJ382" s="74" t="s">
        <v>1306</v>
      </c>
      <c r="DK382" s="74" t="s">
        <v>132</v>
      </c>
      <c r="DL382" s="75"/>
      <c r="DM382" s="75"/>
      <c r="DN382" s="75"/>
      <c r="DO382" s="75"/>
      <c r="DP382" s="75"/>
      <c r="DQ382" s="75"/>
      <c r="DR382" s="75"/>
      <c r="DS382" s="75"/>
      <c r="DT382" s="75"/>
      <c r="DU382" s="75"/>
      <c r="DV382" s="75"/>
      <c r="DW382" s="75"/>
      <c r="DX382" s="75"/>
      <c r="DY382" s="75"/>
      <c r="DZ382" s="75"/>
      <c r="EA382" s="75"/>
      <c r="EB382" s="75"/>
      <c r="EC382" s="75"/>
      <c r="ED382" s="75"/>
      <c r="EE382" s="75"/>
    </row>
    <row r="383" ht="47.25" hidden="1" customHeight="1">
      <c r="A383" s="55" t="s">
        <v>1310</v>
      </c>
      <c r="B383" s="55" t="s">
        <v>828</v>
      </c>
      <c r="C383" s="55" t="s">
        <v>828</v>
      </c>
      <c r="D383" s="55" t="s">
        <v>607</v>
      </c>
      <c r="E383" s="55" t="s">
        <v>1311</v>
      </c>
      <c r="F383" s="55" t="s">
        <v>607</v>
      </c>
      <c r="G383" s="55" t="s">
        <v>1308</v>
      </c>
      <c r="H383" s="55" t="s">
        <v>1312</v>
      </c>
      <c r="I383" s="56"/>
      <c r="J383" s="56"/>
      <c r="K383" s="56"/>
      <c r="L383" s="56"/>
      <c r="M383" s="56"/>
      <c r="N383" s="56">
        <v>1.0</v>
      </c>
      <c r="O383" s="56">
        <v>1.0</v>
      </c>
      <c r="P383" s="56">
        <v>1.0</v>
      </c>
      <c r="Q383" s="56" t="s">
        <v>131</v>
      </c>
      <c r="R383" s="58" t="str">
        <f t="shared" si="1"/>
        <v>2023-2024 - 2025</v>
      </c>
      <c r="S383" s="59" t="str">
        <f>SUM(Hoja1!$I383:$P383)</f>
        <v>3</v>
      </c>
      <c r="T383" s="59" t="str">
        <f>IF(OR(Hoja1!$J383=1,Hoja1!$K383=1,Hoja1!$L383=1,Hoja1!$M383=1,Hoja1!$N383=1,Hoja1!$O383=1,Hoja1!$P383=1),"SI","NO")</f>
        <v>SI</v>
      </c>
      <c r="U383" s="59" t="str">
        <f>IF(OR(Hoja1!$K383=1,Hoja1!$L383=1,Hoja1!$M383=1,Hoja1!$N383=1,Hoja1!$O383=1,Hoja1!$P383=1),"SI","NO")</f>
        <v>SI</v>
      </c>
      <c r="V383" s="60">
        <v>0.0</v>
      </c>
      <c r="W383" s="61">
        <v>0.0</v>
      </c>
      <c r="X383" s="61">
        <v>0.0</v>
      </c>
      <c r="Y383" s="60">
        <v>0.0</v>
      </c>
      <c r="Z383" s="61">
        <v>0.0</v>
      </c>
      <c r="AA383" s="61">
        <v>0.0</v>
      </c>
      <c r="AB383" s="60">
        <v>0.0</v>
      </c>
      <c r="AC383" s="61">
        <v>0.0</v>
      </c>
      <c r="AD383" s="61">
        <v>0.0</v>
      </c>
      <c r="AE383" s="60">
        <v>0.0</v>
      </c>
      <c r="AF383" s="61">
        <v>0.0</v>
      </c>
      <c r="AG383" s="61">
        <v>0.0</v>
      </c>
      <c r="AH383" s="60">
        <v>0.0</v>
      </c>
      <c r="AI383" s="61">
        <v>11.0</v>
      </c>
      <c r="AJ383" s="61">
        <v>8.0</v>
      </c>
      <c r="AK383" s="60">
        <v>19.0</v>
      </c>
      <c r="AL383" s="61">
        <v>11.0</v>
      </c>
      <c r="AM383" s="61">
        <v>8.0</v>
      </c>
      <c r="AN383" s="60">
        <v>19.0</v>
      </c>
      <c r="AO383" s="62">
        <v>11.0</v>
      </c>
      <c r="AP383" s="62">
        <v>8.0</v>
      </c>
      <c r="AQ383" s="60">
        <v>19.0</v>
      </c>
      <c r="AR383" s="60" t="str">
        <f>IF(Hoja1!$AQ383&gt;0,Hoja1!$AQ383,IF(Hoja1!$AN383&gt;0,Hoja1!$AN383,IF(Hoja1!$AK383&gt;0,Hoja1!$AK383,IF(Hoja1!$AH383&gt;0,Hoja1!$AH383,IF(Hoja1!$AE383&gt;0,Hoja1!$AE383,IF(Hoja1!$AB383&gt;0,Hoja1!$AB383,IF(Hoja1!$Y383&gt;0,Hoja1!$Y383,IF(Hoja1!$V383&gt;0,Hoja1!$V383," ---"))))))))</f>
        <v>19</v>
      </c>
      <c r="AS383" s="63">
        <v>0.0</v>
      </c>
      <c r="AT383" s="63">
        <v>0.0</v>
      </c>
      <c r="AU383" s="63">
        <v>0.0</v>
      </c>
      <c r="AV383" s="63">
        <v>0.0</v>
      </c>
      <c r="AW383" s="63">
        <v>0.0</v>
      </c>
      <c r="AX383" s="63">
        <v>0.0</v>
      </c>
      <c r="AY383" s="63">
        <v>16.0</v>
      </c>
      <c r="AZ383" s="63">
        <v>5.0</v>
      </c>
      <c r="BA383" s="63">
        <v>27.0</v>
      </c>
      <c r="BB383" s="63">
        <v>2.0</v>
      </c>
      <c r="BC383" s="63">
        <v>6.0</v>
      </c>
      <c r="BD383" s="63">
        <v>0.0</v>
      </c>
      <c r="BE383" s="64">
        <v>0.0</v>
      </c>
      <c r="BF383" s="69">
        <v>0.0</v>
      </c>
      <c r="BG383" s="69">
        <v>0.0</v>
      </c>
      <c r="BH383" s="64">
        <v>0.0</v>
      </c>
      <c r="BI383" s="67" t="str">
        <f t="shared" si="133"/>
        <v>#REF!</v>
      </c>
      <c r="BJ383" s="68" t="str">
        <f t="shared" si="134"/>
        <v>#REF!</v>
      </c>
      <c r="BK383" s="69">
        <v>0.0</v>
      </c>
      <c r="BL383" s="69">
        <v>0.0</v>
      </c>
      <c r="BM383" s="64">
        <v>0.0</v>
      </c>
      <c r="BN383" s="67" t="str">
        <f t="shared" si="135"/>
        <v>#REF!</v>
      </c>
      <c r="BO383" s="68" t="str">
        <f t="shared" si="136"/>
        <v>#REF!</v>
      </c>
      <c r="BP383" s="65">
        <v>0.0</v>
      </c>
      <c r="BQ383" s="65">
        <v>0.0</v>
      </c>
      <c r="BR383" s="66">
        <v>0.0</v>
      </c>
      <c r="BS383" s="67" t="str">
        <f t="shared" si="137"/>
        <v>#REF!</v>
      </c>
      <c r="BT383" s="68" t="str">
        <f>'[1]DATA CONSOLIDADA 2018-2025 '!$BR383-Hoja1!$BO383</f>
        <v>#REF!</v>
      </c>
      <c r="BU383" s="69">
        <v>0.0</v>
      </c>
      <c r="BV383" s="65">
        <v>0.0</v>
      </c>
      <c r="BW383" s="66">
        <v>0.0</v>
      </c>
      <c r="BX383" s="67" t="str">
        <f t="shared" si="138"/>
        <v>#REF!</v>
      </c>
      <c r="BY383" s="68" t="str">
        <f t="shared" si="139"/>
        <v>#REF!</v>
      </c>
      <c r="BZ383" s="65">
        <v>19786.54</v>
      </c>
      <c r="CA383" s="65">
        <v>0.0</v>
      </c>
      <c r="CB383" s="66">
        <v>19786.54</v>
      </c>
      <c r="CC383" s="67" t="str">
        <f t="shared" si="140"/>
        <v>#REF!</v>
      </c>
      <c r="CD383" s="68" t="str">
        <f>'[1]DATA CONSOLIDADA 2018-2025 '!$CB383-Hoja1!$BW383</f>
        <v>#REF!</v>
      </c>
      <c r="CE383" s="70">
        <v>880.0</v>
      </c>
      <c r="CF383" s="70">
        <v>0.0</v>
      </c>
      <c r="CG383" s="71">
        <v>880.0</v>
      </c>
      <c r="CH383" s="67" t="str">
        <f t="shared" si="141"/>
        <v>#REF!</v>
      </c>
      <c r="CI383" s="68" t="str">
        <f>'[1]DATA CONSOLIDADA 2018-2025 '!$CG383-Hoja1!$CB383</f>
        <v>#REF!</v>
      </c>
      <c r="CJ383" s="64" t="str">
        <f t="shared" si="143"/>
        <v>#REF!</v>
      </c>
      <c r="CK383" s="64">
        <v>2753.5</v>
      </c>
      <c r="CL383" s="64">
        <v>0.0</v>
      </c>
      <c r="CM383" s="64">
        <v>2753.5</v>
      </c>
      <c r="CN383" s="64" t="str">
        <f t="shared" si="12"/>
        <v>#REF!</v>
      </c>
      <c r="CO383" s="68" t="str">
        <f>'[1]DATA CONSOLIDADA 2018-2025 '!$CM383-Hoja1!$CG383</f>
        <v>#REF!</v>
      </c>
      <c r="CP383" s="70">
        <v>432.0</v>
      </c>
      <c r="CQ383" s="70">
        <v>14567.28686</v>
      </c>
      <c r="CR383" s="70">
        <v>0.0</v>
      </c>
      <c r="CS383" s="70">
        <v>4787.25</v>
      </c>
      <c r="CT383" s="70">
        <v>0.0</v>
      </c>
      <c r="CU383" s="70">
        <v>0.0</v>
      </c>
      <c r="CV383" s="64">
        <v>19786.53686</v>
      </c>
      <c r="CW383" s="64">
        <v>0.0</v>
      </c>
      <c r="CX383" s="64">
        <v>0.0</v>
      </c>
      <c r="CY383" s="64">
        <v>880.0</v>
      </c>
      <c r="CZ383" s="64">
        <v>0.0</v>
      </c>
      <c r="DA383" s="64">
        <v>0.0</v>
      </c>
      <c r="DB383" s="64">
        <v>880.0</v>
      </c>
      <c r="DC383" s="72">
        <v>0.0</v>
      </c>
      <c r="DD383" s="72">
        <v>1110.0</v>
      </c>
      <c r="DE383" s="72">
        <v>1643.5</v>
      </c>
      <c r="DF383" s="72">
        <v>0.0</v>
      </c>
      <c r="DG383" s="72">
        <v>0.0</v>
      </c>
      <c r="DH383" s="72">
        <v>2753.5</v>
      </c>
      <c r="DI383" s="73">
        <v>2.0528396535E10</v>
      </c>
      <c r="DJ383" s="74" t="s">
        <v>1313</v>
      </c>
      <c r="DK383" s="74" t="s">
        <v>138</v>
      </c>
      <c r="DL383" s="75"/>
      <c r="DM383" s="75"/>
      <c r="DN383" s="75"/>
      <c r="DO383" s="75"/>
      <c r="DP383" s="75"/>
      <c r="DQ383" s="75"/>
      <c r="DR383" s="75"/>
      <c r="DS383" s="75"/>
      <c r="DT383" s="75"/>
      <c r="DU383" s="75"/>
      <c r="DV383" s="75"/>
      <c r="DW383" s="75"/>
      <c r="DX383" s="75"/>
      <c r="DY383" s="75"/>
      <c r="DZ383" s="75"/>
      <c r="EA383" s="75"/>
      <c r="EB383" s="75"/>
      <c r="EC383" s="75"/>
      <c r="ED383" s="75"/>
      <c r="EE383" s="75"/>
    </row>
    <row r="384" ht="47.25" hidden="1" customHeight="1">
      <c r="A384" s="55" t="s">
        <v>1314</v>
      </c>
      <c r="B384" s="55" t="s">
        <v>1305</v>
      </c>
      <c r="C384" s="55" t="s">
        <v>1305</v>
      </c>
      <c r="D384" s="55" t="s">
        <v>607</v>
      </c>
      <c r="E384" s="55" t="s">
        <v>1315</v>
      </c>
      <c r="F384" s="55" t="s">
        <v>607</v>
      </c>
      <c r="G384" s="55" t="s">
        <v>821</v>
      </c>
      <c r="H384" s="55" t="s">
        <v>1316</v>
      </c>
      <c r="I384" s="56"/>
      <c r="J384" s="56"/>
      <c r="K384" s="56"/>
      <c r="L384" s="56"/>
      <c r="M384" s="56"/>
      <c r="N384" s="56">
        <v>1.0</v>
      </c>
      <c r="O384" s="56">
        <v>1.0</v>
      </c>
      <c r="P384" s="56">
        <v>1.0</v>
      </c>
      <c r="Q384" s="56" t="s">
        <v>131</v>
      </c>
      <c r="R384" s="58" t="str">
        <f t="shared" si="1"/>
        <v>2023-2024 - 2025</v>
      </c>
      <c r="S384" s="59" t="str">
        <f>SUM(Hoja1!$I384:$P384)</f>
        <v>3</v>
      </c>
      <c r="T384" s="59" t="str">
        <f>IF(OR(Hoja1!$J384=1,Hoja1!$K384=1,Hoja1!$L384=1,Hoja1!$M384=1,Hoja1!$N384=1,Hoja1!$O384=1,Hoja1!$P384=1),"SI","NO")</f>
        <v>SI</v>
      </c>
      <c r="U384" s="59" t="str">
        <f>IF(OR(Hoja1!$K384=1,Hoja1!$L384=1,Hoja1!$M384=1,Hoja1!$N384=1,Hoja1!$O384=1,Hoja1!$P384=1),"SI","NO")</f>
        <v>SI</v>
      </c>
      <c r="V384" s="60">
        <v>0.0</v>
      </c>
      <c r="W384" s="61">
        <v>0.0</v>
      </c>
      <c r="X384" s="61">
        <v>0.0</v>
      </c>
      <c r="Y384" s="60">
        <v>0.0</v>
      </c>
      <c r="Z384" s="61">
        <v>0.0</v>
      </c>
      <c r="AA384" s="61">
        <v>0.0</v>
      </c>
      <c r="AB384" s="60">
        <v>0.0</v>
      </c>
      <c r="AC384" s="61">
        <v>0.0</v>
      </c>
      <c r="AD384" s="61">
        <v>0.0</v>
      </c>
      <c r="AE384" s="60">
        <v>0.0</v>
      </c>
      <c r="AF384" s="61">
        <v>0.0</v>
      </c>
      <c r="AG384" s="61">
        <v>0.0</v>
      </c>
      <c r="AH384" s="60">
        <v>0.0</v>
      </c>
      <c r="AI384" s="61">
        <v>0.0</v>
      </c>
      <c r="AJ384" s="61">
        <v>35.0</v>
      </c>
      <c r="AK384" s="60">
        <v>35.0</v>
      </c>
      <c r="AL384" s="61">
        <v>0.0</v>
      </c>
      <c r="AM384" s="61">
        <v>35.0</v>
      </c>
      <c r="AN384" s="60">
        <v>35.0</v>
      </c>
      <c r="AO384" s="62">
        <v>0.0</v>
      </c>
      <c r="AP384" s="62">
        <v>35.0</v>
      </c>
      <c r="AQ384" s="60">
        <v>35.0</v>
      </c>
      <c r="AR384" s="60" t="str">
        <f>IF(Hoja1!$AQ384&gt;0,Hoja1!$AQ384,IF(Hoja1!$AN384&gt;0,Hoja1!$AN384,IF(Hoja1!$AK384&gt;0,Hoja1!$AK384,IF(Hoja1!$AH384&gt;0,Hoja1!$AH384,IF(Hoja1!$AE384&gt;0,Hoja1!$AE384,IF(Hoja1!$AB384&gt;0,Hoja1!$AB384,IF(Hoja1!$Y384&gt;0,Hoja1!$Y384,IF(Hoja1!$V384&gt;0,Hoja1!$V384," ---"))))))))</f>
        <v>35</v>
      </c>
      <c r="AS384" s="63">
        <v>0.0</v>
      </c>
      <c r="AT384" s="63">
        <v>0.0</v>
      </c>
      <c r="AU384" s="63">
        <v>0.0</v>
      </c>
      <c r="AV384" s="63">
        <v>0.0</v>
      </c>
      <c r="AW384" s="63">
        <v>0.0</v>
      </c>
      <c r="AX384" s="63">
        <v>0.0</v>
      </c>
      <c r="AY384" s="63">
        <v>18.0</v>
      </c>
      <c r="AZ384" s="63">
        <v>4.0</v>
      </c>
      <c r="BA384" s="63">
        <v>26.0</v>
      </c>
      <c r="BB384" s="63">
        <v>2.0</v>
      </c>
      <c r="BC384" s="63">
        <v>16.0</v>
      </c>
      <c r="BD384" s="63">
        <v>0.0</v>
      </c>
      <c r="BE384" s="64">
        <v>0.0</v>
      </c>
      <c r="BF384" s="69">
        <v>0.0</v>
      </c>
      <c r="BG384" s="69">
        <v>0.0</v>
      </c>
      <c r="BH384" s="64">
        <v>0.0</v>
      </c>
      <c r="BI384" s="67" t="str">
        <f t="shared" si="133"/>
        <v>#REF!</v>
      </c>
      <c r="BJ384" s="68" t="str">
        <f t="shared" si="134"/>
        <v>#REF!</v>
      </c>
      <c r="BK384" s="69">
        <v>0.0</v>
      </c>
      <c r="BL384" s="69">
        <v>0.0</v>
      </c>
      <c r="BM384" s="64">
        <v>0.0</v>
      </c>
      <c r="BN384" s="67" t="str">
        <f t="shared" si="135"/>
        <v>#REF!</v>
      </c>
      <c r="BO384" s="68" t="str">
        <f t="shared" si="136"/>
        <v>#REF!</v>
      </c>
      <c r="BP384" s="65">
        <v>0.0</v>
      </c>
      <c r="BQ384" s="65">
        <v>0.0</v>
      </c>
      <c r="BR384" s="66">
        <v>0.0</v>
      </c>
      <c r="BS384" s="67" t="str">
        <f t="shared" si="137"/>
        <v>#REF!</v>
      </c>
      <c r="BT384" s="68" t="str">
        <f>'[1]DATA CONSOLIDADA 2018-2025 '!$BR384-Hoja1!$BO384</f>
        <v>#REF!</v>
      </c>
      <c r="BU384" s="69">
        <v>0.0</v>
      </c>
      <c r="BV384" s="65">
        <v>0.0</v>
      </c>
      <c r="BW384" s="66">
        <v>0.0</v>
      </c>
      <c r="BX384" s="67" t="str">
        <f t="shared" si="138"/>
        <v>#REF!</v>
      </c>
      <c r="BY384" s="68" t="str">
        <f t="shared" si="139"/>
        <v>#REF!</v>
      </c>
      <c r="BZ384" s="65">
        <v>94605.0</v>
      </c>
      <c r="CA384" s="65">
        <v>0.0</v>
      </c>
      <c r="CB384" s="66">
        <v>94605.0</v>
      </c>
      <c r="CC384" s="67" t="str">
        <f t="shared" si="140"/>
        <v>#REF!</v>
      </c>
      <c r="CD384" s="68" t="str">
        <f>'[1]DATA CONSOLIDADA 2018-2025 '!$CB384-Hoja1!$BW384</f>
        <v>#REF!</v>
      </c>
      <c r="CE384" s="70">
        <v>10532.0</v>
      </c>
      <c r="CF384" s="70">
        <v>0.0</v>
      </c>
      <c r="CG384" s="71">
        <v>10532.0</v>
      </c>
      <c r="CH384" s="67" t="str">
        <f t="shared" si="141"/>
        <v>#REF!</v>
      </c>
      <c r="CI384" s="68" t="str">
        <f>'[1]DATA CONSOLIDADA 2018-2025 '!$CG384-Hoja1!$CB384</f>
        <v>#REF!</v>
      </c>
      <c r="CJ384" s="64" t="str">
        <f t="shared" si="143"/>
        <v>#REF!</v>
      </c>
      <c r="CK384" s="64">
        <v>7983.0</v>
      </c>
      <c r="CL384" s="64">
        <v>0.0</v>
      </c>
      <c r="CM384" s="64">
        <v>7983.0</v>
      </c>
      <c r="CN384" s="64" t="str">
        <f t="shared" si="12"/>
        <v>#REF!</v>
      </c>
      <c r="CO384" s="68" t="str">
        <f>'[1]DATA CONSOLIDADA 2018-2025 '!$CM384-Hoja1!$CG384</f>
        <v>#REF!</v>
      </c>
      <c r="CP384" s="70">
        <v>0.0</v>
      </c>
      <c r="CQ384" s="70">
        <v>94605.0</v>
      </c>
      <c r="CR384" s="70">
        <v>0.0</v>
      </c>
      <c r="CS384" s="70">
        <v>0.0</v>
      </c>
      <c r="CT384" s="70">
        <v>0.0</v>
      </c>
      <c r="CU384" s="70">
        <v>0.0</v>
      </c>
      <c r="CV384" s="64">
        <v>94605.0</v>
      </c>
      <c r="CW384" s="64">
        <v>0.0</v>
      </c>
      <c r="CX384" s="64">
        <v>10532.0</v>
      </c>
      <c r="CY384" s="64">
        <v>0.0</v>
      </c>
      <c r="CZ384" s="64">
        <v>0.0</v>
      </c>
      <c r="DA384" s="64">
        <v>0.0</v>
      </c>
      <c r="DB384" s="64">
        <v>10532.0</v>
      </c>
      <c r="DC384" s="72">
        <v>0.0</v>
      </c>
      <c r="DD384" s="72">
        <v>0.0</v>
      </c>
      <c r="DE384" s="72">
        <v>7983.0</v>
      </c>
      <c r="DF384" s="72">
        <v>0.0</v>
      </c>
      <c r="DG384" s="72">
        <v>0.0</v>
      </c>
      <c r="DH384" s="72">
        <v>7983.0</v>
      </c>
      <c r="DI384" s="73">
        <v>2.0609941406E10</v>
      </c>
      <c r="DJ384" s="74" t="s">
        <v>1317</v>
      </c>
      <c r="DK384" s="74" t="s">
        <v>523</v>
      </c>
      <c r="DL384" s="75"/>
      <c r="DM384" s="75"/>
      <c r="DN384" s="75"/>
      <c r="DO384" s="75"/>
      <c r="DP384" s="75"/>
      <c r="DQ384" s="75"/>
      <c r="DR384" s="75"/>
      <c r="DS384" s="75"/>
      <c r="DT384" s="75"/>
      <c r="DU384" s="75"/>
      <c r="DV384" s="75"/>
      <c r="DW384" s="75"/>
      <c r="DX384" s="75"/>
      <c r="DY384" s="75"/>
      <c r="DZ384" s="75"/>
      <c r="EA384" s="75"/>
      <c r="EB384" s="75"/>
      <c r="EC384" s="75"/>
      <c r="ED384" s="75"/>
      <c r="EE384" s="75"/>
    </row>
    <row r="385" ht="47.25" hidden="1" customHeight="1">
      <c r="A385" s="83" t="s">
        <v>1318</v>
      </c>
      <c r="B385" s="83" t="s">
        <v>126</v>
      </c>
      <c r="C385" s="83" t="s">
        <v>126</v>
      </c>
      <c r="D385" s="83" t="s">
        <v>967</v>
      </c>
      <c r="E385" s="83" t="s">
        <v>1319</v>
      </c>
      <c r="F385" s="83" t="s">
        <v>967</v>
      </c>
      <c r="G385" s="83" t="s">
        <v>978</v>
      </c>
      <c r="H385" s="55" t="s">
        <v>978</v>
      </c>
      <c r="I385" s="56"/>
      <c r="J385" s="56"/>
      <c r="K385" s="56"/>
      <c r="L385" s="56"/>
      <c r="M385" s="56"/>
      <c r="N385" s="56">
        <v>1.0</v>
      </c>
      <c r="O385" s="56">
        <v>1.0</v>
      </c>
      <c r="P385" s="56">
        <v>1.0</v>
      </c>
      <c r="Q385" s="56" t="s">
        <v>131</v>
      </c>
      <c r="R385" s="58" t="str">
        <f t="shared" si="1"/>
        <v>2023-2024 - 2025</v>
      </c>
      <c r="S385" s="59" t="str">
        <f>SUM(Hoja1!$I385:$P385)</f>
        <v>3</v>
      </c>
      <c r="T385" s="59" t="str">
        <f>IF(OR(Hoja1!$J385=1,Hoja1!$K385=1,Hoja1!$L385=1,Hoja1!$M385=1,Hoja1!$N385=1,Hoja1!$O385=1,Hoja1!$P385=1),"SI","NO")</f>
        <v>SI</v>
      </c>
      <c r="U385" s="59" t="str">
        <f>IF(OR(Hoja1!$K385=1,Hoja1!$L385=1,Hoja1!$M385=1,Hoja1!$N385=1,Hoja1!$O385=1,Hoja1!$P385=1),"SI","NO")</f>
        <v>SI</v>
      </c>
      <c r="V385" s="60">
        <v>0.0</v>
      </c>
      <c r="W385" s="61">
        <v>0.0</v>
      </c>
      <c r="X385" s="61">
        <v>0.0</v>
      </c>
      <c r="Y385" s="60">
        <v>0.0</v>
      </c>
      <c r="Z385" s="61">
        <v>0.0</v>
      </c>
      <c r="AA385" s="61">
        <v>0.0</v>
      </c>
      <c r="AB385" s="60">
        <v>0.0</v>
      </c>
      <c r="AC385" s="61">
        <v>0.0</v>
      </c>
      <c r="AD385" s="61">
        <v>0.0</v>
      </c>
      <c r="AE385" s="60">
        <v>0.0</v>
      </c>
      <c r="AF385" s="61">
        <v>0.0</v>
      </c>
      <c r="AG385" s="61">
        <v>0.0</v>
      </c>
      <c r="AH385" s="60">
        <v>0.0</v>
      </c>
      <c r="AI385" s="61">
        <v>50.0</v>
      </c>
      <c r="AJ385" s="61">
        <v>25.0</v>
      </c>
      <c r="AK385" s="60">
        <v>75.0</v>
      </c>
      <c r="AL385" s="61">
        <v>50.0</v>
      </c>
      <c r="AM385" s="61">
        <v>25.0</v>
      </c>
      <c r="AN385" s="60">
        <v>75.0</v>
      </c>
      <c r="AO385" s="62">
        <v>0.0</v>
      </c>
      <c r="AP385" s="62">
        <v>0.0</v>
      </c>
      <c r="AQ385" s="60">
        <v>0.0</v>
      </c>
      <c r="AR385" s="60" t="str">
        <f>IF(Hoja1!$AQ385&gt;0,Hoja1!$AQ385,IF(Hoja1!$AN385&gt;0,Hoja1!$AN385,IF(Hoja1!$AK385&gt;0,Hoja1!$AK385,IF(Hoja1!$AH385&gt;0,Hoja1!$AH385,IF(Hoja1!$AE385&gt;0,Hoja1!$AE385,IF(Hoja1!$AB385&gt;0,Hoja1!$AB385,IF(Hoja1!$Y385&gt;0,Hoja1!$Y385,IF(Hoja1!$V385&gt;0,Hoja1!$V385," ---"))))))))</f>
        <v>75</v>
      </c>
      <c r="AS385" s="63">
        <v>0.0</v>
      </c>
      <c r="AT385" s="63">
        <v>0.0</v>
      </c>
      <c r="AU385" s="63">
        <v>0.0</v>
      </c>
      <c r="AV385" s="63">
        <v>0.0</v>
      </c>
      <c r="AW385" s="63">
        <v>0.0</v>
      </c>
      <c r="AX385" s="63">
        <v>0.0</v>
      </c>
      <c r="AY385" s="63">
        <v>35.0</v>
      </c>
      <c r="AZ385" s="63">
        <v>4.0</v>
      </c>
      <c r="BA385" s="63">
        <v>47.0</v>
      </c>
      <c r="BB385" s="63">
        <v>4.0</v>
      </c>
      <c r="BC385" s="63">
        <v>0.0</v>
      </c>
      <c r="BD385" s="63">
        <v>0.0</v>
      </c>
      <c r="BE385" s="64">
        <v>0.0</v>
      </c>
      <c r="BF385" s="69">
        <v>0.0</v>
      </c>
      <c r="BG385" s="69">
        <v>0.0</v>
      </c>
      <c r="BH385" s="64">
        <v>0.0</v>
      </c>
      <c r="BI385" s="67" t="str">
        <f t="shared" si="133"/>
        <v>#REF!</v>
      </c>
      <c r="BJ385" s="68" t="str">
        <f t="shared" si="134"/>
        <v>#REF!</v>
      </c>
      <c r="BK385" s="69">
        <v>0.0</v>
      </c>
      <c r="BL385" s="69">
        <v>0.0</v>
      </c>
      <c r="BM385" s="64">
        <v>0.0</v>
      </c>
      <c r="BN385" s="67" t="str">
        <f t="shared" si="135"/>
        <v>#REF!</v>
      </c>
      <c r="BO385" s="68" t="str">
        <f t="shared" si="136"/>
        <v>#REF!</v>
      </c>
      <c r="BP385" s="65">
        <v>0.0</v>
      </c>
      <c r="BQ385" s="65">
        <v>0.0</v>
      </c>
      <c r="BR385" s="66">
        <v>0.0</v>
      </c>
      <c r="BS385" s="67" t="str">
        <f t="shared" si="137"/>
        <v>#REF!</v>
      </c>
      <c r="BT385" s="68" t="str">
        <f>'[1]DATA CONSOLIDADA 2018-2025 '!$BR385-Hoja1!$BO385</f>
        <v>#REF!</v>
      </c>
      <c r="BU385" s="69">
        <v>0.0</v>
      </c>
      <c r="BV385" s="65">
        <v>0.0</v>
      </c>
      <c r="BW385" s="66">
        <v>0.0</v>
      </c>
      <c r="BX385" s="67" t="str">
        <f t="shared" si="138"/>
        <v>#REF!</v>
      </c>
      <c r="BY385" s="68" t="str">
        <f t="shared" si="139"/>
        <v>#REF!</v>
      </c>
      <c r="BZ385" s="65">
        <v>0.0</v>
      </c>
      <c r="CA385" s="65">
        <v>0.0</v>
      </c>
      <c r="CB385" s="66">
        <v>0.0</v>
      </c>
      <c r="CC385" s="67" t="str">
        <f t="shared" si="140"/>
        <v>#REF!</v>
      </c>
      <c r="CD385" s="68" t="str">
        <f>'[1]DATA CONSOLIDADA 2018-2025 '!$CB385-Hoja1!$BW385</f>
        <v>#REF!</v>
      </c>
      <c r="CE385" s="70">
        <v>0.0</v>
      </c>
      <c r="CF385" s="70">
        <v>0.0</v>
      </c>
      <c r="CG385" s="71">
        <v>0.0</v>
      </c>
      <c r="CH385" s="67" t="str">
        <f t="shared" si="141"/>
        <v>#REF!</v>
      </c>
      <c r="CI385" s="68" t="str">
        <f>'[1]DATA CONSOLIDADA 2018-2025 '!$CG385-Hoja1!$CB385</f>
        <v>#REF!</v>
      </c>
      <c r="CJ385" s="64" t="str">
        <f t="shared" si="143"/>
        <v>#REF!</v>
      </c>
      <c r="CK385" s="64">
        <v>0.0</v>
      </c>
      <c r="CL385" s="64">
        <v>0.0</v>
      </c>
      <c r="CM385" s="64">
        <v>0.0</v>
      </c>
      <c r="CN385" s="64" t="str">
        <f t="shared" si="12"/>
        <v>#REF!</v>
      </c>
      <c r="CO385" s="68" t="str">
        <f>'[1]DATA CONSOLIDADA 2018-2025 '!$CM385-Hoja1!$CG385</f>
        <v>#REF!</v>
      </c>
      <c r="CP385" s="70">
        <v>0.0</v>
      </c>
      <c r="CQ385" s="70">
        <v>0.0</v>
      </c>
      <c r="CR385" s="70">
        <v>0.0</v>
      </c>
      <c r="CS385" s="70">
        <v>0.0</v>
      </c>
      <c r="CT385" s="70">
        <v>0.0</v>
      </c>
      <c r="CU385" s="70">
        <v>0.0</v>
      </c>
      <c r="CV385" s="64">
        <v>0.0</v>
      </c>
      <c r="CW385" s="64">
        <v>0.0</v>
      </c>
      <c r="CX385" s="64">
        <v>0.0</v>
      </c>
      <c r="CY385" s="64">
        <v>0.0</v>
      </c>
      <c r="CZ385" s="64">
        <v>0.0</v>
      </c>
      <c r="DA385" s="64">
        <v>0.0</v>
      </c>
      <c r="DB385" s="64">
        <v>0.0</v>
      </c>
      <c r="DC385" s="72">
        <v>0.0</v>
      </c>
      <c r="DD385" s="72">
        <v>0.0</v>
      </c>
      <c r="DE385" s="72">
        <v>0.0</v>
      </c>
      <c r="DF385" s="72">
        <v>0.0</v>
      </c>
      <c r="DG385" s="72">
        <v>0.0</v>
      </c>
      <c r="DH385" s="72">
        <v>0.0</v>
      </c>
      <c r="DI385" s="73">
        <v>2.0606717475E10</v>
      </c>
      <c r="DJ385" s="74" t="s">
        <v>1318</v>
      </c>
      <c r="DK385" s="74" t="s">
        <v>138</v>
      </c>
      <c r="DL385" s="75"/>
      <c r="DM385" s="75"/>
      <c r="DN385" s="75"/>
      <c r="DO385" s="75"/>
      <c r="DP385" s="75"/>
      <c r="DQ385" s="75"/>
      <c r="DR385" s="75"/>
      <c r="DS385" s="75"/>
      <c r="DT385" s="75"/>
      <c r="DU385" s="75"/>
      <c r="DV385" s="75"/>
      <c r="DW385" s="75"/>
      <c r="DX385" s="75"/>
      <c r="DY385" s="75"/>
      <c r="DZ385" s="75"/>
      <c r="EA385" s="75"/>
      <c r="EB385" s="75"/>
      <c r="EC385" s="75"/>
      <c r="ED385" s="75"/>
      <c r="EE385" s="75"/>
    </row>
    <row r="386" ht="47.25" hidden="1" customHeight="1">
      <c r="A386" s="83" t="s">
        <v>1320</v>
      </c>
      <c r="B386" s="83" t="s">
        <v>126</v>
      </c>
      <c r="C386" s="83" t="s">
        <v>126</v>
      </c>
      <c r="D386" s="83" t="s">
        <v>967</v>
      </c>
      <c r="E386" s="83" t="s">
        <v>1319</v>
      </c>
      <c r="F386" s="83" t="s">
        <v>967</v>
      </c>
      <c r="G386" s="83" t="s">
        <v>978</v>
      </c>
      <c r="H386" s="55" t="s">
        <v>978</v>
      </c>
      <c r="I386" s="56"/>
      <c r="J386" s="56"/>
      <c r="K386" s="56"/>
      <c r="L386" s="56"/>
      <c r="M386" s="56"/>
      <c r="N386" s="56">
        <v>1.0</v>
      </c>
      <c r="O386" s="56">
        <v>1.0</v>
      </c>
      <c r="P386" s="56">
        <v>1.0</v>
      </c>
      <c r="Q386" s="56" t="s">
        <v>131</v>
      </c>
      <c r="R386" s="58" t="str">
        <f t="shared" si="1"/>
        <v>2023-2024 - 2025</v>
      </c>
      <c r="S386" s="59" t="str">
        <f>SUM(Hoja1!$I386:$P386)</f>
        <v>3</v>
      </c>
      <c r="T386" s="59" t="str">
        <f>IF(OR(Hoja1!$J386=1,Hoja1!$K386=1,Hoja1!$L386=1,Hoja1!$M386=1,Hoja1!$N386=1,Hoja1!$O386=1,Hoja1!$P386=1),"SI","NO")</f>
        <v>SI</v>
      </c>
      <c r="U386" s="59" t="str">
        <f>IF(OR(Hoja1!$K386=1,Hoja1!$L386=1,Hoja1!$M386=1,Hoja1!$N386=1,Hoja1!$O386=1,Hoja1!$P386=1),"SI","NO")</f>
        <v>SI</v>
      </c>
      <c r="V386" s="60">
        <v>0.0</v>
      </c>
      <c r="W386" s="61">
        <v>0.0</v>
      </c>
      <c r="X386" s="61">
        <v>0.0</v>
      </c>
      <c r="Y386" s="60">
        <v>0.0</v>
      </c>
      <c r="Z386" s="61">
        <v>0.0</v>
      </c>
      <c r="AA386" s="61">
        <v>0.0</v>
      </c>
      <c r="AB386" s="60">
        <v>0.0</v>
      </c>
      <c r="AC386" s="61">
        <v>0.0</v>
      </c>
      <c r="AD386" s="61">
        <v>0.0</v>
      </c>
      <c r="AE386" s="60">
        <v>0.0</v>
      </c>
      <c r="AF386" s="61">
        <v>0.0</v>
      </c>
      <c r="AG386" s="61">
        <v>0.0</v>
      </c>
      <c r="AH386" s="60">
        <v>0.0</v>
      </c>
      <c r="AI386" s="61">
        <v>60.0</v>
      </c>
      <c r="AJ386" s="61">
        <v>20.0</v>
      </c>
      <c r="AK386" s="60">
        <v>80.0</v>
      </c>
      <c r="AL386" s="61">
        <v>60.0</v>
      </c>
      <c r="AM386" s="61">
        <v>20.0</v>
      </c>
      <c r="AN386" s="60">
        <v>80.0</v>
      </c>
      <c r="AO386" s="62">
        <v>0.0</v>
      </c>
      <c r="AP386" s="62">
        <v>0.0</v>
      </c>
      <c r="AQ386" s="60">
        <v>0.0</v>
      </c>
      <c r="AR386" s="60" t="str">
        <f>IF(Hoja1!$AQ386&gt;0,Hoja1!$AQ386,IF(Hoja1!$AN386&gt;0,Hoja1!$AN386,IF(Hoja1!$AK386&gt;0,Hoja1!$AK386,IF(Hoja1!$AH386&gt;0,Hoja1!$AH386,IF(Hoja1!$AE386&gt;0,Hoja1!$AE386,IF(Hoja1!$AB386&gt;0,Hoja1!$AB386,IF(Hoja1!$Y386&gt;0,Hoja1!$Y386,IF(Hoja1!$V386&gt;0,Hoja1!$V386," ---"))))))))</f>
        <v>80</v>
      </c>
      <c r="AS386" s="63">
        <v>0.0</v>
      </c>
      <c r="AT386" s="63">
        <v>0.0</v>
      </c>
      <c r="AU386" s="63">
        <v>0.0</v>
      </c>
      <c r="AV386" s="63">
        <v>0.0</v>
      </c>
      <c r="AW386" s="63">
        <v>0.0</v>
      </c>
      <c r="AX386" s="63">
        <v>0.0</v>
      </c>
      <c r="AY386" s="63">
        <v>42.0</v>
      </c>
      <c r="AZ386" s="63">
        <v>4.0</v>
      </c>
      <c r="BA386" s="63">
        <v>48.0</v>
      </c>
      <c r="BB386" s="63">
        <v>4.0</v>
      </c>
      <c r="BC386" s="63">
        <v>0.0</v>
      </c>
      <c r="BD386" s="63">
        <v>0.0</v>
      </c>
      <c r="BE386" s="64">
        <v>0.0</v>
      </c>
      <c r="BF386" s="69">
        <v>0.0</v>
      </c>
      <c r="BG386" s="69">
        <v>0.0</v>
      </c>
      <c r="BH386" s="64">
        <v>0.0</v>
      </c>
      <c r="BI386" s="67" t="str">
        <f t="shared" si="133"/>
        <v>#REF!</v>
      </c>
      <c r="BJ386" s="68" t="str">
        <f t="shared" si="134"/>
        <v>#REF!</v>
      </c>
      <c r="BK386" s="69">
        <v>0.0</v>
      </c>
      <c r="BL386" s="69">
        <v>0.0</v>
      </c>
      <c r="BM386" s="64">
        <v>0.0</v>
      </c>
      <c r="BN386" s="67" t="str">
        <f t="shared" si="135"/>
        <v>#REF!</v>
      </c>
      <c r="BO386" s="68" t="str">
        <f t="shared" si="136"/>
        <v>#REF!</v>
      </c>
      <c r="BP386" s="65">
        <v>0.0</v>
      </c>
      <c r="BQ386" s="65">
        <v>0.0</v>
      </c>
      <c r="BR386" s="66">
        <v>0.0</v>
      </c>
      <c r="BS386" s="67" t="str">
        <f t="shared" si="137"/>
        <v>#REF!</v>
      </c>
      <c r="BT386" s="68" t="str">
        <f>'[1]DATA CONSOLIDADA 2018-2025 '!$BR386-Hoja1!$BO386</f>
        <v>#REF!</v>
      </c>
      <c r="BU386" s="69">
        <v>0.0</v>
      </c>
      <c r="BV386" s="65">
        <v>0.0</v>
      </c>
      <c r="BW386" s="66">
        <v>0.0</v>
      </c>
      <c r="BX386" s="67" t="str">
        <f t="shared" si="138"/>
        <v>#REF!</v>
      </c>
      <c r="BY386" s="68" t="str">
        <f t="shared" si="139"/>
        <v>#REF!</v>
      </c>
      <c r="BZ386" s="65">
        <v>0.0</v>
      </c>
      <c r="CA386" s="65">
        <v>0.0</v>
      </c>
      <c r="CB386" s="66">
        <v>0.0</v>
      </c>
      <c r="CC386" s="67" t="str">
        <f t="shared" si="140"/>
        <v>#REF!</v>
      </c>
      <c r="CD386" s="68" t="str">
        <f>'[1]DATA CONSOLIDADA 2018-2025 '!$CB386-Hoja1!$BW386</f>
        <v>#REF!</v>
      </c>
      <c r="CE386" s="70">
        <v>0.0</v>
      </c>
      <c r="CF386" s="70">
        <v>0.0</v>
      </c>
      <c r="CG386" s="71">
        <v>0.0</v>
      </c>
      <c r="CH386" s="67" t="str">
        <f t="shared" si="141"/>
        <v>#REF!</v>
      </c>
      <c r="CI386" s="68" t="str">
        <f>'[1]DATA CONSOLIDADA 2018-2025 '!$CG386-Hoja1!$CB386</f>
        <v>#REF!</v>
      </c>
      <c r="CJ386" s="64" t="str">
        <f t="shared" si="143"/>
        <v>#REF!</v>
      </c>
      <c r="CK386" s="64">
        <v>0.0</v>
      </c>
      <c r="CL386" s="64">
        <v>0.0</v>
      </c>
      <c r="CM386" s="64">
        <v>0.0</v>
      </c>
      <c r="CN386" s="64" t="str">
        <f t="shared" si="12"/>
        <v>#REF!</v>
      </c>
      <c r="CO386" s="68" t="str">
        <f>'[1]DATA CONSOLIDADA 2018-2025 '!$CM386-Hoja1!$CG386</f>
        <v>#REF!</v>
      </c>
      <c r="CP386" s="70">
        <v>0.0</v>
      </c>
      <c r="CQ386" s="70">
        <v>0.0</v>
      </c>
      <c r="CR386" s="70">
        <v>0.0</v>
      </c>
      <c r="CS386" s="70">
        <v>0.0</v>
      </c>
      <c r="CT386" s="70">
        <v>0.0</v>
      </c>
      <c r="CU386" s="70">
        <v>0.0</v>
      </c>
      <c r="CV386" s="64">
        <v>0.0</v>
      </c>
      <c r="CW386" s="64">
        <v>0.0</v>
      </c>
      <c r="CX386" s="64">
        <v>0.0</v>
      </c>
      <c r="CY386" s="64">
        <v>0.0</v>
      </c>
      <c r="CZ386" s="64">
        <v>0.0</v>
      </c>
      <c r="DA386" s="64">
        <v>0.0</v>
      </c>
      <c r="DB386" s="64">
        <v>0.0</v>
      </c>
      <c r="DC386" s="72">
        <v>0.0</v>
      </c>
      <c r="DD386" s="72">
        <v>0.0</v>
      </c>
      <c r="DE386" s="72">
        <v>0.0</v>
      </c>
      <c r="DF386" s="72">
        <v>0.0</v>
      </c>
      <c r="DG386" s="72">
        <v>0.0</v>
      </c>
      <c r="DH386" s="72">
        <v>0.0</v>
      </c>
      <c r="DI386" s="73">
        <v>2.0529801433E10</v>
      </c>
      <c r="DJ386" s="74" t="s">
        <v>1320</v>
      </c>
      <c r="DK386" s="74" t="s">
        <v>138</v>
      </c>
      <c r="DL386" s="75"/>
      <c r="DM386" s="75"/>
      <c r="DN386" s="75"/>
      <c r="DO386" s="75"/>
      <c r="DP386" s="75"/>
      <c r="DQ386" s="75"/>
      <c r="DR386" s="75"/>
      <c r="DS386" s="75"/>
      <c r="DT386" s="75"/>
      <c r="DU386" s="75"/>
      <c r="DV386" s="75"/>
      <c r="DW386" s="75"/>
      <c r="DX386" s="75"/>
      <c r="DY386" s="75"/>
      <c r="DZ386" s="75"/>
      <c r="EA386" s="75"/>
      <c r="EB386" s="75"/>
      <c r="EC386" s="75"/>
      <c r="ED386" s="75"/>
      <c r="EE386" s="75"/>
    </row>
    <row r="387" ht="47.25" hidden="1" customHeight="1">
      <c r="A387" s="55" t="s">
        <v>1321</v>
      </c>
      <c r="B387" s="55" t="s">
        <v>250</v>
      </c>
      <c r="C387" s="55" t="s">
        <v>250</v>
      </c>
      <c r="D387" s="55" t="s">
        <v>1001</v>
      </c>
      <c r="E387" s="55" t="s">
        <v>1002</v>
      </c>
      <c r="F387" s="55" t="s">
        <v>1001</v>
      </c>
      <c r="G387" s="55" t="s">
        <v>1003</v>
      </c>
      <c r="H387" s="55" t="s">
        <v>1003</v>
      </c>
      <c r="I387" s="56"/>
      <c r="J387" s="56"/>
      <c r="K387" s="56"/>
      <c r="L387" s="56"/>
      <c r="M387" s="56"/>
      <c r="N387" s="56">
        <v>1.0</v>
      </c>
      <c r="O387" s="56">
        <v>1.0</v>
      </c>
      <c r="P387" s="56">
        <v>1.0</v>
      </c>
      <c r="Q387" s="56" t="s">
        <v>131</v>
      </c>
      <c r="R387" s="58" t="str">
        <f t="shared" si="1"/>
        <v>2023-2024 - 2025</v>
      </c>
      <c r="S387" s="59" t="str">
        <f>SUM(Hoja1!$I387:$P387)</f>
        <v>3</v>
      </c>
      <c r="T387" s="59" t="str">
        <f>IF(OR(Hoja1!$J387=1,Hoja1!$K387=1,Hoja1!$L387=1,Hoja1!$M387=1,Hoja1!$N387=1,Hoja1!$O387=1,Hoja1!$P387=1),"SI","NO")</f>
        <v>SI</v>
      </c>
      <c r="U387" s="59" t="str">
        <f>IF(OR(Hoja1!$K387=1,Hoja1!$L387=1,Hoja1!$M387=1,Hoja1!$N387=1,Hoja1!$O387=1,Hoja1!$P387=1),"SI","NO")</f>
        <v>SI</v>
      </c>
      <c r="V387" s="60">
        <v>0.0</v>
      </c>
      <c r="W387" s="61">
        <v>0.0</v>
      </c>
      <c r="X387" s="61">
        <v>0.0</v>
      </c>
      <c r="Y387" s="60">
        <v>0.0</v>
      </c>
      <c r="Z387" s="61">
        <v>0.0</v>
      </c>
      <c r="AA387" s="61">
        <v>0.0</v>
      </c>
      <c r="AB387" s="60">
        <v>0.0</v>
      </c>
      <c r="AC387" s="61">
        <v>0.0</v>
      </c>
      <c r="AD387" s="61">
        <v>0.0</v>
      </c>
      <c r="AE387" s="60">
        <v>0.0</v>
      </c>
      <c r="AF387" s="61">
        <v>0.0</v>
      </c>
      <c r="AG387" s="61">
        <v>0.0</v>
      </c>
      <c r="AH387" s="60">
        <v>0.0</v>
      </c>
      <c r="AI387" s="61">
        <v>50.0</v>
      </c>
      <c r="AJ387" s="61">
        <v>100.0</v>
      </c>
      <c r="AK387" s="60">
        <v>150.0</v>
      </c>
      <c r="AL387" s="61">
        <v>50.0</v>
      </c>
      <c r="AM387" s="61">
        <v>100.0</v>
      </c>
      <c r="AN387" s="60">
        <v>150.0</v>
      </c>
      <c r="AO387" s="62">
        <v>24.0</v>
      </c>
      <c r="AP387" s="62">
        <v>18.0</v>
      </c>
      <c r="AQ387" s="60">
        <v>42.0</v>
      </c>
      <c r="AR387" s="60" t="str">
        <f>IF(Hoja1!$AQ387&gt;0,Hoja1!$AQ387,IF(Hoja1!$AN387&gt;0,Hoja1!$AN387,IF(Hoja1!$AK387&gt;0,Hoja1!$AK387,IF(Hoja1!$AH387&gt;0,Hoja1!$AH387,IF(Hoja1!$AE387&gt;0,Hoja1!$AE387,IF(Hoja1!$AB387&gt;0,Hoja1!$AB387,IF(Hoja1!$Y387&gt;0,Hoja1!$Y387,IF(Hoja1!$V387&gt;0,Hoja1!$V387," ---"))))))))</f>
        <v>42</v>
      </c>
      <c r="AS387" s="63">
        <v>0.0</v>
      </c>
      <c r="AT387" s="63">
        <v>0.0</v>
      </c>
      <c r="AU387" s="63">
        <v>0.0</v>
      </c>
      <c r="AV387" s="63">
        <v>0.0</v>
      </c>
      <c r="AW387" s="63">
        <v>0.0</v>
      </c>
      <c r="AX387" s="63">
        <v>0.0</v>
      </c>
      <c r="AY387" s="63">
        <v>29.0</v>
      </c>
      <c r="AZ387" s="63">
        <v>3.0</v>
      </c>
      <c r="BA387" s="63">
        <v>51.0</v>
      </c>
      <c r="BB387" s="63">
        <v>3.0</v>
      </c>
      <c r="BC387" s="63">
        <v>16.0</v>
      </c>
      <c r="BD387" s="63">
        <v>2.0</v>
      </c>
      <c r="BE387" s="64">
        <v>0.0</v>
      </c>
      <c r="BF387" s="69">
        <v>0.0</v>
      </c>
      <c r="BG387" s="69">
        <v>0.0</v>
      </c>
      <c r="BH387" s="64">
        <v>0.0</v>
      </c>
      <c r="BI387" s="67" t="str">
        <f t="shared" si="133"/>
        <v>#REF!</v>
      </c>
      <c r="BJ387" s="68" t="str">
        <f t="shared" si="134"/>
        <v>#REF!</v>
      </c>
      <c r="BK387" s="69">
        <v>0.0</v>
      </c>
      <c r="BL387" s="69">
        <v>0.0</v>
      </c>
      <c r="BM387" s="64">
        <v>0.0</v>
      </c>
      <c r="BN387" s="67" t="str">
        <f t="shared" si="135"/>
        <v>#REF!</v>
      </c>
      <c r="BO387" s="68" t="str">
        <f t="shared" si="136"/>
        <v>#REF!</v>
      </c>
      <c r="BP387" s="65">
        <v>0.0</v>
      </c>
      <c r="BQ387" s="65">
        <v>0.0</v>
      </c>
      <c r="BR387" s="66">
        <v>0.0</v>
      </c>
      <c r="BS387" s="67" t="str">
        <f t="shared" si="137"/>
        <v>#REF!</v>
      </c>
      <c r="BT387" s="68" t="str">
        <f>'[1]DATA CONSOLIDADA 2018-2025 '!$BR387-Hoja1!$BO387</f>
        <v>#REF!</v>
      </c>
      <c r="BU387" s="69">
        <v>0.0</v>
      </c>
      <c r="BV387" s="65">
        <v>0.0</v>
      </c>
      <c r="BW387" s="66">
        <v>0.0</v>
      </c>
      <c r="BX387" s="67" t="str">
        <f t="shared" si="138"/>
        <v>#REF!</v>
      </c>
      <c r="BY387" s="68" t="str">
        <f t="shared" si="139"/>
        <v>#REF!</v>
      </c>
      <c r="BZ387" s="65">
        <v>182625.07</v>
      </c>
      <c r="CA387" s="65">
        <v>0.0</v>
      </c>
      <c r="CB387" s="66">
        <v>182625.07</v>
      </c>
      <c r="CC387" s="67" t="str">
        <f t="shared" si="140"/>
        <v>#REF!</v>
      </c>
      <c r="CD387" s="68" t="str">
        <f>'[1]DATA CONSOLIDADA 2018-2025 '!$CB387-Hoja1!$BW387</f>
        <v>#REF!</v>
      </c>
      <c r="CE387" s="70">
        <v>394089.43799999997</v>
      </c>
      <c r="CF387" s="70">
        <v>0.0</v>
      </c>
      <c r="CG387" s="71">
        <v>394089.43799999997</v>
      </c>
      <c r="CH387" s="67" t="str">
        <f t="shared" si="141"/>
        <v>#REF!</v>
      </c>
      <c r="CI387" s="68" t="str">
        <f>'[1]DATA CONSOLIDADA 2018-2025 '!$CG387-Hoja1!$CB387</f>
        <v>#REF!</v>
      </c>
      <c r="CJ387" s="64" t="str">
        <f t="shared" si="143"/>
        <v>#REF!</v>
      </c>
      <c r="CK387" s="64">
        <v>211948.0</v>
      </c>
      <c r="CL387" s="64">
        <v>0.0</v>
      </c>
      <c r="CM387" s="64">
        <v>211948.0</v>
      </c>
      <c r="CN387" s="64" t="str">
        <f t="shared" si="12"/>
        <v>#REF!</v>
      </c>
      <c r="CO387" s="68" t="str">
        <f>'[1]DATA CONSOLIDADA 2018-2025 '!$CM387-Hoja1!$CG387</f>
        <v>#REF!</v>
      </c>
      <c r="CP387" s="70">
        <v>0.0</v>
      </c>
      <c r="CQ387" s="70">
        <v>0.0</v>
      </c>
      <c r="CR387" s="70">
        <v>0.0</v>
      </c>
      <c r="CS387" s="70">
        <v>182625.06968</v>
      </c>
      <c r="CT387" s="70">
        <v>0.0</v>
      </c>
      <c r="CU387" s="70">
        <v>0.0</v>
      </c>
      <c r="CV387" s="64">
        <v>182625.06968</v>
      </c>
      <c r="CW387" s="64">
        <v>0.0</v>
      </c>
      <c r="CX387" s="64">
        <v>394089.43799999997</v>
      </c>
      <c r="CY387" s="64">
        <v>0.0</v>
      </c>
      <c r="CZ387" s="64">
        <v>0.0</v>
      </c>
      <c r="DA387" s="64">
        <v>0.0</v>
      </c>
      <c r="DB387" s="64">
        <v>394089.43799999997</v>
      </c>
      <c r="DC387" s="72">
        <v>0.0</v>
      </c>
      <c r="DD387" s="72">
        <v>211948.0</v>
      </c>
      <c r="DE387" s="72">
        <v>0.0</v>
      </c>
      <c r="DF387" s="72">
        <v>0.0</v>
      </c>
      <c r="DG387" s="72">
        <v>0.0</v>
      </c>
      <c r="DH387" s="72">
        <v>211948.0</v>
      </c>
      <c r="DI387" s="73">
        <v>2.0607520748E10</v>
      </c>
      <c r="DJ387" s="74" t="s">
        <v>1322</v>
      </c>
      <c r="DK387" s="74" t="s">
        <v>132</v>
      </c>
      <c r="DL387" s="75"/>
      <c r="DM387" s="75"/>
      <c r="DN387" s="75"/>
      <c r="DO387" s="75"/>
      <c r="DP387" s="75"/>
      <c r="DQ387" s="75"/>
      <c r="DR387" s="75"/>
      <c r="DS387" s="75"/>
      <c r="DT387" s="75"/>
      <c r="DU387" s="75"/>
      <c r="DV387" s="75"/>
      <c r="DW387" s="75"/>
      <c r="DX387" s="75"/>
      <c r="DY387" s="75"/>
      <c r="DZ387" s="75"/>
      <c r="EA387" s="75"/>
      <c r="EB387" s="75"/>
      <c r="EC387" s="75"/>
      <c r="ED387" s="75"/>
      <c r="EE387" s="75"/>
    </row>
    <row r="388" ht="47.25" hidden="1" customHeight="1">
      <c r="A388" s="55" t="s">
        <v>1323</v>
      </c>
      <c r="B388" s="55" t="s">
        <v>287</v>
      </c>
      <c r="C388" s="55" t="s">
        <v>287</v>
      </c>
      <c r="D388" s="55" t="s">
        <v>1001</v>
      </c>
      <c r="E388" s="55" t="s">
        <v>1018</v>
      </c>
      <c r="F388" s="55" t="s">
        <v>1001</v>
      </c>
      <c r="G388" s="55" t="s">
        <v>1001</v>
      </c>
      <c r="H388" s="55" t="s">
        <v>1001</v>
      </c>
      <c r="I388" s="56"/>
      <c r="J388" s="56"/>
      <c r="K388" s="56"/>
      <c r="L388" s="56"/>
      <c r="M388" s="56"/>
      <c r="N388" s="56">
        <v>1.0</v>
      </c>
      <c r="O388" s="56">
        <v>1.0</v>
      </c>
      <c r="P388" s="56">
        <v>1.0</v>
      </c>
      <c r="Q388" s="56" t="s">
        <v>131</v>
      </c>
      <c r="R388" s="58" t="str">
        <f t="shared" si="1"/>
        <v>2023-2024 - 2025</v>
      </c>
      <c r="S388" s="59" t="str">
        <f>SUM(Hoja1!$I388:$P388)</f>
        <v>3</v>
      </c>
      <c r="T388" s="59" t="str">
        <f>IF(OR(Hoja1!$J388=1,Hoja1!$K388=1,Hoja1!$L388=1,Hoja1!$M388=1,Hoja1!$N388=1,Hoja1!$O388=1,Hoja1!$P388=1),"SI","NO")</f>
        <v>SI</v>
      </c>
      <c r="U388" s="59" t="str">
        <f>IF(OR(Hoja1!$K388=1,Hoja1!$L388=1,Hoja1!$M388=1,Hoja1!$N388=1,Hoja1!$O388=1,Hoja1!$P388=1),"SI","NO")</f>
        <v>SI</v>
      </c>
      <c r="V388" s="60">
        <v>0.0</v>
      </c>
      <c r="W388" s="61">
        <v>0.0</v>
      </c>
      <c r="X388" s="61">
        <v>0.0</v>
      </c>
      <c r="Y388" s="60">
        <v>0.0</v>
      </c>
      <c r="Z388" s="61">
        <v>0.0</v>
      </c>
      <c r="AA388" s="61">
        <v>0.0</v>
      </c>
      <c r="AB388" s="60">
        <v>0.0</v>
      </c>
      <c r="AC388" s="61">
        <v>0.0</v>
      </c>
      <c r="AD388" s="61">
        <v>0.0</v>
      </c>
      <c r="AE388" s="60">
        <v>0.0</v>
      </c>
      <c r="AF388" s="61">
        <v>0.0</v>
      </c>
      <c r="AG388" s="61">
        <v>0.0</v>
      </c>
      <c r="AH388" s="60">
        <v>0.0</v>
      </c>
      <c r="AI388" s="61">
        <v>9.0</v>
      </c>
      <c r="AJ388" s="61">
        <v>10.0</v>
      </c>
      <c r="AK388" s="60">
        <v>19.0</v>
      </c>
      <c r="AL388" s="61">
        <v>27.0</v>
      </c>
      <c r="AM388" s="61">
        <v>133.0</v>
      </c>
      <c r="AN388" s="60">
        <v>160.0</v>
      </c>
      <c r="AO388" s="62">
        <v>17.0</v>
      </c>
      <c r="AP388" s="62">
        <v>89.0</v>
      </c>
      <c r="AQ388" s="60">
        <v>106.0</v>
      </c>
      <c r="AR388" s="60" t="str">
        <f>IF(Hoja1!$AQ388&gt;0,Hoja1!$AQ388,IF(Hoja1!$AN388&gt;0,Hoja1!$AN388,IF(Hoja1!$AK388&gt;0,Hoja1!$AK388,IF(Hoja1!$AH388&gt;0,Hoja1!$AH388,IF(Hoja1!$AE388&gt;0,Hoja1!$AE388,IF(Hoja1!$AB388&gt;0,Hoja1!$AB388,IF(Hoja1!$Y388&gt;0,Hoja1!$Y388,IF(Hoja1!$V388&gt;0,Hoja1!$V388," ---"))))))))</f>
        <v>106</v>
      </c>
      <c r="AS388" s="63">
        <v>0.0</v>
      </c>
      <c r="AT388" s="63">
        <v>0.0</v>
      </c>
      <c r="AU388" s="63">
        <v>0.0</v>
      </c>
      <c r="AV388" s="63">
        <v>0.0</v>
      </c>
      <c r="AW388" s="63">
        <v>0.0</v>
      </c>
      <c r="AX388" s="63">
        <v>0.0</v>
      </c>
      <c r="AY388" s="63">
        <v>48.0</v>
      </c>
      <c r="AZ388" s="63">
        <v>0.0</v>
      </c>
      <c r="BA388" s="63">
        <v>37.0</v>
      </c>
      <c r="BB388" s="63">
        <v>1.0</v>
      </c>
      <c r="BC388" s="63">
        <v>16.0</v>
      </c>
      <c r="BD388" s="63">
        <v>2.0</v>
      </c>
      <c r="BE388" s="64">
        <v>0.0</v>
      </c>
      <c r="BF388" s="69">
        <v>0.0</v>
      </c>
      <c r="BG388" s="69">
        <v>0.0</v>
      </c>
      <c r="BH388" s="64">
        <v>0.0</v>
      </c>
      <c r="BI388" s="67" t="str">
        <f t="shared" si="133"/>
        <v>#REF!</v>
      </c>
      <c r="BJ388" s="68" t="str">
        <f t="shared" si="134"/>
        <v>#REF!</v>
      </c>
      <c r="BK388" s="69">
        <v>0.0</v>
      </c>
      <c r="BL388" s="69">
        <v>0.0</v>
      </c>
      <c r="BM388" s="64">
        <v>0.0</v>
      </c>
      <c r="BN388" s="67" t="str">
        <f t="shared" si="135"/>
        <v>#REF!</v>
      </c>
      <c r="BO388" s="68" t="str">
        <f t="shared" si="136"/>
        <v>#REF!</v>
      </c>
      <c r="BP388" s="65">
        <v>0.0</v>
      </c>
      <c r="BQ388" s="65">
        <v>0.0</v>
      </c>
      <c r="BR388" s="66">
        <v>0.0</v>
      </c>
      <c r="BS388" s="67" t="str">
        <f t="shared" si="137"/>
        <v>#REF!</v>
      </c>
      <c r="BT388" s="68" t="str">
        <f>'[1]DATA CONSOLIDADA 2018-2025 '!$BR388-Hoja1!$BO388</f>
        <v>#REF!</v>
      </c>
      <c r="BU388" s="69">
        <v>0.0</v>
      </c>
      <c r="BV388" s="65">
        <v>0.0</v>
      </c>
      <c r="BW388" s="66">
        <v>0.0</v>
      </c>
      <c r="BX388" s="67" t="str">
        <f t="shared" si="138"/>
        <v>#REF!</v>
      </c>
      <c r="BY388" s="68" t="str">
        <f t="shared" si="139"/>
        <v>#REF!</v>
      </c>
      <c r="BZ388" s="65">
        <v>271838.55</v>
      </c>
      <c r="CA388" s="65">
        <v>0.0</v>
      </c>
      <c r="CB388" s="66">
        <v>271838.55</v>
      </c>
      <c r="CC388" s="67" t="str">
        <f t="shared" si="140"/>
        <v>#REF!</v>
      </c>
      <c r="CD388" s="68" t="str">
        <f>'[1]DATA CONSOLIDADA 2018-2025 '!$CB388-Hoja1!$BW388</f>
        <v>#REF!</v>
      </c>
      <c r="CE388" s="70">
        <v>530220.0</v>
      </c>
      <c r="CF388" s="70">
        <v>0.0</v>
      </c>
      <c r="CG388" s="71">
        <v>530220.0</v>
      </c>
      <c r="CH388" s="67" t="str">
        <f t="shared" si="141"/>
        <v>#REF!</v>
      </c>
      <c r="CI388" s="68" t="str">
        <f>'[1]DATA CONSOLIDADA 2018-2025 '!$CG388-Hoja1!$CB388</f>
        <v>#REF!</v>
      </c>
      <c r="CJ388" s="64" t="str">
        <f t="shared" si="143"/>
        <v>#REF!</v>
      </c>
      <c r="CK388" s="64">
        <v>867958.0</v>
      </c>
      <c r="CL388" s="64">
        <v>0.0</v>
      </c>
      <c r="CM388" s="64">
        <v>867958.0</v>
      </c>
      <c r="CN388" s="64" t="str">
        <f t="shared" si="12"/>
        <v>#REF!</v>
      </c>
      <c r="CO388" s="68" t="str">
        <f>'[1]DATA CONSOLIDADA 2018-2025 '!$CM388-Hoja1!$CG388</f>
        <v>#REF!</v>
      </c>
      <c r="CP388" s="70">
        <v>0.0</v>
      </c>
      <c r="CQ388" s="70">
        <v>271838.55</v>
      </c>
      <c r="CR388" s="70">
        <v>0.0</v>
      </c>
      <c r="CS388" s="70">
        <v>0.0</v>
      </c>
      <c r="CT388" s="70">
        <v>0.0</v>
      </c>
      <c r="CU388" s="70">
        <v>0.0</v>
      </c>
      <c r="CV388" s="64">
        <v>271838.55</v>
      </c>
      <c r="CW388" s="64">
        <v>0.0</v>
      </c>
      <c r="CX388" s="64">
        <v>530220.0</v>
      </c>
      <c r="CY388" s="64">
        <v>0.0</v>
      </c>
      <c r="CZ388" s="64">
        <v>0.0</v>
      </c>
      <c r="DA388" s="64">
        <v>0.0</v>
      </c>
      <c r="DB388" s="64">
        <v>530220.0</v>
      </c>
      <c r="DC388" s="72">
        <v>0.0</v>
      </c>
      <c r="DD388" s="72">
        <v>867958.0</v>
      </c>
      <c r="DE388" s="72">
        <v>0.0</v>
      </c>
      <c r="DF388" s="72">
        <v>0.0</v>
      </c>
      <c r="DG388" s="72">
        <v>0.0</v>
      </c>
      <c r="DH388" s="72">
        <v>867958.0</v>
      </c>
      <c r="DI388" s="73">
        <v>2.0448766471E10</v>
      </c>
      <c r="DJ388" s="74" t="s">
        <v>1323</v>
      </c>
      <c r="DK388" s="74" t="s">
        <v>132</v>
      </c>
      <c r="DL388" s="75"/>
      <c r="DM388" s="75"/>
      <c r="DN388" s="75"/>
      <c r="DO388" s="75"/>
      <c r="DP388" s="75"/>
      <c r="DQ388" s="75"/>
      <c r="DR388" s="75"/>
      <c r="DS388" s="75"/>
      <c r="DT388" s="75"/>
      <c r="DU388" s="75"/>
      <c r="DV388" s="75"/>
      <c r="DW388" s="75"/>
      <c r="DX388" s="75"/>
      <c r="DY388" s="75"/>
      <c r="DZ388" s="75"/>
      <c r="EA388" s="75"/>
      <c r="EB388" s="75"/>
      <c r="EC388" s="75"/>
      <c r="ED388" s="75"/>
      <c r="EE388" s="75"/>
    </row>
    <row r="389" ht="47.25" hidden="1" customHeight="1">
      <c r="A389" s="55" t="s">
        <v>1324</v>
      </c>
      <c r="B389" s="55" t="s">
        <v>126</v>
      </c>
      <c r="C389" s="55" t="s">
        <v>126</v>
      </c>
      <c r="D389" s="55" t="s">
        <v>1060</v>
      </c>
      <c r="E389" s="55" t="s">
        <v>1107</v>
      </c>
      <c r="F389" s="55" t="s">
        <v>1060</v>
      </c>
      <c r="G389" s="55" t="s">
        <v>1081</v>
      </c>
      <c r="H389" s="55" t="s">
        <v>1081</v>
      </c>
      <c r="I389" s="56"/>
      <c r="J389" s="56"/>
      <c r="K389" s="56"/>
      <c r="L389" s="56"/>
      <c r="M389" s="56"/>
      <c r="N389" s="56">
        <v>1.0</v>
      </c>
      <c r="O389" s="56">
        <v>1.0</v>
      </c>
      <c r="P389" s="56">
        <v>1.0</v>
      </c>
      <c r="Q389" s="56" t="s">
        <v>131</v>
      </c>
      <c r="R389" s="58" t="str">
        <f t="shared" si="1"/>
        <v>2023-2024 - 2025</v>
      </c>
      <c r="S389" s="59" t="str">
        <f>SUM(Hoja1!$I389:$P389)</f>
        <v>3</v>
      </c>
      <c r="T389" s="59" t="str">
        <f>IF(OR(Hoja1!$J389=1,Hoja1!$K389=1,Hoja1!$L389=1,Hoja1!$M389=1,Hoja1!$N389=1,Hoja1!$O389=1,Hoja1!$P389=1),"SI","NO")</f>
        <v>SI</v>
      </c>
      <c r="U389" s="59" t="str">
        <f>IF(OR(Hoja1!$K389=1,Hoja1!$L389=1,Hoja1!$M389=1,Hoja1!$N389=1,Hoja1!$O389=1,Hoja1!$P389=1),"SI","NO")</f>
        <v>SI</v>
      </c>
      <c r="V389" s="60">
        <v>0.0</v>
      </c>
      <c r="W389" s="61">
        <v>0.0</v>
      </c>
      <c r="X389" s="61">
        <v>0.0</v>
      </c>
      <c r="Y389" s="60">
        <v>0.0</v>
      </c>
      <c r="Z389" s="61">
        <v>0.0</v>
      </c>
      <c r="AA389" s="61">
        <v>0.0</v>
      </c>
      <c r="AB389" s="60">
        <v>0.0</v>
      </c>
      <c r="AC389" s="61">
        <v>0.0</v>
      </c>
      <c r="AD389" s="61">
        <v>0.0</v>
      </c>
      <c r="AE389" s="60">
        <v>0.0</v>
      </c>
      <c r="AF389" s="61">
        <v>0.0</v>
      </c>
      <c r="AG389" s="61">
        <v>0.0</v>
      </c>
      <c r="AH389" s="60">
        <v>0.0</v>
      </c>
      <c r="AI389" s="61">
        <v>400.0</v>
      </c>
      <c r="AJ389" s="61">
        <v>130.0</v>
      </c>
      <c r="AK389" s="60">
        <v>530.0</v>
      </c>
      <c r="AL389" s="61">
        <v>363.0</v>
      </c>
      <c r="AM389" s="61">
        <v>154.0</v>
      </c>
      <c r="AN389" s="60">
        <v>517.0</v>
      </c>
      <c r="AO389" s="62">
        <v>373.0</v>
      </c>
      <c r="AP389" s="62">
        <v>157.0</v>
      </c>
      <c r="AQ389" s="60">
        <v>530.0</v>
      </c>
      <c r="AR389" s="60" t="str">
        <f>IF(Hoja1!$AQ389&gt;0,Hoja1!$AQ389,IF(Hoja1!$AN389&gt;0,Hoja1!$AN389,IF(Hoja1!$AK389&gt;0,Hoja1!$AK389,IF(Hoja1!$AH389&gt;0,Hoja1!$AH389,IF(Hoja1!$AE389&gt;0,Hoja1!$AE389,IF(Hoja1!$AB389&gt;0,Hoja1!$AB389,IF(Hoja1!$Y389&gt;0,Hoja1!$Y389,IF(Hoja1!$V389&gt;0,Hoja1!$V389," ---"))))))))</f>
        <v>530</v>
      </c>
      <c r="AS389" s="63">
        <v>0.0</v>
      </c>
      <c r="AT389" s="63">
        <v>0.0</v>
      </c>
      <c r="AU389" s="63">
        <v>0.0</v>
      </c>
      <c r="AV389" s="63">
        <v>0.0</v>
      </c>
      <c r="AW389" s="63">
        <v>0.0</v>
      </c>
      <c r="AX389" s="63">
        <v>0.0</v>
      </c>
      <c r="AY389" s="63">
        <v>11.0</v>
      </c>
      <c r="AZ389" s="63">
        <v>0.0</v>
      </c>
      <c r="BA389" s="63">
        <v>9.0</v>
      </c>
      <c r="BB389" s="63">
        <v>0.0</v>
      </c>
      <c r="BC389" s="63">
        <v>19.0</v>
      </c>
      <c r="BD389" s="63">
        <v>0.0</v>
      </c>
      <c r="BE389" s="64">
        <v>0.0</v>
      </c>
      <c r="BF389" s="69">
        <v>0.0</v>
      </c>
      <c r="BG389" s="69">
        <v>0.0</v>
      </c>
      <c r="BH389" s="64">
        <v>0.0</v>
      </c>
      <c r="BI389" s="67" t="str">
        <f t="shared" si="133"/>
        <v>#REF!</v>
      </c>
      <c r="BJ389" s="68" t="str">
        <f t="shared" si="134"/>
        <v>#REF!</v>
      </c>
      <c r="BK389" s="69">
        <v>0.0</v>
      </c>
      <c r="BL389" s="69">
        <v>0.0</v>
      </c>
      <c r="BM389" s="64">
        <v>0.0</v>
      </c>
      <c r="BN389" s="67" t="str">
        <f t="shared" si="135"/>
        <v>#REF!</v>
      </c>
      <c r="BO389" s="68" t="str">
        <f t="shared" si="136"/>
        <v>#REF!</v>
      </c>
      <c r="BP389" s="65">
        <v>0.0</v>
      </c>
      <c r="BQ389" s="65">
        <v>0.0</v>
      </c>
      <c r="BR389" s="66">
        <v>0.0</v>
      </c>
      <c r="BS389" s="67" t="str">
        <f t="shared" si="137"/>
        <v>#REF!</v>
      </c>
      <c r="BT389" s="68" t="str">
        <f>'[1]DATA CONSOLIDADA 2018-2025 '!$BR389-Hoja1!$BO389</f>
        <v>#REF!</v>
      </c>
      <c r="BU389" s="69">
        <v>0.0</v>
      </c>
      <c r="BV389" s="65">
        <v>0.0</v>
      </c>
      <c r="BW389" s="66">
        <v>0.0</v>
      </c>
      <c r="BX389" s="67" t="str">
        <f t="shared" si="138"/>
        <v>#REF!</v>
      </c>
      <c r="BY389" s="68" t="str">
        <f t="shared" si="139"/>
        <v>#REF!</v>
      </c>
      <c r="BZ389" s="65">
        <v>2786167.15</v>
      </c>
      <c r="CA389" s="65">
        <v>4427275.82</v>
      </c>
      <c r="CB389" s="66">
        <v>7213442.97</v>
      </c>
      <c r="CC389" s="67" t="str">
        <f t="shared" si="140"/>
        <v>#REF!</v>
      </c>
      <c r="CD389" s="68" t="str">
        <f>'[1]DATA CONSOLIDADA 2018-2025 '!$CB389-Hoja1!$BW389</f>
        <v>#REF!</v>
      </c>
      <c r="CE389" s="70">
        <v>0.0</v>
      </c>
      <c r="CF389" s="70">
        <v>1.2766509342584431E7</v>
      </c>
      <c r="CG389" s="71">
        <v>1.2766509342584431E7</v>
      </c>
      <c r="CH389" s="67" t="str">
        <f t="shared" si="141"/>
        <v>#REF!</v>
      </c>
      <c r="CI389" s="68" t="str">
        <f>'[1]DATA CONSOLIDADA 2018-2025 '!$CG389-Hoja1!$CB389</f>
        <v>#REF!</v>
      </c>
      <c r="CJ389" s="64" t="str">
        <f t="shared" si="143"/>
        <v>#REF!</v>
      </c>
      <c r="CK389" s="64">
        <v>5494241.158782978</v>
      </c>
      <c r="CL389" s="64">
        <v>1.62411440086086E7</v>
      </c>
      <c r="CM389" s="64">
        <v>2.1735385167391576E7</v>
      </c>
      <c r="CN389" s="64" t="str">
        <f t="shared" si="12"/>
        <v>#REF!</v>
      </c>
      <c r="CO389" s="68" t="str">
        <f>'[1]DATA CONSOLIDADA 2018-2025 '!$CM389-Hoja1!$CG389</f>
        <v>#REF!</v>
      </c>
      <c r="CP389" s="70">
        <v>0.0</v>
      </c>
      <c r="CQ389" s="70">
        <v>0.0</v>
      </c>
      <c r="CR389" s="70">
        <v>0.0</v>
      </c>
      <c r="CS389" s="70">
        <v>7213442.954936</v>
      </c>
      <c r="CT389" s="70">
        <v>0.0</v>
      </c>
      <c r="CU389" s="70">
        <v>0.0</v>
      </c>
      <c r="CV389" s="64">
        <v>7213442.954936</v>
      </c>
      <c r="CW389" s="64">
        <v>0.0</v>
      </c>
      <c r="CX389" s="64">
        <v>0.0</v>
      </c>
      <c r="CY389" s="64">
        <v>1.2766509342584431E7</v>
      </c>
      <c r="CZ389" s="64">
        <v>0.0</v>
      </c>
      <c r="DA389" s="64">
        <v>0.0</v>
      </c>
      <c r="DB389" s="64">
        <v>1.2766509342584431E7</v>
      </c>
      <c r="DC389" s="72">
        <v>0.0</v>
      </c>
      <c r="DD389" s="72">
        <v>0.0</v>
      </c>
      <c r="DE389" s="72">
        <v>2.1735385167391565E7</v>
      </c>
      <c r="DF389" s="72">
        <v>0.0</v>
      </c>
      <c r="DG389" s="72">
        <v>0.0</v>
      </c>
      <c r="DH389" s="72">
        <v>2.1735385167391565E7</v>
      </c>
      <c r="DI389" s="73">
        <v>2.0600263286E10</v>
      </c>
      <c r="DJ389" s="74" t="s">
        <v>1324</v>
      </c>
      <c r="DK389" s="74" t="s">
        <v>138</v>
      </c>
      <c r="DL389" s="75"/>
      <c r="DM389" s="75"/>
      <c r="DN389" s="75"/>
      <c r="DO389" s="75"/>
      <c r="DP389" s="75"/>
      <c r="DQ389" s="75"/>
      <c r="DR389" s="75"/>
      <c r="DS389" s="75"/>
      <c r="DT389" s="75"/>
      <c r="DU389" s="75"/>
      <c r="DV389" s="75"/>
      <c r="DW389" s="75"/>
      <c r="DX389" s="75"/>
      <c r="DY389" s="75"/>
      <c r="DZ389" s="75"/>
      <c r="EA389" s="75"/>
      <c r="EB389" s="75"/>
      <c r="EC389" s="75"/>
      <c r="ED389" s="75"/>
      <c r="EE389" s="75"/>
    </row>
    <row r="390" ht="47.25" hidden="1" customHeight="1">
      <c r="A390" s="55" t="s">
        <v>1325</v>
      </c>
      <c r="B390" s="55" t="s">
        <v>126</v>
      </c>
      <c r="C390" s="55" t="s">
        <v>126</v>
      </c>
      <c r="D390" s="55" t="s">
        <v>1060</v>
      </c>
      <c r="E390" s="55" t="s">
        <v>1326</v>
      </c>
      <c r="F390" s="55" t="s">
        <v>1060</v>
      </c>
      <c r="G390" s="55" t="s">
        <v>1073</v>
      </c>
      <c r="H390" s="55" t="s">
        <v>1073</v>
      </c>
      <c r="I390" s="56"/>
      <c r="J390" s="56"/>
      <c r="K390" s="56"/>
      <c r="L390" s="56"/>
      <c r="M390" s="56"/>
      <c r="N390" s="56">
        <v>1.0</v>
      </c>
      <c r="O390" s="56">
        <v>1.0</v>
      </c>
      <c r="P390" s="56">
        <v>1.0</v>
      </c>
      <c r="Q390" s="56" t="s">
        <v>131</v>
      </c>
      <c r="R390" s="58" t="str">
        <f t="shared" si="1"/>
        <v>2023-2024 - 2025</v>
      </c>
      <c r="S390" s="59" t="str">
        <f>SUM(Hoja1!$I390:$P390)</f>
        <v>3</v>
      </c>
      <c r="T390" s="59" t="str">
        <f>IF(OR(Hoja1!$J390=1,Hoja1!$K390=1,Hoja1!$L390=1,Hoja1!$M390=1,Hoja1!$N390=1,Hoja1!$O390=1,Hoja1!$P390=1),"SI","NO")</f>
        <v>SI</v>
      </c>
      <c r="U390" s="59" t="str">
        <f>IF(OR(Hoja1!$K390=1,Hoja1!$L390=1,Hoja1!$M390=1,Hoja1!$N390=1,Hoja1!$O390=1,Hoja1!$P390=1),"SI","NO")</f>
        <v>SI</v>
      </c>
      <c r="V390" s="60">
        <v>0.0</v>
      </c>
      <c r="W390" s="61">
        <v>0.0</v>
      </c>
      <c r="X390" s="61">
        <v>0.0</v>
      </c>
      <c r="Y390" s="60">
        <v>0.0</v>
      </c>
      <c r="Z390" s="61">
        <v>0.0</v>
      </c>
      <c r="AA390" s="61">
        <v>0.0</v>
      </c>
      <c r="AB390" s="60">
        <v>0.0</v>
      </c>
      <c r="AC390" s="61">
        <v>0.0</v>
      </c>
      <c r="AD390" s="61">
        <v>0.0</v>
      </c>
      <c r="AE390" s="60">
        <v>0.0</v>
      </c>
      <c r="AF390" s="61">
        <v>0.0</v>
      </c>
      <c r="AG390" s="61">
        <v>0.0</v>
      </c>
      <c r="AH390" s="60">
        <v>0.0</v>
      </c>
      <c r="AI390" s="61">
        <v>38.0</v>
      </c>
      <c r="AJ390" s="61">
        <v>12.0</v>
      </c>
      <c r="AK390" s="60">
        <v>50.0</v>
      </c>
      <c r="AL390" s="61">
        <v>188.0</v>
      </c>
      <c r="AM390" s="61">
        <v>117.0</v>
      </c>
      <c r="AN390" s="60">
        <v>305.0</v>
      </c>
      <c r="AO390" s="62">
        <v>141.0</v>
      </c>
      <c r="AP390" s="62">
        <v>180.0</v>
      </c>
      <c r="AQ390" s="60">
        <v>321.0</v>
      </c>
      <c r="AR390" s="60" t="str">
        <f>IF(Hoja1!$AQ390&gt;0,Hoja1!$AQ390,IF(Hoja1!$AN390&gt;0,Hoja1!$AN390,IF(Hoja1!$AK390&gt;0,Hoja1!$AK390,IF(Hoja1!$AH390&gt;0,Hoja1!$AH390,IF(Hoja1!$AE390&gt;0,Hoja1!$AE390,IF(Hoja1!$AB390&gt;0,Hoja1!$AB390,IF(Hoja1!$Y390&gt;0,Hoja1!$Y390,IF(Hoja1!$V390&gt;0,Hoja1!$V390," ---"))))))))</f>
        <v>321</v>
      </c>
      <c r="AS390" s="63">
        <v>0.0</v>
      </c>
      <c r="AT390" s="63">
        <v>0.0</v>
      </c>
      <c r="AU390" s="63">
        <v>0.0</v>
      </c>
      <c r="AV390" s="63">
        <v>0.0</v>
      </c>
      <c r="AW390" s="63">
        <v>0.0</v>
      </c>
      <c r="AX390" s="63">
        <v>0.0</v>
      </c>
      <c r="AY390" s="63">
        <v>10.0</v>
      </c>
      <c r="AZ390" s="63">
        <v>1.0</v>
      </c>
      <c r="BA390" s="63">
        <v>20.0</v>
      </c>
      <c r="BB390" s="63">
        <v>1.0</v>
      </c>
      <c r="BC390" s="63">
        <v>18.0</v>
      </c>
      <c r="BD390" s="63">
        <v>0.0</v>
      </c>
      <c r="BE390" s="64">
        <v>0.0</v>
      </c>
      <c r="BF390" s="69">
        <v>0.0</v>
      </c>
      <c r="BG390" s="69">
        <v>0.0</v>
      </c>
      <c r="BH390" s="64">
        <v>0.0</v>
      </c>
      <c r="BI390" s="67" t="str">
        <f t="shared" si="133"/>
        <v>#REF!</v>
      </c>
      <c r="BJ390" s="68" t="str">
        <f t="shared" si="134"/>
        <v>#REF!</v>
      </c>
      <c r="BK390" s="69">
        <v>0.0</v>
      </c>
      <c r="BL390" s="69">
        <v>0.0</v>
      </c>
      <c r="BM390" s="64">
        <v>0.0</v>
      </c>
      <c r="BN390" s="67" t="str">
        <f t="shared" si="135"/>
        <v>#REF!</v>
      </c>
      <c r="BO390" s="68" t="str">
        <f t="shared" si="136"/>
        <v>#REF!</v>
      </c>
      <c r="BP390" s="65">
        <v>0.0</v>
      </c>
      <c r="BQ390" s="65">
        <v>0.0</v>
      </c>
      <c r="BR390" s="66">
        <v>0.0</v>
      </c>
      <c r="BS390" s="67" t="str">
        <f t="shared" si="137"/>
        <v>#REF!</v>
      </c>
      <c r="BT390" s="68" t="str">
        <f>'[1]DATA CONSOLIDADA 2018-2025 '!$BR390-Hoja1!$BO390</f>
        <v>#REF!</v>
      </c>
      <c r="BU390" s="69">
        <v>0.0</v>
      </c>
      <c r="BV390" s="65">
        <v>0.0</v>
      </c>
      <c r="BW390" s="66">
        <v>0.0</v>
      </c>
      <c r="BX390" s="67" t="str">
        <f t="shared" si="138"/>
        <v>#REF!</v>
      </c>
      <c r="BY390" s="68" t="str">
        <f t="shared" si="139"/>
        <v>#REF!</v>
      </c>
      <c r="BZ390" s="65">
        <v>221588.0</v>
      </c>
      <c r="CA390" s="65">
        <v>0.0</v>
      </c>
      <c r="CB390" s="66">
        <v>221588.0</v>
      </c>
      <c r="CC390" s="67" t="str">
        <f t="shared" si="140"/>
        <v>#REF!</v>
      </c>
      <c r="CD390" s="68" t="str">
        <f>'[1]DATA CONSOLIDADA 2018-2025 '!$CB390-Hoja1!$BW390</f>
        <v>#REF!</v>
      </c>
      <c r="CE390" s="70">
        <v>460678.183</v>
      </c>
      <c r="CF390" s="70">
        <v>1466260.15848</v>
      </c>
      <c r="CG390" s="71">
        <v>1926938.34148</v>
      </c>
      <c r="CH390" s="67" t="str">
        <f t="shared" si="141"/>
        <v>#REF!</v>
      </c>
      <c r="CI390" s="68" t="str">
        <f>'[1]DATA CONSOLIDADA 2018-2025 '!$CG390-Hoja1!$CB390</f>
        <v>#REF!</v>
      </c>
      <c r="CJ390" s="64" t="str">
        <f t="shared" si="143"/>
        <v>#REF!</v>
      </c>
      <c r="CK390" s="64">
        <v>4778545.34960138</v>
      </c>
      <c r="CL390" s="64">
        <v>7436346.40814268</v>
      </c>
      <c r="CM390" s="64">
        <v>1.2214891757744059E7</v>
      </c>
      <c r="CN390" s="64" t="str">
        <f t="shared" si="12"/>
        <v>#REF!</v>
      </c>
      <c r="CO390" s="68" t="str">
        <f>'[1]DATA CONSOLIDADA 2018-2025 '!$CM390-Hoja1!$CG390</f>
        <v>#REF!</v>
      </c>
      <c r="CP390" s="70">
        <v>0.0</v>
      </c>
      <c r="CQ390" s="70">
        <v>0.0</v>
      </c>
      <c r="CR390" s="70">
        <v>0.0</v>
      </c>
      <c r="CS390" s="70">
        <v>221588.0</v>
      </c>
      <c r="CT390" s="70">
        <v>0.0</v>
      </c>
      <c r="CU390" s="70">
        <v>0.0</v>
      </c>
      <c r="CV390" s="64">
        <v>221588.0</v>
      </c>
      <c r="CW390" s="64">
        <v>0.0</v>
      </c>
      <c r="CX390" s="64">
        <v>0.0</v>
      </c>
      <c r="CY390" s="64">
        <v>1926938.34148</v>
      </c>
      <c r="CZ390" s="64">
        <v>0.0</v>
      </c>
      <c r="DA390" s="64">
        <v>0.0</v>
      </c>
      <c r="DB390" s="64">
        <v>1926938.34148</v>
      </c>
      <c r="DC390" s="72">
        <v>0.0</v>
      </c>
      <c r="DD390" s="72">
        <v>0.0</v>
      </c>
      <c r="DE390" s="72">
        <v>1.221489175774406E7</v>
      </c>
      <c r="DF390" s="72">
        <v>0.0</v>
      </c>
      <c r="DG390" s="72">
        <v>0.0</v>
      </c>
      <c r="DH390" s="72">
        <v>1.221489175774406E7</v>
      </c>
      <c r="DI390" s="73">
        <v>2.0609846314E10</v>
      </c>
      <c r="DJ390" s="74" t="s">
        <v>1327</v>
      </c>
      <c r="DK390" s="74" t="s">
        <v>132</v>
      </c>
      <c r="DL390" s="75"/>
      <c r="DM390" s="75"/>
      <c r="DN390" s="75"/>
      <c r="DO390" s="75"/>
      <c r="DP390" s="75"/>
      <c r="DQ390" s="75"/>
      <c r="DR390" s="75"/>
      <c r="DS390" s="75"/>
      <c r="DT390" s="75"/>
      <c r="DU390" s="75"/>
      <c r="DV390" s="75"/>
      <c r="DW390" s="75"/>
      <c r="DX390" s="75"/>
      <c r="DY390" s="75"/>
      <c r="DZ390" s="75"/>
      <c r="EA390" s="75"/>
      <c r="EB390" s="75"/>
      <c r="EC390" s="75"/>
      <c r="ED390" s="75"/>
      <c r="EE390" s="75"/>
    </row>
    <row r="391" ht="47.25" hidden="1" customHeight="1">
      <c r="A391" s="55" t="s">
        <v>1328</v>
      </c>
      <c r="B391" s="55" t="s">
        <v>1329</v>
      </c>
      <c r="C391" s="55" t="s">
        <v>1329</v>
      </c>
      <c r="D391" s="55" t="s">
        <v>1060</v>
      </c>
      <c r="E391" s="55" t="s">
        <v>1330</v>
      </c>
      <c r="F391" s="55" t="s">
        <v>1060</v>
      </c>
      <c r="G391" s="55" t="s">
        <v>1069</v>
      </c>
      <c r="H391" s="55" t="s">
        <v>1069</v>
      </c>
      <c r="I391" s="56"/>
      <c r="J391" s="56"/>
      <c r="K391" s="56"/>
      <c r="L391" s="56"/>
      <c r="M391" s="56"/>
      <c r="N391" s="56">
        <v>1.0</v>
      </c>
      <c r="O391" s="56">
        <v>1.0</v>
      </c>
      <c r="P391" s="56">
        <v>1.0</v>
      </c>
      <c r="Q391" s="56" t="s">
        <v>131</v>
      </c>
      <c r="R391" s="58" t="str">
        <f t="shared" si="1"/>
        <v>2023-2024 - 2025</v>
      </c>
      <c r="S391" s="59" t="str">
        <f>SUM(Hoja1!$I391:$P391)</f>
        <v>3</v>
      </c>
      <c r="T391" s="59" t="str">
        <f>IF(OR(Hoja1!$J391=1,Hoja1!$K391=1,Hoja1!$L391=1,Hoja1!$M391=1,Hoja1!$N391=1,Hoja1!$O391=1,Hoja1!$P391=1),"SI","NO")</f>
        <v>SI</v>
      </c>
      <c r="U391" s="59" t="str">
        <f>IF(OR(Hoja1!$K391=1,Hoja1!$L391=1,Hoja1!$M391=1,Hoja1!$N391=1,Hoja1!$O391=1,Hoja1!$P391=1),"SI","NO")</f>
        <v>SI</v>
      </c>
      <c r="V391" s="60">
        <v>0.0</v>
      </c>
      <c r="W391" s="61">
        <v>0.0</v>
      </c>
      <c r="X391" s="61">
        <v>0.0</v>
      </c>
      <c r="Y391" s="60">
        <v>0.0</v>
      </c>
      <c r="Z391" s="61">
        <v>0.0</v>
      </c>
      <c r="AA391" s="61">
        <v>0.0</v>
      </c>
      <c r="AB391" s="60">
        <v>0.0</v>
      </c>
      <c r="AC391" s="61">
        <v>0.0</v>
      </c>
      <c r="AD391" s="61">
        <v>0.0</v>
      </c>
      <c r="AE391" s="60">
        <v>0.0</v>
      </c>
      <c r="AF391" s="61">
        <v>0.0</v>
      </c>
      <c r="AG391" s="61">
        <v>0.0</v>
      </c>
      <c r="AH391" s="60">
        <v>0.0</v>
      </c>
      <c r="AI391" s="61">
        <v>40.0</v>
      </c>
      <c r="AJ391" s="61">
        <v>10.0</v>
      </c>
      <c r="AK391" s="60">
        <v>50.0</v>
      </c>
      <c r="AL391" s="61">
        <v>20.0</v>
      </c>
      <c r="AM391" s="61">
        <v>32.0</v>
      </c>
      <c r="AN391" s="60">
        <v>52.0</v>
      </c>
      <c r="AO391" s="62">
        <v>44.0</v>
      </c>
      <c r="AP391" s="62">
        <v>10.0</v>
      </c>
      <c r="AQ391" s="60">
        <v>54.0</v>
      </c>
      <c r="AR391" s="60" t="str">
        <f>IF(Hoja1!$AQ391&gt;0,Hoja1!$AQ391,IF(Hoja1!$AN391&gt;0,Hoja1!$AN391,IF(Hoja1!$AK391&gt;0,Hoja1!$AK391,IF(Hoja1!$AH391&gt;0,Hoja1!$AH391,IF(Hoja1!$AE391&gt;0,Hoja1!$AE391,IF(Hoja1!$AB391&gt;0,Hoja1!$AB391,IF(Hoja1!$Y391&gt;0,Hoja1!$Y391,IF(Hoja1!$V391&gt;0,Hoja1!$V391," ---"))))))))</f>
        <v>54</v>
      </c>
      <c r="AS391" s="63">
        <v>0.0</v>
      </c>
      <c r="AT391" s="63">
        <v>0.0</v>
      </c>
      <c r="AU391" s="63">
        <v>0.0</v>
      </c>
      <c r="AV391" s="63">
        <v>0.0</v>
      </c>
      <c r="AW391" s="63">
        <v>0.0</v>
      </c>
      <c r="AX391" s="63">
        <v>0.0</v>
      </c>
      <c r="AY391" s="63">
        <v>11.0</v>
      </c>
      <c r="AZ391" s="63">
        <v>2.0</v>
      </c>
      <c r="BA391" s="63">
        <v>22.0</v>
      </c>
      <c r="BB391" s="63">
        <v>2.0</v>
      </c>
      <c r="BC391" s="63">
        <v>16.0</v>
      </c>
      <c r="BD391" s="63">
        <v>2.0</v>
      </c>
      <c r="BE391" s="64">
        <v>0.0</v>
      </c>
      <c r="BF391" s="69">
        <v>0.0</v>
      </c>
      <c r="BG391" s="69">
        <v>0.0</v>
      </c>
      <c r="BH391" s="64">
        <v>0.0</v>
      </c>
      <c r="BI391" s="67" t="str">
        <f t="shared" si="133"/>
        <v>#REF!</v>
      </c>
      <c r="BJ391" s="68" t="str">
        <f t="shared" si="134"/>
        <v>#REF!</v>
      </c>
      <c r="BK391" s="69">
        <v>0.0</v>
      </c>
      <c r="BL391" s="69">
        <v>0.0</v>
      </c>
      <c r="BM391" s="64">
        <v>0.0</v>
      </c>
      <c r="BN391" s="67" t="str">
        <f t="shared" si="135"/>
        <v>#REF!</v>
      </c>
      <c r="BO391" s="68" t="str">
        <f t="shared" si="136"/>
        <v>#REF!</v>
      </c>
      <c r="BP391" s="65">
        <v>0.0</v>
      </c>
      <c r="BQ391" s="65">
        <v>0.0</v>
      </c>
      <c r="BR391" s="66">
        <v>0.0</v>
      </c>
      <c r="BS391" s="67" t="str">
        <f t="shared" si="137"/>
        <v>#REF!</v>
      </c>
      <c r="BT391" s="68" t="str">
        <f>'[1]DATA CONSOLIDADA 2018-2025 '!$BR391-Hoja1!$BO391</f>
        <v>#REF!</v>
      </c>
      <c r="BU391" s="69">
        <v>0.0</v>
      </c>
      <c r="BV391" s="65">
        <v>0.0</v>
      </c>
      <c r="BW391" s="66">
        <v>0.0</v>
      </c>
      <c r="BX391" s="67" t="str">
        <f t="shared" si="138"/>
        <v>#REF!</v>
      </c>
      <c r="BY391" s="68" t="str">
        <f t="shared" si="139"/>
        <v>#REF!</v>
      </c>
      <c r="BZ391" s="65">
        <v>5931250.0</v>
      </c>
      <c r="CA391" s="65">
        <v>0.0</v>
      </c>
      <c r="CB391" s="66">
        <v>5931250.0</v>
      </c>
      <c r="CC391" s="67" t="str">
        <f t="shared" si="140"/>
        <v>#REF!</v>
      </c>
      <c r="CD391" s="68" t="str">
        <f>'[1]DATA CONSOLIDADA 2018-2025 '!$CB391-Hoja1!$BW391</f>
        <v>#REF!</v>
      </c>
      <c r="CE391" s="70">
        <v>0.0</v>
      </c>
      <c r="CF391" s="70">
        <v>0.0</v>
      </c>
      <c r="CG391" s="71">
        <v>0.0</v>
      </c>
      <c r="CH391" s="67" t="str">
        <f t="shared" si="141"/>
        <v>#REF!</v>
      </c>
      <c r="CI391" s="68" t="str">
        <f>'[1]DATA CONSOLIDADA 2018-2025 '!$CG391-Hoja1!$CB391</f>
        <v>#REF!</v>
      </c>
      <c r="CJ391" s="64" t="str">
        <f t="shared" si="143"/>
        <v>#REF!</v>
      </c>
      <c r="CK391" s="64">
        <v>6500.0</v>
      </c>
      <c r="CL391" s="64">
        <v>0.0</v>
      </c>
      <c r="CM391" s="64">
        <v>6500.0</v>
      </c>
      <c r="CN391" s="64" t="str">
        <f t="shared" si="12"/>
        <v>#REF!</v>
      </c>
      <c r="CO391" s="68" t="str">
        <f>'[1]DATA CONSOLIDADA 2018-2025 '!$CM391-Hoja1!$CG391</f>
        <v>#REF!</v>
      </c>
      <c r="CP391" s="70">
        <v>0.0</v>
      </c>
      <c r="CQ391" s="70">
        <v>5931250.0</v>
      </c>
      <c r="CR391" s="70">
        <v>0.0</v>
      </c>
      <c r="CS391" s="70">
        <v>0.0</v>
      </c>
      <c r="CT391" s="70">
        <v>0.0</v>
      </c>
      <c r="CU391" s="70">
        <v>0.0</v>
      </c>
      <c r="CV391" s="64">
        <v>5931250.0</v>
      </c>
      <c r="CW391" s="64">
        <v>0.0</v>
      </c>
      <c r="CX391" s="64">
        <v>0.0</v>
      </c>
      <c r="CY391" s="64">
        <v>0.0</v>
      </c>
      <c r="CZ391" s="64">
        <v>0.0</v>
      </c>
      <c r="DA391" s="64">
        <v>0.0</v>
      </c>
      <c r="DB391" s="64">
        <v>0.0</v>
      </c>
      <c r="DC391" s="72">
        <v>0.0</v>
      </c>
      <c r="DD391" s="72">
        <v>0.0</v>
      </c>
      <c r="DE391" s="72">
        <v>6500.0</v>
      </c>
      <c r="DF391" s="72">
        <v>0.0</v>
      </c>
      <c r="DG391" s="72">
        <v>0.0</v>
      </c>
      <c r="DH391" s="72">
        <v>6500.0</v>
      </c>
      <c r="DI391" s="73">
        <v>2.0603478879E10</v>
      </c>
      <c r="DJ391" s="74" t="s">
        <v>1331</v>
      </c>
      <c r="DK391" s="74" t="s">
        <v>132</v>
      </c>
      <c r="DL391" s="75"/>
      <c r="DM391" s="75"/>
      <c r="DN391" s="75"/>
      <c r="DO391" s="75"/>
      <c r="DP391" s="75"/>
      <c r="DQ391" s="75"/>
      <c r="DR391" s="75"/>
      <c r="DS391" s="75"/>
      <c r="DT391" s="75"/>
      <c r="DU391" s="75"/>
      <c r="DV391" s="75"/>
      <c r="DW391" s="75"/>
      <c r="DX391" s="75"/>
      <c r="DY391" s="75"/>
      <c r="DZ391" s="75"/>
      <c r="EA391" s="75"/>
      <c r="EB391" s="75"/>
      <c r="EC391" s="75"/>
      <c r="ED391" s="75"/>
      <c r="EE391" s="75"/>
    </row>
    <row r="392" ht="47.25" hidden="1" customHeight="1">
      <c r="A392" s="55" t="s">
        <v>1332</v>
      </c>
      <c r="B392" s="55" t="s">
        <v>189</v>
      </c>
      <c r="C392" s="55" t="s">
        <v>189</v>
      </c>
      <c r="D392" s="55" t="s">
        <v>1149</v>
      </c>
      <c r="E392" s="55" t="s">
        <v>1155</v>
      </c>
      <c r="F392" s="55" t="s">
        <v>1149</v>
      </c>
      <c r="G392" s="55" t="s">
        <v>1156</v>
      </c>
      <c r="H392" s="55" t="s">
        <v>1156</v>
      </c>
      <c r="I392" s="56"/>
      <c r="J392" s="56"/>
      <c r="K392" s="56"/>
      <c r="L392" s="56"/>
      <c r="M392" s="56"/>
      <c r="N392" s="56">
        <v>1.0</v>
      </c>
      <c r="O392" s="56">
        <v>1.0</v>
      </c>
      <c r="P392" s="56"/>
      <c r="Q392" s="56" t="s">
        <v>131</v>
      </c>
      <c r="R392" s="58" t="str">
        <f t="shared" si="1"/>
        <v>2023-2024</v>
      </c>
      <c r="S392" s="59" t="str">
        <f>SUM(Hoja1!$I392:$P392)</f>
        <v>2</v>
      </c>
      <c r="T392" s="59" t="str">
        <f>IF(OR(Hoja1!$J392=1,Hoja1!$K392=1,Hoja1!$L392=1,Hoja1!$M392=1,Hoja1!$N392=1,Hoja1!$O392=1,Hoja1!$P392=1),"SI","NO")</f>
        <v>SI</v>
      </c>
      <c r="U392" s="59" t="str">
        <f>IF(OR(Hoja1!$K392=1,Hoja1!$L392=1,Hoja1!$M392=1,Hoja1!$N392=1,Hoja1!$O392=1,Hoja1!$P392=1),"SI","NO")</f>
        <v>SI</v>
      </c>
      <c r="V392" s="60">
        <v>0.0</v>
      </c>
      <c r="W392" s="61">
        <v>0.0</v>
      </c>
      <c r="X392" s="61">
        <v>0.0</v>
      </c>
      <c r="Y392" s="60">
        <v>0.0</v>
      </c>
      <c r="Z392" s="61">
        <v>0.0</v>
      </c>
      <c r="AA392" s="61">
        <v>0.0</v>
      </c>
      <c r="AB392" s="60">
        <v>0.0</v>
      </c>
      <c r="AC392" s="61">
        <v>0.0</v>
      </c>
      <c r="AD392" s="61">
        <v>0.0</v>
      </c>
      <c r="AE392" s="60">
        <v>0.0</v>
      </c>
      <c r="AF392" s="61">
        <v>0.0</v>
      </c>
      <c r="AG392" s="61">
        <v>0.0</v>
      </c>
      <c r="AH392" s="60">
        <v>0.0</v>
      </c>
      <c r="AI392" s="61">
        <v>20.0</v>
      </c>
      <c r="AJ392" s="61">
        <v>13.0</v>
      </c>
      <c r="AK392" s="60">
        <v>33.0</v>
      </c>
      <c r="AL392" s="61">
        <v>22.0</v>
      </c>
      <c r="AM392" s="61">
        <v>2.0</v>
      </c>
      <c r="AN392" s="60">
        <v>24.0</v>
      </c>
      <c r="AO392" s="62">
        <v>0.0</v>
      </c>
      <c r="AP392" s="62">
        <v>0.0</v>
      </c>
      <c r="AQ392" s="60">
        <v>0.0</v>
      </c>
      <c r="AR392" s="60" t="str">
        <f>IF(Hoja1!$AQ392&gt;0,Hoja1!$AQ392,IF(Hoja1!$AN392&gt;0,Hoja1!$AN392,IF(Hoja1!$AK392&gt;0,Hoja1!$AK392,IF(Hoja1!$AH392&gt;0,Hoja1!$AH392,IF(Hoja1!$AE392&gt;0,Hoja1!$AE392,IF(Hoja1!$AB392&gt;0,Hoja1!$AB392,IF(Hoja1!$Y392&gt;0,Hoja1!$Y392,IF(Hoja1!$V392&gt;0,Hoja1!$V392," ---"))))))))</f>
        <v>24</v>
      </c>
      <c r="AS392" s="63">
        <v>0.0</v>
      </c>
      <c r="AT392" s="63">
        <v>0.0</v>
      </c>
      <c r="AU392" s="63">
        <v>0.0</v>
      </c>
      <c r="AV392" s="63">
        <v>0.0</v>
      </c>
      <c r="AW392" s="63">
        <v>0.0</v>
      </c>
      <c r="AX392" s="63">
        <v>0.0</v>
      </c>
      <c r="AY392" s="63">
        <v>47.0</v>
      </c>
      <c r="AZ392" s="63">
        <v>1.0</v>
      </c>
      <c r="BA392" s="63">
        <v>37.0</v>
      </c>
      <c r="BB392" s="63">
        <v>1.0</v>
      </c>
      <c r="BC392" s="63">
        <v>0.0</v>
      </c>
      <c r="BD392" s="63">
        <v>0.0</v>
      </c>
      <c r="BE392" s="64">
        <v>0.0</v>
      </c>
      <c r="BF392" s="69">
        <v>0.0</v>
      </c>
      <c r="BG392" s="69">
        <v>0.0</v>
      </c>
      <c r="BH392" s="64">
        <v>0.0</v>
      </c>
      <c r="BI392" s="67" t="str">
        <f t="shared" si="133"/>
        <v>#REF!</v>
      </c>
      <c r="BJ392" s="68" t="str">
        <f t="shared" si="134"/>
        <v>#REF!</v>
      </c>
      <c r="BK392" s="69">
        <v>0.0</v>
      </c>
      <c r="BL392" s="69">
        <v>0.0</v>
      </c>
      <c r="BM392" s="64">
        <v>0.0</v>
      </c>
      <c r="BN392" s="67" t="str">
        <f t="shared" si="135"/>
        <v>#REF!</v>
      </c>
      <c r="BO392" s="68" t="str">
        <f t="shared" si="136"/>
        <v>#REF!</v>
      </c>
      <c r="BP392" s="65">
        <v>0.0</v>
      </c>
      <c r="BQ392" s="65">
        <v>0.0</v>
      </c>
      <c r="BR392" s="66">
        <v>0.0</v>
      </c>
      <c r="BS392" s="67" t="str">
        <f t="shared" si="137"/>
        <v>#REF!</v>
      </c>
      <c r="BT392" s="68" t="str">
        <f>'[1]DATA CONSOLIDADA 2018-2025 '!$BR392-Hoja1!$BO392</f>
        <v>#REF!</v>
      </c>
      <c r="BU392" s="69">
        <v>0.0</v>
      </c>
      <c r="BV392" s="65">
        <v>0.0</v>
      </c>
      <c r="BW392" s="66">
        <v>0.0</v>
      </c>
      <c r="BX392" s="67" t="str">
        <f t="shared" si="138"/>
        <v>#REF!</v>
      </c>
      <c r="BY392" s="68" t="str">
        <f t="shared" si="139"/>
        <v>#REF!</v>
      </c>
      <c r="BZ392" s="65">
        <v>22950.0</v>
      </c>
      <c r="CA392" s="65">
        <v>0.0</v>
      </c>
      <c r="CB392" s="66">
        <v>22950.0</v>
      </c>
      <c r="CC392" s="67" t="str">
        <f t="shared" si="140"/>
        <v>#REF!</v>
      </c>
      <c r="CD392" s="68" t="str">
        <f>'[1]DATA CONSOLIDADA 2018-2025 '!$CB392-Hoja1!$BW392</f>
        <v>#REF!</v>
      </c>
      <c r="CE392" s="70">
        <v>0.0</v>
      </c>
      <c r="CF392" s="70">
        <v>0.0</v>
      </c>
      <c r="CG392" s="71">
        <v>0.0</v>
      </c>
      <c r="CH392" s="67" t="str">
        <f t="shared" si="141"/>
        <v>#REF!</v>
      </c>
      <c r="CI392" s="68" t="str">
        <f>'[1]DATA CONSOLIDADA 2018-2025 '!$CG392-Hoja1!$CB392</f>
        <v>#REF!</v>
      </c>
      <c r="CJ392" s="64" t="str">
        <f t="shared" si="143"/>
        <v>#REF!</v>
      </c>
      <c r="CK392" s="64">
        <v>0.0</v>
      </c>
      <c r="CL392" s="64">
        <v>0.0</v>
      </c>
      <c r="CM392" s="64">
        <v>0.0</v>
      </c>
      <c r="CN392" s="64" t="str">
        <f t="shared" si="12"/>
        <v>#REF!</v>
      </c>
      <c r="CO392" s="68" t="str">
        <f>'[1]DATA CONSOLIDADA 2018-2025 '!$CM392-Hoja1!$CG392</f>
        <v>#REF!</v>
      </c>
      <c r="CP392" s="70">
        <v>22950.0</v>
      </c>
      <c r="CQ392" s="70">
        <v>0.0</v>
      </c>
      <c r="CR392" s="70">
        <v>0.0</v>
      </c>
      <c r="CS392" s="70">
        <v>0.0</v>
      </c>
      <c r="CT392" s="70">
        <v>0.0</v>
      </c>
      <c r="CU392" s="70">
        <v>0.0</v>
      </c>
      <c r="CV392" s="64">
        <v>22950.0</v>
      </c>
      <c r="CW392" s="64">
        <v>0.0</v>
      </c>
      <c r="CX392" s="64">
        <v>0.0</v>
      </c>
      <c r="CY392" s="64">
        <v>0.0</v>
      </c>
      <c r="CZ392" s="64">
        <v>0.0</v>
      </c>
      <c r="DA392" s="64">
        <v>0.0</v>
      </c>
      <c r="DB392" s="64">
        <v>0.0</v>
      </c>
      <c r="DC392" s="72">
        <v>0.0</v>
      </c>
      <c r="DD392" s="72">
        <v>0.0</v>
      </c>
      <c r="DE392" s="72">
        <v>0.0</v>
      </c>
      <c r="DF392" s="72">
        <v>0.0</v>
      </c>
      <c r="DG392" s="72">
        <v>0.0</v>
      </c>
      <c r="DH392" s="72">
        <v>0.0</v>
      </c>
      <c r="DI392" s="73">
        <v>2.0604315825E10</v>
      </c>
      <c r="DJ392" s="74" t="s">
        <v>1333</v>
      </c>
      <c r="DK392" s="74" t="s">
        <v>138</v>
      </c>
      <c r="DL392" s="75"/>
      <c r="DM392" s="75"/>
      <c r="DN392" s="75"/>
      <c r="DO392" s="75"/>
      <c r="DP392" s="75"/>
      <c r="DQ392" s="75"/>
      <c r="DR392" s="75"/>
      <c r="DS392" s="75"/>
      <c r="DT392" s="75"/>
      <c r="DU392" s="75"/>
      <c r="DV392" s="75"/>
      <c r="DW392" s="75"/>
      <c r="DX392" s="75"/>
      <c r="DY392" s="75"/>
      <c r="DZ392" s="75"/>
      <c r="EA392" s="75"/>
      <c r="EB392" s="75"/>
      <c r="EC392" s="75"/>
      <c r="ED392" s="75"/>
      <c r="EE392" s="75"/>
    </row>
    <row r="393" ht="47.25" hidden="1" customHeight="1">
      <c r="A393" s="55" t="s">
        <v>1334</v>
      </c>
      <c r="B393" s="55" t="s">
        <v>1335</v>
      </c>
      <c r="C393" s="55" t="s">
        <v>1335</v>
      </c>
      <c r="D393" s="55" t="s">
        <v>1149</v>
      </c>
      <c r="E393" s="55" t="s">
        <v>1336</v>
      </c>
      <c r="F393" s="55" t="s">
        <v>1149</v>
      </c>
      <c r="G393" s="55" t="s">
        <v>1151</v>
      </c>
      <c r="H393" s="55" t="s">
        <v>1337</v>
      </c>
      <c r="I393" s="56"/>
      <c r="J393" s="56"/>
      <c r="K393" s="56"/>
      <c r="L393" s="56"/>
      <c r="M393" s="56"/>
      <c r="N393" s="56">
        <v>1.0</v>
      </c>
      <c r="O393" s="56">
        <v>1.0</v>
      </c>
      <c r="P393" s="56">
        <v>1.0</v>
      </c>
      <c r="Q393" s="56" t="s">
        <v>131</v>
      </c>
      <c r="R393" s="58" t="str">
        <f t="shared" si="1"/>
        <v>2023-2024 - 2025</v>
      </c>
      <c r="S393" s="59" t="str">
        <f>SUM(Hoja1!$I393:$P393)</f>
        <v>3</v>
      </c>
      <c r="T393" s="59" t="str">
        <f>IF(OR(Hoja1!$J393=1,Hoja1!$K393=1,Hoja1!$L393=1,Hoja1!$M393=1,Hoja1!$N393=1,Hoja1!$O393=1,Hoja1!$P393=1),"SI","NO")</f>
        <v>SI</v>
      </c>
      <c r="U393" s="59" t="str">
        <f>IF(OR(Hoja1!$K393=1,Hoja1!$L393=1,Hoja1!$M393=1,Hoja1!$N393=1,Hoja1!$O393=1,Hoja1!$P393=1),"SI","NO")</f>
        <v>SI</v>
      </c>
      <c r="V393" s="60">
        <v>0.0</v>
      </c>
      <c r="W393" s="61">
        <v>0.0</v>
      </c>
      <c r="X393" s="61">
        <v>0.0</v>
      </c>
      <c r="Y393" s="60">
        <v>0.0</v>
      </c>
      <c r="Z393" s="61">
        <v>0.0</v>
      </c>
      <c r="AA393" s="61">
        <v>0.0</v>
      </c>
      <c r="AB393" s="60">
        <v>0.0</v>
      </c>
      <c r="AC393" s="61">
        <v>0.0</v>
      </c>
      <c r="AD393" s="61">
        <v>0.0</v>
      </c>
      <c r="AE393" s="60">
        <v>0.0</v>
      </c>
      <c r="AF393" s="61">
        <v>0.0</v>
      </c>
      <c r="AG393" s="61">
        <v>0.0</v>
      </c>
      <c r="AH393" s="60">
        <v>0.0</v>
      </c>
      <c r="AI393" s="61">
        <v>6.0</v>
      </c>
      <c r="AJ393" s="61">
        <v>4.0</v>
      </c>
      <c r="AK393" s="60">
        <v>10.0</v>
      </c>
      <c r="AL393" s="61">
        <v>7.0</v>
      </c>
      <c r="AM393" s="61">
        <v>5.0</v>
      </c>
      <c r="AN393" s="60">
        <v>12.0</v>
      </c>
      <c r="AO393" s="62">
        <v>7.0</v>
      </c>
      <c r="AP393" s="62">
        <v>5.0</v>
      </c>
      <c r="AQ393" s="60">
        <v>12.0</v>
      </c>
      <c r="AR393" s="60" t="str">
        <f>IF(Hoja1!$AQ393&gt;0,Hoja1!$AQ393,IF(Hoja1!$AN393&gt;0,Hoja1!$AN393,IF(Hoja1!$AK393&gt;0,Hoja1!$AK393,IF(Hoja1!$AH393&gt;0,Hoja1!$AH393,IF(Hoja1!$AE393&gt;0,Hoja1!$AE393,IF(Hoja1!$AB393&gt;0,Hoja1!$AB393,IF(Hoja1!$Y393&gt;0,Hoja1!$Y393,IF(Hoja1!$V393&gt;0,Hoja1!$V393," ---"))))))))</f>
        <v>12</v>
      </c>
      <c r="AS393" s="63">
        <v>0.0</v>
      </c>
      <c r="AT393" s="63">
        <v>0.0</v>
      </c>
      <c r="AU393" s="63">
        <v>0.0</v>
      </c>
      <c r="AV393" s="63">
        <v>0.0</v>
      </c>
      <c r="AW393" s="63">
        <v>0.0</v>
      </c>
      <c r="AX393" s="63">
        <v>0.0</v>
      </c>
      <c r="AY393" s="63">
        <v>43.0</v>
      </c>
      <c r="AZ393" s="63">
        <v>0.0</v>
      </c>
      <c r="BA393" s="63">
        <v>53.0</v>
      </c>
      <c r="BB393" s="63">
        <v>0.0</v>
      </c>
      <c r="BC393" s="63">
        <v>18.0</v>
      </c>
      <c r="BD393" s="63">
        <v>0.0</v>
      </c>
      <c r="BE393" s="64">
        <v>0.0</v>
      </c>
      <c r="BF393" s="69">
        <v>0.0</v>
      </c>
      <c r="BG393" s="69">
        <v>0.0</v>
      </c>
      <c r="BH393" s="64">
        <v>0.0</v>
      </c>
      <c r="BI393" s="67" t="str">
        <f t="shared" si="133"/>
        <v>#REF!</v>
      </c>
      <c r="BJ393" s="68" t="str">
        <f t="shared" si="134"/>
        <v>#REF!</v>
      </c>
      <c r="BK393" s="69">
        <v>0.0</v>
      </c>
      <c r="BL393" s="69">
        <v>0.0</v>
      </c>
      <c r="BM393" s="64">
        <v>0.0</v>
      </c>
      <c r="BN393" s="67" t="str">
        <f t="shared" si="135"/>
        <v>#REF!</v>
      </c>
      <c r="BO393" s="68" t="str">
        <f t="shared" si="136"/>
        <v>#REF!</v>
      </c>
      <c r="BP393" s="65">
        <v>0.0</v>
      </c>
      <c r="BQ393" s="65">
        <v>0.0</v>
      </c>
      <c r="BR393" s="66">
        <v>0.0</v>
      </c>
      <c r="BS393" s="67" t="str">
        <f t="shared" si="137"/>
        <v>#REF!</v>
      </c>
      <c r="BT393" s="68" t="str">
        <f>'[1]DATA CONSOLIDADA 2018-2025 '!$BR393-Hoja1!$BO393</f>
        <v>#REF!</v>
      </c>
      <c r="BU393" s="69">
        <v>0.0</v>
      </c>
      <c r="BV393" s="65">
        <v>0.0</v>
      </c>
      <c r="BW393" s="66">
        <v>0.0</v>
      </c>
      <c r="BX393" s="67" t="str">
        <f t="shared" si="138"/>
        <v>#REF!</v>
      </c>
      <c r="BY393" s="68" t="str">
        <f t="shared" si="139"/>
        <v>#REF!</v>
      </c>
      <c r="BZ393" s="65">
        <v>612682.98</v>
      </c>
      <c r="CA393" s="65">
        <v>0.0</v>
      </c>
      <c r="CB393" s="66">
        <v>612682.98</v>
      </c>
      <c r="CC393" s="67" t="str">
        <f t="shared" si="140"/>
        <v>#REF!</v>
      </c>
      <c r="CD393" s="68" t="str">
        <f>'[1]DATA CONSOLIDADA 2018-2025 '!$CB393-Hoja1!$BW393</f>
        <v>#REF!</v>
      </c>
      <c r="CE393" s="70">
        <v>160072.05913343</v>
      </c>
      <c r="CF393" s="70">
        <v>0.0</v>
      </c>
      <c r="CG393" s="71">
        <v>160072.05913343</v>
      </c>
      <c r="CH393" s="67" t="str">
        <f t="shared" si="141"/>
        <v>#REF!</v>
      </c>
      <c r="CI393" s="68" t="str">
        <f>'[1]DATA CONSOLIDADA 2018-2025 '!$CG393-Hoja1!$CB393</f>
        <v>#REF!</v>
      </c>
      <c r="CJ393" s="64" t="str">
        <f t="shared" si="143"/>
        <v>#REF!</v>
      </c>
      <c r="CK393" s="64">
        <v>275710.60767174995</v>
      </c>
      <c r="CL393" s="64">
        <v>0.0</v>
      </c>
      <c r="CM393" s="64">
        <v>275710.60767174995</v>
      </c>
      <c r="CN393" s="64" t="str">
        <f t="shared" si="12"/>
        <v>#REF!</v>
      </c>
      <c r="CO393" s="68" t="str">
        <f>'[1]DATA CONSOLIDADA 2018-2025 '!$CM393-Hoja1!$CG393</f>
        <v>#REF!</v>
      </c>
      <c r="CP393" s="70">
        <v>0.0</v>
      </c>
      <c r="CQ393" s="70">
        <v>0.0</v>
      </c>
      <c r="CR393" s="70">
        <v>0.0</v>
      </c>
      <c r="CS393" s="70">
        <v>612682.9808670001</v>
      </c>
      <c r="CT393" s="70">
        <v>0.0</v>
      </c>
      <c r="CU393" s="70">
        <v>0.0</v>
      </c>
      <c r="CV393" s="64">
        <v>612682.9808670001</v>
      </c>
      <c r="CW393" s="64">
        <v>0.0</v>
      </c>
      <c r="CX393" s="64">
        <v>91252.02393143001</v>
      </c>
      <c r="CY393" s="64">
        <v>68820.035202</v>
      </c>
      <c r="CZ393" s="64">
        <v>0.0</v>
      </c>
      <c r="DA393" s="64">
        <v>0.0</v>
      </c>
      <c r="DB393" s="64">
        <v>160072.05913343</v>
      </c>
      <c r="DC393" s="72">
        <v>0.0</v>
      </c>
      <c r="DD393" s="72">
        <v>0.0</v>
      </c>
      <c r="DE393" s="72">
        <v>275710.60767174995</v>
      </c>
      <c r="DF393" s="72">
        <v>0.0</v>
      </c>
      <c r="DG393" s="72">
        <v>0.0</v>
      </c>
      <c r="DH393" s="72">
        <v>275710.60767174995</v>
      </c>
      <c r="DI393" s="73">
        <v>2.0603587627E10</v>
      </c>
      <c r="DJ393" s="74" t="s">
        <v>1338</v>
      </c>
      <c r="DK393" s="74" t="s">
        <v>138</v>
      </c>
      <c r="DL393" s="75"/>
      <c r="DM393" s="75"/>
      <c r="DN393" s="75"/>
      <c r="DO393" s="75"/>
      <c r="DP393" s="75"/>
      <c r="DQ393" s="75"/>
      <c r="DR393" s="75"/>
      <c r="DS393" s="75"/>
      <c r="DT393" s="75"/>
      <c r="DU393" s="75"/>
      <c r="DV393" s="75"/>
      <c r="DW393" s="75"/>
      <c r="DX393" s="75"/>
      <c r="DY393" s="75"/>
      <c r="DZ393" s="75"/>
      <c r="EA393" s="75"/>
      <c r="EB393" s="75"/>
      <c r="EC393" s="75"/>
      <c r="ED393" s="75"/>
      <c r="EE393" s="75"/>
    </row>
    <row r="394" ht="47.25" hidden="1" customHeight="1">
      <c r="A394" s="55" t="s">
        <v>1339</v>
      </c>
      <c r="B394" s="55" t="s">
        <v>166</v>
      </c>
      <c r="C394" s="55" t="s">
        <v>166</v>
      </c>
      <c r="D394" s="55" t="s">
        <v>167</v>
      </c>
      <c r="E394" s="55" t="s">
        <v>1340</v>
      </c>
      <c r="F394" s="55" t="s">
        <v>167</v>
      </c>
      <c r="G394" s="55" t="s">
        <v>1341</v>
      </c>
      <c r="H394" s="55" t="s">
        <v>1342</v>
      </c>
      <c r="I394" s="56"/>
      <c r="J394" s="56"/>
      <c r="K394" s="56"/>
      <c r="L394" s="56"/>
      <c r="M394" s="56"/>
      <c r="N394" s="56"/>
      <c r="O394" s="56">
        <v>1.0</v>
      </c>
      <c r="P394" s="56">
        <v>1.0</v>
      </c>
      <c r="Q394" s="56" t="s">
        <v>131</v>
      </c>
      <c r="R394" s="58" t="str">
        <f t="shared" si="1"/>
        <v>2024 - 2025</v>
      </c>
      <c r="S394" s="59" t="str">
        <f>SUM(Hoja1!$I394:$P394)</f>
        <v>2</v>
      </c>
      <c r="T394" s="59" t="str">
        <f>IF(OR(Hoja1!$J394=1,Hoja1!$K394=1,Hoja1!$L394=1,Hoja1!$M394=1,Hoja1!$N394=1,Hoja1!$O394=1,Hoja1!$P394=1),"SI","NO")</f>
        <v>SI</v>
      </c>
      <c r="U394" s="59" t="str">
        <f>IF(OR(Hoja1!$K394=1,Hoja1!$L394=1,Hoja1!$M394=1,Hoja1!$N394=1,Hoja1!$O394=1,Hoja1!$P394=1),"SI","NO")</f>
        <v>SI</v>
      </c>
      <c r="V394" s="60">
        <v>0.0</v>
      </c>
      <c r="W394" s="61">
        <v>0.0</v>
      </c>
      <c r="X394" s="61">
        <v>0.0</v>
      </c>
      <c r="Y394" s="60">
        <v>0.0</v>
      </c>
      <c r="Z394" s="61">
        <v>0.0</v>
      </c>
      <c r="AA394" s="61">
        <v>0.0</v>
      </c>
      <c r="AB394" s="60">
        <v>0.0</v>
      </c>
      <c r="AC394" s="61">
        <v>0.0</v>
      </c>
      <c r="AD394" s="61">
        <v>0.0</v>
      </c>
      <c r="AE394" s="60">
        <v>0.0</v>
      </c>
      <c r="AF394" s="61">
        <v>0.0</v>
      </c>
      <c r="AG394" s="61">
        <v>0.0</v>
      </c>
      <c r="AH394" s="60">
        <v>0.0</v>
      </c>
      <c r="AI394" s="61">
        <v>0.0</v>
      </c>
      <c r="AJ394" s="61">
        <v>0.0</v>
      </c>
      <c r="AK394" s="60">
        <v>0.0</v>
      </c>
      <c r="AL394" s="61">
        <v>23.0</v>
      </c>
      <c r="AM394" s="61">
        <v>3.0</v>
      </c>
      <c r="AN394" s="60">
        <v>26.0</v>
      </c>
      <c r="AO394" s="62">
        <v>23.0</v>
      </c>
      <c r="AP394" s="62">
        <v>3.0</v>
      </c>
      <c r="AQ394" s="60">
        <v>26.0</v>
      </c>
      <c r="AR394" s="60" t="str">
        <f>IF(Hoja1!$AQ394&gt;0,Hoja1!$AQ394,IF(Hoja1!$AN394&gt;0,Hoja1!$AN394,IF(Hoja1!$AK394&gt;0,Hoja1!$AK394,IF(Hoja1!$AH394&gt;0,Hoja1!$AH394,IF(Hoja1!$AE394&gt;0,Hoja1!$AE394,IF(Hoja1!$AB394&gt;0,Hoja1!$AB394,IF(Hoja1!$Y394&gt;0,Hoja1!$Y394,IF(Hoja1!$V394&gt;0,Hoja1!$V394," ---"))))))))</f>
        <v>26</v>
      </c>
      <c r="AS394" s="63">
        <v>0.0</v>
      </c>
      <c r="AT394" s="63">
        <v>0.0</v>
      </c>
      <c r="AU394" s="63">
        <v>0.0</v>
      </c>
      <c r="AV394" s="63">
        <v>0.0</v>
      </c>
      <c r="AW394" s="63">
        <v>0.0</v>
      </c>
      <c r="AX394" s="63">
        <v>0.0</v>
      </c>
      <c r="AY394" s="63">
        <v>0.0</v>
      </c>
      <c r="AZ394" s="63">
        <v>0.0</v>
      </c>
      <c r="BA394" s="63">
        <v>5.0</v>
      </c>
      <c r="BB394" s="63">
        <v>1.0</v>
      </c>
      <c r="BC394" s="63">
        <v>12.0</v>
      </c>
      <c r="BD394" s="63">
        <v>0.0</v>
      </c>
      <c r="BE394" s="64">
        <v>0.0</v>
      </c>
      <c r="BF394" s="69">
        <v>0.0</v>
      </c>
      <c r="BG394" s="69">
        <v>0.0</v>
      </c>
      <c r="BH394" s="64">
        <v>0.0</v>
      </c>
      <c r="BI394" s="67" t="str">
        <f t="shared" si="133"/>
        <v>#REF!</v>
      </c>
      <c r="BJ394" s="68" t="str">
        <f t="shared" si="134"/>
        <v>#REF!</v>
      </c>
      <c r="BK394" s="69">
        <v>0.0</v>
      </c>
      <c r="BL394" s="69">
        <v>0.0</v>
      </c>
      <c r="BM394" s="64">
        <v>0.0</v>
      </c>
      <c r="BN394" s="67" t="str">
        <f t="shared" si="135"/>
        <v>#REF!</v>
      </c>
      <c r="BO394" s="68" t="str">
        <f t="shared" si="136"/>
        <v>#REF!</v>
      </c>
      <c r="BP394" s="65">
        <v>0.0</v>
      </c>
      <c r="BQ394" s="65">
        <v>0.0</v>
      </c>
      <c r="BR394" s="66">
        <v>0.0</v>
      </c>
      <c r="BS394" s="67" t="str">
        <f t="shared" si="137"/>
        <v>#REF!</v>
      </c>
      <c r="BT394" s="68" t="str">
        <f>'[1]DATA CONSOLIDADA 2018-2025 '!$BR394-Hoja1!$BO394</f>
        <v>#REF!</v>
      </c>
      <c r="BU394" s="69">
        <v>0.0</v>
      </c>
      <c r="BV394" s="65">
        <v>0.0</v>
      </c>
      <c r="BW394" s="66">
        <v>0.0</v>
      </c>
      <c r="BX394" s="67" t="str">
        <f t="shared" si="138"/>
        <v>#REF!</v>
      </c>
      <c r="BY394" s="68" t="str">
        <f t="shared" si="139"/>
        <v>#REF!</v>
      </c>
      <c r="BZ394" s="65">
        <v>0.0</v>
      </c>
      <c r="CA394" s="65">
        <v>0.0</v>
      </c>
      <c r="CB394" s="66">
        <v>0.0</v>
      </c>
      <c r="CC394" s="67" t="str">
        <f t="shared" si="140"/>
        <v>#REF!</v>
      </c>
      <c r="CD394" s="68" t="str">
        <f>'[1]DATA CONSOLIDADA 2018-2025 '!$CB394-Hoja1!$BW394</f>
        <v>#REF!</v>
      </c>
      <c r="CE394" s="70">
        <v>514800.0</v>
      </c>
      <c r="CF394" s="70">
        <v>0.0</v>
      </c>
      <c r="CG394" s="71">
        <v>514800.0</v>
      </c>
      <c r="CH394" s="67" t="str">
        <f t="shared" si="141"/>
        <v>#REF!</v>
      </c>
      <c r="CI394" s="68" t="str">
        <f>'[1]DATA CONSOLIDADA 2018-2025 '!$CG394-Hoja1!$CB394</f>
        <v>#REF!</v>
      </c>
      <c r="CJ394" s="64" t="str">
        <f t="shared" si="143"/>
        <v>#REF!</v>
      </c>
      <c r="CK394" s="64">
        <v>0.0</v>
      </c>
      <c r="CL394" s="64">
        <v>0.0</v>
      </c>
      <c r="CM394" s="64">
        <v>0.0</v>
      </c>
      <c r="CN394" s="64" t="str">
        <f t="shared" si="12"/>
        <v>#REF!</v>
      </c>
      <c r="CO394" s="68" t="str">
        <f>'[1]DATA CONSOLIDADA 2018-2025 '!$CM394-Hoja1!$CG394</f>
        <v>#REF!</v>
      </c>
      <c r="CP394" s="70">
        <v>0.0</v>
      </c>
      <c r="CQ394" s="70">
        <v>0.0</v>
      </c>
      <c r="CR394" s="70">
        <v>0.0</v>
      </c>
      <c r="CS394" s="70">
        <v>0.0</v>
      </c>
      <c r="CT394" s="70">
        <v>0.0</v>
      </c>
      <c r="CU394" s="70">
        <v>0.0</v>
      </c>
      <c r="CV394" s="64">
        <v>0.0</v>
      </c>
      <c r="CW394" s="64">
        <v>0.0</v>
      </c>
      <c r="CX394" s="64">
        <v>514800.0</v>
      </c>
      <c r="CY394" s="64">
        <v>0.0</v>
      </c>
      <c r="CZ394" s="64">
        <v>0.0</v>
      </c>
      <c r="DA394" s="64">
        <v>0.0</v>
      </c>
      <c r="DB394" s="64">
        <v>514800.0</v>
      </c>
      <c r="DC394" s="72">
        <v>0.0</v>
      </c>
      <c r="DD394" s="72">
        <v>0.0</v>
      </c>
      <c r="DE394" s="72">
        <v>0.0</v>
      </c>
      <c r="DF394" s="72">
        <v>0.0</v>
      </c>
      <c r="DG394" s="72">
        <v>0.0</v>
      </c>
      <c r="DH394" s="72">
        <v>0.0</v>
      </c>
      <c r="DI394" s="73">
        <v>2.0571419301E10</v>
      </c>
      <c r="DJ394" s="74" t="s">
        <v>1343</v>
      </c>
      <c r="DK394" s="74" t="s">
        <v>138</v>
      </c>
      <c r="DL394" s="75"/>
      <c r="DM394" s="75"/>
      <c r="DN394" s="75"/>
      <c r="DO394" s="75"/>
      <c r="DP394" s="75"/>
      <c r="DQ394" s="75"/>
      <c r="DR394" s="75"/>
      <c r="DS394" s="75"/>
      <c r="DT394" s="75"/>
      <c r="DU394" s="75"/>
      <c r="DV394" s="75"/>
      <c r="DW394" s="75"/>
      <c r="DX394" s="75"/>
      <c r="DY394" s="75"/>
      <c r="DZ394" s="75"/>
      <c r="EA394" s="75"/>
      <c r="EB394" s="75"/>
      <c r="EC394" s="75"/>
      <c r="ED394" s="75"/>
      <c r="EE394" s="75"/>
    </row>
    <row r="395" ht="47.25" hidden="1" customHeight="1">
      <c r="A395" s="55" t="s">
        <v>1344</v>
      </c>
      <c r="B395" s="55" t="s">
        <v>166</v>
      </c>
      <c r="C395" s="55" t="s">
        <v>166</v>
      </c>
      <c r="D395" s="55" t="s">
        <v>434</v>
      </c>
      <c r="E395" s="55" t="s">
        <v>1345</v>
      </c>
      <c r="F395" s="55" t="s">
        <v>434</v>
      </c>
      <c r="G395" s="55" t="s">
        <v>495</v>
      </c>
      <c r="H395" s="55" t="s">
        <v>1346</v>
      </c>
      <c r="I395" s="56"/>
      <c r="J395" s="56"/>
      <c r="K395" s="56"/>
      <c r="L395" s="56"/>
      <c r="M395" s="56"/>
      <c r="N395" s="56"/>
      <c r="O395" s="56">
        <v>1.0</v>
      </c>
      <c r="P395" s="56">
        <v>1.0</v>
      </c>
      <c r="Q395" s="56" t="s">
        <v>131</v>
      </c>
      <c r="R395" s="58" t="str">
        <f t="shared" si="1"/>
        <v>2024 - 2025</v>
      </c>
      <c r="S395" s="59" t="str">
        <f>SUM(Hoja1!$I395:$P395)</f>
        <v>2</v>
      </c>
      <c r="T395" s="59" t="str">
        <f>IF(OR(Hoja1!$J395=1,Hoja1!$K395=1,Hoja1!$L395=1,Hoja1!$M395=1,Hoja1!$N395=1,Hoja1!$O395=1,Hoja1!$P395=1),"SI","NO")</f>
        <v>SI</v>
      </c>
      <c r="U395" s="59" t="str">
        <f>IF(OR(Hoja1!$K395=1,Hoja1!$L395=1,Hoja1!$M395=1,Hoja1!$N395=1,Hoja1!$O395=1,Hoja1!$P395=1),"SI","NO")</f>
        <v>SI</v>
      </c>
      <c r="V395" s="60">
        <v>0.0</v>
      </c>
      <c r="W395" s="61">
        <v>0.0</v>
      </c>
      <c r="X395" s="61">
        <v>0.0</v>
      </c>
      <c r="Y395" s="60">
        <v>0.0</v>
      </c>
      <c r="Z395" s="61">
        <v>0.0</v>
      </c>
      <c r="AA395" s="61">
        <v>0.0</v>
      </c>
      <c r="AB395" s="60">
        <v>0.0</v>
      </c>
      <c r="AC395" s="61">
        <v>0.0</v>
      </c>
      <c r="AD395" s="61">
        <v>0.0</v>
      </c>
      <c r="AE395" s="60">
        <v>0.0</v>
      </c>
      <c r="AF395" s="61">
        <v>0.0</v>
      </c>
      <c r="AG395" s="61">
        <v>0.0</v>
      </c>
      <c r="AH395" s="60">
        <v>0.0</v>
      </c>
      <c r="AI395" s="61">
        <v>0.0</v>
      </c>
      <c r="AJ395" s="61">
        <v>0.0</v>
      </c>
      <c r="AK395" s="60">
        <v>0.0</v>
      </c>
      <c r="AL395" s="61">
        <v>26.0</v>
      </c>
      <c r="AM395" s="61">
        <v>22.0</v>
      </c>
      <c r="AN395" s="60">
        <v>48.0</v>
      </c>
      <c r="AO395" s="62">
        <v>28.0</v>
      </c>
      <c r="AP395" s="62">
        <v>21.0</v>
      </c>
      <c r="AQ395" s="60">
        <v>49.0</v>
      </c>
      <c r="AR395" s="60" t="str">
        <f>IF(Hoja1!$AQ395&gt;0,Hoja1!$AQ395,IF(Hoja1!$AN395&gt;0,Hoja1!$AN395,IF(Hoja1!$AK395&gt;0,Hoja1!$AK395,IF(Hoja1!$AH395&gt;0,Hoja1!$AH395,IF(Hoja1!$AE395&gt;0,Hoja1!$AE395,IF(Hoja1!$AB395&gt;0,Hoja1!$AB395,IF(Hoja1!$Y395&gt;0,Hoja1!$Y395,IF(Hoja1!$V395&gt;0,Hoja1!$V395," ---"))))))))</f>
        <v>49</v>
      </c>
      <c r="AS395" s="63">
        <v>0.0</v>
      </c>
      <c r="AT395" s="63">
        <v>0.0</v>
      </c>
      <c r="AU395" s="63">
        <v>0.0</v>
      </c>
      <c r="AV395" s="63">
        <v>0.0</v>
      </c>
      <c r="AW395" s="63">
        <v>0.0</v>
      </c>
      <c r="AX395" s="63">
        <v>0.0</v>
      </c>
      <c r="AY395" s="63">
        <v>0.0</v>
      </c>
      <c r="AZ395" s="63">
        <v>0.0</v>
      </c>
      <c r="BA395" s="63">
        <v>19.0</v>
      </c>
      <c r="BB395" s="63">
        <v>4.0</v>
      </c>
      <c r="BC395" s="63">
        <v>21.0</v>
      </c>
      <c r="BD395" s="63">
        <v>4.0</v>
      </c>
      <c r="BE395" s="64">
        <v>0.0</v>
      </c>
      <c r="BF395" s="69">
        <v>0.0</v>
      </c>
      <c r="BG395" s="69">
        <v>0.0</v>
      </c>
      <c r="BH395" s="64">
        <v>0.0</v>
      </c>
      <c r="BI395" s="67" t="str">
        <f t="shared" si="133"/>
        <v>#REF!</v>
      </c>
      <c r="BJ395" s="68" t="str">
        <f t="shared" si="134"/>
        <v>#REF!</v>
      </c>
      <c r="BK395" s="69">
        <v>0.0</v>
      </c>
      <c r="BL395" s="69">
        <v>0.0</v>
      </c>
      <c r="BM395" s="64">
        <v>0.0</v>
      </c>
      <c r="BN395" s="67" t="str">
        <f t="shared" si="135"/>
        <v>#REF!</v>
      </c>
      <c r="BO395" s="68" t="str">
        <f t="shared" si="136"/>
        <v>#REF!</v>
      </c>
      <c r="BP395" s="65">
        <v>0.0</v>
      </c>
      <c r="BQ395" s="65">
        <v>0.0</v>
      </c>
      <c r="BR395" s="66">
        <v>0.0</v>
      </c>
      <c r="BS395" s="67" t="str">
        <f t="shared" si="137"/>
        <v>#REF!</v>
      </c>
      <c r="BT395" s="68" t="str">
        <f>'[1]DATA CONSOLIDADA 2018-2025 '!$BR395-Hoja1!$BO395</f>
        <v>#REF!</v>
      </c>
      <c r="BU395" s="69">
        <v>0.0</v>
      </c>
      <c r="BV395" s="65">
        <v>0.0</v>
      </c>
      <c r="BW395" s="66">
        <v>0.0</v>
      </c>
      <c r="BX395" s="67" t="str">
        <f t="shared" si="138"/>
        <v>#REF!</v>
      </c>
      <c r="BY395" s="68" t="str">
        <f t="shared" si="139"/>
        <v>#REF!</v>
      </c>
      <c r="BZ395" s="65">
        <v>0.0</v>
      </c>
      <c r="CA395" s="65">
        <v>0.0</v>
      </c>
      <c r="CB395" s="66">
        <v>0.0</v>
      </c>
      <c r="CC395" s="67" t="str">
        <f t="shared" si="140"/>
        <v>#REF!</v>
      </c>
      <c r="CD395" s="68" t="str">
        <f>'[1]DATA CONSOLIDADA 2018-2025 '!$CB395-Hoja1!$BW395</f>
        <v>#REF!</v>
      </c>
      <c r="CE395" s="70">
        <v>0.0</v>
      </c>
      <c r="CF395" s="70">
        <v>0.0</v>
      </c>
      <c r="CG395" s="71">
        <v>0.0</v>
      </c>
      <c r="CH395" s="67" t="str">
        <f t="shared" si="141"/>
        <v>#REF!</v>
      </c>
      <c r="CI395" s="68" t="str">
        <f>'[1]DATA CONSOLIDADA 2018-2025 '!$CG395-Hoja1!$CB395</f>
        <v>#REF!</v>
      </c>
      <c r="CJ395" s="64" t="str">
        <f t="shared" si="143"/>
        <v>#REF!</v>
      </c>
      <c r="CK395" s="64">
        <v>2514000.0</v>
      </c>
      <c r="CL395" s="64">
        <v>0.0</v>
      </c>
      <c r="CM395" s="64">
        <v>2514000.0</v>
      </c>
      <c r="CN395" s="64" t="str">
        <f t="shared" si="12"/>
        <v>#REF!</v>
      </c>
      <c r="CO395" s="68" t="str">
        <f>'[1]DATA CONSOLIDADA 2018-2025 '!$CM395-Hoja1!$CG395</f>
        <v>#REF!</v>
      </c>
      <c r="CP395" s="70">
        <v>0.0</v>
      </c>
      <c r="CQ395" s="70">
        <v>0.0</v>
      </c>
      <c r="CR395" s="70">
        <v>0.0</v>
      </c>
      <c r="CS395" s="70">
        <v>0.0</v>
      </c>
      <c r="CT395" s="70">
        <v>0.0</v>
      </c>
      <c r="CU395" s="70">
        <v>0.0</v>
      </c>
      <c r="CV395" s="64">
        <v>0.0</v>
      </c>
      <c r="CW395" s="64">
        <v>0.0</v>
      </c>
      <c r="CX395" s="64">
        <v>0.0</v>
      </c>
      <c r="CY395" s="64">
        <v>0.0</v>
      </c>
      <c r="CZ395" s="64">
        <v>0.0</v>
      </c>
      <c r="DA395" s="64">
        <v>0.0</v>
      </c>
      <c r="DB395" s="64">
        <v>0.0</v>
      </c>
      <c r="DC395" s="72">
        <v>0.0</v>
      </c>
      <c r="DD395" s="72">
        <v>2514000.0</v>
      </c>
      <c r="DE395" s="72">
        <v>0.0</v>
      </c>
      <c r="DF395" s="72">
        <v>0.0</v>
      </c>
      <c r="DG395" s="72">
        <v>0.0</v>
      </c>
      <c r="DH395" s="72">
        <v>2514000.0</v>
      </c>
      <c r="DI395" s="73">
        <v>2.0613037595E10</v>
      </c>
      <c r="DJ395" s="74" t="s">
        <v>1344</v>
      </c>
      <c r="DK395" s="74" t="s">
        <v>138</v>
      </c>
      <c r="DL395" s="75"/>
      <c r="DM395" s="75"/>
      <c r="DN395" s="75"/>
      <c r="DO395" s="75"/>
      <c r="DP395" s="75"/>
      <c r="DQ395" s="75"/>
      <c r="DR395" s="75"/>
      <c r="DS395" s="75"/>
      <c r="DT395" s="75"/>
      <c r="DU395" s="75"/>
      <c r="DV395" s="75"/>
      <c r="DW395" s="75"/>
      <c r="DX395" s="75"/>
      <c r="DY395" s="75"/>
      <c r="DZ395" s="75"/>
      <c r="EA395" s="75"/>
      <c r="EB395" s="75"/>
      <c r="EC395" s="75"/>
      <c r="ED395" s="75"/>
      <c r="EE395" s="75"/>
    </row>
    <row r="396" ht="47.25" hidden="1" customHeight="1">
      <c r="A396" s="55" t="s">
        <v>1347</v>
      </c>
      <c r="B396" s="55" t="s">
        <v>166</v>
      </c>
      <c r="C396" s="55" t="s">
        <v>166</v>
      </c>
      <c r="D396" s="55" t="s">
        <v>167</v>
      </c>
      <c r="E396" s="55" t="s">
        <v>1340</v>
      </c>
      <c r="F396" s="55" t="s">
        <v>167</v>
      </c>
      <c r="G396" s="55" t="s">
        <v>1341</v>
      </c>
      <c r="H396" s="55" t="s">
        <v>1342</v>
      </c>
      <c r="I396" s="56"/>
      <c r="J396" s="56"/>
      <c r="K396" s="56"/>
      <c r="L396" s="56"/>
      <c r="M396" s="56"/>
      <c r="N396" s="56"/>
      <c r="O396" s="56">
        <v>1.0</v>
      </c>
      <c r="P396" s="56">
        <v>1.0</v>
      </c>
      <c r="Q396" s="56" t="s">
        <v>131</v>
      </c>
      <c r="R396" s="58" t="str">
        <f t="shared" si="1"/>
        <v>2024 - 2025</v>
      </c>
      <c r="S396" s="59" t="str">
        <f>SUM(Hoja1!$I396:$P396)</f>
        <v>2</v>
      </c>
      <c r="T396" s="59" t="str">
        <f>IF(OR(Hoja1!$J396=1,Hoja1!$K396=1,Hoja1!$L396=1,Hoja1!$M396=1,Hoja1!$N396=1,Hoja1!$O396=1,Hoja1!$P396=1),"SI","NO")</f>
        <v>SI</v>
      </c>
      <c r="U396" s="59" t="str">
        <f>IF(OR(Hoja1!$K396=1,Hoja1!$L396=1,Hoja1!$M396=1,Hoja1!$N396=1,Hoja1!$O396=1,Hoja1!$P396=1),"SI","NO")</f>
        <v>SI</v>
      </c>
      <c r="V396" s="60">
        <v>0.0</v>
      </c>
      <c r="W396" s="61">
        <v>0.0</v>
      </c>
      <c r="X396" s="61">
        <v>0.0</v>
      </c>
      <c r="Y396" s="60">
        <v>0.0</v>
      </c>
      <c r="Z396" s="61">
        <v>0.0</v>
      </c>
      <c r="AA396" s="61">
        <v>0.0</v>
      </c>
      <c r="AB396" s="60">
        <v>0.0</v>
      </c>
      <c r="AC396" s="61">
        <v>0.0</v>
      </c>
      <c r="AD396" s="61">
        <v>0.0</v>
      </c>
      <c r="AE396" s="60">
        <v>0.0</v>
      </c>
      <c r="AF396" s="61">
        <v>0.0</v>
      </c>
      <c r="AG396" s="61">
        <v>0.0</v>
      </c>
      <c r="AH396" s="60">
        <v>0.0</v>
      </c>
      <c r="AI396" s="61">
        <v>0.0</v>
      </c>
      <c r="AJ396" s="61">
        <v>0.0</v>
      </c>
      <c r="AK396" s="60">
        <v>0.0</v>
      </c>
      <c r="AL396" s="61">
        <v>11.0</v>
      </c>
      <c r="AM396" s="61">
        <v>1.0</v>
      </c>
      <c r="AN396" s="60">
        <v>12.0</v>
      </c>
      <c r="AO396" s="62">
        <v>11.0</v>
      </c>
      <c r="AP396" s="62">
        <v>1.0</v>
      </c>
      <c r="AQ396" s="60">
        <v>12.0</v>
      </c>
      <c r="AR396" s="60" t="str">
        <f>IF(Hoja1!$AQ396&gt;0,Hoja1!$AQ396,IF(Hoja1!$AN396&gt;0,Hoja1!$AN396,IF(Hoja1!$AK396&gt;0,Hoja1!$AK396,IF(Hoja1!$AH396&gt;0,Hoja1!$AH396,IF(Hoja1!$AE396&gt;0,Hoja1!$AE396,IF(Hoja1!$AB396&gt;0,Hoja1!$AB396,IF(Hoja1!$Y396&gt;0,Hoja1!$Y396,IF(Hoja1!$V396&gt;0,Hoja1!$V396," ---"))))))))</f>
        <v>12</v>
      </c>
      <c r="AS396" s="63">
        <v>0.0</v>
      </c>
      <c r="AT396" s="63">
        <v>0.0</v>
      </c>
      <c r="AU396" s="63">
        <v>0.0</v>
      </c>
      <c r="AV396" s="63">
        <v>0.0</v>
      </c>
      <c r="AW396" s="63">
        <v>0.0</v>
      </c>
      <c r="AX396" s="63">
        <v>0.0</v>
      </c>
      <c r="AY396" s="63">
        <v>0.0</v>
      </c>
      <c r="AZ396" s="63">
        <v>0.0</v>
      </c>
      <c r="BA396" s="63">
        <v>5.0</v>
      </c>
      <c r="BB396" s="63">
        <v>1.0</v>
      </c>
      <c r="BC396" s="63">
        <v>12.0</v>
      </c>
      <c r="BD396" s="63">
        <v>0.0</v>
      </c>
      <c r="BE396" s="64">
        <v>0.0</v>
      </c>
      <c r="BF396" s="69">
        <v>0.0</v>
      </c>
      <c r="BG396" s="69">
        <v>0.0</v>
      </c>
      <c r="BH396" s="64">
        <v>0.0</v>
      </c>
      <c r="BI396" s="67" t="str">
        <f t="shared" si="133"/>
        <v>#REF!</v>
      </c>
      <c r="BJ396" s="68" t="str">
        <f t="shared" si="134"/>
        <v>#REF!</v>
      </c>
      <c r="BK396" s="69">
        <v>0.0</v>
      </c>
      <c r="BL396" s="69">
        <v>0.0</v>
      </c>
      <c r="BM396" s="64">
        <v>0.0</v>
      </c>
      <c r="BN396" s="67" t="str">
        <f t="shared" si="135"/>
        <v>#REF!</v>
      </c>
      <c r="BO396" s="68" t="str">
        <f t="shared" si="136"/>
        <v>#REF!</v>
      </c>
      <c r="BP396" s="65">
        <v>0.0</v>
      </c>
      <c r="BQ396" s="65">
        <v>0.0</v>
      </c>
      <c r="BR396" s="66">
        <v>0.0</v>
      </c>
      <c r="BS396" s="67" t="str">
        <f t="shared" si="137"/>
        <v>#REF!</v>
      </c>
      <c r="BT396" s="68" t="str">
        <f>'[1]DATA CONSOLIDADA 2018-2025 '!$BR396-Hoja1!$BO396</f>
        <v>#REF!</v>
      </c>
      <c r="BU396" s="69">
        <v>0.0</v>
      </c>
      <c r="BV396" s="65">
        <v>0.0</v>
      </c>
      <c r="BW396" s="66">
        <v>0.0</v>
      </c>
      <c r="BX396" s="67" t="str">
        <f t="shared" si="138"/>
        <v>#REF!</v>
      </c>
      <c r="BY396" s="68" t="str">
        <f t="shared" si="139"/>
        <v>#REF!</v>
      </c>
      <c r="BZ396" s="65">
        <v>0.0</v>
      </c>
      <c r="CA396" s="65">
        <v>0.0</v>
      </c>
      <c r="CB396" s="66">
        <v>0.0</v>
      </c>
      <c r="CC396" s="67" t="str">
        <f t="shared" si="140"/>
        <v>#REF!</v>
      </c>
      <c r="CD396" s="68" t="str">
        <f>'[1]DATA CONSOLIDADA 2018-2025 '!$CB396-Hoja1!$BW396</f>
        <v>#REF!</v>
      </c>
      <c r="CE396" s="70">
        <v>283090.0</v>
      </c>
      <c r="CF396" s="70">
        <v>0.0</v>
      </c>
      <c r="CG396" s="71">
        <v>283090.0</v>
      </c>
      <c r="CH396" s="67" t="str">
        <f t="shared" si="141"/>
        <v>#REF!</v>
      </c>
      <c r="CI396" s="68" t="str">
        <f>'[1]DATA CONSOLIDADA 2018-2025 '!$CG396-Hoja1!$CB396</f>
        <v>#REF!</v>
      </c>
      <c r="CJ396" s="64" t="str">
        <f t="shared" si="143"/>
        <v>#REF!</v>
      </c>
      <c r="CK396" s="64">
        <v>0.0</v>
      </c>
      <c r="CL396" s="64">
        <v>0.0</v>
      </c>
      <c r="CM396" s="64">
        <v>0.0</v>
      </c>
      <c r="CN396" s="64" t="str">
        <f t="shared" si="12"/>
        <v>#REF!</v>
      </c>
      <c r="CO396" s="68" t="str">
        <f>'[1]DATA CONSOLIDADA 2018-2025 '!$CM396-Hoja1!$CG396</f>
        <v>#REF!</v>
      </c>
      <c r="CP396" s="70">
        <v>0.0</v>
      </c>
      <c r="CQ396" s="70">
        <v>0.0</v>
      </c>
      <c r="CR396" s="70">
        <v>0.0</v>
      </c>
      <c r="CS396" s="70">
        <v>0.0</v>
      </c>
      <c r="CT396" s="70">
        <v>0.0</v>
      </c>
      <c r="CU396" s="70">
        <v>0.0</v>
      </c>
      <c r="CV396" s="64">
        <v>0.0</v>
      </c>
      <c r="CW396" s="64">
        <v>0.0</v>
      </c>
      <c r="CX396" s="64">
        <v>283090.0</v>
      </c>
      <c r="CY396" s="64">
        <v>0.0</v>
      </c>
      <c r="CZ396" s="64">
        <v>0.0</v>
      </c>
      <c r="DA396" s="64">
        <v>0.0</v>
      </c>
      <c r="DB396" s="64">
        <v>283090.0</v>
      </c>
      <c r="DC396" s="72">
        <v>0.0</v>
      </c>
      <c r="DD396" s="72">
        <v>0.0</v>
      </c>
      <c r="DE396" s="72">
        <v>0.0</v>
      </c>
      <c r="DF396" s="72">
        <v>0.0</v>
      </c>
      <c r="DG396" s="72">
        <v>0.0</v>
      </c>
      <c r="DH396" s="72">
        <v>0.0</v>
      </c>
      <c r="DI396" s="73">
        <v>2.0608609467E10</v>
      </c>
      <c r="DJ396" s="74" t="s">
        <v>1347</v>
      </c>
      <c r="DK396" s="74" t="s">
        <v>138</v>
      </c>
      <c r="DL396" s="75"/>
      <c r="DM396" s="75"/>
      <c r="DN396" s="75"/>
      <c r="DO396" s="75"/>
      <c r="DP396" s="75"/>
      <c r="DQ396" s="75"/>
      <c r="DR396" s="75"/>
      <c r="DS396" s="75"/>
      <c r="DT396" s="75"/>
      <c r="DU396" s="75"/>
      <c r="DV396" s="75"/>
      <c r="DW396" s="75"/>
      <c r="DX396" s="75"/>
      <c r="DY396" s="75"/>
      <c r="DZ396" s="75"/>
      <c r="EA396" s="75"/>
      <c r="EB396" s="75"/>
      <c r="EC396" s="75"/>
      <c r="ED396" s="75"/>
      <c r="EE396" s="75"/>
    </row>
    <row r="397" ht="47.25" hidden="1" customHeight="1">
      <c r="A397" s="55" t="s">
        <v>1348</v>
      </c>
      <c r="B397" s="55" t="s">
        <v>439</v>
      </c>
      <c r="C397" s="55" t="s">
        <v>439</v>
      </c>
      <c r="D397" s="55" t="s">
        <v>593</v>
      </c>
      <c r="E397" s="55" t="s">
        <v>645</v>
      </c>
      <c r="F397" s="55" t="s">
        <v>593</v>
      </c>
      <c r="G397" s="55" t="s">
        <v>593</v>
      </c>
      <c r="H397" s="55" t="s">
        <v>646</v>
      </c>
      <c r="I397" s="56"/>
      <c r="J397" s="56"/>
      <c r="K397" s="56"/>
      <c r="L397" s="56"/>
      <c r="M397" s="56"/>
      <c r="N397" s="56"/>
      <c r="O397" s="56">
        <v>1.0</v>
      </c>
      <c r="P397" s="56">
        <v>1.0</v>
      </c>
      <c r="Q397" s="56" t="s">
        <v>131</v>
      </c>
      <c r="R397" s="58" t="str">
        <f t="shared" si="1"/>
        <v>2024 - 2025</v>
      </c>
      <c r="S397" s="59" t="str">
        <f>SUM(Hoja1!$I397:$P397)</f>
        <v>2</v>
      </c>
      <c r="T397" s="59" t="str">
        <f>IF(OR(Hoja1!$J397=1,Hoja1!$K397=1,Hoja1!$L397=1,Hoja1!$M397=1,Hoja1!$N397=1,Hoja1!$O397=1,Hoja1!$P397=1),"SI","NO")</f>
        <v>SI</v>
      </c>
      <c r="U397" s="59" t="str">
        <f>IF(OR(Hoja1!$K397=1,Hoja1!$L397=1,Hoja1!$M397=1,Hoja1!$N397=1,Hoja1!$O397=1,Hoja1!$P397=1),"SI","NO")</f>
        <v>SI</v>
      </c>
      <c r="V397" s="60">
        <v>0.0</v>
      </c>
      <c r="W397" s="61">
        <v>0.0</v>
      </c>
      <c r="X397" s="61">
        <v>0.0</v>
      </c>
      <c r="Y397" s="60">
        <v>0.0</v>
      </c>
      <c r="Z397" s="61">
        <v>0.0</v>
      </c>
      <c r="AA397" s="61">
        <v>0.0</v>
      </c>
      <c r="AB397" s="60">
        <v>0.0</v>
      </c>
      <c r="AC397" s="61">
        <v>0.0</v>
      </c>
      <c r="AD397" s="61">
        <v>0.0</v>
      </c>
      <c r="AE397" s="60">
        <v>0.0</v>
      </c>
      <c r="AF397" s="61">
        <v>0.0</v>
      </c>
      <c r="AG397" s="61">
        <v>0.0</v>
      </c>
      <c r="AH397" s="60">
        <v>0.0</v>
      </c>
      <c r="AI397" s="61">
        <v>0.0</v>
      </c>
      <c r="AJ397" s="61">
        <v>0.0</v>
      </c>
      <c r="AK397" s="60">
        <v>0.0</v>
      </c>
      <c r="AL397" s="61">
        <v>15.0</v>
      </c>
      <c r="AM397" s="61">
        <v>4.0</v>
      </c>
      <c r="AN397" s="60">
        <v>19.0</v>
      </c>
      <c r="AO397" s="62">
        <v>8.0</v>
      </c>
      <c r="AP397" s="62">
        <v>6.0</v>
      </c>
      <c r="AQ397" s="60">
        <v>14.0</v>
      </c>
      <c r="AR397" s="60" t="str">
        <f>IF(Hoja1!$AQ397&gt;0,Hoja1!$AQ397,IF(Hoja1!$AN397&gt;0,Hoja1!$AN397,IF(Hoja1!$AK397&gt;0,Hoja1!$AK397,IF(Hoja1!$AH397&gt;0,Hoja1!$AH397,IF(Hoja1!$AE397&gt;0,Hoja1!$AE397,IF(Hoja1!$AB397&gt;0,Hoja1!$AB397,IF(Hoja1!$Y397&gt;0,Hoja1!$Y397,IF(Hoja1!$V397&gt;0,Hoja1!$V397," ---"))))))))</f>
        <v>14</v>
      </c>
      <c r="AS397" s="63">
        <v>0.0</v>
      </c>
      <c r="AT397" s="63">
        <v>0.0</v>
      </c>
      <c r="AU397" s="63">
        <v>0.0</v>
      </c>
      <c r="AV397" s="63">
        <v>0.0</v>
      </c>
      <c r="AW397" s="63">
        <v>0.0</v>
      </c>
      <c r="AX397" s="63">
        <v>0.0</v>
      </c>
      <c r="AY397" s="63">
        <v>0.0</v>
      </c>
      <c r="AZ397" s="63">
        <v>0.0</v>
      </c>
      <c r="BA397" s="63">
        <v>18.0</v>
      </c>
      <c r="BB397" s="63">
        <v>0.0</v>
      </c>
      <c r="BC397" s="63">
        <v>21.0</v>
      </c>
      <c r="BD397" s="63">
        <v>0.0</v>
      </c>
      <c r="BE397" s="64">
        <v>0.0</v>
      </c>
      <c r="BF397" s="69">
        <v>0.0</v>
      </c>
      <c r="BG397" s="69">
        <v>0.0</v>
      </c>
      <c r="BH397" s="64">
        <v>0.0</v>
      </c>
      <c r="BI397" s="67" t="str">
        <f t="shared" si="133"/>
        <v>#REF!</v>
      </c>
      <c r="BJ397" s="68" t="str">
        <f t="shared" si="134"/>
        <v>#REF!</v>
      </c>
      <c r="BK397" s="69">
        <v>0.0</v>
      </c>
      <c r="BL397" s="69">
        <v>0.0</v>
      </c>
      <c r="BM397" s="64">
        <v>0.0</v>
      </c>
      <c r="BN397" s="67" t="str">
        <f t="shared" si="135"/>
        <v>#REF!</v>
      </c>
      <c r="BO397" s="68" t="str">
        <f t="shared" si="136"/>
        <v>#REF!</v>
      </c>
      <c r="BP397" s="65">
        <v>0.0</v>
      </c>
      <c r="BQ397" s="65">
        <v>0.0</v>
      </c>
      <c r="BR397" s="66">
        <v>0.0</v>
      </c>
      <c r="BS397" s="67" t="str">
        <f t="shared" si="137"/>
        <v>#REF!</v>
      </c>
      <c r="BT397" s="68" t="str">
        <f>'[1]DATA CONSOLIDADA 2018-2025 '!$BR397-Hoja1!$BO397</f>
        <v>#REF!</v>
      </c>
      <c r="BU397" s="69">
        <v>0.0</v>
      </c>
      <c r="BV397" s="65">
        <v>0.0</v>
      </c>
      <c r="BW397" s="66">
        <v>0.0</v>
      </c>
      <c r="BX397" s="67" t="str">
        <f t="shared" si="138"/>
        <v>#REF!</v>
      </c>
      <c r="BY397" s="68" t="str">
        <f t="shared" si="139"/>
        <v>#REF!</v>
      </c>
      <c r="BZ397" s="65">
        <v>0.0</v>
      </c>
      <c r="CA397" s="65">
        <v>0.0</v>
      </c>
      <c r="CB397" s="66">
        <v>0.0</v>
      </c>
      <c r="CC397" s="67" t="str">
        <f t="shared" si="140"/>
        <v>#REF!</v>
      </c>
      <c r="CD397" s="68" t="str">
        <f>'[1]DATA CONSOLIDADA 2018-2025 '!$CB397-Hoja1!$BW397</f>
        <v>#REF!</v>
      </c>
      <c r="CE397" s="70">
        <v>24313.5</v>
      </c>
      <c r="CF397" s="70">
        <v>0.0</v>
      </c>
      <c r="CG397" s="71">
        <v>24313.5</v>
      </c>
      <c r="CH397" s="67" t="str">
        <f t="shared" si="141"/>
        <v>#REF!</v>
      </c>
      <c r="CI397" s="68" t="str">
        <f>'[1]DATA CONSOLIDADA 2018-2025 '!$CG397-Hoja1!$CB397</f>
        <v>#REF!</v>
      </c>
      <c r="CJ397" s="64" t="str">
        <f t="shared" si="143"/>
        <v>#REF!</v>
      </c>
      <c r="CK397" s="64">
        <v>90909.0</v>
      </c>
      <c r="CL397" s="64">
        <v>0.0</v>
      </c>
      <c r="CM397" s="64">
        <v>90909.0</v>
      </c>
      <c r="CN397" s="64" t="str">
        <f t="shared" si="12"/>
        <v>#REF!</v>
      </c>
      <c r="CO397" s="68" t="str">
        <f>'[1]DATA CONSOLIDADA 2018-2025 '!$CM397-Hoja1!$CG397</f>
        <v>#REF!</v>
      </c>
      <c r="CP397" s="70">
        <v>0.0</v>
      </c>
      <c r="CQ397" s="70">
        <v>0.0</v>
      </c>
      <c r="CR397" s="70">
        <v>0.0</v>
      </c>
      <c r="CS397" s="70">
        <v>0.0</v>
      </c>
      <c r="CT397" s="70">
        <v>0.0</v>
      </c>
      <c r="CU397" s="70">
        <v>0.0</v>
      </c>
      <c r="CV397" s="64">
        <v>0.0</v>
      </c>
      <c r="CW397" s="64">
        <v>0.0</v>
      </c>
      <c r="CX397" s="64">
        <v>24313.5</v>
      </c>
      <c r="CY397" s="64">
        <v>0.0</v>
      </c>
      <c r="CZ397" s="64">
        <v>0.0</v>
      </c>
      <c r="DA397" s="64">
        <v>0.0</v>
      </c>
      <c r="DB397" s="64">
        <v>24313.5</v>
      </c>
      <c r="DC397" s="72">
        <v>0.0</v>
      </c>
      <c r="DD397" s="72">
        <v>90909.0</v>
      </c>
      <c r="DE397" s="72">
        <v>0.0</v>
      </c>
      <c r="DF397" s="72">
        <v>0.0</v>
      </c>
      <c r="DG397" s="72">
        <v>0.0</v>
      </c>
      <c r="DH397" s="72">
        <v>90909.0</v>
      </c>
      <c r="DI397" s="73">
        <v>2.0603356404E10</v>
      </c>
      <c r="DJ397" s="74" t="s">
        <v>1348</v>
      </c>
      <c r="DK397" s="74" t="s">
        <v>132</v>
      </c>
      <c r="DL397" s="75"/>
      <c r="DM397" s="75"/>
      <c r="DN397" s="75"/>
      <c r="DO397" s="75"/>
      <c r="DP397" s="75"/>
      <c r="DQ397" s="75"/>
      <c r="DR397" s="75"/>
      <c r="DS397" s="75"/>
      <c r="DT397" s="75"/>
      <c r="DU397" s="75"/>
      <c r="DV397" s="75"/>
      <c r="DW397" s="75"/>
      <c r="DX397" s="75"/>
      <c r="DY397" s="75"/>
      <c r="DZ397" s="75"/>
      <c r="EA397" s="75"/>
      <c r="EB397" s="75"/>
      <c r="EC397" s="75"/>
      <c r="ED397" s="75"/>
      <c r="EE397" s="75"/>
    </row>
    <row r="398" ht="47.25" hidden="1" customHeight="1">
      <c r="A398" s="55" t="s">
        <v>1349</v>
      </c>
      <c r="B398" s="55" t="s">
        <v>898</v>
      </c>
      <c r="C398" s="55" t="s">
        <v>898</v>
      </c>
      <c r="D398" s="55" t="s">
        <v>887</v>
      </c>
      <c r="E398" s="55" t="s">
        <v>1350</v>
      </c>
      <c r="F398" s="55" t="s">
        <v>1117</v>
      </c>
      <c r="G398" s="55" t="s">
        <v>1136</v>
      </c>
      <c r="H398" s="55" t="s">
        <v>1351</v>
      </c>
      <c r="I398" s="56"/>
      <c r="J398" s="56"/>
      <c r="K398" s="56"/>
      <c r="L398" s="56"/>
      <c r="M398" s="56"/>
      <c r="N398" s="56"/>
      <c r="O398" s="56">
        <v>1.0</v>
      </c>
      <c r="P398" s="56"/>
      <c r="Q398" s="56" t="s">
        <v>131</v>
      </c>
      <c r="R398" s="58" t="str">
        <f t="shared" si="1"/>
        <v>2024</v>
      </c>
      <c r="S398" s="59" t="str">
        <f>SUM(Hoja1!$I398:$P398)</f>
        <v>1</v>
      </c>
      <c r="T398" s="59" t="str">
        <f>IF(OR(Hoja1!$J398=1,Hoja1!$K398=1,Hoja1!$L398=1,Hoja1!$M398=1,Hoja1!$N398=1,Hoja1!$O398=1,Hoja1!$P398=1),"SI","NO")</f>
        <v>SI</v>
      </c>
      <c r="U398" s="59" t="str">
        <f>IF(OR(Hoja1!$K398=1,Hoja1!$L398=1,Hoja1!$M398=1,Hoja1!$N398=1,Hoja1!$O398=1,Hoja1!$P398=1),"SI","NO")</f>
        <v>SI</v>
      </c>
      <c r="V398" s="60">
        <v>0.0</v>
      </c>
      <c r="W398" s="61">
        <v>0.0</v>
      </c>
      <c r="X398" s="61">
        <v>0.0</v>
      </c>
      <c r="Y398" s="60">
        <v>0.0</v>
      </c>
      <c r="Z398" s="61">
        <v>0.0</v>
      </c>
      <c r="AA398" s="61">
        <v>0.0</v>
      </c>
      <c r="AB398" s="60">
        <v>0.0</v>
      </c>
      <c r="AC398" s="61">
        <v>0.0</v>
      </c>
      <c r="AD398" s="61">
        <v>0.0</v>
      </c>
      <c r="AE398" s="60">
        <v>0.0</v>
      </c>
      <c r="AF398" s="61">
        <v>0.0</v>
      </c>
      <c r="AG398" s="61">
        <v>0.0</v>
      </c>
      <c r="AH398" s="60">
        <v>0.0</v>
      </c>
      <c r="AI398" s="61">
        <v>0.0</v>
      </c>
      <c r="AJ398" s="61">
        <v>0.0</v>
      </c>
      <c r="AK398" s="60">
        <v>0.0</v>
      </c>
      <c r="AL398" s="61">
        <v>6.0</v>
      </c>
      <c r="AM398" s="61">
        <v>9.0</v>
      </c>
      <c r="AN398" s="60">
        <v>15.0</v>
      </c>
      <c r="AO398" s="62">
        <v>0.0</v>
      </c>
      <c r="AP398" s="62">
        <v>0.0</v>
      </c>
      <c r="AQ398" s="60">
        <v>0.0</v>
      </c>
      <c r="AR398" s="60" t="str">
        <f>IF(Hoja1!$AQ398&gt;0,Hoja1!$AQ398,IF(Hoja1!$AN398&gt;0,Hoja1!$AN398,IF(Hoja1!$AK398&gt;0,Hoja1!$AK398,IF(Hoja1!$AH398&gt;0,Hoja1!$AH398,IF(Hoja1!$AE398&gt;0,Hoja1!$AE398,IF(Hoja1!$AB398&gt;0,Hoja1!$AB398,IF(Hoja1!$Y398&gt;0,Hoja1!$Y398,IF(Hoja1!$V398&gt;0,Hoja1!$V398," ---"))))))))</f>
        <v>15</v>
      </c>
      <c r="AS398" s="63">
        <v>0.0</v>
      </c>
      <c r="AT398" s="63">
        <v>0.0</v>
      </c>
      <c r="AU398" s="63">
        <v>0.0</v>
      </c>
      <c r="AV398" s="63">
        <v>0.0</v>
      </c>
      <c r="AW398" s="63">
        <v>0.0</v>
      </c>
      <c r="AX398" s="63">
        <v>0.0</v>
      </c>
      <c r="AY398" s="63">
        <v>0.0</v>
      </c>
      <c r="AZ398" s="63">
        <v>0.0</v>
      </c>
      <c r="BA398" s="63">
        <v>33.0</v>
      </c>
      <c r="BB398" s="63">
        <v>5.0</v>
      </c>
      <c r="BC398" s="63">
        <v>0.0</v>
      </c>
      <c r="BD398" s="63">
        <v>0.0</v>
      </c>
      <c r="BE398" s="64">
        <v>0.0</v>
      </c>
      <c r="BF398" s="69">
        <v>0.0</v>
      </c>
      <c r="BG398" s="69">
        <v>0.0</v>
      </c>
      <c r="BH398" s="64">
        <v>0.0</v>
      </c>
      <c r="BI398" s="67" t="str">
        <f t="shared" si="133"/>
        <v>#REF!</v>
      </c>
      <c r="BJ398" s="68" t="str">
        <f t="shared" si="134"/>
        <v>#REF!</v>
      </c>
      <c r="BK398" s="69">
        <v>0.0</v>
      </c>
      <c r="BL398" s="69">
        <v>0.0</v>
      </c>
      <c r="BM398" s="64">
        <v>0.0</v>
      </c>
      <c r="BN398" s="67" t="str">
        <f t="shared" si="135"/>
        <v>#REF!</v>
      </c>
      <c r="BO398" s="68" t="str">
        <f t="shared" si="136"/>
        <v>#REF!</v>
      </c>
      <c r="BP398" s="65">
        <v>0.0</v>
      </c>
      <c r="BQ398" s="65">
        <v>0.0</v>
      </c>
      <c r="BR398" s="66">
        <v>0.0</v>
      </c>
      <c r="BS398" s="67" t="str">
        <f t="shared" si="137"/>
        <v>#REF!</v>
      </c>
      <c r="BT398" s="68" t="str">
        <f>'[1]DATA CONSOLIDADA 2018-2025 '!$BR398-Hoja1!$BO398</f>
        <v>#REF!</v>
      </c>
      <c r="BU398" s="69">
        <v>0.0</v>
      </c>
      <c r="BV398" s="65">
        <v>0.0</v>
      </c>
      <c r="BW398" s="66">
        <v>0.0</v>
      </c>
      <c r="BX398" s="67" t="str">
        <f t="shared" si="138"/>
        <v>#REF!</v>
      </c>
      <c r="BY398" s="68" t="str">
        <f t="shared" si="139"/>
        <v>#REF!</v>
      </c>
      <c r="BZ398" s="65">
        <v>0.0</v>
      </c>
      <c r="CA398" s="65">
        <v>0.0</v>
      </c>
      <c r="CB398" s="66">
        <v>0.0</v>
      </c>
      <c r="CC398" s="67" t="str">
        <f t="shared" si="140"/>
        <v>#REF!</v>
      </c>
      <c r="CD398" s="68" t="str">
        <f>'[1]DATA CONSOLIDADA 2018-2025 '!$CB398-Hoja1!$BW398</f>
        <v>#REF!</v>
      </c>
      <c r="CE398" s="70">
        <v>52858.0</v>
      </c>
      <c r="CF398" s="70">
        <v>0.0</v>
      </c>
      <c r="CG398" s="71">
        <v>52858.0</v>
      </c>
      <c r="CH398" s="67" t="str">
        <f t="shared" si="141"/>
        <v>#REF!</v>
      </c>
      <c r="CI398" s="68" t="str">
        <f>'[1]DATA CONSOLIDADA 2018-2025 '!$CG398-Hoja1!$CB398</f>
        <v>#REF!</v>
      </c>
      <c r="CJ398" s="64" t="str">
        <f t="shared" si="143"/>
        <v>#REF!</v>
      </c>
      <c r="CK398" s="64">
        <v>0.0</v>
      </c>
      <c r="CL398" s="64">
        <v>0.0</v>
      </c>
      <c r="CM398" s="64">
        <v>0.0</v>
      </c>
      <c r="CN398" s="64" t="str">
        <f t="shared" si="12"/>
        <v>#REF!</v>
      </c>
      <c r="CO398" s="68" t="str">
        <f>'[1]DATA CONSOLIDADA 2018-2025 '!$CM398-Hoja1!$CG398</f>
        <v>#REF!</v>
      </c>
      <c r="CP398" s="70">
        <v>0.0</v>
      </c>
      <c r="CQ398" s="70">
        <v>0.0</v>
      </c>
      <c r="CR398" s="70">
        <v>0.0</v>
      </c>
      <c r="CS398" s="70">
        <v>0.0</v>
      </c>
      <c r="CT398" s="70">
        <v>0.0</v>
      </c>
      <c r="CU398" s="70">
        <v>0.0</v>
      </c>
      <c r="CV398" s="64">
        <v>0.0</v>
      </c>
      <c r="CW398" s="64">
        <v>0.0</v>
      </c>
      <c r="CX398" s="64">
        <v>52858.0</v>
      </c>
      <c r="CY398" s="64">
        <v>0.0</v>
      </c>
      <c r="CZ398" s="64">
        <v>0.0</v>
      </c>
      <c r="DA398" s="64">
        <v>0.0</v>
      </c>
      <c r="DB398" s="64">
        <v>52858.0</v>
      </c>
      <c r="DC398" s="72">
        <v>0.0</v>
      </c>
      <c r="DD398" s="72">
        <v>0.0</v>
      </c>
      <c r="DE398" s="72">
        <v>0.0</v>
      </c>
      <c r="DF398" s="72">
        <v>0.0</v>
      </c>
      <c r="DG398" s="72">
        <v>0.0</v>
      </c>
      <c r="DH398" s="72">
        <v>0.0</v>
      </c>
      <c r="DI398" s="73">
        <v>2.0533263233E10</v>
      </c>
      <c r="DJ398" s="74" t="s">
        <v>1352</v>
      </c>
      <c r="DK398" s="74" t="s">
        <v>138</v>
      </c>
      <c r="DL398" s="75"/>
      <c r="DM398" s="75"/>
      <c r="DN398" s="75"/>
      <c r="DO398" s="75"/>
      <c r="DP398" s="75"/>
      <c r="DQ398" s="75"/>
      <c r="DR398" s="75"/>
      <c r="DS398" s="75"/>
      <c r="DT398" s="75"/>
      <c r="DU398" s="75"/>
      <c r="DV398" s="75"/>
      <c r="DW398" s="75"/>
      <c r="DX398" s="75"/>
      <c r="DY398" s="75"/>
      <c r="DZ398" s="75"/>
      <c r="EA398" s="75"/>
      <c r="EB398" s="75"/>
      <c r="EC398" s="75"/>
      <c r="ED398" s="75"/>
      <c r="EE398" s="75"/>
    </row>
    <row r="399" ht="47.25" hidden="1" customHeight="1">
      <c r="A399" s="55" t="s">
        <v>1353</v>
      </c>
      <c r="B399" s="55" t="s">
        <v>439</v>
      </c>
      <c r="C399" s="55" t="s">
        <v>439</v>
      </c>
      <c r="D399" s="55" t="s">
        <v>593</v>
      </c>
      <c r="E399" s="55" t="s">
        <v>645</v>
      </c>
      <c r="F399" s="55" t="s">
        <v>593</v>
      </c>
      <c r="G399" s="55" t="s">
        <v>593</v>
      </c>
      <c r="H399" s="55" t="s">
        <v>646</v>
      </c>
      <c r="I399" s="56"/>
      <c r="J399" s="56"/>
      <c r="K399" s="56"/>
      <c r="L399" s="56"/>
      <c r="M399" s="56"/>
      <c r="N399" s="56"/>
      <c r="O399" s="56">
        <v>1.0</v>
      </c>
      <c r="P399" s="56"/>
      <c r="Q399" s="56" t="s">
        <v>131</v>
      </c>
      <c r="R399" s="58" t="str">
        <f t="shared" si="1"/>
        <v>2024</v>
      </c>
      <c r="S399" s="59" t="str">
        <f>SUM(Hoja1!$I399:$P399)</f>
        <v>1</v>
      </c>
      <c r="T399" s="59" t="str">
        <f>IF(OR(Hoja1!$J399=1,Hoja1!$K399=1,Hoja1!$L399=1,Hoja1!$M399=1,Hoja1!$N399=1,Hoja1!$O399=1,Hoja1!$P399=1),"SI","NO")</f>
        <v>SI</v>
      </c>
      <c r="U399" s="59" t="str">
        <f>IF(OR(Hoja1!$K399=1,Hoja1!$L399=1,Hoja1!$M399=1,Hoja1!$N399=1,Hoja1!$O399=1,Hoja1!$P399=1),"SI","NO")</f>
        <v>SI</v>
      </c>
      <c r="V399" s="60">
        <v>0.0</v>
      </c>
      <c r="W399" s="61">
        <v>0.0</v>
      </c>
      <c r="X399" s="61">
        <v>0.0</v>
      </c>
      <c r="Y399" s="60">
        <v>0.0</v>
      </c>
      <c r="Z399" s="61">
        <v>0.0</v>
      </c>
      <c r="AA399" s="61">
        <v>0.0</v>
      </c>
      <c r="AB399" s="60">
        <v>0.0</v>
      </c>
      <c r="AC399" s="61">
        <v>0.0</v>
      </c>
      <c r="AD399" s="61">
        <v>0.0</v>
      </c>
      <c r="AE399" s="60">
        <v>0.0</v>
      </c>
      <c r="AF399" s="61">
        <v>0.0</v>
      </c>
      <c r="AG399" s="61">
        <v>0.0</v>
      </c>
      <c r="AH399" s="60">
        <v>0.0</v>
      </c>
      <c r="AI399" s="61">
        <v>0.0</v>
      </c>
      <c r="AJ399" s="61">
        <v>0.0</v>
      </c>
      <c r="AK399" s="60">
        <v>0.0</v>
      </c>
      <c r="AL399" s="61">
        <v>24.0</v>
      </c>
      <c r="AM399" s="61">
        <v>6.0</v>
      </c>
      <c r="AN399" s="60">
        <v>30.0</v>
      </c>
      <c r="AO399" s="62">
        <v>0.0</v>
      </c>
      <c r="AP399" s="62">
        <v>0.0</v>
      </c>
      <c r="AQ399" s="60">
        <v>0.0</v>
      </c>
      <c r="AR399" s="60" t="str">
        <f>IF(Hoja1!$AQ399&gt;0,Hoja1!$AQ399,IF(Hoja1!$AN399&gt;0,Hoja1!$AN399,IF(Hoja1!$AK399&gt;0,Hoja1!$AK399,IF(Hoja1!$AH399&gt;0,Hoja1!$AH399,IF(Hoja1!$AE399&gt;0,Hoja1!$AE399,IF(Hoja1!$AB399&gt;0,Hoja1!$AB399,IF(Hoja1!$Y399&gt;0,Hoja1!$Y399,IF(Hoja1!$V399&gt;0,Hoja1!$V399," ---"))))))))</f>
        <v>30</v>
      </c>
      <c r="AS399" s="63">
        <v>0.0</v>
      </c>
      <c r="AT399" s="63">
        <v>0.0</v>
      </c>
      <c r="AU399" s="63">
        <v>0.0</v>
      </c>
      <c r="AV399" s="63">
        <v>0.0</v>
      </c>
      <c r="AW399" s="63">
        <v>0.0</v>
      </c>
      <c r="AX399" s="63">
        <v>0.0</v>
      </c>
      <c r="AY399" s="63">
        <v>0.0</v>
      </c>
      <c r="AZ399" s="63">
        <v>0.0</v>
      </c>
      <c r="BA399" s="63">
        <v>18.0</v>
      </c>
      <c r="BB399" s="63">
        <v>0.0</v>
      </c>
      <c r="BC399" s="63">
        <v>0.0</v>
      </c>
      <c r="BD399" s="63">
        <v>0.0</v>
      </c>
      <c r="BE399" s="64">
        <v>0.0</v>
      </c>
      <c r="BF399" s="69">
        <v>0.0</v>
      </c>
      <c r="BG399" s="69">
        <v>0.0</v>
      </c>
      <c r="BH399" s="64">
        <v>0.0</v>
      </c>
      <c r="BI399" s="67" t="str">
        <f t="shared" si="133"/>
        <v>#REF!</v>
      </c>
      <c r="BJ399" s="68" t="str">
        <f t="shared" si="134"/>
        <v>#REF!</v>
      </c>
      <c r="BK399" s="69">
        <v>0.0</v>
      </c>
      <c r="BL399" s="69">
        <v>0.0</v>
      </c>
      <c r="BM399" s="64">
        <v>0.0</v>
      </c>
      <c r="BN399" s="67" t="str">
        <f t="shared" si="135"/>
        <v>#REF!</v>
      </c>
      <c r="BO399" s="68" t="str">
        <f t="shared" si="136"/>
        <v>#REF!</v>
      </c>
      <c r="BP399" s="65">
        <v>0.0</v>
      </c>
      <c r="BQ399" s="65">
        <v>0.0</v>
      </c>
      <c r="BR399" s="66">
        <v>0.0</v>
      </c>
      <c r="BS399" s="67" t="str">
        <f t="shared" si="137"/>
        <v>#REF!</v>
      </c>
      <c r="BT399" s="68" t="str">
        <f>'[1]DATA CONSOLIDADA 2018-2025 '!$BR399-Hoja1!$BO399</f>
        <v>#REF!</v>
      </c>
      <c r="BU399" s="69">
        <v>0.0</v>
      </c>
      <c r="BV399" s="65">
        <v>0.0</v>
      </c>
      <c r="BW399" s="66">
        <v>0.0</v>
      </c>
      <c r="BX399" s="67" t="str">
        <f t="shared" si="138"/>
        <v>#REF!</v>
      </c>
      <c r="BY399" s="68" t="str">
        <f t="shared" si="139"/>
        <v>#REF!</v>
      </c>
      <c r="BZ399" s="65">
        <v>0.0</v>
      </c>
      <c r="CA399" s="65">
        <v>0.0</v>
      </c>
      <c r="CB399" s="66">
        <v>0.0</v>
      </c>
      <c r="CC399" s="67" t="str">
        <f t="shared" si="140"/>
        <v>#REF!</v>
      </c>
      <c r="CD399" s="68" t="str">
        <f>'[1]DATA CONSOLIDADA 2018-2025 '!$CB399-Hoja1!$BW399</f>
        <v>#REF!</v>
      </c>
      <c r="CE399" s="70">
        <v>26114.6</v>
      </c>
      <c r="CF399" s="70">
        <v>0.0</v>
      </c>
      <c r="CG399" s="71">
        <v>26114.6</v>
      </c>
      <c r="CH399" s="67" t="str">
        <f t="shared" si="141"/>
        <v>#REF!</v>
      </c>
      <c r="CI399" s="68" t="str">
        <f>'[1]DATA CONSOLIDADA 2018-2025 '!$CG399-Hoja1!$CB399</f>
        <v>#REF!</v>
      </c>
      <c r="CJ399" s="64" t="str">
        <f t="shared" si="143"/>
        <v>#REF!</v>
      </c>
      <c r="CK399" s="64">
        <v>0.0</v>
      </c>
      <c r="CL399" s="64">
        <v>0.0</v>
      </c>
      <c r="CM399" s="64">
        <v>0.0</v>
      </c>
      <c r="CN399" s="64" t="str">
        <f t="shared" si="12"/>
        <v>#REF!</v>
      </c>
      <c r="CO399" s="68" t="str">
        <f>'[1]DATA CONSOLIDADA 2018-2025 '!$CM399-Hoja1!$CG399</f>
        <v>#REF!</v>
      </c>
      <c r="CP399" s="70">
        <v>0.0</v>
      </c>
      <c r="CQ399" s="70">
        <v>0.0</v>
      </c>
      <c r="CR399" s="70">
        <v>0.0</v>
      </c>
      <c r="CS399" s="70">
        <v>0.0</v>
      </c>
      <c r="CT399" s="70">
        <v>0.0</v>
      </c>
      <c r="CU399" s="70">
        <v>0.0</v>
      </c>
      <c r="CV399" s="64">
        <v>0.0</v>
      </c>
      <c r="CW399" s="64">
        <v>0.0</v>
      </c>
      <c r="CX399" s="64">
        <v>26114.6</v>
      </c>
      <c r="CY399" s="64">
        <v>0.0</v>
      </c>
      <c r="CZ399" s="64">
        <v>0.0</v>
      </c>
      <c r="DA399" s="64">
        <v>0.0</v>
      </c>
      <c r="DB399" s="64">
        <v>26114.6</v>
      </c>
      <c r="DC399" s="72">
        <v>0.0</v>
      </c>
      <c r="DD399" s="72">
        <v>0.0</v>
      </c>
      <c r="DE399" s="72">
        <v>0.0</v>
      </c>
      <c r="DF399" s="72">
        <v>0.0</v>
      </c>
      <c r="DG399" s="72">
        <v>0.0</v>
      </c>
      <c r="DH399" s="72">
        <v>0.0</v>
      </c>
      <c r="DI399" s="73">
        <v>2.0600836995E10</v>
      </c>
      <c r="DJ399" s="74" t="s">
        <v>1353</v>
      </c>
      <c r="DK399" s="74" t="s">
        <v>138</v>
      </c>
      <c r="DL399" s="75"/>
      <c r="DM399" s="75"/>
      <c r="DN399" s="75"/>
      <c r="DO399" s="75"/>
      <c r="DP399" s="75"/>
      <c r="DQ399" s="75"/>
      <c r="DR399" s="75"/>
      <c r="DS399" s="75"/>
      <c r="DT399" s="75"/>
      <c r="DU399" s="75"/>
      <c r="DV399" s="75"/>
      <c r="DW399" s="75"/>
      <c r="DX399" s="75"/>
      <c r="DY399" s="75"/>
      <c r="DZ399" s="75"/>
      <c r="EA399" s="75"/>
      <c r="EB399" s="75"/>
      <c r="EC399" s="75"/>
      <c r="ED399" s="75"/>
      <c r="EE399" s="75"/>
    </row>
    <row r="400" ht="47.25" hidden="1" customHeight="1">
      <c r="A400" s="55" t="s">
        <v>1354</v>
      </c>
      <c r="B400" s="55" t="s">
        <v>1355</v>
      </c>
      <c r="C400" s="55" t="s">
        <v>1355</v>
      </c>
      <c r="D400" s="55" t="s">
        <v>887</v>
      </c>
      <c r="E400" s="55" t="s">
        <v>1139</v>
      </c>
      <c r="F400" s="55" t="s">
        <v>1117</v>
      </c>
      <c r="G400" s="55" t="s">
        <v>1131</v>
      </c>
      <c r="H400" s="55" t="s">
        <v>1140</v>
      </c>
      <c r="I400" s="56"/>
      <c r="J400" s="56"/>
      <c r="K400" s="56"/>
      <c r="L400" s="56"/>
      <c r="M400" s="56"/>
      <c r="N400" s="56"/>
      <c r="O400" s="56">
        <v>1.0</v>
      </c>
      <c r="P400" s="56">
        <v>1.0</v>
      </c>
      <c r="Q400" s="56" t="s">
        <v>131</v>
      </c>
      <c r="R400" s="58" t="str">
        <f t="shared" si="1"/>
        <v>2024 - 2025</v>
      </c>
      <c r="S400" s="59" t="str">
        <f>SUM(Hoja1!$I400:$P400)</f>
        <v>2</v>
      </c>
      <c r="T400" s="59" t="str">
        <f>IF(OR(Hoja1!$J400=1,Hoja1!$K400=1,Hoja1!$L400=1,Hoja1!$M400=1,Hoja1!$N400=1,Hoja1!$O400=1,Hoja1!$P400=1),"SI","NO")</f>
        <v>SI</v>
      </c>
      <c r="U400" s="59" t="str">
        <f>IF(OR(Hoja1!$K400=1,Hoja1!$L400=1,Hoja1!$M400=1,Hoja1!$N400=1,Hoja1!$O400=1,Hoja1!$P400=1),"SI","NO")</f>
        <v>SI</v>
      </c>
      <c r="V400" s="60">
        <v>0.0</v>
      </c>
      <c r="W400" s="61">
        <v>0.0</v>
      </c>
      <c r="X400" s="61">
        <v>0.0</v>
      </c>
      <c r="Y400" s="60">
        <v>0.0</v>
      </c>
      <c r="Z400" s="61">
        <v>0.0</v>
      </c>
      <c r="AA400" s="61">
        <v>0.0</v>
      </c>
      <c r="AB400" s="60">
        <v>0.0</v>
      </c>
      <c r="AC400" s="61">
        <v>0.0</v>
      </c>
      <c r="AD400" s="61">
        <v>0.0</v>
      </c>
      <c r="AE400" s="60">
        <v>0.0</v>
      </c>
      <c r="AF400" s="61">
        <v>0.0</v>
      </c>
      <c r="AG400" s="61">
        <v>0.0</v>
      </c>
      <c r="AH400" s="60">
        <v>0.0</v>
      </c>
      <c r="AI400" s="61">
        <v>0.0</v>
      </c>
      <c r="AJ400" s="61">
        <v>0.0</v>
      </c>
      <c r="AK400" s="60">
        <v>0.0</v>
      </c>
      <c r="AL400" s="61">
        <v>7.0</v>
      </c>
      <c r="AM400" s="61">
        <v>10.0</v>
      </c>
      <c r="AN400" s="60">
        <v>17.0</v>
      </c>
      <c r="AO400" s="62">
        <v>7.0</v>
      </c>
      <c r="AP400" s="62">
        <v>10.0</v>
      </c>
      <c r="AQ400" s="60">
        <v>17.0</v>
      </c>
      <c r="AR400" s="60" t="str">
        <f>IF(Hoja1!$AQ400&gt;0,Hoja1!$AQ400,IF(Hoja1!$AN400&gt;0,Hoja1!$AN400,IF(Hoja1!$AK400&gt;0,Hoja1!$AK400,IF(Hoja1!$AH400&gt;0,Hoja1!$AH400,IF(Hoja1!$AE400&gt;0,Hoja1!$AE400,IF(Hoja1!$AB400&gt;0,Hoja1!$AB400,IF(Hoja1!$Y400&gt;0,Hoja1!$Y400,IF(Hoja1!$V400&gt;0,Hoja1!$V400," ---"))))))))</f>
        <v>17</v>
      </c>
      <c r="AS400" s="63">
        <v>0.0</v>
      </c>
      <c r="AT400" s="63">
        <v>0.0</v>
      </c>
      <c r="AU400" s="63">
        <v>0.0</v>
      </c>
      <c r="AV400" s="63">
        <v>0.0</v>
      </c>
      <c r="AW400" s="63">
        <v>0.0</v>
      </c>
      <c r="AX400" s="63">
        <v>0.0</v>
      </c>
      <c r="AY400" s="63">
        <v>0.0</v>
      </c>
      <c r="AZ400" s="63">
        <v>0.0</v>
      </c>
      <c r="BA400" s="63">
        <v>2.0</v>
      </c>
      <c r="BB400" s="63">
        <v>0.0</v>
      </c>
      <c r="BC400" s="63">
        <v>6.0</v>
      </c>
      <c r="BD400" s="63">
        <v>0.0</v>
      </c>
      <c r="BE400" s="64">
        <v>0.0</v>
      </c>
      <c r="BF400" s="69">
        <v>0.0</v>
      </c>
      <c r="BG400" s="69">
        <v>0.0</v>
      </c>
      <c r="BH400" s="64">
        <v>0.0</v>
      </c>
      <c r="BI400" s="67" t="str">
        <f t="shared" si="133"/>
        <v>#REF!</v>
      </c>
      <c r="BJ400" s="68" t="str">
        <f t="shared" si="134"/>
        <v>#REF!</v>
      </c>
      <c r="BK400" s="69">
        <v>0.0</v>
      </c>
      <c r="BL400" s="69">
        <v>0.0</v>
      </c>
      <c r="BM400" s="64">
        <v>0.0</v>
      </c>
      <c r="BN400" s="67" t="str">
        <f t="shared" si="135"/>
        <v>#REF!</v>
      </c>
      <c r="BO400" s="68" t="str">
        <f t="shared" si="136"/>
        <v>#REF!</v>
      </c>
      <c r="BP400" s="65">
        <v>0.0</v>
      </c>
      <c r="BQ400" s="65">
        <v>0.0</v>
      </c>
      <c r="BR400" s="66">
        <v>0.0</v>
      </c>
      <c r="BS400" s="67" t="str">
        <f t="shared" si="137"/>
        <v>#REF!</v>
      </c>
      <c r="BT400" s="68" t="str">
        <f>'[1]DATA CONSOLIDADA 2018-2025 '!$BR400-Hoja1!$BO400</f>
        <v>#REF!</v>
      </c>
      <c r="BU400" s="69">
        <v>0.0</v>
      </c>
      <c r="BV400" s="65">
        <v>0.0</v>
      </c>
      <c r="BW400" s="66">
        <v>0.0</v>
      </c>
      <c r="BX400" s="67" t="str">
        <f t="shared" si="138"/>
        <v>#REF!</v>
      </c>
      <c r="BY400" s="68" t="str">
        <f t="shared" si="139"/>
        <v>#REF!</v>
      </c>
      <c r="BZ400" s="65">
        <v>0.0</v>
      </c>
      <c r="CA400" s="65">
        <v>0.0</v>
      </c>
      <c r="CB400" s="66">
        <v>0.0</v>
      </c>
      <c r="CC400" s="67" t="str">
        <f t="shared" si="140"/>
        <v>#REF!</v>
      </c>
      <c r="CD400" s="68" t="str">
        <f>'[1]DATA CONSOLIDADA 2018-2025 '!$CB400-Hoja1!$BW400</f>
        <v>#REF!</v>
      </c>
      <c r="CE400" s="70">
        <v>66500.0</v>
      </c>
      <c r="CF400" s="70">
        <v>0.0</v>
      </c>
      <c r="CG400" s="71">
        <v>66500.0</v>
      </c>
      <c r="CH400" s="67" t="str">
        <f t="shared" si="141"/>
        <v>#REF!</v>
      </c>
      <c r="CI400" s="68" t="str">
        <f>'[1]DATA CONSOLIDADA 2018-2025 '!$CG400-Hoja1!$CB400</f>
        <v>#REF!</v>
      </c>
      <c r="CJ400" s="64" t="str">
        <f t="shared" si="143"/>
        <v>#REF!</v>
      </c>
      <c r="CK400" s="64">
        <v>0.0</v>
      </c>
      <c r="CL400" s="64">
        <v>0.0</v>
      </c>
      <c r="CM400" s="64">
        <v>0.0</v>
      </c>
      <c r="CN400" s="64" t="str">
        <f t="shared" si="12"/>
        <v>#REF!</v>
      </c>
      <c r="CO400" s="68" t="str">
        <f>'[1]DATA CONSOLIDADA 2018-2025 '!$CM400-Hoja1!$CG400</f>
        <v>#REF!</v>
      </c>
      <c r="CP400" s="70">
        <v>0.0</v>
      </c>
      <c r="CQ400" s="70">
        <v>0.0</v>
      </c>
      <c r="CR400" s="70">
        <v>0.0</v>
      </c>
      <c r="CS400" s="70">
        <v>0.0</v>
      </c>
      <c r="CT400" s="70">
        <v>0.0</v>
      </c>
      <c r="CU400" s="70">
        <v>0.0</v>
      </c>
      <c r="CV400" s="64">
        <v>0.0</v>
      </c>
      <c r="CW400" s="64">
        <v>0.0</v>
      </c>
      <c r="CX400" s="64">
        <v>66500.0</v>
      </c>
      <c r="CY400" s="64">
        <v>0.0</v>
      </c>
      <c r="CZ400" s="64">
        <v>0.0</v>
      </c>
      <c r="DA400" s="64">
        <v>0.0</v>
      </c>
      <c r="DB400" s="64">
        <v>66500.0</v>
      </c>
      <c r="DC400" s="72">
        <v>0.0</v>
      </c>
      <c r="DD400" s="72">
        <v>0.0</v>
      </c>
      <c r="DE400" s="72">
        <v>0.0</v>
      </c>
      <c r="DF400" s="72">
        <v>0.0</v>
      </c>
      <c r="DG400" s="72">
        <v>0.0</v>
      </c>
      <c r="DH400" s="72">
        <v>0.0</v>
      </c>
      <c r="DI400" s="73">
        <v>2.0608470388E10</v>
      </c>
      <c r="DJ400" s="74" t="s">
        <v>1356</v>
      </c>
      <c r="DK400" s="74" t="s">
        <v>138</v>
      </c>
      <c r="DL400" s="75"/>
      <c r="DM400" s="75"/>
      <c r="DN400" s="75"/>
      <c r="DO400" s="75"/>
      <c r="DP400" s="75"/>
      <c r="DQ400" s="75"/>
      <c r="DR400" s="75"/>
      <c r="DS400" s="75"/>
      <c r="DT400" s="75"/>
      <c r="DU400" s="75"/>
      <c r="DV400" s="75"/>
      <c r="DW400" s="75"/>
      <c r="DX400" s="75"/>
      <c r="DY400" s="75"/>
      <c r="DZ400" s="75"/>
      <c r="EA400" s="75"/>
      <c r="EB400" s="75"/>
      <c r="EC400" s="75"/>
      <c r="ED400" s="75"/>
      <c r="EE400" s="75"/>
    </row>
    <row r="401" ht="47.25" hidden="1" customHeight="1">
      <c r="A401" s="83" t="s">
        <v>1357</v>
      </c>
      <c r="B401" s="83" t="s">
        <v>126</v>
      </c>
      <c r="C401" s="83" t="s">
        <v>126</v>
      </c>
      <c r="D401" s="83" t="s">
        <v>967</v>
      </c>
      <c r="E401" s="83" t="s">
        <v>1358</v>
      </c>
      <c r="F401" s="83" t="s">
        <v>967</v>
      </c>
      <c r="G401" s="83" t="s">
        <v>967</v>
      </c>
      <c r="H401" s="83" t="s">
        <v>967</v>
      </c>
      <c r="I401" s="56"/>
      <c r="J401" s="56"/>
      <c r="K401" s="56"/>
      <c r="L401" s="56"/>
      <c r="M401" s="56"/>
      <c r="N401" s="56"/>
      <c r="O401" s="56">
        <v>1.0</v>
      </c>
      <c r="P401" s="56">
        <v>1.0</v>
      </c>
      <c r="Q401" s="56" t="s">
        <v>131</v>
      </c>
      <c r="R401" s="58" t="str">
        <f t="shared" si="1"/>
        <v>2024 - 2025</v>
      </c>
      <c r="S401" s="59" t="str">
        <f>SUM(Hoja1!$I401:$P401)</f>
        <v>2</v>
      </c>
      <c r="T401" s="59" t="str">
        <f>IF(OR(Hoja1!$J401=1,Hoja1!$K401=1,Hoja1!$L401=1,Hoja1!$M401=1,Hoja1!$N401=1,Hoja1!$O401=1,Hoja1!$P401=1),"SI","NO")</f>
        <v>SI</v>
      </c>
      <c r="U401" s="59" t="str">
        <f>IF(OR(Hoja1!$K401=1,Hoja1!$L401=1,Hoja1!$M401=1,Hoja1!$N401=1,Hoja1!$O401=1,Hoja1!$P401=1),"SI","NO")</f>
        <v>SI</v>
      </c>
      <c r="V401" s="60">
        <v>0.0</v>
      </c>
      <c r="W401" s="61">
        <v>0.0</v>
      </c>
      <c r="X401" s="61">
        <v>0.0</v>
      </c>
      <c r="Y401" s="60">
        <v>0.0</v>
      </c>
      <c r="Z401" s="61">
        <v>0.0</v>
      </c>
      <c r="AA401" s="61">
        <v>0.0</v>
      </c>
      <c r="AB401" s="60">
        <v>0.0</v>
      </c>
      <c r="AC401" s="61">
        <v>0.0</v>
      </c>
      <c r="AD401" s="61">
        <v>0.0</v>
      </c>
      <c r="AE401" s="60">
        <v>0.0</v>
      </c>
      <c r="AF401" s="61">
        <v>0.0</v>
      </c>
      <c r="AG401" s="61">
        <v>0.0</v>
      </c>
      <c r="AH401" s="60">
        <v>0.0</v>
      </c>
      <c r="AI401" s="61">
        <v>0.0</v>
      </c>
      <c r="AJ401" s="61">
        <v>0.0</v>
      </c>
      <c r="AK401" s="60">
        <v>0.0</v>
      </c>
      <c r="AL401" s="61">
        <v>25.0</v>
      </c>
      <c r="AM401" s="61">
        <v>20.0</v>
      </c>
      <c r="AN401" s="60">
        <v>45.0</v>
      </c>
      <c r="AO401" s="62">
        <v>0.0</v>
      </c>
      <c r="AP401" s="62">
        <v>0.0</v>
      </c>
      <c r="AQ401" s="60">
        <v>0.0</v>
      </c>
      <c r="AR401" s="60" t="str">
        <f>IF(Hoja1!$AQ401&gt;0,Hoja1!$AQ401,IF(Hoja1!$AN401&gt;0,Hoja1!$AN401,IF(Hoja1!$AK401&gt;0,Hoja1!$AK401,IF(Hoja1!$AH401&gt;0,Hoja1!$AH401,IF(Hoja1!$AE401&gt;0,Hoja1!$AE401,IF(Hoja1!$AB401&gt;0,Hoja1!$AB401,IF(Hoja1!$Y401&gt;0,Hoja1!$Y401,IF(Hoja1!$V401&gt;0,Hoja1!$V401," ---"))))))))</f>
        <v>45</v>
      </c>
      <c r="AS401" s="63">
        <v>0.0</v>
      </c>
      <c r="AT401" s="63">
        <v>0.0</v>
      </c>
      <c r="AU401" s="63">
        <v>0.0</v>
      </c>
      <c r="AV401" s="63">
        <v>0.0</v>
      </c>
      <c r="AW401" s="63">
        <v>0.0</v>
      </c>
      <c r="AX401" s="63">
        <v>0.0</v>
      </c>
      <c r="AY401" s="63">
        <v>0.0</v>
      </c>
      <c r="AZ401" s="63">
        <v>0.0</v>
      </c>
      <c r="BA401" s="63">
        <v>46.0</v>
      </c>
      <c r="BB401" s="63">
        <v>3.0</v>
      </c>
      <c r="BC401" s="63">
        <v>0.0</v>
      </c>
      <c r="BD401" s="63">
        <v>0.0</v>
      </c>
      <c r="BE401" s="64">
        <v>0.0</v>
      </c>
      <c r="BF401" s="69">
        <v>0.0</v>
      </c>
      <c r="BG401" s="69">
        <v>0.0</v>
      </c>
      <c r="BH401" s="64">
        <v>0.0</v>
      </c>
      <c r="BI401" s="67" t="str">
        <f t="shared" si="133"/>
        <v>#REF!</v>
      </c>
      <c r="BJ401" s="68" t="str">
        <f t="shared" si="134"/>
        <v>#REF!</v>
      </c>
      <c r="BK401" s="69">
        <v>0.0</v>
      </c>
      <c r="BL401" s="69">
        <v>0.0</v>
      </c>
      <c r="BM401" s="64">
        <v>0.0</v>
      </c>
      <c r="BN401" s="67" t="str">
        <f t="shared" si="135"/>
        <v>#REF!</v>
      </c>
      <c r="BO401" s="68" t="str">
        <f t="shared" si="136"/>
        <v>#REF!</v>
      </c>
      <c r="BP401" s="65">
        <v>0.0</v>
      </c>
      <c r="BQ401" s="65">
        <v>0.0</v>
      </c>
      <c r="BR401" s="66">
        <v>0.0</v>
      </c>
      <c r="BS401" s="67" t="str">
        <f t="shared" si="137"/>
        <v>#REF!</v>
      </c>
      <c r="BT401" s="68" t="str">
        <f>'[1]DATA CONSOLIDADA 2018-2025 '!$BR401-Hoja1!$BO401</f>
        <v>#REF!</v>
      </c>
      <c r="BU401" s="69">
        <v>0.0</v>
      </c>
      <c r="BV401" s="65">
        <v>0.0</v>
      </c>
      <c r="BW401" s="66">
        <v>0.0</v>
      </c>
      <c r="BX401" s="67" t="str">
        <f t="shared" si="138"/>
        <v>#REF!</v>
      </c>
      <c r="BY401" s="68" t="str">
        <f t="shared" si="139"/>
        <v>#REF!</v>
      </c>
      <c r="BZ401" s="65">
        <v>0.0</v>
      </c>
      <c r="CA401" s="65">
        <v>0.0</v>
      </c>
      <c r="CB401" s="66">
        <v>0.0</v>
      </c>
      <c r="CC401" s="67" t="str">
        <f t="shared" si="140"/>
        <v>#REF!</v>
      </c>
      <c r="CD401" s="68" t="str">
        <f>'[1]DATA CONSOLIDADA 2018-2025 '!$CB401-Hoja1!$BW401</f>
        <v>#REF!</v>
      </c>
      <c r="CE401" s="70">
        <v>0.0</v>
      </c>
      <c r="CF401" s="70">
        <v>0.0</v>
      </c>
      <c r="CG401" s="71">
        <v>0.0</v>
      </c>
      <c r="CH401" s="67" t="str">
        <f t="shared" si="141"/>
        <v>#REF!</v>
      </c>
      <c r="CI401" s="68" t="str">
        <f>'[1]DATA CONSOLIDADA 2018-2025 '!$CG401-Hoja1!$CB401</f>
        <v>#REF!</v>
      </c>
      <c r="CJ401" s="64" t="str">
        <f t="shared" si="143"/>
        <v>#REF!</v>
      </c>
      <c r="CK401" s="64">
        <v>0.0</v>
      </c>
      <c r="CL401" s="64">
        <v>0.0</v>
      </c>
      <c r="CM401" s="64">
        <v>0.0</v>
      </c>
      <c r="CN401" s="64" t="str">
        <f t="shared" si="12"/>
        <v>#REF!</v>
      </c>
      <c r="CO401" s="68" t="str">
        <f>'[1]DATA CONSOLIDADA 2018-2025 '!$CM401-Hoja1!$CG401</f>
        <v>#REF!</v>
      </c>
      <c r="CP401" s="70">
        <v>0.0</v>
      </c>
      <c r="CQ401" s="70">
        <v>0.0</v>
      </c>
      <c r="CR401" s="70">
        <v>0.0</v>
      </c>
      <c r="CS401" s="70">
        <v>0.0</v>
      </c>
      <c r="CT401" s="70">
        <v>0.0</v>
      </c>
      <c r="CU401" s="70">
        <v>0.0</v>
      </c>
      <c r="CV401" s="64">
        <v>0.0</v>
      </c>
      <c r="CW401" s="64">
        <v>0.0</v>
      </c>
      <c r="CX401" s="64">
        <v>0.0</v>
      </c>
      <c r="CY401" s="64">
        <v>0.0</v>
      </c>
      <c r="CZ401" s="64">
        <v>0.0</v>
      </c>
      <c r="DA401" s="64">
        <v>0.0</v>
      </c>
      <c r="DB401" s="64">
        <v>0.0</v>
      </c>
      <c r="DC401" s="72">
        <v>0.0</v>
      </c>
      <c r="DD401" s="72">
        <v>0.0</v>
      </c>
      <c r="DE401" s="72">
        <v>0.0</v>
      </c>
      <c r="DF401" s="72">
        <v>0.0</v>
      </c>
      <c r="DG401" s="72">
        <v>0.0</v>
      </c>
      <c r="DH401" s="72">
        <v>0.0</v>
      </c>
      <c r="DI401" s="73">
        <v>2.0607382604E10</v>
      </c>
      <c r="DJ401" s="74" t="s">
        <v>1357</v>
      </c>
      <c r="DK401" s="74" t="s">
        <v>138</v>
      </c>
      <c r="DL401" s="75"/>
      <c r="DM401" s="75"/>
      <c r="DN401" s="75"/>
      <c r="DO401" s="75"/>
      <c r="DP401" s="75"/>
      <c r="DQ401" s="75"/>
      <c r="DR401" s="75"/>
      <c r="DS401" s="75"/>
      <c r="DT401" s="75"/>
      <c r="DU401" s="75"/>
      <c r="DV401" s="75"/>
      <c r="DW401" s="75"/>
      <c r="DX401" s="75"/>
      <c r="DY401" s="75"/>
      <c r="DZ401" s="75"/>
      <c r="EA401" s="75"/>
      <c r="EB401" s="75"/>
      <c r="EC401" s="75"/>
      <c r="ED401" s="75"/>
      <c r="EE401" s="75"/>
    </row>
    <row r="402" ht="47.25" hidden="1" customHeight="1">
      <c r="A402" s="55" t="s">
        <v>1359</v>
      </c>
      <c r="B402" s="55" t="s">
        <v>126</v>
      </c>
      <c r="C402" s="55" t="s">
        <v>126</v>
      </c>
      <c r="D402" s="55" t="s">
        <v>127</v>
      </c>
      <c r="E402" s="55" t="s">
        <v>1360</v>
      </c>
      <c r="F402" s="55" t="s">
        <v>127</v>
      </c>
      <c r="G402" s="55" t="s">
        <v>1361</v>
      </c>
      <c r="H402" s="55" t="s">
        <v>1361</v>
      </c>
      <c r="I402" s="56"/>
      <c r="J402" s="56"/>
      <c r="K402" s="56"/>
      <c r="L402" s="56"/>
      <c r="M402" s="56"/>
      <c r="N402" s="56"/>
      <c r="O402" s="56">
        <v>1.0</v>
      </c>
      <c r="P402" s="56"/>
      <c r="Q402" s="56" t="s">
        <v>131</v>
      </c>
      <c r="R402" s="58" t="str">
        <f t="shared" si="1"/>
        <v>2024</v>
      </c>
      <c r="S402" s="59" t="str">
        <f>SUM(Hoja1!$I402:$P402)</f>
        <v>1</v>
      </c>
      <c r="T402" s="59" t="str">
        <f>IF(OR(Hoja1!$J402=1,Hoja1!$K402=1,Hoja1!$L402=1,Hoja1!$M402=1,Hoja1!$N402=1,Hoja1!$O402=1,Hoja1!$P402=1),"SI","NO")</f>
        <v>SI</v>
      </c>
      <c r="U402" s="59" t="str">
        <f>IF(OR(Hoja1!$K402=1,Hoja1!$L402=1,Hoja1!$M402=1,Hoja1!$N402=1,Hoja1!$O402=1,Hoja1!$P402=1),"SI","NO")</f>
        <v>SI</v>
      </c>
      <c r="V402" s="60">
        <v>0.0</v>
      </c>
      <c r="W402" s="61">
        <v>0.0</v>
      </c>
      <c r="X402" s="61">
        <v>0.0</v>
      </c>
      <c r="Y402" s="60">
        <v>0.0</v>
      </c>
      <c r="Z402" s="61">
        <v>0.0</v>
      </c>
      <c r="AA402" s="61">
        <v>0.0</v>
      </c>
      <c r="AB402" s="60">
        <v>0.0</v>
      </c>
      <c r="AC402" s="61">
        <v>0.0</v>
      </c>
      <c r="AD402" s="61">
        <v>0.0</v>
      </c>
      <c r="AE402" s="60">
        <v>0.0</v>
      </c>
      <c r="AF402" s="61">
        <v>0.0</v>
      </c>
      <c r="AG402" s="61">
        <v>0.0</v>
      </c>
      <c r="AH402" s="60">
        <v>0.0</v>
      </c>
      <c r="AI402" s="61">
        <v>0.0</v>
      </c>
      <c r="AJ402" s="61">
        <v>0.0</v>
      </c>
      <c r="AK402" s="60">
        <v>0.0</v>
      </c>
      <c r="AL402" s="61">
        <v>550.0</v>
      </c>
      <c r="AM402" s="61">
        <v>164.0</v>
      </c>
      <c r="AN402" s="60">
        <v>714.0</v>
      </c>
      <c r="AO402" s="62">
        <v>0.0</v>
      </c>
      <c r="AP402" s="62">
        <v>0.0</v>
      </c>
      <c r="AQ402" s="60">
        <v>0.0</v>
      </c>
      <c r="AR402" s="60" t="str">
        <f>IF(Hoja1!$AQ402&gt;0,Hoja1!$AQ402,IF(Hoja1!$AN402&gt;0,Hoja1!$AN402,IF(Hoja1!$AK402&gt;0,Hoja1!$AK402,IF(Hoja1!$AH402&gt;0,Hoja1!$AH402,IF(Hoja1!$AE402&gt;0,Hoja1!$AE402,IF(Hoja1!$AB402&gt;0,Hoja1!$AB402,IF(Hoja1!$Y402&gt;0,Hoja1!$Y402,IF(Hoja1!$V402&gt;0,Hoja1!$V402," ---"))))))))</f>
        <v>714</v>
      </c>
      <c r="AS402" s="63">
        <v>0.0</v>
      </c>
      <c r="AT402" s="63">
        <v>0.0</v>
      </c>
      <c r="AU402" s="63">
        <v>0.0</v>
      </c>
      <c r="AV402" s="63">
        <v>0.0</v>
      </c>
      <c r="AW402" s="63">
        <v>0.0</v>
      </c>
      <c r="AX402" s="63">
        <v>0.0</v>
      </c>
      <c r="AY402" s="63">
        <v>0.0</v>
      </c>
      <c r="AZ402" s="63">
        <v>0.0</v>
      </c>
      <c r="BA402" s="63">
        <v>25.0</v>
      </c>
      <c r="BB402" s="63">
        <v>5.0</v>
      </c>
      <c r="BC402" s="63">
        <v>0.0</v>
      </c>
      <c r="BD402" s="63">
        <v>0.0</v>
      </c>
      <c r="BE402" s="64">
        <v>0.0</v>
      </c>
      <c r="BF402" s="69">
        <v>0.0</v>
      </c>
      <c r="BG402" s="69">
        <v>0.0</v>
      </c>
      <c r="BH402" s="64">
        <v>0.0</v>
      </c>
      <c r="BI402" s="67" t="str">
        <f t="shared" si="133"/>
        <v>#REF!</v>
      </c>
      <c r="BJ402" s="68" t="str">
        <f t="shared" si="134"/>
        <v>#REF!</v>
      </c>
      <c r="BK402" s="69">
        <v>0.0</v>
      </c>
      <c r="BL402" s="69">
        <v>0.0</v>
      </c>
      <c r="BM402" s="64">
        <v>0.0</v>
      </c>
      <c r="BN402" s="67" t="str">
        <f t="shared" si="135"/>
        <v>#REF!</v>
      </c>
      <c r="BO402" s="68" t="str">
        <f t="shared" si="136"/>
        <v>#REF!</v>
      </c>
      <c r="BP402" s="65">
        <v>0.0</v>
      </c>
      <c r="BQ402" s="65">
        <v>0.0</v>
      </c>
      <c r="BR402" s="66">
        <v>0.0</v>
      </c>
      <c r="BS402" s="67" t="str">
        <f t="shared" si="137"/>
        <v>#REF!</v>
      </c>
      <c r="BT402" s="68" t="str">
        <f>'[1]DATA CONSOLIDADA 2018-2025 '!$BR402-Hoja1!$BO402</f>
        <v>#REF!</v>
      </c>
      <c r="BU402" s="69">
        <v>0.0</v>
      </c>
      <c r="BV402" s="65">
        <v>0.0</v>
      </c>
      <c r="BW402" s="66">
        <v>0.0</v>
      </c>
      <c r="BX402" s="67" t="str">
        <f t="shared" si="138"/>
        <v>#REF!</v>
      </c>
      <c r="BY402" s="68" t="str">
        <f t="shared" si="139"/>
        <v>#REF!</v>
      </c>
      <c r="BZ402" s="65">
        <v>0.0</v>
      </c>
      <c r="CA402" s="65">
        <v>0.0</v>
      </c>
      <c r="CB402" s="66">
        <v>0.0</v>
      </c>
      <c r="CC402" s="67" t="str">
        <f t="shared" si="140"/>
        <v>#REF!</v>
      </c>
      <c r="CD402" s="68" t="str">
        <f>'[1]DATA CONSOLIDADA 2018-2025 '!$CB402-Hoja1!$BW402</f>
        <v>#REF!</v>
      </c>
      <c r="CE402" s="70">
        <v>9210983.5053191</v>
      </c>
      <c r="CF402" s="70">
        <v>1913394.89482438</v>
      </c>
      <c r="CG402" s="71">
        <v>1.112437840014348E7</v>
      </c>
      <c r="CH402" s="67" t="str">
        <f t="shared" si="141"/>
        <v>#REF!</v>
      </c>
      <c r="CI402" s="68" t="str">
        <f>'[1]DATA CONSOLIDADA 2018-2025 '!$CG402-Hoja1!$CB402</f>
        <v>#REF!</v>
      </c>
      <c r="CJ402" s="64" t="str">
        <f t="shared" si="143"/>
        <v>#REF!</v>
      </c>
      <c r="CK402" s="64">
        <v>0.0</v>
      </c>
      <c r="CL402" s="64">
        <v>0.0</v>
      </c>
      <c r="CM402" s="64">
        <v>0.0</v>
      </c>
      <c r="CN402" s="64" t="str">
        <f t="shared" si="12"/>
        <v>#REF!</v>
      </c>
      <c r="CO402" s="68" t="str">
        <f>'[1]DATA CONSOLIDADA 2018-2025 '!$CM402-Hoja1!$CG402</f>
        <v>#REF!</v>
      </c>
      <c r="CP402" s="70">
        <v>0.0</v>
      </c>
      <c r="CQ402" s="70">
        <v>0.0</v>
      </c>
      <c r="CR402" s="70">
        <v>0.0</v>
      </c>
      <c r="CS402" s="70">
        <v>0.0</v>
      </c>
      <c r="CT402" s="70">
        <v>0.0</v>
      </c>
      <c r="CU402" s="70">
        <v>0.0</v>
      </c>
      <c r="CV402" s="64">
        <v>0.0</v>
      </c>
      <c r="CW402" s="64">
        <v>0.0</v>
      </c>
      <c r="CX402" s="64">
        <v>0.0</v>
      </c>
      <c r="CY402" s="64">
        <v>1.1124378400143482E7</v>
      </c>
      <c r="CZ402" s="64">
        <v>0.0</v>
      </c>
      <c r="DA402" s="64">
        <v>0.0</v>
      </c>
      <c r="DB402" s="64">
        <v>1.1124378400143482E7</v>
      </c>
      <c r="DC402" s="72">
        <v>0.0</v>
      </c>
      <c r="DD402" s="72">
        <v>0.0</v>
      </c>
      <c r="DE402" s="72">
        <v>0.0</v>
      </c>
      <c r="DF402" s="72">
        <v>0.0</v>
      </c>
      <c r="DG402" s="72">
        <v>0.0</v>
      </c>
      <c r="DH402" s="72">
        <v>0.0</v>
      </c>
      <c r="DI402" s="73">
        <v>2.0601958911E10</v>
      </c>
      <c r="DJ402" s="74" t="s">
        <v>1359</v>
      </c>
      <c r="DK402" s="74" t="s">
        <v>132</v>
      </c>
      <c r="DL402" s="75"/>
      <c r="DM402" s="75"/>
      <c r="DN402" s="75"/>
      <c r="DO402" s="75"/>
      <c r="DP402" s="75"/>
      <c r="DQ402" s="75"/>
      <c r="DR402" s="75"/>
      <c r="DS402" s="75"/>
      <c r="DT402" s="75"/>
      <c r="DU402" s="75"/>
      <c r="DV402" s="75"/>
      <c r="DW402" s="75"/>
      <c r="DX402" s="75"/>
      <c r="DY402" s="75"/>
      <c r="DZ402" s="75"/>
      <c r="EA402" s="75"/>
      <c r="EB402" s="75"/>
      <c r="EC402" s="75"/>
      <c r="ED402" s="75"/>
      <c r="EE402" s="75"/>
    </row>
    <row r="403" ht="47.25" hidden="1" customHeight="1">
      <c r="A403" s="55" t="s">
        <v>1362</v>
      </c>
      <c r="B403" s="55" t="s">
        <v>126</v>
      </c>
      <c r="C403" s="55" t="s">
        <v>126</v>
      </c>
      <c r="D403" s="55" t="s">
        <v>127</v>
      </c>
      <c r="E403" s="55" t="s">
        <v>1363</v>
      </c>
      <c r="F403" s="55" t="s">
        <v>127</v>
      </c>
      <c r="G403" s="55" t="s">
        <v>1361</v>
      </c>
      <c r="H403" s="55" t="s">
        <v>1364</v>
      </c>
      <c r="I403" s="56"/>
      <c r="J403" s="56"/>
      <c r="K403" s="56"/>
      <c r="L403" s="56"/>
      <c r="M403" s="56"/>
      <c r="N403" s="56"/>
      <c r="O403" s="56">
        <v>1.0</v>
      </c>
      <c r="P403" s="56">
        <v>1.0</v>
      </c>
      <c r="Q403" s="56" t="s">
        <v>131</v>
      </c>
      <c r="R403" s="58" t="str">
        <f t="shared" si="1"/>
        <v>2024 - 2025</v>
      </c>
      <c r="S403" s="59" t="str">
        <f>SUM(Hoja1!$I403:$P403)</f>
        <v>2</v>
      </c>
      <c r="T403" s="59" t="str">
        <f>IF(OR(Hoja1!$J403=1,Hoja1!$K403=1,Hoja1!$L403=1,Hoja1!$M403=1,Hoja1!$N403=1,Hoja1!$O403=1,Hoja1!$P403=1),"SI","NO")</f>
        <v>SI</v>
      </c>
      <c r="U403" s="59" t="str">
        <f>IF(OR(Hoja1!$K403=1,Hoja1!$L403=1,Hoja1!$M403=1,Hoja1!$N403=1,Hoja1!$O403=1,Hoja1!$P403=1),"SI","NO")</f>
        <v>SI</v>
      </c>
      <c r="V403" s="60">
        <v>0.0</v>
      </c>
      <c r="W403" s="61">
        <v>0.0</v>
      </c>
      <c r="X403" s="61">
        <v>0.0</v>
      </c>
      <c r="Y403" s="60">
        <v>0.0</v>
      </c>
      <c r="Z403" s="61">
        <v>0.0</v>
      </c>
      <c r="AA403" s="61">
        <v>0.0</v>
      </c>
      <c r="AB403" s="60">
        <v>0.0</v>
      </c>
      <c r="AC403" s="61">
        <v>0.0</v>
      </c>
      <c r="AD403" s="61">
        <v>0.0</v>
      </c>
      <c r="AE403" s="60">
        <v>0.0</v>
      </c>
      <c r="AF403" s="61">
        <v>0.0</v>
      </c>
      <c r="AG403" s="61">
        <v>0.0</v>
      </c>
      <c r="AH403" s="60">
        <v>0.0</v>
      </c>
      <c r="AI403" s="61">
        <v>0.0</v>
      </c>
      <c r="AJ403" s="61">
        <v>0.0</v>
      </c>
      <c r="AK403" s="60">
        <v>0.0</v>
      </c>
      <c r="AL403" s="61">
        <v>205.0</v>
      </c>
      <c r="AM403" s="61">
        <v>51.0</v>
      </c>
      <c r="AN403" s="60">
        <v>256.0</v>
      </c>
      <c r="AO403" s="62">
        <v>192.0</v>
      </c>
      <c r="AP403" s="62">
        <v>52.0</v>
      </c>
      <c r="AQ403" s="60">
        <v>244.0</v>
      </c>
      <c r="AR403" s="60" t="str">
        <f>IF(Hoja1!$AQ403&gt;0,Hoja1!$AQ403,IF(Hoja1!$AN403&gt;0,Hoja1!$AN403,IF(Hoja1!$AK403&gt;0,Hoja1!$AK403,IF(Hoja1!$AH403&gt;0,Hoja1!$AH403,IF(Hoja1!$AE403&gt;0,Hoja1!$AE403,IF(Hoja1!$AB403&gt;0,Hoja1!$AB403,IF(Hoja1!$Y403&gt;0,Hoja1!$Y403,IF(Hoja1!$V403&gt;0,Hoja1!$V403," ---"))))))))</f>
        <v>244</v>
      </c>
      <c r="AS403" s="63">
        <v>0.0</v>
      </c>
      <c r="AT403" s="63">
        <v>0.0</v>
      </c>
      <c r="AU403" s="63">
        <v>0.0</v>
      </c>
      <c r="AV403" s="63">
        <v>0.0</v>
      </c>
      <c r="AW403" s="63">
        <v>0.0</v>
      </c>
      <c r="AX403" s="63">
        <v>0.0</v>
      </c>
      <c r="AY403" s="63">
        <v>0.0</v>
      </c>
      <c r="AZ403" s="63">
        <v>0.0</v>
      </c>
      <c r="BA403" s="63">
        <v>4.0</v>
      </c>
      <c r="BB403" s="63">
        <v>5.0</v>
      </c>
      <c r="BC403" s="63">
        <v>21.0</v>
      </c>
      <c r="BD403" s="63">
        <v>6.0</v>
      </c>
      <c r="BE403" s="64">
        <v>0.0</v>
      </c>
      <c r="BF403" s="69">
        <v>0.0</v>
      </c>
      <c r="BG403" s="69">
        <v>0.0</v>
      </c>
      <c r="BH403" s="64">
        <v>0.0</v>
      </c>
      <c r="BI403" s="67" t="str">
        <f t="shared" si="133"/>
        <v>#REF!</v>
      </c>
      <c r="BJ403" s="68" t="str">
        <f t="shared" si="134"/>
        <v>#REF!</v>
      </c>
      <c r="BK403" s="69">
        <v>0.0</v>
      </c>
      <c r="BL403" s="69">
        <v>0.0</v>
      </c>
      <c r="BM403" s="64">
        <v>0.0</v>
      </c>
      <c r="BN403" s="67" t="str">
        <f t="shared" si="135"/>
        <v>#REF!</v>
      </c>
      <c r="BO403" s="68" t="str">
        <f t="shared" si="136"/>
        <v>#REF!</v>
      </c>
      <c r="BP403" s="65">
        <v>0.0</v>
      </c>
      <c r="BQ403" s="65">
        <v>0.0</v>
      </c>
      <c r="BR403" s="66">
        <v>0.0</v>
      </c>
      <c r="BS403" s="67" t="str">
        <f t="shared" si="137"/>
        <v>#REF!</v>
      </c>
      <c r="BT403" s="68" t="str">
        <f>'[1]DATA CONSOLIDADA 2018-2025 '!$BR403-Hoja1!$BO403</f>
        <v>#REF!</v>
      </c>
      <c r="BU403" s="69">
        <v>0.0</v>
      </c>
      <c r="BV403" s="65">
        <v>0.0</v>
      </c>
      <c r="BW403" s="66">
        <v>0.0</v>
      </c>
      <c r="BX403" s="67" t="str">
        <f t="shared" si="138"/>
        <v>#REF!</v>
      </c>
      <c r="BY403" s="68" t="str">
        <f t="shared" si="139"/>
        <v>#REF!</v>
      </c>
      <c r="BZ403" s="65">
        <v>0.0</v>
      </c>
      <c r="CA403" s="65">
        <v>0.0</v>
      </c>
      <c r="CB403" s="66">
        <v>0.0</v>
      </c>
      <c r="CC403" s="67" t="str">
        <f t="shared" si="140"/>
        <v>#REF!</v>
      </c>
      <c r="CD403" s="68" t="str">
        <f>'[1]DATA CONSOLIDADA 2018-2025 '!$CB403-Hoja1!$BW403</f>
        <v>#REF!</v>
      </c>
      <c r="CE403" s="70">
        <v>834198.49630464</v>
      </c>
      <c r="CF403" s="70">
        <v>1280596.09421597</v>
      </c>
      <c r="CG403" s="71">
        <v>2114794.59052061</v>
      </c>
      <c r="CH403" s="67" t="str">
        <f t="shared" si="141"/>
        <v>#REF!</v>
      </c>
      <c r="CI403" s="68" t="str">
        <f>'[1]DATA CONSOLIDADA 2018-2025 '!$CG403-Hoja1!$CB403</f>
        <v>#REF!</v>
      </c>
      <c r="CJ403" s="64" t="str">
        <f t="shared" si="143"/>
        <v>#REF!</v>
      </c>
      <c r="CK403" s="64">
        <v>2618365.01243819</v>
      </c>
      <c r="CL403" s="64">
        <v>0.0</v>
      </c>
      <c r="CM403" s="64">
        <v>2618365.01243819</v>
      </c>
      <c r="CN403" s="64" t="str">
        <f t="shared" si="12"/>
        <v>#REF!</v>
      </c>
      <c r="CO403" s="68" t="str">
        <f>'[1]DATA CONSOLIDADA 2018-2025 '!$CM403-Hoja1!$CG403</f>
        <v>#REF!</v>
      </c>
      <c r="CP403" s="70">
        <v>0.0</v>
      </c>
      <c r="CQ403" s="70">
        <v>0.0</v>
      </c>
      <c r="CR403" s="70">
        <v>0.0</v>
      </c>
      <c r="CS403" s="70">
        <v>0.0</v>
      </c>
      <c r="CT403" s="70">
        <v>0.0</v>
      </c>
      <c r="CU403" s="70">
        <v>0.0</v>
      </c>
      <c r="CV403" s="64">
        <v>0.0</v>
      </c>
      <c r="CW403" s="64">
        <v>0.0</v>
      </c>
      <c r="CX403" s="64">
        <v>0.0</v>
      </c>
      <c r="CY403" s="64">
        <v>2114794.5905206096</v>
      </c>
      <c r="CZ403" s="64">
        <v>0.0</v>
      </c>
      <c r="DA403" s="64">
        <v>0.0</v>
      </c>
      <c r="DB403" s="64">
        <v>2114794.5905206096</v>
      </c>
      <c r="DC403" s="72">
        <v>0.0</v>
      </c>
      <c r="DD403" s="72">
        <v>0.0</v>
      </c>
      <c r="DE403" s="72">
        <v>2618365.01243819</v>
      </c>
      <c r="DF403" s="72">
        <v>0.0</v>
      </c>
      <c r="DG403" s="72">
        <v>0.0</v>
      </c>
      <c r="DH403" s="72">
        <v>2618365.01243819</v>
      </c>
      <c r="DI403" s="73">
        <v>2.0601558204E10</v>
      </c>
      <c r="DJ403" s="74" t="s">
        <v>1362</v>
      </c>
      <c r="DK403" s="74" t="s">
        <v>132</v>
      </c>
      <c r="DL403" s="75"/>
      <c r="DM403" s="75"/>
      <c r="DN403" s="75"/>
      <c r="DO403" s="75"/>
      <c r="DP403" s="75"/>
      <c r="DQ403" s="75"/>
      <c r="DR403" s="75"/>
      <c r="DS403" s="75"/>
      <c r="DT403" s="75"/>
      <c r="DU403" s="75"/>
      <c r="DV403" s="75"/>
      <c r="DW403" s="75"/>
      <c r="DX403" s="75"/>
      <c r="DY403" s="75"/>
      <c r="DZ403" s="75"/>
      <c r="EA403" s="75"/>
      <c r="EB403" s="75"/>
      <c r="EC403" s="75"/>
      <c r="ED403" s="75"/>
      <c r="EE403" s="75"/>
    </row>
    <row r="404" ht="47.25" hidden="1" customHeight="1">
      <c r="A404" s="55" t="s">
        <v>1365</v>
      </c>
      <c r="B404" s="55" t="s">
        <v>126</v>
      </c>
      <c r="C404" s="55" t="s">
        <v>126</v>
      </c>
      <c r="D404" s="55" t="s">
        <v>127</v>
      </c>
      <c r="E404" s="55" t="s">
        <v>128</v>
      </c>
      <c r="F404" s="55" t="s">
        <v>127</v>
      </c>
      <c r="G404" s="55" t="s">
        <v>129</v>
      </c>
      <c r="H404" s="55" t="s">
        <v>130</v>
      </c>
      <c r="I404" s="56"/>
      <c r="J404" s="56"/>
      <c r="K404" s="56"/>
      <c r="L404" s="56"/>
      <c r="M404" s="56"/>
      <c r="N404" s="56"/>
      <c r="O404" s="56">
        <v>1.0</v>
      </c>
      <c r="P404" s="56">
        <v>1.0</v>
      </c>
      <c r="Q404" s="56" t="s">
        <v>131</v>
      </c>
      <c r="R404" s="58" t="str">
        <f t="shared" si="1"/>
        <v>2024 - 2025</v>
      </c>
      <c r="S404" s="59" t="str">
        <f>SUM(Hoja1!$I404:$P404)</f>
        <v>2</v>
      </c>
      <c r="T404" s="59" t="str">
        <f>IF(OR(Hoja1!$J404=1,Hoja1!$K404=1,Hoja1!$L404=1,Hoja1!$M404=1,Hoja1!$N404=1,Hoja1!$O404=1,Hoja1!$P404=1),"SI","NO")</f>
        <v>SI</v>
      </c>
      <c r="U404" s="59" t="str">
        <f>IF(OR(Hoja1!$K404=1,Hoja1!$L404=1,Hoja1!$M404=1,Hoja1!$N404=1,Hoja1!$O404=1,Hoja1!$P404=1),"SI","NO")</f>
        <v>SI</v>
      </c>
      <c r="V404" s="60">
        <v>0.0</v>
      </c>
      <c r="W404" s="61">
        <v>0.0</v>
      </c>
      <c r="X404" s="61">
        <v>0.0</v>
      </c>
      <c r="Y404" s="60">
        <v>0.0</v>
      </c>
      <c r="Z404" s="61">
        <v>0.0</v>
      </c>
      <c r="AA404" s="61">
        <v>0.0</v>
      </c>
      <c r="AB404" s="60">
        <v>0.0</v>
      </c>
      <c r="AC404" s="61">
        <v>0.0</v>
      </c>
      <c r="AD404" s="61">
        <v>0.0</v>
      </c>
      <c r="AE404" s="60">
        <v>0.0</v>
      </c>
      <c r="AF404" s="61">
        <v>0.0</v>
      </c>
      <c r="AG404" s="61">
        <v>0.0</v>
      </c>
      <c r="AH404" s="60">
        <v>0.0</v>
      </c>
      <c r="AI404" s="61">
        <v>0.0</v>
      </c>
      <c r="AJ404" s="61">
        <v>0.0</v>
      </c>
      <c r="AK404" s="60">
        <v>0.0</v>
      </c>
      <c r="AL404" s="61">
        <v>574.0</v>
      </c>
      <c r="AM404" s="61">
        <v>154.0</v>
      </c>
      <c r="AN404" s="60">
        <v>728.0</v>
      </c>
      <c r="AO404" s="62">
        <v>354.0</v>
      </c>
      <c r="AP404" s="62">
        <v>99.0</v>
      </c>
      <c r="AQ404" s="60">
        <v>453.0</v>
      </c>
      <c r="AR404" s="60" t="str">
        <f>IF(Hoja1!$AQ404&gt;0,Hoja1!$AQ404,IF(Hoja1!$AN404&gt;0,Hoja1!$AN404,IF(Hoja1!$AK404&gt;0,Hoja1!$AK404,IF(Hoja1!$AH404&gt;0,Hoja1!$AH404,IF(Hoja1!$AE404&gt;0,Hoja1!$AE404,IF(Hoja1!$AB404&gt;0,Hoja1!$AB404,IF(Hoja1!$Y404&gt;0,Hoja1!$Y404,IF(Hoja1!$V404&gt;0,Hoja1!$V404," ---"))))))))</f>
        <v>453</v>
      </c>
      <c r="AS404" s="63">
        <v>0.0</v>
      </c>
      <c r="AT404" s="63">
        <v>0.0</v>
      </c>
      <c r="AU404" s="63">
        <v>0.0</v>
      </c>
      <c r="AV404" s="63">
        <v>0.0</v>
      </c>
      <c r="AW404" s="63">
        <v>0.0</v>
      </c>
      <c r="AX404" s="63">
        <v>0.0</v>
      </c>
      <c r="AY404" s="63">
        <v>0.0</v>
      </c>
      <c r="AZ404" s="63">
        <v>0.0</v>
      </c>
      <c r="BA404" s="63">
        <v>22.0</v>
      </c>
      <c r="BB404" s="63">
        <v>6.0</v>
      </c>
      <c r="BC404" s="63">
        <v>21.0</v>
      </c>
      <c r="BD404" s="63">
        <v>7.0</v>
      </c>
      <c r="BE404" s="64">
        <v>0.0</v>
      </c>
      <c r="BF404" s="69">
        <v>0.0</v>
      </c>
      <c r="BG404" s="69">
        <v>0.0</v>
      </c>
      <c r="BH404" s="64">
        <v>0.0</v>
      </c>
      <c r="BI404" s="67" t="str">
        <f t="shared" si="133"/>
        <v>#REF!</v>
      </c>
      <c r="BJ404" s="68" t="str">
        <f t="shared" si="134"/>
        <v>#REF!</v>
      </c>
      <c r="BK404" s="69">
        <v>0.0</v>
      </c>
      <c r="BL404" s="69">
        <v>0.0</v>
      </c>
      <c r="BM404" s="64">
        <v>0.0</v>
      </c>
      <c r="BN404" s="67" t="str">
        <f t="shared" si="135"/>
        <v>#REF!</v>
      </c>
      <c r="BO404" s="68" t="str">
        <f t="shared" si="136"/>
        <v>#REF!</v>
      </c>
      <c r="BP404" s="65">
        <v>0.0</v>
      </c>
      <c r="BQ404" s="65">
        <v>0.0</v>
      </c>
      <c r="BR404" s="66">
        <v>0.0</v>
      </c>
      <c r="BS404" s="67" t="str">
        <f t="shared" si="137"/>
        <v>#REF!</v>
      </c>
      <c r="BT404" s="68" t="str">
        <f>'[1]DATA CONSOLIDADA 2018-2025 '!$BR404-Hoja1!$BO404</f>
        <v>#REF!</v>
      </c>
      <c r="BU404" s="69">
        <v>0.0</v>
      </c>
      <c r="BV404" s="65">
        <v>0.0</v>
      </c>
      <c r="BW404" s="66">
        <v>0.0</v>
      </c>
      <c r="BX404" s="67" t="str">
        <f t="shared" si="138"/>
        <v>#REF!</v>
      </c>
      <c r="BY404" s="68" t="str">
        <f t="shared" si="139"/>
        <v>#REF!</v>
      </c>
      <c r="BZ404" s="65">
        <v>0.0</v>
      </c>
      <c r="CA404" s="65">
        <v>0.0</v>
      </c>
      <c r="CB404" s="66">
        <v>0.0</v>
      </c>
      <c r="CC404" s="67" t="str">
        <f t="shared" si="140"/>
        <v>#REF!</v>
      </c>
      <c r="CD404" s="68" t="str">
        <f>'[1]DATA CONSOLIDADA 2018-2025 '!$CB404-Hoja1!$BW404</f>
        <v>#REF!</v>
      </c>
      <c r="CE404" s="70">
        <v>8306798.938878559</v>
      </c>
      <c r="CF404" s="70">
        <v>0.0</v>
      </c>
      <c r="CG404" s="71">
        <v>8306798.938878559</v>
      </c>
      <c r="CH404" s="67" t="str">
        <f t="shared" si="141"/>
        <v>#REF!</v>
      </c>
      <c r="CI404" s="68" t="str">
        <f>'[1]DATA CONSOLIDADA 2018-2025 '!$CG404-Hoja1!$CB404</f>
        <v>#REF!</v>
      </c>
      <c r="CJ404" s="64" t="str">
        <f t="shared" si="143"/>
        <v>#REF!</v>
      </c>
      <c r="CK404" s="64">
        <v>2107273.02621216</v>
      </c>
      <c r="CL404" s="64">
        <v>0.0</v>
      </c>
      <c r="CM404" s="64">
        <v>2107273.02621216</v>
      </c>
      <c r="CN404" s="64" t="str">
        <f t="shared" si="12"/>
        <v>#REF!</v>
      </c>
      <c r="CO404" s="68" t="str">
        <f>'[1]DATA CONSOLIDADA 2018-2025 '!$CM404-Hoja1!$CG404</f>
        <v>#REF!</v>
      </c>
      <c r="CP404" s="70">
        <v>0.0</v>
      </c>
      <c r="CQ404" s="70">
        <v>0.0</v>
      </c>
      <c r="CR404" s="70">
        <v>0.0</v>
      </c>
      <c r="CS404" s="70">
        <v>0.0</v>
      </c>
      <c r="CT404" s="70">
        <v>0.0</v>
      </c>
      <c r="CU404" s="70">
        <v>0.0</v>
      </c>
      <c r="CV404" s="64">
        <v>0.0</v>
      </c>
      <c r="CW404" s="64">
        <v>0.0</v>
      </c>
      <c r="CX404" s="64">
        <v>0.0</v>
      </c>
      <c r="CY404" s="64">
        <v>8306798.938878559</v>
      </c>
      <c r="CZ404" s="64">
        <v>0.0</v>
      </c>
      <c r="DA404" s="64">
        <v>0.0</v>
      </c>
      <c r="DB404" s="64">
        <v>8306798.938878559</v>
      </c>
      <c r="DC404" s="72">
        <v>0.0</v>
      </c>
      <c r="DD404" s="72">
        <v>0.0</v>
      </c>
      <c r="DE404" s="72">
        <v>2107273.02621216</v>
      </c>
      <c r="DF404" s="72">
        <v>0.0</v>
      </c>
      <c r="DG404" s="72">
        <v>0.0</v>
      </c>
      <c r="DH404" s="72">
        <v>2107273.02621216</v>
      </c>
      <c r="DI404" s="73">
        <v>2.0561140091E10</v>
      </c>
      <c r="DJ404" s="74" t="s">
        <v>1365</v>
      </c>
      <c r="DK404" s="74" t="s">
        <v>132</v>
      </c>
      <c r="DL404" s="75"/>
      <c r="DM404" s="75"/>
      <c r="DN404" s="75"/>
      <c r="DO404" s="75"/>
      <c r="DP404" s="75"/>
      <c r="DQ404" s="75"/>
      <c r="DR404" s="75"/>
      <c r="DS404" s="75"/>
      <c r="DT404" s="75"/>
      <c r="DU404" s="75"/>
      <c r="DV404" s="75"/>
      <c r="DW404" s="75"/>
      <c r="DX404" s="75"/>
      <c r="DY404" s="75"/>
      <c r="DZ404" s="75"/>
      <c r="EA404" s="75"/>
      <c r="EB404" s="75"/>
      <c r="EC404" s="75"/>
      <c r="ED404" s="75"/>
      <c r="EE404" s="75"/>
    </row>
    <row r="405" ht="47.25" hidden="1" customHeight="1">
      <c r="A405" s="55" t="s">
        <v>1366</v>
      </c>
      <c r="B405" s="55" t="s">
        <v>126</v>
      </c>
      <c r="C405" s="55" t="s">
        <v>126</v>
      </c>
      <c r="D405" s="55" t="s">
        <v>127</v>
      </c>
      <c r="E405" s="55" t="s">
        <v>1367</v>
      </c>
      <c r="F405" s="55" t="s">
        <v>127</v>
      </c>
      <c r="G405" s="55" t="s">
        <v>1361</v>
      </c>
      <c r="H405" s="55" t="s">
        <v>1368</v>
      </c>
      <c r="I405" s="56"/>
      <c r="J405" s="56"/>
      <c r="K405" s="56"/>
      <c r="L405" s="56"/>
      <c r="M405" s="56"/>
      <c r="N405" s="56"/>
      <c r="O405" s="56">
        <v>1.0</v>
      </c>
      <c r="P405" s="56">
        <v>1.0</v>
      </c>
      <c r="Q405" s="56" t="s">
        <v>131</v>
      </c>
      <c r="R405" s="58" t="str">
        <f t="shared" si="1"/>
        <v>2024 - 2025</v>
      </c>
      <c r="S405" s="59" t="str">
        <f>SUM(Hoja1!$I405:$P405)</f>
        <v>2</v>
      </c>
      <c r="T405" s="59" t="str">
        <f>IF(OR(Hoja1!$J405=1,Hoja1!$K405=1,Hoja1!$L405=1,Hoja1!$M405=1,Hoja1!$N405=1,Hoja1!$O405=1,Hoja1!$P405=1),"SI","NO")</f>
        <v>SI</v>
      </c>
      <c r="U405" s="59" t="str">
        <f>IF(OR(Hoja1!$K405=1,Hoja1!$L405=1,Hoja1!$M405=1,Hoja1!$N405=1,Hoja1!$O405=1,Hoja1!$P405=1),"SI","NO")</f>
        <v>SI</v>
      </c>
      <c r="V405" s="60">
        <v>0.0</v>
      </c>
      <c r="W405" s="61">
        <v>0.0</v>
      </c>
      <c r="X405" s="61">
        <v>0.0</v>
      </c>
      <c r="Y405" s="60">
        <v>0.0</v>
      </c>
      <c r="Z405" s="61">
        <v>0.0</v>
      </c>
      <c r="AA405" s="61">
        <v>0.0</v>
      </c>
      <c r="AB405" s="60">
        <v>0.0</v>
      </c>
      <c r="AC405" s="61">
        <v>0.0</v>
      </c>
      <c r="AD405" s="61">
        <v>0.0</v>
      </c>
      <c r="AE405" s="60">
        <v>0.0</v>
      </c>
      <c r="AF405" s="61">
        <v>0.0</v>
      </c>
      <c r="AG405" s="61">
        <v>0.0</v>
      </c>
      <c r="AH405" s="60">
        <v>0.0</v>
      </c>
      <c r="AI405" s="61">
        <v>0.0</v>
      </c>
      <c r="AJ405" s="61">
        <v>0.0</v>
      </c>
      <c r="AK405" s="60">
        <v>0.0</v>
      </c>
      <c r="AL405" s="61">
        <v>8.0</v>
      </c>
      <c r="AM405" s="61">
        <v>13.0</v>
      </c>
      <c r="AN405" s="60">
        <v>21.0</v>
      </c>
      <c r="AO405" s="62">
        <v>18.0</v>
      </c>
      <c r="AP405" s="62">
        <v>9.0</v>
      </c>
      <c r="AQ405" s="60">
        <v>27.0</v>
      </c>
      <c r="AR405" s="60" t="str">
        <f>IF(Hoja1!$AQ405&gt;0,Hoja1!$AQ405,IF(Hoja1!$AN405&gt;0,Hoja1!$AN405,IF(Hoja1!$AK405&gt;0,Hoja1!$AK405,IF(Hoja1!$AH405&gt;0,Hoja1!$AH405,IF(Hoja1!$AE405&gt;0,Hoja1!$AE405,IF(Hoja1!$AB405&gt;0,Hoja1!$AB405,IF(Hoja1!$Y405&gt;0,Hoja1!$Y405,IF(Hoja1!$V405&gt;0,Hoja1!$V405," ---"))))))))</f>
        <v>27</v>
      </c>
      <c r="AS405" s="63">
        <v>0.0</v>
      </c>
      <c r="AT405" s="63">
        <v>0.0</v>
      </c>
      <c r="AU405" s="63">
        <v>0.0</v>
      </c>
      <c r="AV405" s="63">
        <v>0.0</v>
      </c>
      <c r="AW405" s="63">
        <v>0.0</v>
      </c>
      <c r="AX405" s="63">
        <v>0.0</v>
      </c>
      <c r="AY405" s="63">
        <v>0.0</v>
      </c>
      <c r="AZ405" s="63">
        <v>0.0</v>
      </c>
      <c r="BA405" s="63">
        <v>26.0</v>
      </c>
      <c r="BB405" s="63">
        <v>3.0</v>
      </c>
      <c r="BC405" s="63">
        <v>21.0</v>
      </c>
      <c r="BD405" s="63">
        <v>7.0</v>
      </c>
      <c r="BE405" s="64">
        <v>0.0</v>
      </c>
      <c r="BF405" s="69">
        <v>0.0</v>
      </c>
      <c r="BG405" s="69">
        <v>0.0</v>
      </c>
      <c r="BH405" s="64">
        <v>0.0</v>
      </c>
      <c r="BI405" s="67" t="str">
        <f t="shared" si="133"/>
        <v>#REF!</v>
      </c>
      <c r="BJ405" s="68" t="str">
        <f t="shared" si="134"/>
        <v>#REF!</v>
      </c>
      <c r="BK405" s="69">
        <v>0.0</v>
      </c>
      <c r="BL405" s="69">
        <v>0.0</v>
      </c>
      <c r="BM405" s="64">
        <v>0.0</v>
      </c>
      <c r="BN405" s="67" t="str">
        <f t="shared" si="135"/>
        <v>#REF!</v>
      </c>
      <c r="BO405" s="68" t="str">
        <f t="shared" si="136"/>
        <v>#REF!</v>
      </c>
      <c r="BP405" s="65">
        <v>0.0</v>
      </c>
      <c r="BQ405" s="65">
        <v>0.0</v>
      </c>
      <c r="BR405" s="66">
        <v>0.0</v>
      </c>
      <c r="BS405" s="67" t="str">
        <f t="shared" si="137"/>
        <v>#REF!</v>
      </c>
      <c r="BT405" s="68" t="str">
        <f>'[1]DATA CONSOLIDADA 2018-2025 '!$BR405-Hoja1!$BO405</f>
        <v>#REF!</v>
      </c>
      <c r="BU405" s="69">
        <v>0.0</v>
      </c>
      <c r="BV405" s="65">
        <v>0.0</v>
      </c>
      <c r="BW405" s="66">
        <v>0.0</v>
      </c>
      <c r="BX405" s="67" t="str">
        <f t="shared" si="138"/>
        <v>#REF!</v>
      </c>
      <c r="BY405" s="68" t="str">
        <f t="shared" si="139"/>
        <v>#REF!</v>
      </c>
      <c r="BZ405" s="65">
        <v>0.0</v>
      </c>
      <c r="CA405" s="65">
        <v>0.0</v>
      </c>
      <c r="CB405" s="66">
        <v>0.0</v>
      </c>
      <c r="CC405" s="67" t="str">
        <f t="shared" si="140"/>
        <v>#REF!</v>
      </c>
      <c r="CD405" s="68" t="str">
        <f>'[1]DATA CONSOLIDADA 2018-2025 '!$CB405-Hoja1!$BW405</f>
        <v>#REF!</v>
      </c>
      <c r="CE405" s="70">
        <v>85817.49540000001</v>
      </c>
      <c r="CF405" s="70">
        <v>0.0</v>
      </c>
      <c r="CG405" s="71">
        <v>85817.49540000001</v>
      </c>
      <c r="CH405" s="67" t="str">
        <f t="shared" si="141"/>
        <v>#REF!</v>
      </c>
      <c r="CI405" s="68" t="str">
        <f>'[1]DATA CONSOLIDADA 2018-2025 '!$CG405-Hoja1!$CB405</f>
        <v>#REF!</v>
      </c>
      <c r="CJ405" s="64" t="str">
        <f t="shared" si="143"/>
        <v>#REF!</v>
      </c>
      <c r="CK405" s="64">
        <v>0.0</v>
      </c>
      <c r="CL405" s="64">
        <v>0.0</v>
      </c>
      <c r="CM405" s="64">
        <v>0.0</v>
      </c>
      <c r="CN405" s="64" t="str">
        <f t="shared" si="12"/>
        <v>#REF!</v>
      </c>
      <c r="CO405" s="68" t="str">
        <f>'[1]DATA CONSOLIDADA 2018-2025 '!$CM405-Hoja1!$CG405</f>
        <v>#REF!</v>
      </c>
      <c r="CP405" s="70">
        <v>0.0</v>
      </c>
      <c r="CQ405" s="70">
        <v>0.0</v>
      </c>
      <c r="CR405" s="70">
        <v>0.0</v>
      </c>
      <c r="CS405" s="70">
        <v>0.0</v>
      </c>
      <c r="CT405" s="70">
        <v>0.0</v>
      </c>
      <c r="CU405" s="70">
        <v>0.0</v>
      </c>
      <c r="CV405" s="64">
        <v>0.0</v>
      </c>
      <c r="CW405" s="64">
        <v>0.0</v>
      </c>
      <c r="CX405" s="64">
        <v>0.0</v>
      </c>
      <c r="CY405" s="64">
        <v>85817.49540000001</v>
      </c>
      <c r="CZ405" s="64">
        <v>0.0</v>
      </c>
      <c r="DA405" s="64">
        <v>0.0</v>
      </c>
      <c r="DB405" s="64">
        <v>85817.49540000001</v>
      </c>
      <c r="DC405" s="72">
        <v>0.0</v>
      </c>
      <c r="DD405" s="72">
        <v>0.0</v>
      </c>
      <c r="DE405" s="72">
        <v>0.0</v>
      </c>
      <c r="DF405" s="72">
        <v>0.0</v>
      </c>
      <c r="DG405" s="72">
        <v>0.0</v>
      </c>
      <c r="DH405" s="72">
        <v>0.0</v>
      </c>
      <c r="DI405" s="73">
        <v>2.0610739491E10</v>
      </c>
      <c r="DJ405" s="74" t="s">
        <v>1369</v>
      </c>
      <c r="DK405" s="74" t="s">
        <v>138</v>
      </c>
      <c r="DL405" s="75"/>
      <c r="DM405" s="75"/>
      <c r="DN405" s="75"/>
      <c r="DO405" s="75"/>
      <c r="DP405" s="75"/>
      <c r="DQ405" s="75"/>
      <c r="DR405" s="75"/>
      <c r="DS405" s="75"/>
      <c r="DT405" s="75"/>
      <c r="DU405" s="75"/>
      <c r="DV405" s="75"/>
      <c r="DW405" s="75"/>
      <c r="DX405" s="75"/>
      <c r="DY405" s="75"/>
      <c r="DZ405" s="75"/>
      <c r="EA405" s="75"/>
      <c r="EB405" s="75"/>
      <c r="EC405" s="75"/>
      <c r="ED405" s="75"/>
      <c r="EE405" s="75"/>
    </row>
    <row r="406" ht="47.25" customHeight="1">
      <c r="A406" s="55" t="s">
        <v>1370</v>
      </c>
      <c r="B406" s="55" t="s">
        <v>146</v>
      </c>
      <c r="C406" s="55" t="s">
        <v>146</v>
      </c>
      <c r="D406" s="55" t="s">
        <v>127</v>
      </c>
      <c r="E406" s="55" t="s">
        <v>1371</v>
      </c>
      <c r="F406" s="55" t="s">
        <v>127</v>
      </c>
      <c r="G406" s="55" t="s">
        <v>148</v>
      </c>
      <c r="H406" s="55" t="s">
        <v>1372</v>
      </c>
      <c r="I406" s="56"/>
      <c r="J406" s="56"/>
      <c r="K406" s="56"/>
      <c r="L406" s="56"/>
      <c r="M406" s="56"/>
      <c r="N406" s="56"/>
      <c r="O406" s="56">
        <v>1.0</v>
      </c>
      <c r="P406" s="56">
        <v>1.0</v>
      </c>
      <c r="Q406" s="56" t="s">
        <v>131</v>
      </c>
      <c r="R406" s="58" t="str">
        <f t="shared" si="1"/>
        <v>2024 - 2025</v>
      </c>
      <c r="S406" s="59" t="str">
        <f>SUM(Hoja1!$I406:$P406)</f>
        <v>2</v>
      </c>
      <c r="T406" s="59" t="str">
        <f>IF(OR(Hoja1!$J406=1,Hoja1!$K406=1,Hoja1!$L406=1,Hoja1!$M406=1,Hoja1!$N406=1,Hoja1!$O406=1,Hoja1!$P406=1),"SI","NO")</f>
        <v>SI</v>
      </c>
      <c r="U406" s="59" t="str">
        <f>IF(OR(Hoja1!$K406=1,Hoja1!$L406=1,Hoja1!$M406=1,Hoja1!$N406=1,Hoja1!$O406=1,Hoja1!$P406=1),"SI","NO")</f>
        <v>SI</v>
      </c>
      <c r="V406" s="60">
        <v>0.0</v>
      </c>
      <c r="W406" s="61">
        <v>0.0</v>
      </c>
      <c r="X406" s="61">
        <v>0.0</v>
      </c>
      <c r="Y406" s="60">
        <v>0.0</v>
      </c>
      <c r="Z406" s="61">
        <v>0.0</v>
      </c>
      <c r="AA406" s="61">
        <v>0.0</v>
      </c>
      <c r="AB406" s="60">
        <v>0.0</v>
      </c>
      <c r="AC406" s="61">
        <v>0.0</v>
      </c>
      <c r="AD406" s="61">
        <v>0.0</v>
      </c>
      <c r="AE406" s="60">
        <v>0.0</v>
      </c>
      <c r="AF406" s="61">
        <v>0.0</v>
      </c>
      <c r="AG406" s="61">
        <v>0.0</v>
      </c>
      <c r="AH406" s="60">
        <v>0.0</v>
      </c>
      <c r="AI406" s="61">
        <v>0.0</v>
      </c>
      <c r="AJ406" s="61">
        <v>0.0</v>
      </c>
      <c r="AK406" s="60">
        <v>0.0</v>
      </c>
      <c r="AL406" s="61">
        <v>505.0</v>
      </c>
      <c r="AM406" s="61">
        <v>152.0</v>
      </c>
      <c r="AN406" s="60">
        <v>657.0</v>
      </c>
      <c r="AO406" s="62">
        <v>499.0</v>
      </c>
      <c r="AP406" s="62">
        <v>160.0</v>
      </c>
      <c r="AQ406" s="60">
        <v>659.0</v>
      </c>
      <c r="AR406" s="60" t="str">
        <f>IF(Hoja1!$AQ406&gt;0,Hoja1!$AQ406,IF(Hoja1!$AN406&gt;0,Hoja1!$AN406,IF(Hoja1!$AK406&gt;0,Hoja1!$AK406,IF(Hoja1!$AH406&gt;0,Hoja1!$AH406,IF(Hoja1!$AE406&gt;0,Hoja1!$AE406,IF(Hoja1!$AB406&gt;0,Hoja1!$AB406,IF(Hoja1!$Y406&gt;0,Hoja1!$Y406,IF(Hoja1!$V406&gt;0,Hoja1!$V406," ---"))))))))</f>
        <v>659</v>
      </c>
      <c r="AS406" s="63">
        <v>0.0</v>
      </c>
      <c r="AT406" s="63">
        <v>0.0</v>
      </c>
      <c r="AU406" s="63">
        <v>0.0</v>
      </c>
      <c r="AV406" s="63">
        <v>0.0</v>
      </c>
      <c r="AW406" s="63">
        <v>0.0</v>
      </c>
      <c r="AX406" s="63">
        <v>0.0</v>
      </c>
      <c r="AY406" s="63">
        <v>0.0</v>
      </c>
      <c r="AZ406" s="63">
        <v>0.0</v>
      </c>
      <c r="BA406" s="63">
        <v>25.0</v>
      </c>
      <c r="BB406" s="63">
        <v>7.0</v>
      </c>
      <c r="BC406" s="63">
        <v>15.0</v>
      </c>
      <c r="BD406" s="63">
        <v>4.0</v>
      </c>
      <c r="BE406" s="64">
        <v>0.0</v>
      </c>
      <c r="BF406" s="69">
        <v>0.0</v>
      </c>
      <c r="BG406" s="69">
        <v>0.0</v>
      </c>
      <c r="BH406" s="64">
        <v>0.0</v>
      </c>
      <c r="BI406" s="67" t="str">
        <f t="shared" si="133"/>
        <v>#REF!</v>
      </c>
      <c r="BJ406" s="68" t="str">
        <f t="shared" si="134"/>
        <v>#REF!</v>
      </c>
      <c r="BK406" s="69">
        <v>0.0</v>
      </c>
      <c r="BL406" s="69">
        <v>0.0</v>
      </c>
      <c r="BM406" s="64">
        <v>0.0</v>
      </c>
      <c r="BN406" s="67" t="str">
        <f t="shared" si="135"/>
        <v>#REF!</v>
      </c>
      <c r="BO406" s="68" t="str">
        <f t="shared" si="136"/>
        <v>#REF!</v>
      </c>
      <c r="BP406" s="65">
        <v>0.0</v>
      </c>
      <c r="BQ406" s="65">
        <v>0.0</v>
      </c>
      <c r="BR406" s="66">
        <v>0.0</v>
      </c>
      <c r="BS406" s="67" t="str">
        <f t="shared" si="137"/>
        <v>#REF!</v>
      </c>
      <c r="BT406" s="68" t="str">
        <f>'[1]DATA CONSOLIDADA 2018-2025 '!$BR406-Hoja1!$BO406</f>
        <v>#REF!</v>
      </c>
      <c r="BU406" s="69">
        <v>0.0</v>
      </c>
      <c r="BV406" s="65">
        <v>0.0</v>
      </c>
      <c r="BW406" s="66">
        <v>0.0</v>
      </c>
      <c r="BX406" s="67" t="str">
        <f t="shared" si="138"/>
        <v>#REF!</v>
      </c>
      <c r="BY406" s="68" t="str">
        <f t="shared" si="139"/>
        <v>#REF!</v>
      </c>
      <c r="BZ406" s="65">
        <v>0.0</v>
      </c>
      <c r="CA406" s="65">
        <v>0.0</v>
      </c>
      <c r="CB406" s="66">
        <v>0.0</v>
      </c>
      <c r="CC406" s="67" t="str">
        <f t="shared" si="140"/>
        <v>#REF!</v>
      </c>
      <c r="CD406" s="68" t="str">
        <f>'[1]DATA CONSOLIDADA 2018-2025 '!$CB406-Hoja1!$BW406</f>
        <v>#REF!</v>
      </c>
      <c r="CE406" s="70">
        <v>3875881.5632011504</v>
      </c>
      <c r="CF406" s="70">
        <v>0.0</v>
      </c>
      <c r="CG406" s="71">
        <v>3875881.5632011504</v>
      </c>
      <c r="CH406" s="67" t="str">
        <f t="shared" si="141"/>
        <v>#REF!</v>
      </c>
      <c r="CI406" s="68" t="str">
        <f>'[1]DATA CONSOLIDADA 2018-2025 '!$CG406-Hoja1!$CB406</f>
        <v>#REF!</v>
      </c>
      <c r="CJ406" s="64" t="str">
        <f t="shared" si="143"/>
        <v>#REF!</v>
      </c>
      <c r="CK406" s="64">
        <v>381843.4</v>
      </c>
      <c r="CL406" s="64">
        <v>41662.35</v>
      </c>
      <c r="CM406" s="64">
        <v>423505.75</v>
      </c>
      <c r="CN406" s="64" t="str">
        <f t="shared" si="12"/>
        <v>#REF!</v>
      </c>
      <c r="CO406" s="68" t="str">
        <f>'[1]DATA CONSOLIDADA 2018-2025 '!$CM406-Hoja1!$CG406</f>
        <v>#REF!</v>
      </c>
      <c r="CP406" s="70">
        <v>0.0</v>
      </c>
      <c r="CQ406" s="70">
        <v>0.0</v>
      </c>
      <c r="CR406" s="70">
        <v>0.0</v>
      </c>
      <c r="CS406" s="70">
        <v>0.0</v>
      </c>
      <c r="CT406" s="70">
        <v>0.0</v>
      </c>
      <c r="CU406" s="70">
        <v>0.0</v>
      </c>
      <c r="CV406" s="64">
        <v>0.0</v>
      </c>
      <c r="CW406" s="64">
        <v>0.0</v>
      </c>
      <c r="CX406" s="64">
        <v>0.0</v>
      </c>
      <c r="CY406" s="64">
        <v>3875881.5632011504</v>
      </c>
      <c r="CZ406" s="64">
        <v>0.0</v>
      </c>
      <c r="DA406" s="64">
        <v>0.0</v>
      </c>
      <c r="DB406" s="64">
        <v>3875881.5632011504</v>
      </c>
      <c r="DC406" s="72">
        <v>0.0</v>
      </c>
      <c r="DD406" s="72">
        <v>0.0</v>
      </c>
      <c r="DE406" s="72">
        <v>423505.7500000001</v>
      </c>
      <c r="DF406" s="72">
        <v>0.0</v>
      </c>
      <c r="DG406" s="72">
        <v>0.0</v>
      </c>
      <c r="DH406" s="72">
        <v>423505.7500000001</v>
      </c>
      <c r="DI406" s="73">
        <v>2.0608478311E10</v>
      </c>
      <c r="DJ406" s="74" t="s">
        <v>1370</v>
      </c>
      <c r="DK406" s="74" t="s">
        <v>132</v>
      </c>
      <c r="DL406" s="75"/>
      <c r="DM406" s="75"/>
      <c r="DN406" s="75"/>
      <c r="DO406" s="75"/>
      <c r="DP406" s="75"/>
      <c r="DQ406" s="75"/>
      <c r="DR406" s="75"/>
      <c r="DS406" s="75"/>
      <c r="DT406" s="75"/>
      <c r="DU406" s="75"/>
      <c r="DV406" s="75"/>
      <c r="DW406" s="75"/>
      <c r="DX406" s="75"/>
      <c r="DY406" s="75"/>
      <c r="DZ406" s="75"/>
      <c r="EA406" s="75"/>
      <c r="EB406" s="75"/>
      <c r="EC406" s="75"/>
      <c r="ED406" s="75"/>
      <c r="EE406" s="75"/>
    </row>
    <row r="407" ht="47.25" customHeight="1">
      <c r="A407" s="55" t="s">
        <v>1373</v>
      </c>
      <c r="B407" s="55" t="s">
        <v>146</v>
      </c>
      <c r="C407" s="55" t="s">
        <v>146</v>
      </c>
      <c r="D407" s="55" t="s">
        <v>127</v>
      </c>
      <c r="E407" s="55" t="s">
        <v>1374</v>
      </c>
      <c r="F407" s="55" t="s">
        <v>127</v>
      </c>
      <c r="G407" s="55" t="s">
        <v>1375</v>
      </c>
      <c r="H407" s="55" t="s">
        <v>1376</v>
      </c>
      <c r="I407" s="56"/>
      <c r="J407" s="56"/>
      <c r="K407" s="56"/>
      <c r="L407" s="56"/>
      <c r="M407" s="56"/>
      <c r="N407" s="56"/>
      <c r="O407" s="56">
        <v>1.0</v>
      </c>
      <c r="P407" s="56">
        <v>1.0</v>
      </c>
      <c r="Q407" s="56" t="s">
        <v>131</v>
      </c>
      <c r="R407" s="58" t="str">
        <f t="shared" si="1"/>
        <v>2024 - 2025</v>
      </c>
      <c r="S407" s="59" t="str">
        <f>SUM(Hoja1!$I407:$P407)</f>
        <v>2</v>
      </c>
      <c r="T407" s="59" t="str">
        <f>IF(OR(Hoja1!$J407=1,Hoja1!$K407=1,Hoja1!$L407=1,Hoja1!$M407=1,Hoja1!$N407=1,Hoja1!$O407=1,Hoja1!$P407=1),"SI","NO")</f>
        <v>SI</v>
      </c>
      <c r="U407" s="59" t="str">
        <f>IF(OR(Hoja1!$K407=1,Hoja1!$L407=1,Hoja1!$M407=1,Hoja1!$N407=1,Hoja1!$O407=1,Hoja1!$P407=1),"SI","NO")</f>
        <v>SI</v>
      </c>
      <c r="V407" s="60">
        <v>0.0</v>
      </c>
      <c r="W407" s="61">
        <v>0.0</v>
      </c>
      <c r="X407" s="61">
        <v>0.0</v>
      </c>
      <c r="Y407" s="60">
        <v>0.0</v>
      </c>
      <c r="Z407" s="61">
        <v>0.0</v>
      </c>
      <c r="AA407" s="61">
        <v>0.0</v>
      </c>
      <c r="AB407" s="60">
        <v>0.0</v>
      </c>
      <c r="AC407" s="61">
        <v>0.0</v>
      </c>
      <c r="AD407" s="61">
        <v>0.0</v>
      </c>
      <c r="AE407" s="60">
        <v>0.0</v>
      </c>
      <c r="AF407" s="61">
        <v>0.0</v>
      </c>
      <c r="AG407" s="61">
        <v>0.0</v>
      </c>
      <c r="AH407" s="60">
        <v>0.0</v>
      </c>
      <c r="AI407" s="61">
        <v>0.0</v>
      </c>
      <c r="AJ407" s="61">
        <v>0.0</v>
      </c>
      <c r="AK407" s="60">
        <v>0.0</v>
      </c>
      <c r="AL407" s="61">
        <v>38.0</v>
      </c>
      <c r="AM407" s="61">
        <v>4.0</v>
      </c>
      <c r="AN407" s="60">
        <v>42.0</v>
      </c>
      <c r="AO407" s="62">
        <v>33.0</v>
      </c>
      <c r="AP407" s="62">
        <v>3.0</v>
      </c>
      <c r="AQ407" s="60">
        <v>36.0</v>
      </c>
      <c r="AR407" s="60" t="str">
        <f>IF(Hoja1!$AQ407&gt;0,Hoja1!$AQ407,IF(Hoja1!$AN407&gt;0,Hoja1!$AN407,IF(Hoja1!$AK407&gt;0,Hoja1!$AK407,IF(Hoja1!$AH407&gt;0,Hoja1!$AH407,IF(Hoja1!$AE407&gt;0,Hoja1!$AE407,IF(Hoja1!$AB407&gt;0,Hoja1!$AB407,IF(Hoja1!$Y407&gt;0,Hoja1!$Y407,IF(Hoja1!$V407&gt;0,Hoja1!$V407," ---"))))))))</f>
        <v>36</v>
      </c>
      <c r="AS407" s="63">
        <v>0.0</v>
      </c>
      <c r="AT407" s="63">
        <v>0.0</v>
      </c>
      <c r="AU407" s="63">
        <v>0.0</v>
      </c>
      <c r="AV407" s="63">
        <v>0.0</v>
      </c>
      <c r="AW407" s="63">
        <v>0.0</v>
      </c>
      <c r="AX407" s="63">
        <v>0.0</v>
      </c>
      <c r="AY407" s="63">
        <v>0.0</v>
      </c>
      <c r="AZ407" s="63">
        <v>0.0</v>
      </c>
      <c r="BA407" s="63">
        <v>25.0</v>
      </c>
      <c r="BB407" s="63">
        <v>7.0</v>
      </c>
      <c r="BC407" s="63">
        <v>15.0</v>
      </c>
      <c r="BD407" s="63">
        <v>4.0</v>
      </c>
      <c r="BE407" s="64">
        <v>0.0</v>
      </c>
      <c r="BF407" s="69">
        <v>0.0</v>
      </c>
      <c r="BG407" s="69">
        <v>0.0</v>
      </c>
      <c r="BH407" s="64">
        <v>0.0</v>
      </c>
      <c r="BI407" s="67" t="str">
        <f t="shared" si="133"/>
        <v>#REF!</v>
      </c>
      <c r="BJ407" s="68" t="str">
        <f t="shared" si="134"/>
        <v>#REF!</v>
      </c>
      <c r="BK407" s="69">
        <v>0.0</v>
      </c>
      <c r="BL407" s="69">
        <v>0.0</v>
      </c>
      <c r="BM407" s="64">
        <v>0.0</v>
      </c>
      <c r="BN407" s="67" t="str">
        <f t="shared" si="135"/>
        <v>#REF!</v>
      </c>
      <c r="BO407" s="68" t="str">
        <f t="shared" si="136"/>
        <v>#REF!</v>
      </c>
      <c r="BP407" s="65">
        <v>0.0</v>
      </c>
      <c r="BQ407" s="65">
        <v>0.0</v>
      </c>
      <c r="BR407" s="66">
        <v>0.0</v>
      </c>
      <c r="BS407" s="67" t="str">
        <f t="shared" si="137"/>
        <v>#REF!</v>
      </c>
      <c r="BT407" s="68" t="str">
        <f>'[1]DATA CONSOLIDADA 2018-2025 '!$BR407-Hoja1!$BO407</f>
        <v>#REF!</v>
      </c>
      <c r="BU407" s="69">
        <v>0.0</v>
      </c>
      <c r="BV407" s="65">
        <v>0.0</v>
      </c>
      <c r="BW407" s="66">
        <v>0.0</v>
      </c>
      <c r="BX407" s="67" t="str">
        <f t="shared" si="138"/>
        <v>#REF!</v>
      </c>
      <c r="BY407" s="68" t="str">
        <f t="shared" si="139"/>
        <v>#REF!</v>
      </c>
      <c r="BZ407" s="65">
        <v>0.0</v>
      </c>
      <c r="CA407" s="65">
        <v>0.0</v>
      </c>
      <c r="CB407" s="66">
        <v>0.0</v>
      </c>
      <c r="CC407" s="67" t="str">
        <f t="shared" si="140"/>
        <v>#REF!</v>
      </c>
      <c r="CD407" s="68" t="str">
        <f>'[1]DATA CONSOLIDADA 2018-2025 '!$CB407-Hoja1!$BW407</f>
        <v>#REF!</v>
      </c>
      <c r="CE407" s="70">
        <v>19571.86</v>
      </c>
      <c r="CF407" s="70">
        <v>0.0</v>
      </c>
      <c r="CG407" s="71">
        <v>19571.86</v>
      </c>
      <c r="CH407" s="67" t="str">
        <f t="shared" si="141"/>
        <v>#REF!</v>
      </c>
      <c r="CI407" s="68" t="str">
        <f>'[1]DATA CONSOLIDADA 2018-2025 '!$CG407-Hoja1!$CB407</f>
        <v>#REF!</v>
      </c>
      <c r="CJ407" s="64" t="str">
        <f t="shared" si="143"/>
        <v>#REF!</v>
      </c>
      <c r="CK407" s="64">
        <v>78861.48</v>
      </c>
      <c r="CL407" s="64">
        <v>0.0</v>
      </c>
      <c r="CM407" s="64">
        <v>78861.48</v>
      </c>
      <c r="CN407" s="64" t="str">
        <f t="shared" si="12"/>
        <v>#REF!</v>
      </c>
      <c r="CO407" s="68" t="str">
        <f>'[1]DATA CONSOLIDADA 2018-2025 '!$CM407-Hoja1!$CG407</f>
        <v>#REF!</v>
      </c>
      <c r="CP407" s="70">
        <v>0.0</v>
      </c>
      <c r="CQ407" s="70">
        <v>0.0</v>
      </c>
      <c r="CR407" s="70">
        <v>0.0</v>
      </c>
      <c r="CS407" s="70">
        <v>0.0</v>
      </c>
      <c r="CT407" s="70">
        <v>0.0</v>
      </c>
      <c r="CU407" s="70">
        <v>0.0</v>
      </c>
      <c r="CV407" s="64">
        <v>0.0</v>
      </c>
      <c r="CW407" s="64">
        <v>0.0</v>
      </c>
      <c r="CX407" s="64">
        <v>0.0</v>
      </c>
      <c r="CY407" s="64">
        <v>19571.86</v>
      </c>
      <c r="CZ407" s="64">
        <v>0.0</v>
      </c>
      <c r="DA407" s="64">
        <v>0.0</v>
      </c>
      <c r="DB407" s="64">
        <v>19571.86</v>
      </c>
      <c r="DC407" s="72">
        <v>0.0</v>
      </c>
      <c r="DD407" s="72">
        <v>0.0</v>
      </c>
      <c r="DE407" s="72">
        <v>78861.48</v>
      </c>
      <c r="DF407" s="72">
        <v>0.0</v>
      </c>
      <c r="DG407" s="72">
        <v>0.0</v>
      </c>
      <c r="DH407" s="72">
        <v>78861.48</v>
      </c>
      <c r="DI407" s="73">
        <v>2.0607558559E10</v>
      </c>
      <c r="DJ407" s="74" t="s">
        <v>1377</v>
      </c>
      <c r="DK407" s="74" t="s">
        <v>132</v>
      </c>
      <c r="DL407" s="75"/>
      <c r="DM407" s="75"/>
      <c r="DN407" s="75"/>
      <c r="DO407" s="75"/>
      <c r="DP407" s="75"/>
      <c r="DQ407" s="75"/>
      <c r="DR407" s="75"/>
      <c r="DS407" s="75"/>
      <c r="DT407" s="75"/>
      <c r="DU407" s="75"/>
      <c r="DV407" s="75"/>
      <c r="DW407" s="75"/>
      <c r="DX407" s="75"/>
      <c r="DY407" s="75"/>
      <c r="DZ407" s="75"/>
      <c r="EA407" s="75"/>
      <c r="EB407" s="75"/>
      <c r="EC407" s="75"/>
      <c r="ED407" s="75"/>
      <c r="EE407" s="75"/>
    </row>
    <row r="408" ht="47.25" hidden="1" customHeight="1">
      <c r="A408" s="55" t="s">
        <v>1378</v>
      </c>
      <c r="B408" s="55" t="s">
        <v>1197</v>
      </c>
      <c r="C408" s="55" t="s">
        <v>1197</v>
      </c>
      <c r="D408" s="55" t="s">
        <v>127</v>
      </c>
      <c r="E408" s="55" t="s">
        <v>1198</v>
      </c>
      <c r="F408" s="55" t="s">
        <v>127</v>
      </c>
      <c r="G408" s="55" t="s">
        <v>1199</v>
      </c>
      <c r="H408" s="55" t="s">
        <v>1200</v>
      </c>
      <c r="I408" s="56"/>
      <c r="J408" s="56"/>
      <c r="K408" s="56"/>
      <c r="L408" s="56"/>
      <c r="M408" s="56"/>
      <c r="N408" s="56"/>
      <c r="O408" s="56">
        <v>1.0</v>
      </c>
      <c r="P408" s="56">
        <v>1.0</v>
      </c>
      <c r="Q408" s="56" t="s">
        <v>131</v>
      </c>
      <c r="R408" s="58" t="str">
        <f t="shared" si="1"/>
        <v>2024 - 2025</v>
      </c>
      <c r="S408" s="59" t="str">
        <f>SUM(Hoja1!$I408:$P408)</f>
        <v>2</v>
      </c>
      <c r="T408" s="59" t="str">
        <f>IF(OR(Hoja1!$J408=1,Hoja1!$K408=1,Hoja1!$L408=1,Hoja1!$M408=1,Hoja1!$N408=1,Hoja1!$O408=1,Hoja1!$P408=1),"SI","NO")</f>
        <v>SI</v>
      </c>
      <c r="U408" s="59" t="str">
        <f>IF(OR(Hoja1!$K408=1,Hoja1!$L408=1,Hoja1!$M408=1,Hoja1!$N408=1,Hoja1!$O408=1,Hoja1!$P408=1),"SI","NO")</f>
        <v>SI</v>
      </c>
      <c r="V408" s="60">
        <v>0.0</v>
      </c>
      <c r="W408" s="61">
        <v>0.0</v>
      </c>
      <c r="X408" s="61">
        <v>0.0</v>
      </c>
      <c r="Y408" s="60">
        <v>0.0</v>
      </c>
      <c r="Z408" s="61">
        <v>0.0</v>
      </c>
      <c r="AA408" s="61">
        <v>0.0</v>
      </c>
      <c r="AB408" s="60">
        <v>0.0</v>
      </c>
      <c r="AC408" s="61">
        <v>0.0</v>
      </c>
      <c r="AD408" s="61">
        <v>0.0</v>
      </c>
      <c r="AE408" s="60">
        <v>0.0</v>
      </c>
      <c r="AF408" s="61">
        <v>0.0</v>
      </c>
      <c r="AG408" s="61">
        <v>0.0</v>
      </c>
      <c r="AH408" s="60">
        <v>0.0</v>
      </c>
      <c r="AI408" s="61">
        <v>0.0</v>
      </c>
      <c r="AJ408" s="61">
        <v>0.0</v>
      </c>
      <c r="AK408" s="60">
        <v>0.0</v>
      </c>
      <c r="AL408" s="61">
        <v>48.0</v>
      </c>
      <c r="AM408" s="61">
        <v>27.0</v>
      </c>
      <c r="AN408" s="60">
        <v>75.0</v>
      </c>
      <c r="AO408" s="62">
        <v>47.0</v>
      </c>
      <c r="AP408" s="62">
        <v>28.0</v>
      </c>
      <c r="AQ408" s="60">
        <v>75.0</v>
      </c>
      <c r="AR408" s="60" t="str">
        <f>IF(Hoja1!$AQ408&gt;0,Hoja1!$AQ408,IF(Hoja1!$AN408&gt;0,Hoja1!$AN408,IF(Hoja1!$AK408&gt;0,Hoja1!$AK408,IF(Hoja1!$AH408&gt;0,Hoja1!$AH408,IF(Hoja1!$AE408&gt;0,Hoja1!$AE408,IF(Hoja1!$AB408&gt;0,Hoja1!$AB408,IF(Hoja1!$Y408&gt;0,Hoja1!$Y408,IF(Hoja1!$V408&gt;0,Hoja1!$V408," ---"))))))))</f>
        <v>75</v>
      </c>
      <c r="AS408" s="63">
        <v>0.0</v>
      </c>
      <c r="AT408" s="63">
        <v>0.0</v>
      </c>
      <c r="AU408" s="63">
        <v>0.0</v>
      </c>
      <c r="AV408" s="63">
        <v>0.0</v>
      </c>
      <c r="AW408" s="63">
        <v>0.0</v>
      </c>
      <c r="AX408" s="63">
        <v>0.0</v>
      </c>
      <c r="AY408" s="63">
        <v>0.0</v>
      </c>
      <c r="AZ408" s="63">
        <v>0.0</v>
      </c>
      <c r="BA408" s="63">
        <v>16.0</v>
      </c>
      <c r="BB408" s="63">
        <v>4.0</v>
      </c>
      <c r="BC408" s="63">
        <v>18.0</v>
      </c>
      <c r="BD408" s="63">
        <v>4.0</v>
      </c>
      <c r="BE408" s="64">
        <v>0.0</v>
      </c>
      <c r="BF408" s="69">
        <v>0.0</v>
      </c>
      <c r="BG408" s="69">
        <v>0.0</v>
      </c>
      <c r="BH408" s="64">
        <v>0.0</v>
      </c>
      <c r="BI408" s="67" t="str">
        <f t="shared" si="133"/>
        <v>#REF!</v>
      </c>
      <c r="BJ408" s="68" t="str">
        <f t="shared" si="134"/>
        <v>#REF!</v>
      </c>
      <c r="BK408" s="69">
        <v>0.0</v>
      </c>
      <c r="BL408" s="69">
        <v>0.0</v>
      </c>
      <c r="BM408" s="64">
        <v>0.0</v>
      </c>
      <c r="BN408" s="67" t="str">
        <f t="shared" si="135"/>
        <v>#REF!</v>
      </c>
      <c r="BO408" s="68" t="str">
        <f t="shared" si="136"/>
        <v>#REF!</v>
      </c>
      <c r="BP408" s="65">
        <v>0.0</v>
      </c>
      <c r="BQ408" s="65">
        <v>0.0</v>
      </c>
      <c r="BR408" s="66">
        <v>0.0</v>
      </c>
      <c r="BS408" s="67" t="str">
        <f t="shared" si="137"/>
        <v>#REF!</v>
      </c>
      <c r="BT408" s="68" t="str">
        <f>'[1]DATA CONSOLIDADA 2018-2025 '!$BR408-Hoja1!$BO408</f>
        <v>#REF!</v>
      </c>
      <c r="BU408" s="69">
        <v>0.0</v>
      </c>
      <c r="BV408" s="65">
        <v>0.0</v>
      </c>
      <c r="BW408" s="66">
        <v>0.0</v>
      </c>
      <c r="BX408" s="67" t="str">
        <f t="shared" si="138"/>
        <v>#REF!</v>
      </c>
      <c r="BY408" s="68" t="str">
        <f t="shared" si="139"/>
        <v>#REF!</v>
      </c>
      <c r="BZ408" s="65">
        <v>0.0</v>
      </c>
      <c r="CA408" s="65">
        <v>0.0</v>
      </c>
      <c r="CB408" s="66">
        <v>0.0</v>
      </c>
      <c r="CC408" s="67" t="str">
        <f t="shared" si="140"/>
        <v>#REF!</v>
      </c>
      <c r="CD408" s="68" t="str">
        <f>'[1]DATA CONSOLIDADA 2018-2025 '!$CB408-Hoja1!$BW408</f>
        <v>#REF!</v>
      </c>
      <c r="CE408" s="70">
        <v>6540.0</v>
      </c>
      <c r="CF408" s="70">
        <v>0.0</v>
      </c>
      <c r="CG408" s="71">
        <v>6540.0</v>
      </c>
      <c r="CH408" s="67" t="str">
        <f t="shared" si="141"/>
        <v>#REF!</v>
      </c>
      <c r="CI408" s="68" t="str">
        <f>'[1]DATA CONSOLIDADA 2018-2025 '!$CG408-Hoja1!$CB408</f>
        <v>#REF!</v>
      </c>
      <c r="CJ408" s="64" t="str">
        <f t="shared" si="143"/>
        <v>#REF!</v>
      </c>
      <c r="CK408" s="64">
        <v>0.0</v>
      </c>
      <c r="CL408" s="64">
        <v>0.0</v>
      </c>
      <c r="CM408" s="64">
        <v>0.0</v>
      </c>
      <c r="CN408" s="64" t="str">
        <f t="shared" si="12"/>
        <v>#REF!</v>
      </c>
      <c r="CO408" s="68" t="str">
        <f>'[1]DATA CONSOLIDADA 2018-2025 '!$CM408-Hoja1!$CG408</f>
        <v>#REF!</v>
      </c>
      <c r="CP408" s="70">
        <v>0.0</v>
      </c>
      <c r="CQ408" s="70">
        <v>0.0</v>
      </c>
      <c r="CR408" s="70">
        <v>0.0</v>
      </c>
      <c r="CS408" s="70">
        <v>0.0</v>
      </c>
      <c r="CT408" s="70">
        <v>0.0</v>
      </c>
      <c r="CU408" s="70">
        <v>0.0</v>
      </c>
      <c r="CV408" s="64">
        <v>0.0</v>
      </c>
      <c r="CW408" s="64">
        <v>6540.0</v>
      </c>
      <c r="CX408" s="64">
        <v>0.0</v>
      </c>
      <c r="CY408" s="64">
        <v>0.0</v>
      </c>
      <c r="CZ408" s="64">
        <v>0.0</v>
      </c>
      <c r="DA408" s="64">
        <v>0.0</v>
      </c>
      <c r="DB408" s="64">
        <v>6540.0</v>
      </c>
      <c r="DC408" s="72">
        <v>0.0</v>
      </c>
      <c r="DD408" s="72">
        <v>0.0</v>
      </c>
      <c r="DE408" s="72">
        <v>0.0</v>
      </c>
      <c r="DF408" s="72">
        <v>0.0</v>
      </c>
      <c r="DG408" s="72">
        <v>0.0</v>
      </c>
      <c r="DH408" s="72">
        <v>0.0</v>
      </c>
      <c r="DI408" s="73">
        <v>2.0611182661E10</v>
      </c>
      <c r="DJ408" s="74" t="s">
        <v>1378</v>
      </c>
      <c r="DK408" s="74" t="s">
        <v>132</v>
      </c>
      <c r="DL408" s="75"/>
      <c r="DM408" s="75"/>
      <c r="DN408" s="75"/>
      <c r="DO408" s="75"/>
      <c r="DP408" s="75"/>
      <c r="DQ408" s="75"/>
      <c r="DR408" s="75"/>
      <c r="DS408" s="75"/>
      <c r="DT408" s="75"/>
      <c r="DU408" s="75"/>
      <c r="DV408" s="75"/>
      <c r="DW408" s="75"/>
      <c r="DX408" s="75"/>
      <c r="DY408" s="75"/>
      <c r="DZ408" s="75"/>
      <c r="EA408" s="75"/>
      <c r="EB408" s="75"/>
      <c r="EC408" s="75"/>
      <c r="ED408" s="75"/>
      <c r="EE408" s="75"/>
    </row>
    <row r="409" ht="47.25" hidden="1" customHeight="1">
      <c r="A409" s="55" t="s">
        <v>1379</v>
      </c>
      <c r="B409" s="55" t="s">
        <v>236</v>
      </c>
      <c r="C409" s="55" t="s">
        <v>236</v>
      </c>
      <c r="D409" s="55" t="s">
        <v>227</v>
      </c>
      <c r="E409" s="55" t="s">
        <v>238</v>
      </c>
      <c r="F409" s="55" t="s">
        <v>227</v>
      </c>
      <c r="G409" s="55" t="s">
        <v>239</v>
      </c>
      <c r="H409" s="55" t="s">
        <v>240</v>
      </c>
      <c r="I409" s="56"/>
      <c r="J409" s="56"/>
      <c r="K409" s="56"/>
      <c r="L409" s="56"/>
      <c r="M409" s="56"/>
      <c r="N409" s="56"/>
      <c r="O409" s="56">
        <v>1.0</v>
      </c>
      <c r="P409" s="56">
        <v>1.0</v>
      </c>
      <c r="Q409" s="56" t="s">
        <v>131</v>
      </c>
      <c r="R409" s="58" t="str">
        <f t="shared" si="1"/>
        <v>2024 - 2025</v>
      </c>
      <c r="S409" s="59" t="str">
        <f>SUM(Hoja1!$I409:$P409)</f>
        <v>2</v>
      </c>
      <c r="T409" s="59" t="str">
        <f>IF(OR(Hoja1!$J409=1,Hoja1!$K409=1,Hoja1!$L409=1,Hoja1!$M409=1,Hoja1!$N409=1,Hoja1!$O409=1,Hoja1!$P409=1),"SI","NO")</f>
        <v>SI</v>
      </c>
      <c r="U409" s="59" t="str">
        <f>IF(OR(Hoja1!$K409=1,Hoja1!$L409=1,Hoja1!$M409=1,Hoja1!$N409=1,Hoja1!$O409=1,Hoja1!$P409=1),"SI","NO")</f>
        <v>SI</v>
      </c>
      <c r="V409" s="60">
        <v>0.0</v>
      </c>
      <c r="W409" s="61">
        <v>0.0</v>
      </c>
      <c r="X409" s="61">
        <v>0.0</v>
      </c>
      <c r="Y409" s="60">
        <v>0.0</v>
      </c>
      <c r="Z409" s="61">
        <v>0.0</v>
      </c>
      <c r="AA409" s="61">
        <v>0.0</v>
      </c>
      <c r="AB409" s="60">
        <v>0.0</v>
      </c>
      <c r="AC409" s="61">
        <v>0.0</v>
      </c>
      <c r="AD409" s="61">
        <v>0.0</v>
      </c>
      <c r="AE409" s="60">
        <v>0.0</v>
      </c>
      <c r="AF409" s="61">
        <v>0.0</v>
      </c>
      <c r="AG409" s="61">
        <v>0.0</v>
      </c>
      <c r="AH409" s="60">
        <v>0.0</v>
      </c>
      <c r="AI409" s="61">
        <v>0.0</v>
      </c>
      <c r="AJ409" s="61">
        <v>0.0</v>
      </c>
      <c r="AK409" s="60">
        <v>0.0</v>
      </c>
      <c r="AL409" s="61">
        <v>63.0</v>
      </c>
      <c r="AM409" s="61">
        <v>22.0</v>
      </c>
      <c r="AN409" s="60">
        <v>85.0</v>
      </c>
      <c r="AO409" s="62">
        <v>26.0</v>
      </c>
      <c r="AP409" s="62">
        <v>59.0</v>
      </c>
      <c r="AQ409" s="60">
        <v>85.0</v>
      </c>
      <c r="AR409" s="60" t="str">
        <f>IF(Hoja1!$AQ409&gt;0,Hoja1!$AQ409,IF(Hoja1!$AN409&gt;0,Hoja1!$AN409,IF(Hoja1!$AK409&gt;0,Hoja1!$AK409,IF(Hoja1!$AH409&gt;0,Hoja1!$AH409,IF(Hoja1!$AE409&gt;0,Hoja1!$AE409,IF(Hoja1!$AB409&gt;0,Hoja1!$AB409,IF(Hoja1!$Y409&gt;0,Hoja1!$Y409,IF(Hoja1!$V409&gt;0,Hoja1!$V409," ---"))))))))</f>
        <v>85</v>
      </c>
      <c r="AS409" s="63">
        <v>0.0</v>
      </c>
      <c r="AT409" s="63">
        <v>0.0</v>
      </c>
      <c r="AU409" s="63">
        <v>0.0</v>
      </c>
      <c r="AV409" s="63">
        <v>0.0</v>
      </c>
      <c r="AW409" s="63">
        <v>0.0</v>
      </c>
      <c r="AX409" s="63">
        <v>0.0</v>
      </c>
      <c r="AY409" s="63">
        <v>0.0</v>
      </c>
      <c r="AZ409" s="63">
        <v>0.0</v>
      </c>
      <c r="BA409" s="63">
        <v>44.0</v>
      </c>
      <c r="BB409" s="63">
        <v>8.0</v>
      </c>
      <c r="BC409" s="63">
        <v>36.0</v>
      </c>
      <c r="BD409" s="63">
        <v>7.0</v>
      </c>
      <c r="BE409" s="64">
        <v>0.0</v>
      </c>
      <c r="BF409" s="69">
        <v>0.0</v>
      </c>
      <c r="BG409" s="69">
        <v>0.0</v>
      </c>
      <c r="BH409" s="64">
        <v>0.0</v>
      </c>
      <c r="BI409" s="67" t="str">
        <f t="shared" si="133"/>
        <v>#REF!</v>
      </c>
      <c r="BJ409" s="68" t="str">
        <f t="shared" si="134"/>
        <v>#REF!</v>
      </c>
      <c r="BK409" s="69">
        <v>0.0</v>
      </c>
      <c r="BL409" s="69">
        <v>0.0</v>
      </c>
      <c r="BM409" s="64">
        <v>0.0</v>
      </c>
      <c r="BN409" s="67" t="str">
        <f t="shared" si="135"/>
        <v>#REF!</v>
      </c>
      <c r="BO409" s="68" t="str">
        <f t="shared" si="136"/>
        <v>#REF!</v>
      </c>
      <c r="BP409" s="65">
        <v>0.0</v>
      </c>
      <c r="BQ409" s="65">
        <v>0.0</v>
      </c>
      <c r="BR409" s="66">
        <v>0.0</v>
      </c>
      <c r="BS409" s="67" t="str">
        <f t="shared" si="137"/>
        <v>#REF!</v>
      </c>
      <c r="BT409" s="68" t="str">
        <f>'[1]DATA CONSOLIDADA 2018-2025 '!$BR409-Hoja1!$BO409</f>
        <v>#REF!</v>
      </c>
      <c r="BU409" s="69">
        <v>0.0</v>
      </c>
      <c r="BV409" s="65">
        <v>0.0</v>
      </c>
      <c r="BW409" s="66">
        <v>0.0</v>
      </c>
      <c r="BX409" s="67" t="str">
        <f t="shared" si="138"/>
        <v>#REF!</v>
      </c>
      <c r="BY409" s="68" t="str">
        <f t="shared" si="139"/>
        <v>#REF!</v>
      </c>
      <c r="BZ409" s="65">
        <v>0.0</v>
      </c>
      <c r="CA409" s="65">
        <v>0.0</v>
      </c>
      <c r="CB409" s="66">
        <v>0.0</v>
      </c>
      <c r="CC409" s="67" t="str">
        <f t="shared" si="140"/>
        <v>#REF!</v>
      </c>
      <c r="CD409" s="68" t="str">
        <f>'[1]DATA CONSOLIDADA 2018-2025 '!$CB409-Hoja1!$BW409</f>
        <v>#REF!</v>
      </c>
      <c r="CE409" s="70">
        <v>4030912.246450001</v>
      </c>
      <c r="CF409" s="70">
        <v>256564.0</v>
      </c>
      <c r="CG409" s="71">
        <v>4287476.246450001</v>
      </c>
      <c r="CH409" s="67" t="str">
        <f t="shared" si="141"/>
        <v>#REF!</v>
      </c>
      <c r="CI409" s="68" t="str">
        <f>'[1]DATA CONSOLIDADA 2018-2025 '!$CG409-Hoja1!$CB409</f>
        <v>#REF!</v>
      </c>
      <c r="CJ409" s="64" t="str">
        <f t="shared" si="143"/>
        <v>#REF!</v>
      </c>
      <c r="CK409" s="64">
        <v>3211230.406</v>
      </c>
      <c r="CL409" s="64">
        <v>242788.4928</v>
      </c>
      <c r="CM409" s="64">
        <v>3454018.8988</v>
      </c>
      <c r="CN409" s="64" t="str">
        <f t="shared" si="12"/>
        <v>#REF!</v>
      </c>
      <c r="CO409" s="68" t="str">
        <f>'[1]DATA CONSOLIDADA 2018-2025 '!$CM409-Hoja1!$CG409</f>
        <v>#REF!</v>
      </c>
      <c r="CP409" s="70">
        <v>0.0</v>
      </c>
      <c r="CQ409" s="70">
        <v>0.0</v>
      </c>
      <c r="CR409" s="70">
        <v>0.0</v>
      </c>
      <c r="CS409" s="70">
        <v>0.0</v>
      </c>
      <c r="CT409" s="70">
        <v>0.0</v>
      </c>
      <c r="CU409" s="70">
        <v>0.0</v>
      </c>
      <c r="CV409" s="64">
        <v>0.0</v>
      </c>
      <c r="CW409" s="64">
        <v>0.0</v>
      </c>
      <c r="CX409" s="64">
        <v>0.0</v>
      </c>
      <c r="CY409" s="64">
        <v>4287476.246450001</v>
      </c>
      <c r="CZ409" s="64">
        <v>0.0</v>
      </c>
      <c r="DA409" s="64">
        <v>0.0</v>
      </c>
      <c r="DB409" s="64">
        <v>4287476.246450001</v>
      </c>
      <c r="DC409" s="72">
        <v>0.0</v>
      </c>
      <c r="DD409" s="72">
        <v>0.0</v>
      </c>
      <c r="DE409" s="72">
        <v>3454018.8988</v>
      </c>
      <c r="DF409" s="72">
        <v>0.0</v>
      </c>
      <c r="DG409" s="72">
        <v>0.0</v>
      </c>
      <c r="DH409" s="72">
        <v>3454018.8988</v>
      </c>
      <c r="DI409" s="73">
        <v>2.0611254068E10</v>
      </c>
      <c r="DJ409" s="74" t="s">
        <v>1379</v>
      </c>
      <c r="DK409" s="74" t="s">
        <v>132</v>
      </c>
      <c r="DL409" s="75"/>
      <c r="DM409" s="75"/>
      <c r="DN409" s="75"/>
      <c r="DO409" s="75"/>
      <c r="DP409" s="75"/>
      <c r="DQ409" s="75"/>
      <c r="DR409" s="75"/>
      <c r="DS409" s="75"/>
      <c r="DT409" s="75"/>
      <c r="DU409" s="75"/>
      <c r="DV409" s="75"/>
      <c r="DW409" s="75"/>
      <c r="DX409" s="75"/>
      <c r="DY409" s="75"/>
      <c r="DZ409" s="75"/>
      <c r="EA409" s="75"/>
      <c r="EB409" s="75"/>
      <c r="EC409" s="75"/>
      <c r="ED409" s="75"/>
      <c r="EE409" s="75"/>
    </row>
    <row r="410" ht="47.25" hidden="1" customHeight="1">
      <c r="A410" s="55" t="s">
        <v>1380</v>
      </c>
      <c r="B410" s="55" t="s">
        <v>250</v>
      </c>
      <c r="C410" s="55" t="s">
        <v>250</v>
      </c>
      <c r="D410" s="55" t="s">
        <v>289</v>
      </c>
      <c r="E410" s="55" t="s">
        <v>315</v>
      </c>
      <c r="F410" s="55" t="s">
        <v>289</v>
      </c>
      <c r="G410" s="55" t="s">
        <v>303</v>
      </c>
      <c r="H410" s="55" t="s">
        <v>303</v>
      </c>
      <c r="I410" s="56"/>
      <c r="J410" s="56"/>
      <c r="K410" s="56"/>
      <c r="L410" s="56"/>
      <c r="M410" s="56"/>
      <c r="N410" s="56"/>
      <c r="O410" s="56">
        <v>1.0</v>
      </c>
      <c r="P410" s="56">
        <v>1.0</v>
      </c>
      <c r="Q410" s="56" t="s">
        <v>131</v>
      </c>
      <c r="R410" s="58" t="str">
        <f t="shared" si="1"/>
        <v>2024 - 2025</v>
      </c>
      <c r="S410" s="59" t="str">
        <f>SUM(Hoja1!$I410:$P410)</f>
        <v>2</v>
      </c>
      <c r="T410" s="59" t="str">
        <f>IF(OR(Hoja1!$J410=1,Hoja1!$K410=1,Hoja1!$L410=1,Hoja1!$M410=1,Hoja1!$N410=1,Hoja1!$O410=1,Hoja1!$P410=1),"SI","NO")</f>
        <v>SI</v>
      </c>
      <c r="U410" s="59" t="str">
        <f>IF(OR(Hoja1!$K410=1,Hoja1!$L410=1,Hoja1!$M410=1,Hoja1!$N410=1,Hoja1!$O410=1,Hoja1!$P410=1),"SI","NO")</f>
        <v>SI</v>
      </c>
      <c r="V410" s="60">
        <v>0.0</v>
      </c>
      <c r="W410" s="61">
        <v>0.0</v>
      </c>
      <c r="X410" s="61">
        <v>0.0</v>
      </c>
      <c r="Y410" s="60">
        <v>0.0</v>
      </c>
      <c r="Z410" s="61">
        <v>0.0</v>
      </c>
      <c r="AA410" s="61">
        <v>0.0</v>
      </c>
      <c r="AB410" s="60">
        <v>0.0</v>
      </c>
      <c r="AC410" s="61">
        <v>0.0</v>
      </c>
      <c r="AD410" s="61">
        <v>0.0</v>
      </c>
      <c r="AE410" s="60">
        <v>0.0</v>
      </c>
      <c r="AF410" s="61">
        <v>0.0</v>
      </c>
      <c r="AG410" s="61">
        <v>0.0</v>
      </c>
      <c r="AH410" s="60">
        <v>0.0</v>
      </c>
      <c r="AI410" s="61">
        <v>0.0</v>
      </c>
      <c r="AJ410" s="61">
        <v>0.0</v>
      </c>
      <c r="AK410" s="60">
        <v>0.0</v>
      </c>
      <c r="AL410" s="61">
        <v>10.0</v>
      </c>
      <c r="AM410" s="61">
        <v>19.0</v>
      </c>
      <c r="AN410" s="60">
        <v>29.0</v>
      </c>
      <c r="AO410" s="62">
        <v>10.0</v>
      </c>
      <c r="AP410" s="62">
        <v>19.0</v>
      </c>
      <c r="AQ410" s="60">
        <v>29.0</v>
      </c>
      <c r="AR410" s="60" t="str">
        <f>IF(Hoja1!$AQ410&gt;0,Hoja1!$AQ410,IF(Hoja1!$AN410&gt;0,Hoja1!$AN410,IF(Hoja1!$AK410&gt;0,Hoja1!$AK410,IF(Hoja1!$AH410&gt;0,Hoja1!$AH410,IF(Hoja1!$AE410&gt;0,Hoja1!$AE410,IF(Hoja1!$AB410&gt;0,Hoja1!$AB410,IF(Hoja1!$Y410&gt;0,Hoja1!$Y410,IF(Hoja1!$V410&gt;0,Hoja1!$V410," ---"))))))))</f>
        <v>29</v>
      </c>
      <c r="AS410" s="63">
        <v>0.0</v>
      </c>
      <c r="AT410" s="63">
        <v>0.0</v>
      </c>
      <c r="AU410" s="63">
        <v>0.0</v>
      </c>
      <c r="AV410" s="63">
        <v>0.0</v>
      </c>
      <c r="AW410" s="63">
        <v>0.0</v>
      </c>
      <c r="AX410" s="63">
        <v>0.0</v>
      </c>
      <c r="AY410" s="63">
        <v>0.0</v>
      </c>
      <c r="AZ410" s="63">
        <v>0.0</v>
      </c>
      <c r="BA410" s="63">
        <v>23.0</v>
      </c>
      <c r="BB410" s="63">
        <v>0.0</v>
      </c>
      <c r="BC410" s="63">
        <v>40.0</v>
      </c>
      <c r="BD410" s="63">
        <v>0.0</v>
      </c>
      <c r="BE410" s="64">
        <v>0.0</v>
      </c>
      <c r="BF410" s="69">
        <v>0.0</v>
      </c>
      <c r="BG410" s="69">
        <v>0.0</v>
      </c>
      <c r="BH410" s="64">
        <v>0.0</v>
      </c>
      <c r="BI410" s="67" t="str">
        <f t="shared" si="133"/>
        <v>#REF!</v>
      </c>
      <c r="BJ410" s="68" t="str">
        <f t="shared" si="134"/>
        <v>#REF!</v>
      </c>
      <c r="BK410" s="69">
        <v>0.0</v>
      </c>
      <c r="BL410" s="69">
        <v>0.0</v>
      </c>
      <c r="BM410" s="64">
        <v>0.0</v>
      </c>
      <c r="BN410" s="67" t="str">
        <f t="shared" si="135"/>
        <v>#REF!</v>
      </c>
      <c r="BO410" s="68" t="str">
        <f t="shared" si="136"/>
        <v>#REF!</v>
      </c>
      <c r="BP410" s="65">
        <v>0.0</v>
      </c>
      <c r="BQ410" s="65">
        <v>0.0</v>
      </c>
      <c r="BR410" s="66">
        <v>0.0</v>
      </c>
      <c r="BS410" s="67" t="str">
        <f t="shared" si="137"/>
        <v>#REF!</v>
      </c>
      <c r="BT410" s="68" t="str">
        <f>'[1]DATA CONSOLIDADA 2018-2025 '!$BR410-Hoja1!$BO410</f>
        <v>#REF!</v>
      </c>
      <c r="BU410" s="69">
        <v>0.0</v>
      </c>
      <c r="BV410" s="65">
        <v>0.0</v>
      </c>
      <c r="BW410" s="66">
        <v>0.0</v>
      </c>
      <c r="BX410" s="67" t="str">
        <f t="shared" si="138"/>
        <v>#REF!</v>
      </c>
      <c r="BY410" s="68" t="str">
        <f t="shared" si="139"/>
        <v>#REF!</v>
      </c>
      <c r="BZ410" s="65">
        <v>0.0</v>
      </c>
      <c r="CA410" s="65">
        <v>0.0</v>
      </c>
      <c r="CB410" s="66">
        <v>0.0</v>
      </c>
      <c r="CC410" s="67" t="str">
        <f t="shared" si="140"/>
        <v>#REF!</v>
      </c>
      <c r="CD410" s="68" t="str">
        <f>'[1]DATA CONSOLIDADA 2018-2025 '!$CB410-Hoja1!$BW410</f>
        <v>#REF!</v>
      </c>
      <c r="CE410" s="70">
        <v>18024.576</v>
      </c>
      <c r="CF410" s="70">
        <v>0.0</v>
      </c>
      <c r="CG410" s="71">
        <v>18024.576</v>
      </c>
      <c r="CH410" s="67" t="str">
        <f t="shared" si="141"/>
        <v>#REF!</v>
      </c>
      <c r="CI410" s="68" t="str">
        <f>'[1]DATA CONSOLIDADA 2018-2025 '!$CG410-Hoja1!$CB410</f>
        <v>#REF!</v>
      </c>
      <c r="CJ410" s="64" t="str">
        <f t="shared" si="143"/>
        <v>#REF!</v>
      </c>
      <c r="CK410" s="64">
        <v>33317.76</v>
      </c>
      <c r="CL410" s="64">
        <v>0.0</v>
      </c>
      <c r="CM410" s="64">
        <v>33317.76</v>
      </c>
      <c r="CN410" s="64" t="str">
        <f t="shared" si="12"/>
        <v>#REF!</v>
      </c>
      <c r="CO410" s="68" t="str">
        <f>'[1]DATA CONSOLIDADA 2018-2025 '!$CM410-Hoja1!$CG410</f>
        <v>#REF!</v>
      </c>
      <c r="CP410" s="70">
        <v>0.0</v>
      </c>
      <c r="CQ410" s="70">
        <v>0.0</v>
      </c>
      <c r="CR410" s="70">
        <v>0.0</v>
      </c>
      <c r="CS410" s="70">
        <v>0.0</v>
      </c>
      <c r="CT410" s="70">
        <v>0.0</v>
      </c>
      <c r="CU410" s="70">
        <v>0.0</v>
      </c>
      <c r="CV410" s="64">
        <v>0.0</v>
      </c>
      <c r="CW410" s="64">
        <v>0.0</v>
      </c>
      <c r="CX410" s="64">
        <v>18024.576</v>
      </c>
      <c r="CY410" s="64">
        <v>0.0</v>
      </c>
      <c r="CZ410" s="64">
        <v>0.0</v>
      </c>
      <c r="DA410" s="64">
        <v>0.0</v>
      </c>
      <c r="DB410" s="64">
        <v>18024.576</v>
      </c>
      <c r="DC410" s="72">
        <v>0.0</v>
      </c>
      <c r="DD410" s="72">
        <v>33317.76</v>
      </c>
      <c r="DE410" s="72">
        <v>0.0</v>
      </c>
      <c r="DF410" s="72">
        <v>0.0</v>
      </c>
      <c r="DG410" s="72">
        <v>0.0</v>
      </c>
      <c r="DH410" s="72">
        <v>33317.76</v>
      </c>
      <c r="DI410" s="73">
        <v>2.0610124977E10</v>
      </c>
      <c r="DJ410" s="74" t="s">
        <v>1380</v>
      </c>
      <c r="DK410" s="74" t="s">
        <v>138</v>
      </c>
      <c r="DL410" s="75"/>
      <c r="DM410" s="75"/>
      <c r="DN410" s="75"/>
      <c r="DO410" s="75"/>
      <c r="DP410" s="75"/>
      <c r="DQ410" s="75"/>
      <c r="DR410" s="75"/>
      <c r="DS410" s="75"/>
      <c r="DT410" s="75"/>
      <c r="DU410" s="75"/>
      <c r="DV410" s="75"/>
      <c r="DW410" s="75"/>
      <c r="DX410" s="75"/>
      <c r="DY410" s="75"/>
      <c r="DZ410" s="75"/>
      <c r="EA410" s="75"/>
      <c r="EB410" s="75"/>
      <c r="EC410" s="75"/>
      <c r="ED410" s="75"/>
      <c r="EE410" s="75"/>
    </row>
    <row r="411" ht="47.25" hidden="1" customHeight="1">
      <c r="A411" s="55" t="s">
        <v>1381</v>
      </c>
      <c r="B411" s="55" t="s">
        <v>236</v>
      </c>
      <c r="C411" s="55" t="s">
        <v>236</v>
      </c>
      <c r="D411" s="55" t="s">
        <v>340</v>
      </c>
      <c r="E411" s="55" t="s">
        <v>341</v>
      </c>
      <c r="F411" s="55" t="s">
        <v>340</v>
      </c>
      <c r="G411" s="55" t="s">
        <v>342</v>
      </c>
      <c r="H411" s="55" t="s">
        <v>343</v>
      </c>
      <c r="I411" s="56"/>
      <c r="J411" s="56"/>
      <c r="K411" s="56"/>
      <c r="L411" s="56"/>
      <c r="M411" s="56"/>
      <c r="N411" s="56"/>
      <c r="O411" s="56">
        <v>1.0</v>
      </c>
      <c r="P411" s="56">
        <v>1.0</v>
      </c>
      <c r="Q411" s="56" t="s">
        <v>131</v>
      </c>
      <c r="R411" s="58" t="str">
        <f t="shared" si="1"/>
        <v>2024 - 2025</v>
      </c>
      <c r="S411" s="59" t="str">
        <f>SUM(Hoja1!$I411:$P411)</f>
        <v>2</v>
      </c>
      <c r="T411" s="59" t="str">
        <f>IF(OR(Hoja1!$J411=1,Hoja1!$K411=1,Hoja1!$L411=1,Hoja1!$M411=1,Hoja1!$N411=1,Hoja1!$O411=1,Hoja1!$P411=1),"SI","NO")</f>
        <v>SI</v>
      </c>
      <c r="U411" s="59" t="str">
        <f>IF(OR(Hoja1!$K411=1,Hoja1!$L411=1,Hoja1!$M411=1,Hoja1!$N411=1,Hoja1!$O411=1,Hoja1!$P411=1),"SI","NO")</f>
        <v>SI</v>
      </c>
      <c r="V411" s="60">
        <v>0.0</v>
      </c>
      <c r="W411" s="61">
        <v>0.0</v>
      </c>
      <c r="X411" s="61">
        <v>0.0</v>
      </c>
      <c r="Y411" s="60">
        <v>0.0</v>
      </c>
      <c r="Z411" s="61">
        <v>0.0</v>
      </c>
      <c r="AA411" s="61">
        <v>0.0</v>
      </c>
      <c r="AB411" s="60">
        <v>0.0</v>
      </c>
      <c r="AC411" s="61">
        <v>0.0</v>
      </c>
      <c r="AD411" s="61">
        <v>0.0</v>
      </c>
      <c r="AE411" s="60">
        <v>0.0</v>
      </c>
      <c r="AF411" s="61">
        <v>0.0</v>
      </c>
      <c r="AG411" s="61">
        <v>0.0</v>
      </c>
      <c r="AH411" s="60">
        <v>0.0</v>
      </c>
      <c r="AI411" s="61">
        <v>0.0</v>
      </c>
      <c r="AJ411" s="61">
        <v>0.0</v>
      </c>
      <c r="AK411" s="60">
        <v>0.0</v>
      </c>
      <c r="AL411" s="61">
        <v>36.0</v>
      </c>
      <c r="AM411" s="61">
        <v>19.0</v>
      </c>
      <c r="AN411" s="60">
        <v>55.0</v>
      </c>
      <c r="AO411" s="62">
        <v>10.0</v>
      </c>
      <c r="AP411" s="62">
        <v>5.0</v>
      </c>
      <c r="AQ411" s="60">
        <v>15.0</v>
      </c>
      <c r="AR411" s="60" t="str">
        <f>IF(Hoja1!$AQ411&gt;0,Hoja1!$AQ411,IF(Hoja1!$AN411&gt;0,Hoja1!$AN411,IF(Hoja1!$AK411&gt;0,Hoja1!$AK411,IF(Hoja1!$AH411&gt;0,Hoja1!$AH411,IF(Hoja1!$AE411&gt;0,Hoja1!$AE411,IF(Hoja1!$AB411&gt;0,Hoja1!$AB411,IF(Hoja1!$Y411&gt;0,Hoja1!$Y411,IF(Hoja1!$V411&gt;0,Hoja1!$V411," ---"))))))))</f>
        <v>15</v>
      </c>
      <c r="AS411" s="63">
        <v>0.0</v>
      </c>
      <c r="AT411" s="63">
        <v>0.0</v>
      </c>
      <c r="AU411" s="63">
        <v>0.0</v>
      </c>
      <c r="AV411" s="63">
        <v>0.0</v>
      </c>
      <c r="AW411" s="63">
        <v>0.0</v>
      </c>
      <c r="AX411" s="63">
        <v>0.0</v>
      </c>
      <c r="AY411" s="63">
        <v>0.0</v>
      </c>
      <c r="AZ411" s="63">
        <v>0.0</v>
      </c>
      <c r="BA411" s="63">
        <v>26.0</v>
      </c>
      <c r="BB411" s="63">
        <v>4.0</v>
      </c>
      <c r="BC411" s="63">
        <v>4.0</v>
      </c>
      <c r="BD411" s="63">
        <v>10.0</v>
      </c>
      <c r="BE411" s="64">
        <v>0.0</v>
      </c>
      <c r="BF411" s="69">
        <v>0.0</v>
      </c>
      <c r="BG411" s="69">
        <v>0.0</v>
      </c>
      <c r="BH411" s="64">
        <v>0.0</v>
      </c>
      <c r="BI411" s="67" t="str">
        <f t="shared" si="133"/>
        <v>#REF!</v>
      </c>
      <c r="BJ411" s="68" t="str">
        <f t="shared" si="134"/>
        <v>#REF!</v>
      </c>
      <c r="BK411" s="69">
        <v>0.0</v>
      </c>
      <c r="BL411" s="69">
        <v>0.0</v>
      </c>
      <c r="BM411" s="64">
        <v>0.0</v>
      </c>
      <c r="BN411" s="67" t="str">
        <f t="shared" si="135"/>
        <v>#REF!</v>
      </c>
      <c r="BO411" s="68" t="str">
        <f t="shared" si="136"/>
        <v>#REF!</v>
      </c>
      <c r="BP411" s="65">
        <v>0.0</v>
      </c>
      <c r="BQ411" s="65">
        <v>0.0</v>
      </c>
      <c r="BR411" s="66">
        <v>0.0</v>
      </c>
      <c r="BS411" s="67" t="str">
        <f t="shared" si="137"/>
        <v>#REF!</v>
      </c>
      <c r="BT411" s="68" t="str">
        <f>'[1]DATA CONSOLIDADA 2018-2025 '!$BR411-Hoja1!$BO411</f>
        <v>#REF!</v>
      </c>
      <c r="BU411" s="69">
        <v>0.0</v>
      </c>
      <c r="BV411" s="65">
        <v>0.0</v>
      </c>
      <c r="BW411" s="66">
        <v>0.0</v>
      </c>
      <c r="BX411" s="67" t="str">
        <f t="shared" si="138"/>
        <v>#REF!</v>
      </c>
      <c r="BY411" s="68" t="str">
        <f t="shared" si="139"/>
        <v>#REF!</v>
      </c>
      <c r="BZ411" s="65">
        <v>0.0</v>
      </c>
      <c r="CA411" s="65">
        <v>0.0</v>
      </c>
      <c r="CB411" s="66">
        <v>0.0</v>
      </c>
      <c r="CC411" s="67" t="str">
        <f t="shared" si="140"/>
        <v>#REF!</v>
      </c>
      <c r="CD411" s="68" t="str">
        <f>'[1]DATA CONSOLIDADA 2018-2025 '!$CB411-Hoja1!$BW411</f>
        <v>#REF!</v>
      </c>
      <c r="CE411" s="70">
        <v>313000.0</v>
      </c>
      <c r="CF411" s="70">
        <v>0.0</v>
      </c>
      <c r="CG411" s="71">
        <v>313000.0</v>
      </c>
      <c r="CH411" s="67" t="str">
        <f t="shared" si="141"/>
        <v>#REF!</v>
      </c>
      <c r="CI411" s="68" t="str">
        <f>'[1]DATA CONSOLIDADA 2018-2025 '!$CG411-Hoja1!$CB411</f>
        <v>#REF!</v>
      </c>
      <c r="CJ411" s="64" t="str">
        <f t="shared" si="143"/>
        <v>#REF!</v>
      </c>
      <c r="CK411" s="64">
        <v>336149.9968</v>
      </c>
      <c r="CL411" s="64">
        <v>0.0</v>
      </c>
      <c r="CM411" s="64">
        <v>336149.9968</v>
      </c>
      <c r="CN411" s="64" t="str">
        <f t="shared" si="12"/>
        <v>#REF!</v>
      </c>
      <c r="CO411" s="68" t="str">
        <f>'[1]DATA CONSOLIDADA 2018-2025 '!$CM411-Hoja1!$CG411</f>
        <v>#REF!</v>
      </c>
      <c r="CP411" s="70">
        <v>0.0</v>
      </c>
      <c r="CQ411" s="70">
        <v>0.0</v>
      </c>
      <c r="CR411" s="70">
        <v>0.0</v>
      </c>
      <c r="CS411" s="70">
        <v>0.0</v>
      </c>
      <c r="CT411" s="70">
        <v>0.0</v>
      </c>
      <c r="CU411" s="70">
        <v>0.0</v>
      </c>
      <c r="CV411" s="64">
        <v>0.0</v>
      </c>
      <c r="CW411" s="64">
        <v>0.0</v>
      </c>
      <c r="CX411" s="64">
        <v>313000.0</v>
      </c>
      <c r="CY411" s="64">
        <v>0.0</v>
      </c>
      <c r="CZ411" s="64">
        <v>0.0</v>
      </c>
      <c r="DA411" s="64">
        <v>0.0</v>
      </c>
      <c r="DB411" s="64">
        <v>313000.0</v>
      </c>
      <c r="DC411" s="72">
        <v>0.0</v>
      </c>
      <c r="DD411" s="72">
        <v>336149.9968</v>
      </c>
      <c r="DE411" s="72">
        <v>0.0</v>
      </c>
      <c r="DF411" s="72">
        <v>0.0</v>
      </c>
      <c r="DG411" s="72">
        <v>0.0</v>
      </c>
      <c r="DH411" s="72">
        <v>336149.9968</v>
      </c>
      <c r="DI411" s="73">
        <v>2.0609119421E10</v>
      </c>
      <c r="DJ411" s="74" t="s">
        <v>1381</v>
      </c>
      <c r="DK411" s="74" t="s">
        <v>138</v>
      </c>
      <c r="DL411" s="75"/>
      <c r="DM411" s="75"/>
      <c r="DN411" s="75"/>
      <c r="DO411" s="75"/>
      <c r="DP411" s="75"/>
      <c r="DQ411" s="75"/>
      <c r="DR411" s="75"/>
      <c r="DS411" s="75"/>
      <c r="DT411" s="75"/>
      <c r="DU411" s="75"/>
      <c r="DV411" s="75"/>
      <c r="DW411" s="75"/>
      <c r="DX411" s="75"/>
      <c r="DY411" s="75"/>
      <c r="DZ411" s="75"/>
      <c r="EA411" s="75"/>
      <c r="EB411" s="75"/>
      <c r="EC411" s="75"/>
      <c r="ED411" s="75"/>
      <c r="EE411" s="75"/>
    </row>
    <row r="412" ht="47.25" hidden="1" customHeight="1">
      <c r="A412" s="55" t="s">
        <v>1382</v>
      </c>
      <c r="B412" s="55" t="s">
        <v>455</v>
      </c>
      <c r="C412" s="55" t="s">
        <v>455</v>
      </c>
      <c r="D412" s="55" t="s">
        <v>340</v>
      </c>
      <c r="E412" s="55" t="s">
        <v>1383</v>
      </c>
      <c r="F412" s="55" t="s">
        <v>340</v>
      </c>
      <c r="G412" s="55" t="s">
        <v>380</v>
      </c>
      <c r="H412" s="55" t="s">
        <v>1384</v>
      </c>
      <c r="I412" s="56"/>
      <c r="J412" s="56"/>
      <c r="K412" s="56"/>
      <c r="L412" s="56"/>
      <c r="M412" s="56"/>
      <c r="N412" s="56"/>
      <c r="O412" s="56">
        <v>1.0</v>
      </c>
      <c r="P412" s="56"/>
      <c r="Q412" s="56" t="s">
        <v>131</v>
      </c>
      <c r="R412" s="58" t="str">
        <f t="shared" si="1"/>
        <v>2024</v>
      </c>
      <c r="S412" s="59" t="str">
        <f>SUM(Hoja1!$I412:$P412)</f>
        <v>1</v>
      </c>
      <c r="T412" s="59" t="str">
        <f>IF(OR(Hoja1!$J412=1,Hoja1!$K412=1,Hoja1!$L412=1,Hoja1!$M412=1,Hoja1!$N412=1,Hoja1!$O412=1,Hoja1!$P412=1),"SI","NO")</f>
        <v>SI</v>
      </c>
      <c r="U412" s="59" t="str">
        <f>IF(OR(Hoja1!$K412=1,Hoja1!$L412=1,Hoja1!$M412=1,Hoja1!$N412=1,Hoja1!$O412=1,Hoja1!$P412=1),"SI","NO")</f>
        <v>SI</v>
      </c>
      <c r="V412" s="60">
        <v>0.0</v>
      </c>
      <c r="W412" s="61">
        <v>0.0</v>
      </c>
      <c r="X412" s="61">
        <v>0.0</v>
      </c>
      <c r="Y412" s="60">
        <v>0.0</v>
      </c>
      <c r="Z412" s="61">
        <v>0.0</v>
      </c>
      <c r="AA412" s="61">
        <v>0.0</v>
      </c>
      <c r="AB412" s="60">
        <v>0.0</v>
      </c>
      <c r="AC412" s="61">
        <v>0.0</v>
      </c>
      <c r="AD412" s="61">
        <v>0.0</v>
      </c>
      <c r="AE412" s="60">
        <v>0.0</v>
      </c>
      <c r="AF412" s="61">
        <v>0.0</v>
      </c>
      <c r="AG412" s="61">
        <v>0.0</v>
      </c>
      <c r="AH412" s="60">
        <v>0.0</v>
      </c>
      <c r="AI412" s="61">
        <v>0.0</v>
      </c>
      <c r="AJ412" s="61">
        <v>0.0</v>
      </c>
      <c r="AK412" s="60">
        <v>0.0</v>
      </c>
      <c r="AL412" s="61">
        <v>58.0</v>
      </c>
      <c r="AM412" s="61">
        <v>18.0</v>
      </c>
      <c r="AN412" s="60">
        <v>76.0</v>
      </c>
      <c r="AO412" s="62">
        <v>0.0</v>
      </c>
      <c r="AP412" s="62">
        <v>0.0</v>
      </c>
      <c r="AQ412" s="60">
        <v>0.0</v>
      </c>
      <c r="AR412" s="60" t="str">
        <f>IF(Hoja1!$AQ412&gt;0,Hoja1!$AQ412,IF(Hoja1!$AN412&gt;0,Hoja1!$AN412,IF(Hoja1!$AK412&gt;0,Hoja1!$AK412,IF(Hoja1!$AH412&gt;0,Hoja1!$AH412,IF(Hoja1!$AE412&gt;0,Hoja1!$AE412,IF(Hoja1!$AB412&gt;0,Hoja1!$AB412,IF(Hoja1!$Y412&gt;0,Hoja1!$Y412,IF(Hoja1!$V412&gt;0,Hoja1!$V412," ---"))))))))</f>
        <v>76</v>
      </c>
      <c r="AS412" s="63">
        <v>0.0</v>
      </c>
      <c r="AT412" s="63">
        <v>0.0</v>
      </c>
      <c r="AU412" s="63">
        <v>0.0</v>
      </c>
      <c r="AV412" s="63">
        <v>0.0</v>
      </c>
      <c r="AW412" s="63">
        <v>0.0</v>
      </c>
      <c r="AX412" s="63">
        <v>0.0</v>
      </c>
      <c r="AY412" s="63">
        <v>0.0</v>
      </c>
      <c r="AZ412" s="63">
        <v>0.0</v>
      </c>
      <c r="BA412" s="63">
        <v>7.0</v>
      </c>
      <c r="BB412" s="63">
        <v>14.0</v>
      </c>
      <c r="BC412" s="63">
        <v>0.0</v>
      </c>
      <c r="BD412" s="63">
        <v>0.0</v>
      </c>
      <c r="BE412" s="64">
        <v>0.0</v>
      </c>
      <c r="BF412" s="69">
        <v>0.0</v>
      </c>
      <c r="BG412" s="69">
        <v>0.0</v>
      </c>
      <c r="BH412" s="64">
        <v>0.0</v>
      </c>
      <c r="BI412" s="67" t="str">
        <f t="shared" si="133"/>
        <v>#REF!</v>
      </c>
      <c r="BJ412" s="68" t="str">
        <f t="shared" si="134"/>
        <v>#REF!</v>
      </c>
      <c r="BK412" s="69">
        <v>0.0</v>
      </c>
      <c r="BL412" s="69">
        <v>0.0</v>
      </c>
      <c r="BM412" s="64">
        <v>0.0</v>
      </c>
      <c r="BN412" s="67" t="str">
        <f t="shared" si="135"/>
        <v>#REF!</v>
      </c>
      <c r="BO412" s="68" t="str">
        <f t="shared" si="136"/>
        <v>#REF!</v>
      </c>
      <c r="BP412" s="65">
        <v>0.0</v>
      </c>
      <c r="BQ412" s="65">
        <v>0.0</v>
      </c>
      <c r="BR412" s="66">
        <v>0.0</v>
      </c>
      <c r="BS412" s="67" t="str">
        <f t="shared" si="137"/>
        <v>#REF!</v>
      </c>
      <c r="BT412" s="68" t="str">
        <f>'[1]DATA CONSOLIDADA 2018-2025 '!$BR350-Hoja1!$BO412</f>
        <v>#REF!</v>
      </c>
      <c r="BU412" s="69">
        <v>0.0</v>
      </c>
      <c r="BV412" s="65">
        <v>0.0</v>
      </c>
      <c r="BW412" s="66">
        <v>0.0</v>
      </c>
      <c r="BX412" s="67" t="str">
        <f t="shared" si="138"/>
        <v>#REF!</v>
      </c>
      <c r="BY412" s="68" t="str">
        <f t="shared" si="139"/>
        <v>#REF!</v>
      </c>
      <c r="BZ412" s="65">
        <v>0.0</v>
      </c>
      <c r="CA412" s="65">
        <v>0.0</v>
      </c>
      <c r="CB412" s="66">
        <v>0.0</v>
      </c>
      <c r="CC412" s="67" t="str">
        <f t="shared" si="140"/>
        <v>#REF!</v>
      </c>
      <c r="CD412" s="68" t="str">
        <f>'[1]DATA CONSOLIDADA 2018-2025 '!$CB350-Hoja1!$BW412</f>
        <v>#REF!</v>
      </c>
      <c r="CE412" s="70">
        <v>61282.0</v>
      </c>
      <c r="CF412" s="70">
        <v>0.0</v>
      </c>
      <c r="CG412" s="71">
        <v>61282.0</v>
      </c>
      <c r="CH412" s="67" t="str">
        <f t="shared" si="141"/>
        <v>#REF!</v>
      </c>
      <c r="CI412" s="68" t="str">
        <f>'[1]DATA CONSOLIDADA 2018-2025 '!$CG350-Hoja1!$CB412</f>
        <v>#REF!</v>
      </c>
      <c r="CJ412" s="64" t="str">
        <f>'[1]DATA CONSOLIDADA 2018-2025 '!$BE350+'[1]DATA CONSOLIDADA 2018-2025 '!$BH350+'[1]DATA CONSOLIDADA 2018-2025 '!$BM350+'[1]DATA CONSOLIDADA 2018-2025 '!$BR350+'[1]DATA CONSOLIDADA 2018-2025 '!$BW350+'[1]DATA CONSOLIDADA 2018-2025 '!$CB350+'[1]DATA CONSOLIDADA 2018-2025 '!$CG350</f>
        <v>#REF!</v>
      </c>
      <c r="CK412" s="64">
        <v>0.0</v>
      </c>
      <c r="CL412" s="64">
        <v>0.0</v>
      </c>
      <c r="CM412" s="64">
        <v>0.0</v>
      </c>
      <c r="CN412" s="64" t="str">
        <f t="shared" si="12"/>
        <v>#REF!</v>
      </c>
      <c r="CO412" s="68" t="str">
        <f>'[1]DATA CONSOLIDADA 2018-2025 '!$CM412-Hoja1!$CG412</f>
        <v>#REF!</v>
      </c>
      <c r="CP412" s="70">
        <v>0.0</v>
      </c>
      <c r="CQ412" s="70">
        <v>0.0</v>
      </c>
      <c r="CR412" s="70">
        <v>0.0</v>
      </c>
      <c r="CS412" s="70">
        <v>0.0</v>
      </c>
      <c r="CT412" s="70">
        <v>0.0</v>
      </c>
      <c r="CU412" s="70">
        <v>0.0</v>
      </c>
      <c r="CV412" s="64">
        <v>0.0</v>
      </c>
      <c r="CW412" s="64">
        <v>0.0</v>
      </c>
      <c r="CX412" s="64">
        <v>61282.0</v>
      </c>
      <c r="CY412" s="64">
        <v>0.0</v>
      </c>
      <c r="CZ412" s="64">
        <v>0.0</v>
      </c>
      <c r="DA412" s="64">
        <v>0.0</v>
      </c>
      <c r="DB412" s="64">
        <v>61282.0</v>
      </c>
      <c r="DC412" s="72">
        <v>0.0</v>
      </c>
      <c r="DD412" s="72">
        <v>0.0</v>
      </c>
      <c r="DE412" s="72">
        <v>0.0</v>
      </c>
      <c r="DF412" s="72">
        <v>0.0</v>
      </c>
      <c r="DG412" s="72">
        <v>0.0</v>
      </c>
      <c r="DH412" s="72">
        <v>0.0</v>
      </c>
      <c r="DI412" s="73">
        <v>2.0605357122E10</v>
      </c>
      <c r="DJ412" s="74" t="s">
        <v>1382</v>
      </c>
      <c r="DK412" s="74" t="s">
        <v>132</v>
      </c>
      <c r="DL412" s="75"/>
      <c r="DM412" s="75"/>
      <c r="DN412" s="75"/>
      <c r="DO412" s="75"/>
      <c r="DP412" s="75"/>
      <c r="DQ412" s="75"/>
      <c r="DR412" s="75"/>
      <c r="DS412" s="75"/>
      <c r="DT412" s="75"/>
      <c r="DU412" s="75"/>
      <c r="DV412" s="75"/>
      <c r="DW412" s="75"/>
      <c r="DX412" s="75"/>
      <c r="DY412" s="75"/>
      <c r="DZ412" s="75"/>
      <c r="EA412" s="75"/>
      <c r="EB412" s="75"/>
      <c r="EC412" s="75"/>
      <c r="ED412" s="75"/>
      <c r="EE412" s="75"/>
    </row>
    <row r="413" ht="47.25" hidden="1" customHeight="1">
      <c r="A413" s="55" t="s">
        <v>1385</v>
      </c>
      <c r="B413" s="55" t="s">
        <v>455</v>
      </c>
      <c r="C413" s="55" t="s">
        <v>455</v>
      </c>
      <c r="D413" s="55" t="s">
        <v>340</v>
      </c>
      <c r="E413" s="55" t="s">
        <v>1386</v>
      </c>
      <c r="F413" s="55" t="s">
        <v>340</v>
      </c>
      <c r="G413" s="55" t="s">
        <v>380</v>
      </c>
      <c r="H413" s="55" t="s">
        <v>380</v>
      </c>
      <c r="I413" s="56"/>
      <c r="J413" s="56"/>
      <c r="K413" s="56"/>
      <c r="L413" s="56"/>
      <c r="M413" s="56"/>
      <c r="N413" s="56"/>
      <c r="O413" s="56">
        <v>1.0</v>
      </c>
      <c r="P413" s="56"/>
      <c r="Q413" s="56" t="s">
        <v>131</v>
      </c>
      <c r="R413" s="58" t="str">
        <f t="shared" si="1"/>
        <v>2024</v>
      </c>
      <c r="S413" s="59" t="str">
        <f>SUM(Hoja1!$I413:$P413)</f>
        <v>1</v>
      </c>
      <c r="T413" s="59" t="str">
        <f>IF(OR(Hoja1!$J413=1,Hoja1!$K413=1,Hoja1!$L413=1,Hoja1!$M413=1,Hoja1!$N413=1,Hoja1!$O413=1,Hoja1!$P413=1),"SI","NO")</f>
        <v>SI</v>
      </c>
      <c r="U413" s="59" t="str">
        <f>IF(OR(Hoja1!$K413=1,Hoja1!$L413=1,Hoja1!$M413=1,Hoja1!$N413=1,Hoja1!$O413=1,Hoja1!$P413=1),"SI","NO")</f>
        <v>SI</v>
      </c>
      <c r="V413" s="60">
        <v>0.0</v>
      </c>
      <c r="W413" s="61">
        <v>0.0</v>
      </c>
      <c r="X413" s="61">
        <v>0.0</v>
      </c>
      <c r="Y413" s="60">
        <v>0.0</v>
      </c>
      <c r="Z413" s="61">
        <v>0.0</v>
      </c>
      <c r="AA413" s="61">
        <v>0.0</v>
      </c>
      <c r="AB413" s="60">
        <v>0.0</v>
      </c>
      <c r="AC413" s="61">
        <v>0.0</v>
      </c>
      <c r="AD413" s="61">
        <v>0.0</v>
      </c>
      <c r="AE413" s="60">
        <v>0.0</v>
      </c>
      <c r="AF413" s="61">
        <v>0.0</v>
      </c>
      <c r="AG413" s="61">
        <v>0.0</v>
      </c>
      <c r="AH413" s="60">
        <v>0.0</v>
      </c>
      <c r="AI413" s="61">
        <v>0.0</v>
      </c>
      <c r="AJ413" s="61">
        <v>0.0</v>
      </c>
      <c r="AK413" s="60">
        <v>0.0</v>
      </c>
      <c r="AL413" s="61">
        <v>21.0</v>
      </c>
      <c r="AM413" s="61">
        <v>22.0</v>
      </c>
      <c r="AN413" s="60">
        <v>43.0</v>
      </c>
      <c r="AO413" s="62">
        <v>0.0</v>
      </c>
      <c r="AP413" s="62">
        <v>0.0</v>
      </c>
      <c r="AQ413" s="60">
        <v>0.0</v>
      </c>
      <c r="AR413" s="60" t="str">
        <f>IF(Hoja1!$AQ413&gt;0,Hoja1!$AQ413,IF(Hoja1!$AN413&gt;0,Hoja1!$AN413,IF(Hoja1!$AK413&gt;0,Hoja1!$AK413,IF(Hoja1!$AH413&gt;0,Hoja1!$AH413,IF(Hoja1!$AE413&gt;0,Hoja1!$AE413,IF(Hoja1!$AB413&gt;0,Hoja1!$AB413,IF(Hoja1!$Y413&gt;0,Hoja1!$Y413,IF(Hoja1!$V413&gt;0,Hoja1!$V413," ---"))))))))</f>
        <v>43</v>
      </c>
      <c r="AS413" s="63">
        <v>0.0</v>
      </c>
      <c r="AT413" s="63">
        <v>0.0</v>
      </c>
      <c r="AU413" s="63">
        <v>0.0</v>
      </c>
      <c r="AV413" s="63">
        <v>0.0</v>
      </c>
      <c r="AW413" s="63">
        <v>0.0</v>
      </c>
      <c r="AX413" s="63">
        <v>0.0</v>
      </c>
      <c r="AY413" s="63">
        <v>0.0</v>
      </c>
      <c r="AZ413" s="63">
        <v>0.0</v>
      </c>
      <c r="BA413" s="63">
        <v>9.0</v>
      </c>
      <c r="BB413" s="63">
        <v>12.0</v>
      </c>
      <c r="BC413" s="63">
        <v>0.0</v>
      </c>
      <c r="BD413" s="63">
        <v>0.0</v>
      </c>
      <c r="BE413" s="64">
        <v>0.0</v>
      </c>
      <c r="BF413" s="69">
        <v>0.0</v>
      </c>
      <c r="BG413" s="69">
        <v>0.0</v>
      </c>
      <c r="BH413" s="64">
        <v>0.0</v>
      </c>
      <c r="BI413" s="67" t="str">
        <f t="shared" si="133"/>
        <v>#REF!</v>
      </c>
      <c r="BJ413" s="68" t="str">
        <f t="shared" si="134"/>
        <v>#REF!</v>
      </c>
      <c r="BK413" s="69">
        <v>0.0</v>
      </c>
      <c r="BL413" s="69">
        <v>0.0</v>
      </c>
      <c r="BM413" s="64">
        <v>0.0</v>
      </c>
      <c r="BN413" s="67" t="str">
        <f t="shared" si="135"/>
        <v>#REF!</v>
      </c>
      <c r="BO413" s="68" t="str">
        <f t="shared" si="136"/>
        <v>#REF!</v>
      </c>
      <c r="BP413" s="65">
        <v>0.0</v>
      </c>
      <c r="BQ413" s="65">
        <v>0.0</v>
      </c>
      <c r="BR413" s="66">
        <v>0.0</v>
      </c>
      <c r="BS413" s="67" t="str">
        <f t="shared" si="137"/>
        <v>#REF!</v>
      </c>
      <c r="BT413" s="68" t="str">
        <f>'[1]DATA CONSOLIDADA 2018-2025 '!$BR352-Hoja1!$BO413</f>
        <v>#REF!</v>
      </c>
      <c r="BU413" s="69">
        <v>0.0</v>
      </c>
      <c r="BV413" s="65">
        <v>0.0</v>
      </c>
      <c r="BW413" s="66">
        <v>0.0</v>
      </c>
      <c r="BX413" s="67" t="str">
        <f t="shared" si="138"/>
        <v>#REF!</v>
      </c>
      <c r="BY413" s="68" t="str">
        <f t="shared" si="139"/>
        <v>#REF!</v>
      </c>
      <c r="BZ413" s="65">
        <v>0.0</v>
      </c>
      <c r="CA413" s="65">
        <v>0.0</v>
      </c>
      <c r="CB413" s="66">
        <v>0.0</v>
      </c>
      <c r="CC413" s="67" t="str">
        <f t="shared" si="140"/>
        <v>#REF!</v>
      </c>
      <c r="CD413" s="68" t="str">
        <f>'[1]DATA CONSOLIDADA 2018-2025 '!$CB352-Hoja1!$BW413</f>
        <v>#REF!</v>
      </c>
      <c r="CE413" s="70">
        <v>14950.0</v>
      </c>
      <c r="CF413" s="70">
        <v>0.0</v>
      </c>
      <c r="CG413" s="71">
        <v>14950.0</v>
      </c>
      <c r="CH413" s="67" t="str">
        <f t="shared" si="141"/>
        <v>#REF!</v>
      </c>
      <c r="CI413" s="68" t="str">
        <f>'[1]DATA CONSOLIDADA 2018-2025 '!$CG352-Hoja1!$CB413</f>
        <v>#REF!</v>
      </c>
      <c r="CJ413" s="64" t="str">
        <f>'[1]DATA CONSOLIDADA 2018-2025 '!$BE352+'[1]DATA CONSOLIDADA 2018-2025 '!$BH352+'[1]DATA CONSOLIDADA 2018-2025 '!$BM352+'[1]DATA CONSOLIDADA 2018-2025 '!$BR352+'[1]DATA CONSOLIDADA 2018-2025 '!$BW352+'[1]DATA CONSOLIDADA 2018-2025 '!$CB352+'[1]DATA CONSOLIDADA 2018-2025 '!$CG352</f>
        <v>#REF!</v>
      </c>
      <c r="CK413" s="64">
        <v>0.0</v>
      </c>
      <c r="CL413" s="64">
        <v>0.0</v>
      </c>
      <c r="CM413" s="64">
        <v>0.0</v>
      </c>
      <c r="CN413" s="64" t="str">
        <f t="shared" si="12"/>
        <v>#REF!</v>
      </c>
      <c r="CO413" s="68" t="str">
        <f>'[1]DATA CONSOLIDADA 2018-2025 '!$CM413-Hoja1!$CG413</f>
        <v>#REF!</v>
      </c>
      <c r="CP413" s="70">
        <v>0.0</v>
      </c>
      <c r="CQ413" s="70">
        <v>0.0</v>
      </c>
      <c r="CR413" s="70">
        <v>0.0</v>
      </c>
      <c r="CS413" s="70">
        <v>0.0</v>
      </c>
      <c r="CT413" s="70">
        <v>0.0</v>
      </c>
      <c r="CU413" s="70">
        <v>0.0</v>
      </c>
      <c r="CV413" s="64">
        <v>0.0</v>
      </c>
      <c r="CW413" s="64">
        <v>0.0</v>
      </c>
      <c r="CX413" s="64">
        <v>14950.0</v>
      </c>
      <c r="CY413" s="64">
        <v>0.0</v>
      </c>
      <c r="CZ413" s="64">
        <v>0.0</v>
      </c>
      <c r="DA413" s="64">
        <v>0.0</v>
      </c>
      <c r="DB413" s="64">
        <v>14950.0</v>
      </c>
      <c r="DC413" s="72">
        <v>0.0</v>
      </c>
      <c r="DD413" s="72">
        <v>0.0</v>
      </c>
      <c r="DE413" s="72">
        <v>0.0</v>
      </c>
      <c r="DF413" s="72">
        <v>0.0</v>
      </c>
      <c r="DG413" s="72">
        <v>0.0</v>
      </c>
      <c r="DH413" s="72">
        <v>0.0</v>
      </c>
      <c r="DI413" s="73">
        <v>2.0603355017E10</v>
      </c>
      <c r="DJ413" s="74" t="s">
        <v>1385</v>
      </c>
      <c r="DK413" s="74" t="s">
        <v>138</v>
      </c>
      <c r="DL413" s="75"/>
      <c r="DM413" s="75"/>
      <c r="DN413" s="75"/>
      <c r="DO413" s="75"/>
      <c r="DP413" s="75"/>
      <c r="DQ413" s="75"/>
      <c r="DR413" s="75"/>
      <c r="DS413" s="75"/>
      <c r="DT413" s="75"/>
      <c r="DU413" s="75"/>
      <c r="DV413" s="75"/>
      <c r="DW413" s="75"/>
      <c r="DX413" s="75"/>
      <c r="DY413" s="75"/>
      <c r="DZ413" s="75"/>
      <c r="EA413" s="75"/>
      <c r="EB413" s="75"/>
      <c r="EC413" s="75"/>
      <c r="ED413" s="75"/>
      <c r="EE413" s="75"/>
    </row>
    <row r="414" ht="47.25" hidden="1" customHeight="1">
      <c r="A414" s="55" t="s">
        <v>1387</v>
      </c>
      <c r="B414" s="55" t="s">
        <v>455</v>
      </c>
      <c r="C414" s="55" t="s">
        <v>455</v>
      </c>
      <c r="D414" s="55" t="s">
        <v>340</v>
      </c>
      <c r="E414" s="55" t="s">
        <v>1388</v>
      </c>
      <c r="F414" s="55" t="s">
        <v>340</v>
      </c>
      <c r="G414" s="55" t="s">
        <v>380</v>
      </c>
      <c r="H414" s="55" t="s">
        <v>1389</v>
      </c>
      <c r="I414" s="56"/>
      <c r="J414" s="56"/>
      <c r="K414" s="56"/>
      <c r="L414" s="56"/>
      <c r="M414" s="56"/>
      <c r="N414" s="56"/>
      <c r="O414" s="56">
        <v>1.0</v>
      </c>
      <c r="P414" s="56">
        <v>1.0</v>
      </c>
      <c r="Q414" s="56" t="s">
        <v>131</v>
      </c>
      <c r="R414" s="58" t="str">
        <f t="shared" si="1"/>
        <v>2024 - 2025</v>
      </c>
      <c r="S414" s="59" t="str">
        <f>SUM(Hoja1!$I414:$P414)</f>
        <v>2</v>
      </c>
      <c r="T414" s="59" t="str">
        <f>IF(OR(Hoja1!$J414=1,Hoja1!$K414=1,Hoja1!$L414=1,Hoja1!$M414=1,Hoja1!$N414=1,Hoja1!$O414=1,Hoja1!$P414=1),"SI","NO")</f>
        <v>SI</v>
      </c>
      <c r="U414" s="59" t="str">
        <f>IF(OR(Hoja1!$K414=1,Hoja1!$L414=1,Hoja1!$M414=1,Hoja1!$N414=1,Hoja1!$O414=1,Hoja1!$P414=1),"SI","NO")</f>
        <v>SI</v>
      </c>
      <c r="V414" s="60">
        <v>0.0</v>
      </c>
      <c r="W414" s="61">
        <v>0.0</v>
      </c>
      <c r="X414" s="61">
        <v>0.0</v>
      </c>
      <c r="Y414" s="60">
        <v>0.0</v>
      </c>
      <c r="Z414" s="61">
        <v>0.0</v>
      </c>
      <c r="AA414" s="61">
        <v>0.0</v>
      </c>
      <c r="AB414" s="60">
        <v>0.0</v>
      </c>
      <c r="AC414" s="61">
        <v>0.0</v>
      </c>
      <c r="AD414" s="61">
        <v>0.0</v>
      </c>
      <c r="AE414" s="60">
        <v>0.0</v>
      </c>
      <c r="AF414" s="61">
        <v>0.0</v>
      </c>
      <c r="AG414" s="61">
        <v>0.0</v>
      </c>
      <c r="AH414" s="60">
        <v>0.0</v>
      </c>
      <c r="AI414" s="61">
        <v>0.0</v>
      </c>
      <c r="AJ414" s="61">
        <v>0.0</v>
      </c>
      <c r="AK414" s="60">
        <v>0.0</v>
      </c>
      <c r="AL414" s="61">
        <v>17.0</v>
      </c>
      <c r="AM414" s="61">
        <v>12.0</v>
      </c>
      <c r="AN414" s="60">
        <v>29.0</v>
      </c>
      <c r="AO414" s="62">
        <v>12.0</v>
      </c>
      <c r="AP414" s="62">
        <v>16.0</v>
      </c>
      <c r="AQ414" s="60">
        <v>28.0</v>
      </c>
      <c r="AR414" s="60" t="str">
        <f>IF(Hoja1!$AQ414&gt;0,Hoja1!$AQ414,IF(Hoja1!$AN414&gt;0,Hoja1!$AN414,IF(Hoja1!$AK414&gt;0,Hoja1!$AK414,IF(Hoja1!$AH414&gt;0,Hoja1!$AH414,IF(Hoja1!$AE414&gt;0,Hoja1!$AE414,IF(Hoja1!$AB414&gt;0,Hoja1!$AB414,IF(Hoja1!$Y414&gt;0,Hoja1!$Y414,IF(Hoja1!$V414&gt;0,Hoja1!$V414," ---"))))))))</f>
        <v>28</v>
      </c>
      <c r="AS414" s="63">
        <v>0.0</v>
      </c>
      <c r="AT414" s="63">
        <v>0.0</v>
      </c>
      <c r="AU414" s="63">
        <v>0.0</v>
      </c>
      <c r="AV414" s="63">
        <v>0.0</v>
      </c>
      <c r="AW414" s="63">
        <v>0.0</v>
      </c>
      <c r="AX414" s="63">
        <v>0.0</v>
      </c>
      <c r="AY414" s="63">
        <v>0.0</v>
      </c>
      <c r="AZ414" s="63">
        <v>0.0</v>
      </c>
      <c r="BA414" s="63">
        <v>20.0</v>
      </c>
      <c r="BB414" s="63">
        <v>17.0</v>
      </c>
      <c r="BC414" s="63">
        <v>14.0</v>
      </c>
      <c r="BD414" s="63">
        <v>1.0</v>
      </c>
      <c r="BE414" s="64">
        <v>0.0</v>
      </c>
      <c r="BF414" s="69">
        <v>0.0</v>
      </c>
      <c r="BG414" s="69">
        <v>0.0</v>
      </c>
      <c r="BH414" s="64">
        <v>0.0</v>
      </c>
      <c r="BI414" s="67" t="str">
        <f t="shared" si="133"/>
        <v>#REF!</v>
      </c>
      <c r="BJ414" s="68" t="str">
        <f t="shared" si="134"/>
        <v>#REF!</v>
      </c>
      <c r="BK414" s="69">
        <v>0.0</v>
      </c>
      <c r="BL414" s="69">
        <v>0.0</v>
      </c>
      <c r="BM414" s="64">
        <v>0.0</v>
      </c>
      <c r="BN414" s="67" t="str">
        <f t="shared" si="135"/>
        <v>#REF!</v>
      </c>
      <c r="BO414" s="68" t="str">
        <f t="shared" si="136"/>
        <v>#REF!</v>
      </c>
      <c r="BP414" s="65">
        <v>0.0</v>
      </c>
      <c r="BQ414" s="65">
        <v>0.0</v>
      </c>
      <c r="BR414" s="66">
        <v>0.0</v>
      </c>
      <c r="BS414" s="67" t="str">
        <f t="shared" si="137"/>
        <v>#REF!</v>
      </c>
      <c r="BT414" s="68" t="str">
        <f>'[1]DATA CONSOLIDADA 2018-2025 '!$BR376-Hoja1!$BO414</f>
        <v>#REF!</v>
      </c>
      <c r="BU414" s="69">
        <v>0.0</v>
      </c>
      <c r="BV414" s="65">
        <v>0.0</v>
      </c>
      <c r="BW414" s="66">
        <v>0.0</v>
      </c>
      <c r="BX414" s="67" t="str">
        <f t="shared" si="138"/>
        <v>#REF!</v>
      </c>
      <c r="BY414" s="68" t="str">
        <f t="shared" si="139"/>
        <v>#REF!</v>
      </c>
      <c r="BZ414" s="65">
        <v>0.0</v>
      </c>
      <c r="CA414" s="65">
        <v>0.0</v>
      </c>
      <c r="CB414" s="66">
        <v>0.0</v>
      </c>
      <c r="CC414" s="67" t="str">
        <f t="shared" si="140"/>
        <v>#REF!</v>
      </c>
      <c r="CD414" s="68" t="str">
        <f>'[1]DATA CONSOLIDADA 2018-2025 '!$CB376-Hoja1!$BW414</f>
        <v>#REF!</v>
      </c>
      <c r="CE414" s="70">
        <v>167834.0</v>
      </c>
      <c r="CF414" s="70">
        <v>0.0</v>
      </c>
      <c r="CG414" s="71">
        <v>167834.0</v>
      </c>
      <c r="CH414" s="67" t="str">
        <f t="shared" si="141"/>
        <v>#REF!</v>
      </c>
      <c r="CI414" s="68" t="str">
        <f>'[1]DATA CONSOLIDADA 2018-2025 '!$CG376-Hoja1!$CB414</f>
        <v>#REF!</v>
      </c>
      <c r="CJ414" s="64" t="str">
        <f>'[1]DATA CONSOLIDADA 2018-2025 '!$BE376+'[1]DATA CONSOLIDADA 2018-2025 '!$BH376+'[1]DATA CONSOLIDADA 2018-2025 '!$BM376+'[1]DATA CONSOLIDADA 2018-2025 '!$BR376+'[1]DATA CONSOLIDADA 2018-2025 '!$BW376+'[1]DATA CONSOLIDADA 2018-2025 '!$CB376+'[1]DATA CONSOLIDADA 2018-2025 '!$CG376</f>
        <v>#REF!</v>
      </c>
      <c r="CK414" s="64">
        <v>125490.0</v>
      </c>
      <c r="CL414" s="64">
        <v>0.0</v>
      </c>
      <c r="CM414" s="64">
        <v>125490.0</v>
      </c>
      <c r="CN414" s="64" t="str">
        <f t="shared" si="12"/>
        <v>#REF!</v>
      </c>
      <c r="CO414" s="68" t="str">
        <f>'[1]DATA CONSOLIDADA 2018-2025 '!$CM414-Hoja1!$CG414</f>
        <v>#REF!</v>
      </c>
      <c r="CP414" s="70">
        <v>0.0</v>
      </c>
      <c r="CQ414" s="70">
        <v>0.0</v>
      </c>
      <c r="CR414" s="70">
        <v>0.0</v>
      </c>
      <c r="CS414" s="70">
        <v>0.0</v>
      </c>
      <c r="CT414" s="70">
        <v>0.0</v>
      </c>
      <c r="CU414" s="70">
        <v>0.0</v>
      </c>
      <c r="CV414" s="64">
        <v>0.0</v>
      </c>
      <c r="CW414" s="64">
        <v>0.0</v>
      </c>
      <c r="CX414" s="64">
        <v>167834.0</v>
      </c>
      <c r="CY414" s="64">
        <v>0.0</v>
      </c>
      <c r="CZ414" s="64">
        <v>0.0</v>
      </c>
      <c r="DA414" s="64">
        <v>0.0</v>
      </c>
      <c r="DB414" s="64">
        <v>167834.0</v>
      </c>
      <c r="DC414" s="72">
        <v>0.0</v>
      </c>
      <c r="DD414" s="72">
        <v>125490.0</v>
      </c>
      <c r="DE414" s="72">
        <v>0.0</v>
      </c>
      <c r="DF414" s="72">
        <v>0.0</v>
      </c>
      <c r="DG414" s="72">
        <v>0.0</v>
      </c>
      <c r="DH414" s="72">
        <v>125490.0</v>
      </c>
      <c r="DI414" s="73">
        <v>2.0605600922E10</v>
      </c>
      <c r="DJ414" s="74" t="s">
        <v>1387</v>
      </c>
      <c r="DK414" s="74" t="s">
        <v>138</v>
      </c>
      <c r="DL414" s="75"/>
      <c r="DM414" s="75"/>
      <c r="DN414" s="75"/>
      <c r="DO414" s="75"/>
      <c r="DP414" s="75"/>
      <c r="DQ414" s="75"/>
      <c r="DR414" s="75"/>
      <c r="DS414" s="75"/>
      <c r="DT414" s="75"/>
      <c r="DU414" s="75"/>
      <c r="DV414" s="75"/>
      <c r="DW414" s="75"/>
      <c r="DX414" s="75"/>
      <c r="DY414" s="75"/>
      <c r="DZ414" s="75"/>
      <c r="EA414" s="75"/>
      <c r="EB414" s="75"/>
      <c r="EC414" s="75"/>
      <c r="ED414" s="75"/>
      <c r="EE414" s="75"/>
    </row>
    <row r="415" ht="47.25" hidden="1" customHeight="1">
      <c r="A415" s="55" t="s">
        <v>1390</v>
      </c>
      <c r="B415" s="55" t="s">
        <v>455</v>
      </c>
      <c r="C415" s="55" t="s">
        <v>455</v>
      </c>
      <c r="D415" s="55" t="s">
        <v>340</v>
      </c>
      <c r="E415" s="55" t="s">
        <v>1388</v>
      </c>
      <c r="F415" s="55" t="s">
        <v>340</v>
      </c>
      <c r="G415" s="55" t="s">
        <v>380</v>
      </c>
      <c r="H415" s="55" t="s">
        <v>1389</v>
      </c>
      <c r="I415" s="56"/>
      <c r="J415" s="56"/>
      <c r="K415" s="56"/>
      <c r="L415" s="56"/>
      <c r="M415" s="56"/>
      <c r="N415" s="56"/>
      <c r="O415" s="56">
        <v>1.0</v>
      </c>
      <c r="P415" s="56">
        <v>1.0</v>
      </c>
      <c r="Q415" s="56" t="s">
        <v>131</v>
      </c>
      <c r="R415" s="58" t="str">
        <f t="shared" si="1"/>
        <v>2024 - 2025</v>
      </c>
      <c r="S415" s="59" t="str">
        <f>SUM(Hoja1!$I415:$P415)</f>
        <v>2</v>
      </c>
      <c r="T415" s="59" t="str">
        <f>IF(OR(Hoja1!$J415=1,Hoja1!$K415=1,Hoja1!$L415=1,Hoja1!$M415=1,Hoja1!$N415=1,Hoja1!$O415=1,Hoja1!$P415=1),"SI","NO")</f>
        <v>SI</v>
      </c>
      <c r="U415" s="59" t="str">
        <f>IF(OR(Hoja1!$K415=1,Hoja1!$L415=1,Hoja1!$M415=1,Hoja1!$N415=1,Hoja1!$O415=1,Hoja1!$P415=1),"SI","NO")</f>
        <v>SI</v>
      </c>
      <c r="V415" s="60">
        <v>0.0</v>
      </c>
      <c r="W415" s="61">
        <v>0.0</v>
      </c>
      <c r="X415" s="61">
        <v>0.0</v>
      </c>
      <c r="Y415" s="60">
        <v>0.0</v>
      </c>
      <c r="Z415" s="61">
        <v>0.0</v>
      </c>
      <c r="AA415" s="61">
        <v>0.0</v>
      </c>
      <c r="AB415" s="60">
        <v>0.0</v>
      </c>
      <c r="AC415" s="61">
        <v>0.0</v>
      </c>
      <c r="AD415" s="61">
        <v>0.0</v>
      </c>
      <c r="AE415" s="60">
        <v>0.0</v>
      </c>
      <c r="AF415" s="61">
        <v>0.0</v>
      </c>
      <c r="AG415" s="61">
        <v>0.0</v>
      </c>
      <c r="AH415" s="60">
        <v>0.0</v>
      </c>
      <c r="AI415" s="61">
        <v>0.0</v>
      </c>
      <c r="AJ415" s="61">
        <v>0.0</v>
      </c>
      <c r="AK415" s="60">
        <v>0.0</v>
      </c>
      <c r="AL415" s="61">
        <v>30.0</v>
      </c>
      <c r="AM415" s="61">
        <v>20.0</v>
      </c>
      <c r="AN415" s="60">
        <v>50.0</v>
      </c>
      <c r="AO415" s="62">
        <v>8.0</v>
      </c>
      <c r="AP415" s="62">
        <v>9.0</v>
      </c>
      <c r="AQ415" s="60">
        <v>17.0</v>
      </c>
      <c r="AR415" s="60" t="str">
        <f>IF(Hoja1!$AQ415&gt;0,Hoja1!$AQ415,IF(Hoja1!$AN415&gt;0,Hoja1!$AN415,IF(Hoja1!$AK415&gt;0,Hoja1!$AK415,IF(Hoja1!$AH415&gt;0,Hoja1!$AH415,IF(Hoja1!$AE415&gt;0,Hoja1!$AE415,IF(Hoja1!$AB415&gt;0,Hoja1!$AB415,IF(Hoja1!$Y415&gt;0,Hoja1!$Y415,IF(Hoja1!$V415&gt;0,Hoja1!$V415," ---"))))))))</f>
        <v>17</v>
      </c>
      <c r="AS415" s="63">
        <v>0.0</v>
      </c>
      <c r="AT415" s="63">
        <v>0.0</v>
      </c>
      <c r="AU415" s="63">
        <v>0.0</v>
      </c>
      <c r="AV415" s="63">
        <v>0.0</v>
      </c>
      <c r="AW415" s="63">
        <v>0.0</v>
      </c>
      <c r="AX415" s="63">
        <v>0.0</v>
      </c>
      <c r="AY415" s="63">
        <v>0.0</v>
      </c>
      <c r="AZ415" s="63">
        <v>0.0</v>
      </c>
      <c r="BA415" s="63">
        <v>20.0</v>
      </c>
      <c r="BB415" s="63">
        <v>18.0</v>
      </c>
      <c r="BC415" s="63">
        <v>12.0</v>
      </c>
      <c r="BD415" s="63">
        <v>3.0</v>
      </c>
      <c r="BE415" s="64">
        <v>0.0</v>
      </c>
      <c r="BF415" s="69">
        <v>0.0</v>
      </c>
      <c r="BG415" s="69">
        <v>0.0</v>
      </c>
      <c r="BH415" s="64">
        <v>0.0</v>
      </c>
      <c r="BI415" s="67" t="str">
        <f t="shared" si="133"/>
        <v>#REF!</v>
      </c>
      <c r="BJ415" s="68" t="str">
        <f t="shared" si="134"/>
        <v>#REF!</v>
      </c>
      <c r="BK415" s="69">
        <v>0.0</v>
      </c>
      <c r="BL415" s="69">
        <v>0.0</v>
      </c>
      <c r="BM415" s="64">
        <v>0.0</v>
      </c>
      <c r="BN415" s="67" t="str">
        <f t="shared" si="135"/>
        <v>#REF!</v>
      </c>
      <c r="BO415" s="68" t="str">
        <f t="shared" si="136"/>
        <v>#REF!</v>
      </c>
      <c r="BP415" s="65">
        <v>0.0</v>
      </c>
      <c r="BQ415" s="65">
        <v>0.0</v>
      </c>
      <c r="BR415" s="66">
        <v>0.0</v>
      </c>
      <c r="BS415" s="67" t="str">
        <f t="shared" si="137"/>
        <v>#REF!</v>
      </c>
      <c r="BT415" s="68" t="str">
        <f>'[1]DATA CONSOLIDADA 2018-2025 '!$BR412-Hoja1!$BO415</f>
        <v>#REF!</v>
      </c>
      <c r="BU415" s="69">
        <v>0.0</v>
      </c>
      <c r="BV415" s="65">
        <v>0.0</v>
      </c>
      <c r="BW415" s="66">
        <v>0.0</v>
      </c>
      <c r="BX415" s="67" t="str">
        <f t="shared" si="138"/>
        <v>#REF!</v>
      </c>
      <c r="BY415" s="68" t="str">
        <f t="shared" si="139"/>
        <v>#REF!</v>
      </c>
      <c r="BZ415" s="65">
        <v>0.0</v>
      </c>
      <c r="CA415" s="65">
        <v>0.0</v>
      </c>
      <c r="CB415" s="66">
        <v>0.0</v>
      </c>
      <c r="CC415" s="67" t="str">
        <f t="shared" si="140"/>
        <v>#REF!</v>
      </c>
      <c r="CD415" s="68" t="str">
        <f>'[1]DATA CONSOLIDADA 2018-2025 '!$CB412-Hoja1!$BW415</f>
        <v>#REF!</v>
      </c>
      <c r="CE415" s="70">
        <v>51021.0</v>
      </c>
      <c r="CF415" s="70">
        <v>0.0</v>
      </c>
      <c r="CG415" s="71">
        <v>51021.0</v>
      </c>
      <c r="CH415" s="67" t="str">
        <f t="shared" si="141"/>
        <v>#REF!</v>
      </c>
      <c r="CI415" s="68" t="str">
        <f>'[1]DATA CONSOLIDADA 2018-2025 '!$CG412-Hoja1!$CB415</f>
        <v>#REF!</v>
      </c>
      <c r="CJ415" s="64" t="str">
        <f t="shared" ref="CJ415:CJ419" si="144">'[1]DATA CONSOLIDADA 2018-2025 '!$BE412+'[1]DATA CONSOLIDADA 2018-2025 '!$BH412+'[1]DATA CONSOLIDADA 2018-2025 '!$BM412+'[1]DATA CONSOLIDADA 2018-2025 '!$BR412+'[1]DATA CONSOLIDADA 2018-2025 '!$BW412+'[1]DATA CONSOLIDADA 2018-2025 '!$CB412+'[1]DATA CONSOLIDADA 2018-2025 '!$CG412</f>
        <v>#REF!</v>
      </c>
      <c r="CK415" s="64">
        <v>67200.0</v>
      </c>
      <c r="CL415" s="64">
        <v>0.0</v>
      </c>
      <c r="CM415" s="64">
        <v>67200.0</v>
      </c>
      <c r="CN415" s="64" t="str">
        <f t="shared" si="12"/>
        <v>#REF!</v>
      </c>
      <c r="CO415" s="68" t="str">
        <f>'[1]DATA CONSOLIDADA 2018-2025 '!$CM415-Hoja1!$CG415</f>
        <v>#REF!</v>
      </c>
      <c r="CP415" s="70">
        <v>0.0</v>
      </c>
      <c r="CQ415" s="70">
        <v>0.0</v>
      </c>
      <c r="CR415" s="70">
        <v>0.0</v>
      </c>
      <c r="CS415" s="70">
        <v>0.0</v>
      </c>
      <c r="CT415" s="70">
        <v>0.0</v>
      </c>
      <c r="CU415" s="70">
        <v>0.0</v>
      </c>
      <c r="CV415" s="64">
        <v>0.0</v>
      </c>
      <c r="CW415" s="64">
        <v>0.0</v>
      </c>
      <c r="CX415" s="64">
        <v>51021.0</v>
      </c>
      <c r="CY415" s="64">
        <v>0.0</v>
      </c>
      <c r="CZ415" s="64">
        <v>0.0</v>
      </c>
      <c r="DA415" s="64">
        <v>0.0</v>
      </c>
      <c r="DB415" s="64">
        <v>51021.0</v>
      </c>
      <c r="DC415" s="72">
        <v>0.0</v>
      </c>
      <c r="DD415" s="72">
        <v>67200.0</v>
      </c>
      <c r="DE415" s="72">
        <v>0.0</v>
      </c>
      <c r="DF415" s="72">
        <v>0.0</v>
      </c>
      <c r="DG415" s="72">
        <v>0.0</v>
      </c>
      <c r="DH415" s="72">
        <v>67200.0</v>
      </c>
      <c r="DI415" s="73">
        <v>2.0600523652E10</v>
      </c>
      <c r="DJ415" s="74" t="s">
        <v>1390</v>
      </c>
      <c r="DK415" s="74" t="s">
        <v>138</v>
      </c>
      <c r="DL415" s="75"/>
      <c r="DM415" s="75"/>
      <c r="DN415" s="75"/>
      <c r="DO415" s="75"/>
      <c r="DP415" s="75"/>
      <c r="DQ415" s="75"/>
      <c r="DR415" s="75"/>
      <c r="DS415" s="75"/>
      <c r="DT415" s="75"/>
      <c r="DU415" s="75"/>
      <c r="DV415" s="75"/>
      <c r="DW415" s="75"/>
      <c r="DX415" s="75"/>
      <c r="DY415" s="75"/>
      <c r="DZ415" s="75"/>
      <c r="EA415" s="75"/>
      <c r="EB415" s="75"/>
      <c r="EC415" s="75"/>
      <c r="ED415" s="75"/>
      <c r="EE415" s="75"/>
    </row>
    <row r="416" ht="47.25" hidden="1" customHeight="1">
      <c r="A416" s="55" t="s">
        <v>1391</v>
      </c>
      <c r="B416" s="55" t="s">
        <v>455</v>
      </c>
      <c r="C416" s="55" t="s">
        <v>455</v>
      </c>
      <c r="D416" s="55" t="s">
        <v>340</v>
      </c>
      <c r="E416" s="55" t="s">
        <v>1392</v>
      </c>
      <c r="F416" s="55" t="s">
        <v>340</v>
      </c>
      <c r="G416" s="55" t="s">
        <v>342</v>
      </c>
      <c r="H416" s="55" t="s">
        <v>1393</v>
      </c>
      <c r="I416" s="56"/>
      <c r="J416" s="56"/>
      <c r="K416" s="56"/>
      <c r="L416" s="56"/>
      <c r="M416" s="56"/>
      <c r="N416" s="56"/>
      <c r="O416" s="56">
        <v>1.0</v>
      </c>
      <c r="P416" s="56"/>
      <c r="Q416" s="56" t="s">
        <v>131</v>
      </c>
      <c r="R416" s="58" t="str">
        <f t="shared" si="1"/>
        <v>2024</v>
      </c>
      <c r="S416" s="59" t="str">
        <f>SUM(Hoja1!$I416:$P416)</f>
        <v>1</v>
      </c>
      <c r="T416" s="59" t="str">
        <f>IF(OR(Hoja1!$J416=1,Hoja1!$K416=1,Hoja1!$L416=1,Hoja1!$M416=1,Hoja1!$N416=1,Hoja1!$O416=1,Hoja1!$P416=1),"SI","NO")</f>
        <v>SI</v>
      </c>
      <c r="U416" s="59" t="str">
        <f>IF(OR(Hoja1!$K416=1,Hoja1!$L416=1,Hoja1!$M416=1,Hoja1!$N416=1,Hoja1!$O416=1,Hoja1!$P416=1),"SI","NO")</f>
        <v>SI</v>
      </c>
      <c r="V416" s="60">
        <v>0.0</v>
      </c>
      <c r="W416" s="61">
        <v>0.0</v>
      </c>
      <c r="X416" s="61">
        <v>0.0</v>
      </c>
      <c r="Y416" s="60">
        <v>0.0</v>
      </c>
      <c r="Z416" s="61">
        <v>0.0</v>
      </c>
      <c r="AA416" s="61">
        <v>0.0</v>
      </c>
      <c r="AB416" s="60">
        <v>0.0</v>
      </c>
      <c r="AC416" s="61">
        <v>0.0</v>
      </c>
      <c r="AD416" s="61">
        <v>0.0</v>
      </c>
      <c r="AE416" s="60">
        <v>0.0</v>
      </c>
      <c r="AF416" s="61">
        <v>0.0</v>
      </c>
      <c r="AG416" s="61">
        <v>0.0</v>
      </c>
      <c r="AH416" s="60">
        <v>0.0</v>
      </c>
      <c r="AI416" s="61">
        <v>0.0</v>
      </c>
      <c r="AJ416" s="61">
        <v>0.0</v>
      </c>
      <c r="AK416" s="60">
        <v>0.0</v>
      </c>
      <c r="AL416" s="61">
        <v>20.0</v>
      </c>
      <c r="AM416" s="61">
        <v>3.0</v>
      </c>
      <c r="AN416" s="60">
        <v>23.0</v>
      </c>
      <c r="AO416" s="62">
        <v>0.0</v>
      </c>
      <c r="AP416" s="62">
        <v>0.0</v>
      </c>
      <c r="AQ416" s="60">
        <v>0.0</v>
      </c>
      <c r="AR416" s="60" t="str">
        <f>IF(Hoja1!$AQ416&gt;0,Hoja1!$AQ416,IF(Hoja1!$AN416&gt;0,Hoja1!$AN416,IF(Hoja1!$AK416&gt;0,Hoja1!$AK416,IF(Hoja1!$AH416&gt;0,Hoja1!$AH416,IF(Hoja1!$AE416&gt;0,Hoja1!$AE416,IF(Hoja1!$AB416&gt;0,Hoja1!$AB416,IF(Hoja1!$Y416&gt;0,Hoja1!$Y416,IF(Hoja1!$V416&gt;0,Hoja1!$V416," ---"))))))))</f>
        <v>23</v>
      </c>
      <c r="AS416" s="63">
        <v>0.0</v>
      </c>
      <c r="AT416" s="63">
        <v>0.0</v>
      </c>
      <c r="AU416" s="63">
        <v>0.0</v>
      </c>
      <c r="AV416" s="63">
        <v>0.0</v>
      </c>
      <c r="AW416" s="63">
        <v>0.0</v>
      </c>
      <c r="AX416" s="63">
        <v>0.0</v>
      </c>
      <c r="AY416" s="63">
        <v>0.0</v>
      </c>
      <c r="AZ416" s="63">
        <v>0.0</v>
      </c>
      <c r="BA416" s="63">
        <v>30.0</v>
      </c>
      <c r="BB416" s="63">
        <v>2.0</v>
      </c>
      <c r="BC416" s="63">
        <v>0.0</v>
      </c>
      <c r="BD416" s="63">
        <v>0.0</v>
      </c>
      <c r="BE416" s="64">
        <v>0.0</v>
      </c>
      <c r="BF416" s="69">
        <v>0.0</v>
      </c>
      <c r="BG416" s="69">
        <v>0.0</v>
      </c>
      <c r="BH416" s="64">
        <v>0.0</v>
      </c>
      <c r="BI416" s="67" t="str">
        <f t="shared" si="133"/>
        <v>#REF!</v>
      </c>
      <c r="BJ416" s="68" t="str">
        <f t="shared" si="134"/>
        <v>#REF!</v>
      </c>
      <c r="BK416" s="69">
        <v>0.0</v>
      </c>
      <c r="BL416" s="69">
        <v>0.0</v>
      </c>
      <c r="BM416" s="64">
        <v>0.0</v>
      </c>
      <c r="BN416" s="67" t="str">
        <f t="shared" si="135"/>
        <v>#REF!</v>
      </c>
      <c r="BO416" s="68" t="str">
        <f t="shared" si="136"/>
        <v>#REF!</v>
      </c>
      <c r="BP416" s="65">
        <v>0.0</v>
      </c>
      <c r="BQ416" s="65">
        <v>0.0</v>
      </c>
      <c r="BR416" s="66">
        <v>0.0</v>
      </c>
      <c r="BS416" s="67" t="str">
        <f t="shared" si="137"/>
        <v>#REF!</v>
      </c>
      <c r="BT416" s="68" t="str">
        <f>'[1]DATA CONSOLIDADA 2018-2025 '!$BR413-Hoja1!$BO416</f>
        <v>#REF!</v>
      </c>
      <c r="BU416" s="69">
        <v>0.0</v>
      </c>
      <c r="BV416" s="65">
        <v>0.0</v>
      </c>
      <c r="BW416" s="66">
        <v>0.0</v>
      </c>
      <c r="BX416" s="67" t="str">
        <f t="shared" si="138"/>
        <v>#REF!</v>
      </c>
      <c r="BY416" s="68" t="str">
        <f t="shared" si="139"/>
        <v>#REF!</v>
      </c>
      <c r="BZ416" s="65">
        <v>0.0</v>
      </c>
      <c r="CA416" s="65">
        <v>0.0</v>
      </c>
      <c r="CB416" s="66">
        <v>0.0</v>
      </c>
      <c r="CC416" s="67" t="str">
        <f t="shared" si="140"/>
        <v>#REF!</v>
      </c>
      <c r="CD416" s="68" t="str">
        <f>'[1]DATA CONSOLIDADA 2018-2025 '!$CB413-Hoja1!$BW416</f>
        <v>#REF!</v>
      </c>
      <c r="CE416" s="70">
        <v>7656.0</v>
      </c>
      <c r="CF416" s="70">
        <v>0.0</v>
      </c>
      <c r="CG416" s="71">
        <v>7656.0</v>
      </c>
      <c r="CH416" s="67" t="str">
        <f t="shared" si="141"/>
        <v>#REF!</v>
      </c>
      <c r="CI416" s="68" t="str">
        <f>'[1]DATA CONSOLIDADA 2018-2025 '!$CG413-Hoja1!$CB416</f>
        <v>#REF!</v>
      </c>
      <c r="CJ416" s="64" t="str">
        <f t="shared" si="144"/>
        <v>#REF!</v>
      </c>
      <c r="CK416" s="64">
        <v>0.0</v>
      </c>
      <c r="CL416" s="64">
        <v>0.0</v>
      </c>
      <c r="CM416" s="64">
        <v>0.0</v>
      </c>
      <c r="CN416" s="64" t="str">
        <f t="shared" si="12"/>
        <v>#REF!</v>
      </c>
      <c r="CO416" s="68" t="str">
        <f>'[1]DATA CONSOLIDADA 2018-2025 '!$CM416-Hoja1!$CG416</f>
        <v>#REF!</v>
      </c>
      <c r="CP416" s="70">
        <v>0.0</v>
      </c>
      <c r="CQ416" s="70">
        <v>0.0</v>
      </c>
      <c r="CR416" s="70">
        <v>0.0</v>
      </c>
      <c r="CS416" s="70">
        <v>0.0</v>
      </c>
      <c r="CT416" s="70">
        <v>0.0</v>
      </c>
      <c r="CU416" s="70">
        <v>0.0</v>
      </c>
      <c r="CV416" s="64">
        <v>0.0</v>
      </c>
      <c r="CW416" s="64">
        <v>0.0</v>
      </c>
      <c r="CX416" s="64">
        <v>7656.0</v>
      </c>
      <c r="CY416" s="64">
        <v>0.0</v>
      </c>
      <c r="CZ416" s="64">
        <v>0.0</v>
      </c>
      <c r="DA416" s="64">
        <v>0.0</v>
      </c>
      <c r="DB416" s="64">
        <v>7656.0</v>
      </c>
      <c r="DC416" s="72">
        <v>0.0</v>
      </c>
      <c r="DD416" s="72">
        <v>0.0</v>
      </c>
      <c r="DE416" s="72">
        <v>0.0</v>
      </c>
      <c r="DF416" s="72">
        <v>0.0</v>
      </c>
      <c r="DG416" s="72">
        <v>0.0</v>
      </c>
      <c r="DH416" s="72">
        <v>0.0</v>
      </c>
      <c r="DI416" s="73">
        <v>2.0534560223E10</v>
      </c>
      <c r="DJ416" s="74" t="s">
        <v>1391</v>
      </c>
      <c r="DK416" s="74" t="s">
        <v>138</v>
      </c>
      <c r="DL416" s="75"/>
      <c r="DM416" s="75"/>
      <c r="DN416" s="75"/>
      <c r="DO416" s="75"/>
      <c r="DP416" s="75"/>
      <c r="DQ416" s="75"/>
      <c r="DR416" s="75"/>
      <c r="DS416" s="75"/>
      <c r="DT416" s="75"/>
      <c r="DU416" s="75"/>
      <c r="DV416" s="75"/>
      <c r="DW416" s="75"/>
      <c r="DX416" s="75"/>
      <c r="DY416" s="75"/>
      <c r="DZ416" s="75"/>
      <c r="EA416" s="75"/>
      <c r="EB416" s="75"/>
      <c r="EC416" s="75"/>
      <c r="ED416" s="75"/>
      <c r="EE416" s="75"/>
    </row>
    <row r="417" ht="47.25" hidden="1" customHeight="1">
      <c r="A417" s="55" t="s">
        <v>1394</v>
      </c>
      <c r="B417" s="55" t="s">
        <v>455</v>
      </c>
      <c r="C417" s="55" t="s">
        <v>455</v>
      </c>
      <c r="D417" s="55" t="s">
        <v>340</v>
      </c>
      <c r="E417" s="55" t="s">
        <v>1395</v>
      </c>
      <c r="F417" s="55" t="s">
        <v>340</v>
      </c>
      <c r="G417" s="55" t="s">
        <v>1396</v>
      </c>
      <c r="H417" s="55" t="s">
        <v>1397</v>
      </c>
      <c r="I417" s="56"/>
      <c r="J417" s="56"/>
      <c r="K417" s="56"/>
      <c r="L417" s="56"/>
      <c r="M417" s="56"/>
      <c r="N417" s="56"/>
      <c r="O417" s="56">
        <v>1.0</v>
      </c>
      <c r="P417" s="56"/>
      <c r="Q417" s="56" t="s">
        <v>131</v>
      </c>
      <c r="R417" s="58" t="str">
        <f t="shared" si="1"/>
        <v>2024</v>
      </c>
      <c r="S417" s="59" t="str">
        <f>SUM(Hoja1!$I417:$P417)</f>
        <v>1</v>
      </c>
      <c r="T417" s="59" t="str">
        <f>IF(OR(Hoja1!$J417=1,Hoja1!$K417=1,Hoja1!$L417=1,Hoja1!$M417=1,Hoja1!$N417=1,Hoja1!$O417=1,Hoja1!$P417=1),"SI","NO")</f>
        <v>SI</v>
      </c>
      <c r="U417" s="59" t="str">
        <f>IF(OR(Hoja1!$K417=1,Hoja1!$L417=1,Hoja1!$M417=1,Hoja1!$N417=1,Hoja1!$O417=1,Hoja1!$P417=1),"SI","NO")</f>
        <v>SI</v>
      </c>
      <c r="V417" s="60">
        <v>0.0</v>
      </c>
      <c r="W417" s="61">
        <v>0.0</v>
      </c>
      <c r="X417" s="61">
        <v>0.0</v>
      </c>
      <c r="Y417" s="60">
        <v>0.0</v>
      </c>
      <c r="Z417" s="61">
        <v>0.0</v>
      </c>
      <c r="AA417" s="61">
        <v>0.0</v>
      </c>
      <c r="AB417" s="60">
        <v>0.0</v>
      </c>
      <c r="AC417" s="61">
        <v>0.0</v>
      </c>
      <c r="AD417" s="61">
        <v>0.0</v>
      </c>
      <c r="AE417" s="60">
        <v>0.0</v>
      </c>
      <c r="AF417" s="61">
        <v>0.0</v>
      </c>
      <c r="AG417" s="61">
        <v>0.0</v>
      </c>
      <c r="AH417" s="60">
        <v>0.0</v>
      </c>
      <c r="AI417" s="61">
        <v>0.0</v>
      </c>
      <c r="AJ417" s="61">
        <v>0.0</v>
      </c>
      <c r="AK417" s="60">
        <v>0.0</v>
      </c>
      <c r="AL417" s="61">
        <v>36.0</v>
      </c>
      <c r="AM417" s="61">
        <v>16.0</v>
      </c>
      <c r="AN417" s="60">
        <v>52.0</v>
      </c>
      <c r="AO417" s="62">
        <v>0.0</v>
      </c>
      <c r="AP417" s="62">
        <v>0.0</v>
      </c>
      <c r="AQ417" s="60">
        <v>0.0</v>
      </c>
      <c r="AR417" s="60" t="str">
        <f>IF(Hoja1!$AQ417&gt;0,Hoja1!$AQ417,IF(Hoja1!$AN417&gt;0,Hoja1!$AN417,IF(Hoja1!$AK417&gt;0,Hoja1!$AK417,IF(Hoja1!$AH417&gt;0,Hoja1!$AH417,IF(Hoja1!$AE417&gt;0,Hoja1!$AE417,IF(Hoja1!$AB417&gt;0,Hoja1!$AB417,IF(Hoja1!$Y417&gt;0,Hoja1!$Y417,IF(Hoja1!$V417&gt;0,Hoja1!$V417," ---"))))))))</f>
        <v>52</v>
      </c>
      <c r="AS417" s="63">
        <v>0.0</v>
      </c>
      <c r="AT417" s="63">
        <v>0.0</v>
      </c>
      <c r="AU417" s="63">
        <v>0.0</v>
      </c>
      <c r="AV417" s="63">
        <v>0.0</v>
      </c>
      <c r="AW417" s="63">
        <v>0.0</v>
      </c>
      <c r="AX417" s="63">
        <v>0.0</v>
      </c>
      <c r="AY417" s="63">
        <v>0.0</v>
      </c>
      <c r="AZ417" s="63">
        <v>0.0</v>
      </c>
      <c r="BA417" s="63">
        <v>35.0</v>
      </c>
      <c r="BB417" s="63">
        <v>2.0</v>
      </c>
      <c r="BC417" s="63">
        <v>0.0</v>
      </c>
      <c r="BD417" s="63">
        <v>0.0</v>
      </c>
      <c r="BE417" s="64">
        <v>0.0</v>
      </c>
      <c r="BF417" s="69">
        <v>0.0</v>
      </c>
      <c r="BG417" s="69">
        <v>0.0</v>
      </c>
      <c r="BH417" s="64">
        <v>0.0</v>
      </c>
      <c r="BI417" s="67" t="str">
        <f t="shared" si="133"/>
        <v>#REF!</v>
      </c>
      <c r="BJ417" s="68" t="str">
        <f t="shared" si="134"/>
        <v>#REF!</v>
      </c>
      <c r="BK417" s="69">
        <v>0.0</v>
      </c>
      <c r="BL417" s="69">
        <v>0.0</v>
      </c>
      <c r="BM417" s="64">
        <v>0.0</v>
      </c>
      <c r="BN417" s="67" t="str">
        <f t="shared" si="135"/>
        <v>#REF!</v>
      </c>
      <c r="BO417" s="68" t="str">
        <f t="shared" si="136"/>
        <v>#REF!</v>
      </c>
      <c r="BP417" s="65">
        <v>0.0</v>
      </c>
      <c r="BQ417" s="65">
        <v>0.0</v>
      </c>
      <c r="BR417" s="66">
        <v>0.0</v>
      </c>
      <c r="BS417" s="67" t="str">
        <f t="shared" si="137"/>
        <v>#REF!</v>
      </c>
      <c r="BT417" s="68" t="str">
        <f>'[1]DATA CONSOLIDADA 2018-2025 '!$BR414-Hoja1!$BO417</f>
        <v>#REF!</v>
      </c>
      <c r="BU417" s="69">
        <v>0.0</v>
      </c>
      <c r="BV417" s="65">
        <v>0.0</v>
      </c>
      <c r="BW417" s="66">
        <v>0.0</v>
      </c>
      <c r="BX417" s="67" t="str">
        <f t="shared" si="138"/>
        <v>#REF!</v>
      </c>
      <c r="BY417" s="68" t="str">
        <f t="shared" si="139"/>
        <v>#REF!</v>
      </c>
      <c r="BZ417" s="65">
        <v>0.0</v>
      </c>
      <c r="CA417" s="65">
        <v>0.0</v>
      </c>
      <c r="CB417" s="66">
        <v>0.0</v>
      </c>
      <c r="CC417" s="67" t="str">
        <f t="shared" si="140"/>
        <v>#REF!</v>
      </c>
      <c r="CD417" s="68" t="str">
        <f>'[1]DATA CONSOLIDADA 2018-2025 '!$CB414-Hoja1!$BW417</f>
        <v>#REF!</v>
      </c>
      <c r="CE417" s="70">
        <v>6580.0</v>
      </c>
      <c r="CF417" s="70">
        <v>0.0</v>
      </c>
      <c r="CG417" s="71">
        <v>6580.0</v>
      </c>
      <c r="CH417" s="67" t="str">
        <f t="shared" si="141"/>
        <v>#REF!</v>
      </c>
      <c r="CI417" s="68" t="str">
        <f>'[1]DATA CONSOLIDADA 2018-2025 '!$CG414-Hoja1!$CB417</f>
        <v>#REF!</v>
      </c>
      <c r="CJ417" s="64" t="str">
        <f t="shared" si="144"/>
        <v>#REF!</v>
      </c>
      <c r="CK417" s="64">
        <v>0.0</v>
      </c>
      <c r="CL417" s="64">
        <v>0.0</v>
      </c>
      <c r="CM417" s="64">
        <v>0.0</v>
      </c>
      <c r="CN417" s="64" t="str">
        <f t="shared" si="12"/>
        <v>#REF!</v>
      </c>
      <c r="CO417" s="68" t="str">
        <f>'[1]DATA CONSOLIDADA 2018-2025 '!$CM417-Hoja1!$CG417</f>
        <v>#REF!</v>
      </c>
      <c r="CP417" s="70">
        <v>0.0</v>
      </c>
      <c r="CQ417" s="70">
        <v>0.0</v>
      </c>
      <c r="CR417" s="70">
        <v>0.0</v>
      </c>
      <c r="CS417" s="70">
        <v>0.0</v>
      </c>
      <c r="CT417" s="70">
        <v>0.0</v>
      </c>
      <c r="CU417" s="70">
        <v>0.0</v>
      </c>
      <c r="CV417" s="64">
        <v>0.0</v>
      </c>
      <c r="CW417" s="64">
        <v>0.0</v>
      </c>
      <c r="CX417" s="64">
        <v>6580.0</v>
      </c>
      <c r="CY417" s="64">
        <v>0.0</v>
      </c>
      <c r="CZ417" s="64">
        <v>0.0</v>
      </c>
      <c r="DA417" s="64">
        <v>0.0</v>
      </c>
      <c r="DB417" s="64">
        <v>6580.0</v>
      </c>
      <c r="DC417" s="72">
        <v>0.0</v>
      </c>
      <c r="DD417" s="72">
        <v>0.0</v>
      </c>
      <c r="DE417" s="72">
        <v>0.0</v>
      </c>
      <c r="DF417" s="72">
        <v>0.0</v>
      </c>
      <c r="DG417" s="72">
        <v>0.0</v>
      </c>
      <c r="DH417" s="72">
        <v>0.0</v>
      </c>
      <c r="DI417" s="73">
        <v>2.0574660654E10</v>
      </c>
      <c r="DJ417" s="74" t="s">
        <v>1394</v>
      </c>
      <c r="DK417" s="74" t="s">
        <v>138</v>
      </c>
      <c r="DL417" s="75"/>
      <c r="DM417" s="75"/>
      <c r="DN417" s="75"/>
      <c r="DO417" s="75"/>
      <c r="DP417" s="75"/>
      <c r="DQ417" s="75"/>
      <c r="DR417" s="75"/>
      <c r="DS417" s="75"/>
      <c r="DT417" s="75"/>
      <c r="DU417" s="75"/>
      <c r="DV417" s="75"/>
      <c r="DW417" s="75"/>
      <c r="DX417" s="75"/>
      <c r="DY417" s="75"/>
      <c r="DZ417" s="75"/>
      <c r="EA417" s="75"/>
      <c r="EB417" s="75"/>
      <c r="EC417" s="75"/>
      <c r="ED417" s="75"/>
      <c r="EE417" s="75"/>
    </row>
    <row r="418" ht="47.25" hidden="1" customHeight="1">
      <c r="A418" s="55" t="s">
        <v>1398</v>
      </c>
      <c r="B418" s="55" t="s">
        <v>455</v>
      </c>
      <c r="C418" s="55" t="s">
        <v>455</v>
      </c>
      <c r="D418" s="55" t="s">
        <v>340</v>
      </c>
      <c r="E418" s="55" t="s">
        <v>1395</v>
      </c>
      <c r="F418" s="55" t="s">
        <v>340</v>
      </c>
      <c r="G418" s="55" t="s">
        <v>1396</v>
      </c>
      <c r="H418" s="55" t="s">
        <v>1397</v>
      </c>
      <c r="I418" s="56"/>
      <c r="J418" s="56"/>
      <c r="K418" s="56"/>
      <c r="L418" s="56"/>
      <c r="M418" s="56"/>
      <c r="N418" s="56"/>
      <c r="O418" s="56">
        <v>1.0</v>
      </c>
      <c r="P418" s="56">
        <v>1.0</v>
      </c>
      <c r="Q418" s="56" t="s">
        <v>131</v>
      </c>
      <c r="R418" s="58" t="str">
        <f t="shared" si="1"/>
        <v>2024 - 2025</v>
      </c>
      <c r="S418" s="59" t="str">
        <f>SUM(Hoja1!$I418:$P418)</f>
        <v>2</v>
      </c>
      <c r="T418" s="59" t="str">
        <f>IF(OR(Hoja1!$J418=1,Hoja1!$K418=1,Hoja1!$L418=1,Hoja1!$M418=1,Hoja1!$N418=1,Hoja1!$O418=1,Hoja1!$P418=1),"SI","NO")</f>
        <v>SI</v>
      </c>
      <c r="U418" s="59" t="str">
        <f>IF(OR(Hoja1!$K418=1,Hoja1!$L418=1,Hoja1!$M418=1,Hoja1!$N418=1,Hoja1!$O418=1,Hoja1!$P418=1),"SI","NO")</f>
        <v>SI</v>
      </c>
      <c r="V418" s="60">
        <v>0.0</v>
      </c>
      <c r="W418" s="61">
        <v>0.0</v>
      </c>
      <c r="X418" s="61">
        <v>0.0</v>
      </c>
      <c r="Y418" s="60">
        <v>0.0</v>
      </c>
      <c r="Z418" s="61">
        <v>0.0</v>
      </c>
      <c r="AA418" s="61">
        <v>0.0</v>
      </c>
      <c r="AB418" s="60">
        <v>0.0</v>
      </c>
      <c r="AC418" s="61">
        <v>0.0</v>
      </c>
      <c r="AD418" s="61">
        <v>0.0</v>
      </c>
      <c r="AE418" s="60">
        <v>0.0</v>
      </c>
      <c r="AF418" s="61">
        <v>0.0</v>
      </c>
      <c r="AG418" s="61">
        <v>0.0</v>
      </c>
      <c r="AH418" s="60">
        <v>0.0</v>
      </c>
      <c r="AI418" s="61">
        <v>0.0</v>
      </c>
      <c r="AJ418" s="61">
        <v>0.0</v>
      </c>
      <c r="AK418" s="60">
        <v>0.0</v>
      </c>
      <c r="AL418" s="61">
        <v>84.0</v>
      </c>
      <c r="AM418" s="61">
        <v>41.0</v>
      </c>
      <c r="AN418" s="60">
        <v>125.0</v>
      </c>
      <c r="AO418" s="62">
        <v>10.0</v>
      </c>
      <c r="AP418" s="62">
        <v>5.0</v>
      </c>
      <c r="AQ418" s="60">
        <v>15.0</v>
      </c>
      <c r="AR418" s="60" t="str">
        <f>IF(Hoja1!$AQ418&gt;0,Hoja1!$AQ418,IF(Hoja1!$AN418&gt;0,Hoja1!$AN418,IF(Hoja1!$AK418&gt;0,Hoja1!$AK418,IF(Hoja1!$AH418&gt;0,Hoja1!$AH418,IF(Hoja1!$AE418&gt;0,Hoja1!$AE418,IF(Hoja1!$AB418&gt;0,Hoja1!$AB418,IF(Hoja1!$Y418&gt;0,Hoja1!$Y418,IF(Hoja1!$V418&gt;0,Hoja1!$V418," ---"))))))))</f>
        <v>15</v>
      </c>
      <c r="AS418" s="63">
        <v>0.0</v>
      </c>
      <c r="AT418" s="63">
        <v>0.0</v>
      </c>
      <c r="AU418" s="63">
        <v>0.0</v>
      </c>
      <c r="AV418" s="63">
        <v>0.0</v>
      </c>
      <c r="AW418" s="63">
        <v>0.0</v>
      </c>
      <c r="AX418" s="63">
        <v>0.0</v>
      </c>
      <c r="AY418" s="63">
        <v>0.0</v>
      </c>
      <c r="AZ418" s="63">
        <v>0.0</v>
      </c>
      <c r="BA418" s="63">
        <v>46.0</v>
      </c>
      <c r="BB418" s="63">
        <v>5.0</v>
      </c>
      <c r="BC418" s="63">
        <v>14.0</v>
      </c>
      <c r="BD418" s="63">
        <v>1.0</v>
      </c>
      <c r="BE418" s="64">
        <v>0.0</v>
      </c>
      <c r="BF418" s="69">
        <v>0.0</v>
      </c>
      <c r="BG418" s="69">
        <v>0.0</v>
      </c>
      <c r="BH418" s="64">
        <v>0.0</v>
      </c>
      <c r="BI418" s="67" t="str">
        <f t="shared" si="133"/>
        <v>#REF!</v>
      </c>
      <c r="BJ418" s="68" t="str">
        <f t="shared" si="134"/>
        <v>#REF!</v>
      </c>
      <c r="BK418" s="69">
        <v>0.0</v>
      </c>
      <c r="BL418" s="69">
        <v>0.0</v>
      </c>
      <c r="BM418" s="64">
        <v>0.0</v>
      </c>
      <c r="BN418" s="67" t="str">
        <f t="shared" si="135"/>
        <v>#REF!</v>
      </c>
      <c r="BO418" s="68" t="str">
        <f t="shared" si="136"/>
        <v>#REF!</v>
      </c>
      <c r="BP418" s="65">
        <v>0.0</v>
      </c>
      <c r="BQ418" s="65">
        <v>0.0</v>
      </c>
      <c r="BR418" s="66">
        <v>0.0</v>
      </c>
      <c r="BS418" s="67" t="str">
        <f t="shared" si="137"/>
        <v>#REF!</v>
      </c>
      <c r="BT418" s="68" t="str">
        <f>'[1]DATA CONSOLIDADA 2018-2025 '!$BR415-Hoja1!$BO418</f>
        <v>#REF!</v>
      </c>
      <c r="BU418" s="69">
        <v>0.0</v>
      </c>
      <c r="BV418" s="65">
        <v>0.0</v>
      </c>
      <c r="BW418" s="66">
        <v>0.0</v>
      </c>
      <c r="BX418" s="67" t="str">
        <f t="shared" si="138"/>
        <v>#REF!</v>
      </c>
      <c r="BY418" s="68" t="str">
        <f t="shared" si="139"/>
        <v>#REF!</v>
      </c>
      <c r="BZ418" s="65">
        <v>0.0</v>
      </c>
      <c r="CA418" s="65">
        <v>0.0</v>
      </c>
      <c r="CB418" s="66">
        <v>0.0</v>
      </c>
      <c r="CC418" s="67" t="str">
        <f t="shared" si="140"/>
        <v>#REF!</v>
      </c>
      <c r="CD418" s="68" t="str">
        <f>'[1]DATA CONSOLIDADA 2018-2025 '!$CB415-Hoja1!$BW418</f>
        <v>#REF!</v>
      </c>
      <c r="CE418" s="70">
        <v>48624.920000000006</v>
      </c>
      <c r="CF418" s="70">
        <v>0.0</v>
      </c>
      <c r="CG418" s="71">
        <v>48624.920000000006</v>
      </c>
      <c r="CH418" s="67" t="str">
        <f t="shared" si="141"/>
        <v>#REF!</v>
      </c>
      <c r="CI418" s="68" t="str">
        <f>'[1]DATA CONSOLIDADA 2018-2025 '!$CG415-Hoja1!$CB418</f>
        <v>#REF!</v>
      </c>
      <c r="CJ418" s="64" t="str">
        <f t="shared" si="144"/>
        <v>#REF!</v>
      </c>
      <c r="CK418" s="64">
        <v>61284.0</v>
      </c>
      <c r="CL418" s="64">
        <v>0.0</v>
      </c>
      <c r="CM418" s="64">
        <v>61284.0</v>
      </c>
      <c r="CN418" s="64" t="str">
        <f t="shared" si="12"/>
        <v>#REF!</v>
      </c>
      <c r="CO418" s="68" t="str">
        <f>'[1]DATA CONSOLIDADA 2018-2025 '!$CM418-Hoja1!$CG418</f>
        <v>#REF!</v>
      </c>
      <c r="CP418" s="70">
        <v>0.0</v>
      </c>
      <c r="CQ418" s="70">
        <v>0.0</v>
      </c>
      <c r="CR418" s="70">
        <v>0.0</v>
      </c>
      <c r="CS418" s="70">
        <v>0.0</v>
      </c>
      <c r="CT418" s="70">
        <v>0.0</v>
      </c>
      <c r="CU418" s="70">
        <v>0.0</v>
      </c>
      <c r="CV418" s="64">
        <v>0.0</v>
      </c>
      <c r="CW418" s="64">
        <v>0.0</v>
      </c>
      <c r="CX418" s="64">
        <v>48624.920000000006</v>
      </c>
      <c r="CY418" s="64">
        <v>0.0</v>
      </c>
      <c r="CZ418" s="64">
        <v>0.0</v>
      </c>
      <c r="DA418" s="64">
        <v>0.0</v>
      </c>
      <c r="DB418" s="64">
        <v>48624.920000000006</v>
      </c>
      <c r="DC418" s="72">
        <v>0.0</v>
      </c>
      <c r="DD418" s="72">
        <v>61284.0</v>
      </c>
      <c r="DE418" s="72">
        <v>0.0</v>
      </c>
      <c r="DF418" s="72">
        <v>0.0</v>
      </c>
      <c r="DG418" s="72">
        <v>0.0</v>
      </c>
      <c r="DH418" s="72">
        <v>61284.0</v>
      </c>
      <c r="DI418" s="73">
        <v>2.0574716978E10</v>
      </c>
      <c r="DJ418" s="74" t="s">
        <v>1398</v>
      </c>
      <c r="DK418" s="74" t="s">
        <v>138</v>
      </c>
      <c r="DL418" s="75"/>
      <c r="DM418" s="75"/>
      <c r="DN418" s="75"/>
      <c r="DO418" s="75"/>
      <c r="DP418" s="75"/>
      <c r="DQ418" s="75"/>
      <c r="DR418" s="75"/>
      <c r="DS418" s="75"/>
      <c r="DT418" s="75"/>
      <c r="DU418" s="75"/>
      <c r="DV418" s="75"/>
      <c r="DW418" s="75"/>
      <c r="DX418" s="75"/>
      <c r="DY418" s="75"/>
      <c r="DZ418" s="75"/>
      <c r="EA418" s="75"/>
      <c r="EB418" s="75"/>
      <c r="EC418" s="75"/>
      <c r="ED418" s="75"/>
      <c r="EE418" s="75"/>
    </row>
    <row r="419" ht="47.25" hidden="1" customHeight="1">
      <c r="A419" s="55" t="s">
        <v>1399</v>
      </c>
      <c r="B419" s="55" t="s">
        <v>455</v>
      </c>
      <c r="C419" s="55" t="s">
        <v>455</v>
      </c>
      <c r="D419" s="55" t="s">
        <v>340</v>
      </c>
      <c r="E419" s="55" t="s">
        <v>1400</v>
      </c>
      <c r="F419" s="55" t="s">
        <v>340</v>
      </c>
      <c r="G419" s="55" t="s">
        <v>342</v>
      </c>
      <c r="H419" s="55" t="s">
        <v>1401</v>
      </c>
      <c r="I419" s="56"/>
      <c r="J419" s="56"/>
      <c r="K419" s="56"/>
      <c r="L419" s="56"/>
      <c r="M419" s="56"/>
      <c r="N419" s="56"/>
      <c r="O419" s="56">
        <v>1.0</v>
      </c>
      <c r="P419" s="56">
        <v>1.0</v>
      </c>
      <c r="Q419" s="56" t="s">
        <v>131</v>
      </c>
      <c r="R419" s="58" t="str">
        <f t="shared" si="1"/>
        <v>2024 - 2025</v>
      </c>
      <c r="S419" s="59" t="str">
        <f>SUM(Hoja1!$I419:$P419)</f>
        <v>2</v>
      </c>
      <c r="T419" s="59" t="str">
        <f>IF(OR(Hoja1!$J419=1,Hoja1!$K419=1,Hoja1!$L419=1,Hoja1!$M419=1,Hoja1!$N419=1,Hoja1!$O419=1,Hoja1!$P419=1),"SI","NO")</f>
        <v>SI</v>
      </c>
      <c r="U419" s="59" t="str">
        <f>IF(OR(Hoja1!$K419=1,Hoja1!$L419=1,Hoja1!$M419=1,Hoja1!$N419=1,Hoja1!$O419=1,Hoja1!$P419=1),"SI","NO")</f>
        <v>SI</v>
      </c>
      <c r="V419" s="60">
        <v>0.0</v>
      </c>
      <c r="W419" s="61">
        <v>0.0</v>
      </c>
      <c r="X419" s="61">
        <v>0.0</v>
      </c>
      <c r="Y419" s="60">
        <v>0.0</v>
      </c>
      <c r="Z419" s="61">
        <v>0.0</v>
      </c>
      <c r="AA419" s="61">
        <v>0.0</v>
      </c>
      <c r="AB419" s="60">
        <v>0.0</v>
      </c>
      <c r="AC419" s="61">
        <v>0.0</v>
      </c>
      <c r="AD419" s="61">
        <v>0.0</v>
      </c>
      <c r="AE419" s="60">
        <v>0.0</v>
      </c>
      <c r="AF419" s="61">
        <v>0.0</v>
      </c>
      <c r="AG419" s="61">
        <v>0.0</v>
      </c>
      <c r="AH419" s="60">
        <v>0.0</v>
      </c>
      <c r="AI419" s="61">
        <v>0.0</v>
      </c>
      <c r="AJ419" s="61">
        <v>0.0</v>
      </c>
      <c r="AK419" s="60">
        <v>0.0</v>
      </c>
      <c r="AL419" s="61">
        <v>100.0</v>
      </c>
      <c r="AM419" s="61">
        <v>28.0</v>
      </c>
      <c r="AN419" s="60">
        <v>128.0</v>
      </c>
      <c r="AO419" s="62">
        <v>4.0</v>
      </c>
      <c r="AP419" s="62">
        <v>5.0</v>
      </c>
      <c r="AQ419" s="60">
        <v>9.0</v>
      </c>
      <c r="AR419" s="60" t="str">
        <f>IF(Hoja1!$AQ419&gt;0,Hoja1!$AQ419,IF(Hoja1!$AN419&gt;0,Hoja1!$AN419,IF(Hoja1!$AK419&gt;0,Hoja1!$AK419,IF(Hoja1!$AH419&gt;0,Hoja1!$AH419,IF(Hoja1!$AE419&gt;0,Hoja1!$AE419,IF(Hoja1!$AB419&gt;0,Hoja1!$AB419,IF(Hoja1!$Y419&gt;0,Hoja1!$Y419,IF(Hoja1!$V419&gt;0,Hoja1!$V419," ---"))))))))</f>
        <v>9</v>
      </c>
      <c r="AS419" s="63">
        <v>0.0</v>
      </c>
      <c r="AT419" s="63">
        <v>0.0</v>
      </c>
      <c r="AU419" s="63">
        <v>0.0</v>
      </c>
      <c r="AV419" s="63">
        <v>0.0</v>
      </c>
      <c r="AW419" s="63">
        <v>0.0</v>
      </c>
      <c r="AX419" s="63">
        <v>0.0</v>
      </c>
      <c r="AY419" s="63">
        <v>0.0</v>
      </c>
      <c r="AZ419" s="63">
        <v>0.0</v>
      </c>
      <c r="BA419" s="63">
        <v>48.0</v>
      </c>
      <c r="BB419" s="63">
        <v>2.0</v>
      </c>
      <c r="BC419" s="63">
        <v>15.0</v>
      </c>
      <c r="BD419" s="63">
        <v>1.0</v>
      </c>
      <c r="BE419" s="64">
        <v>0.0</v>
      </c>
      <c r="BF419" s="69">
        <v>0.0</v>
      </c>
      <c r="BG419" s="69">
        <v>0.0</v>
      </c>
      <c r="BH419" s="64">
        <v>0.0</v>
      </c>
      <c r="BI419" s="67" t="str">
        <f t="shared" si="133"/>
        <v>#REF!</v>
      </c>
      <c r="BJ419" s="68" t="str">
        <f t="shared" si="134"/>
        <v>#REF!</v>
      </c>
      <c r="BK419" s="69">
        <v>0.0</v>
      </c>
      <c r="BL419" s="69">
        <v>0.0</v>
      </c>
      <c r="BM419" s="64">
        <v>0.0</v>
      </c>
      <c r="BN419" s="67" t="str">
        <f t="shared" si="135"/>
        <v>#REF!</v>
      </c>
      <c r="BO419" s="68" t="str">
        <f t="shared" si="136"/>
        <v>#REF!</v>
      </c>
      <c r="BP419" s="65">
        <v>0.0</v>
      </c>
      <c r="BQ419" s="65">
        <v>0.0</v>
      </c>
      <c r="BR419" s="66">
        <v>0.0</v>
      </c>
      <c r="BS419" s="67" t="str">
        <f t="shared" si="137"/>
        <v>#REF!</v>
      </c>
      <c r="BT419" s="68" t="str">
        <f>'[1]DATA CONSOLIDADA 2018-2025 '!$BR416-Hoja1!$BO419</f>
        <v>#REF!</v>
      </c>
      <c r="BU419" s="69">
        <v>0.0</v>
      </c>
      <c r="BV419" s="65">
        <v>0.0</v>
      </c>
      <c r="BW419" s="66">
        <v>0.0</v>
      </c>
      <c r="BX419" s="67" t="str">
        <f t="shared" si="138"/>
        <v>#REF!</v>
      </c>
      <c r="BY419" s="68" t="str">
        <f t="shared" si="139"/>
        <v>#REF!</v>
      </c>
      <c r="BZ419" s="65">
        <v>0.0</v>
      </c>
      <c r="CA419" s="65">
        <v>0.0</v>
      </c>
      <c r="CB419" s="66">
        <v>0.0</v>
      </c>
      <c r="CC419" s="67" t="str">
        <f t="shared" si="140"/>
        <v>#REF!</v>
      </c>
      <c r="CD419" s="68" t="str">
        <f>'[1]DATA CONSOLIDADA 2018-2025 '!$CB416-Hoja1!$BW419</f>
        <v>#REF!</v>
      </c>
      <c r="CE419" s="70">
        <v>60589.0</v>
      </c>
      <c r="CF419" s="70">
        <v>0.0</v>
      </c>
      <c r="CG419" s="71">
        <v>60589.0</v>
      </c>
      <c r="CH419" s="67" t="str">
        <f t="shared" si="141"/>
        <v>#REF!</v>
      </c>
      <c r="CI419" s="68" t="str">
        <f>'[1]DATA CONSOLIDADA 2018-2025 '!$CG416-Hoja1!$CB419</f>
        <v>#REF!</v>
      </c>
      <c r="CJ419" s="64" t="str">
        <f t="shared" si="144"/>
        <v>#REF!</v>
      </c>
      <c r="CK419" s="64">
        <v>42260.0</v>
      </c>
      <c r="CL419" s="64">
        <v>0.0</v>
      </c>
      <c r="CM419" s="64">
        <v>42260.0</v>
      </c>
      <c r="CN419" s="64" t="str">
        <f t="shared" si="12"/>
        <v>#REF!</v>
      </c>
      <c r="CO419" s="68" t="str">
        <f>'[1]DATA CONSOLIDADA 2018-2025 '!$CM419-Hoja1!$CG419</f>
        <v>#REF!</v>
      </c>
      <c r="CP419" s="70">
        <v>0.0</v>
      </c>
      <c r="CQ419" s="70">
        <v>0.0</v>
      </c>
      <c r="CR419" s="70">
        <v>0.0</v>
      </c>
      <c r="CS419" s="70">
        <v>0.0</v>
      </c>
      <c r="CT419" s="70">
        <v>0.0</v>
      </c>
      <c r="CU419" s="70">
        <v>0.0</v>
      </c>
      <c r="CV419" s="64">
        <v>0.0</v>
      </c>
      <c r="CW419" s="64">
        <v>0.0</v>
      </c>
      <c r="CX419" s="64">
        <v>60589.0</v>
      </c>
      <c r="CY419" s="64">
        <v>0.0</v>
      </c>
      <c r="CZ419" s="64">
        <v>0.0</v>
      </c>
      <c r="DA419" s="64">
        <v>0.0</v>
      </c>
      <c r="DB419" s="64">
        <v>60589.0</v>
      </c>
      <c r="DC419" s="72">
        <v>0.0</v>
      </c>
      <c r="DD419" s="72">
        <v>42260.0</v>
      </c>
      <c r="DE419" s="72">
        <v>0.0</v>
      </c>
      <c r="DF419" s="72">
        <v>0.0</v>
      </c>
      <c r="DG419" s="72">
        <v>0.0</v>
      </c>
      <c r="DH419" s="72">
        <v>42260.0</v>
      </c>
      <c r="DI419" s="73">
        <v>2.0607442585E10</v>
      </c>
      <c r="DJ419" s="74" t="s">
        <v>1399</v>
      </c>
      <c r="DK419" s="74" t="s">
        <v>138</v>
      </c>
      <c r="DL419" s="75"/>
      <c r="DM419" s="75"/>
      <c r="DN419" s="75"/>
      <c r="DO419" s="75"/>
      <c r="DP419" s="75"/>
      <c r="DQ419" s="75"/>
      <c r="DR419" s="75"/>
      <c r="DS419" s="75"/>
      <c r="DT419" s="75"/>
      <c r="DU419" s="75"/>
      <c r="DV419" s="75"/>
      <c r="DW419" s="75"/>
      <c r="DX419" s="75"/>
      <c r="DY419" s="75"/>
      <c r="DZ419" s="75"/>
      <c r="EA419" s="75"/>
      <c r="EB419" s="75"/>
      <c r="EC419" s="75"/>
      <c r="ED419" s="75"/>
      <c r="EE419" s="75"/>
    </row>
    <row r="420" ht="47.25" hidden="1" customHeight="1">
      <c r="A420" s="55" t="s">
        <v>1402</v>
      </c>
      <c r="B420" s="55" t="s">
        <v>287</v>
      </c>
      <c r="C420" s="55" t="s">
        <v>1403</v>
      </c>
      <c r="D420" s="55" t="s">
        <v>408</v>
      </c>
      <c r="E420" s="55" t="s">
        <v>1404</v>
      </c>
      <c r="F420" s="55" t="s">
        <v>408</v>
      </c>
      <c r="G420" s="55" t="s">
        <v>1405</v>
      </c>
      <c r="H420" s="55" t="s">
        <v>1406</v>
      </c>
      <c r="I420" s="56"/>
      <c r="J420" s="56"/>
      <c r="K420" s="56"/>
      <c r="L420" s="56"/>
      <c r="M420" s="56"/>
      <c r="N420" s="56"/>
      <c r="O420" s="56">
        <v>1.0</v>
      </c>
      <c r="P420" s="56">
        <v>1.0</v>
      </c>
      <c r="Q420" s="56" t="s">
        <v>131</v>
      </c>
      <c r="R420" s="58" t="str">
        <f t="shared" si="1"/>
        <v>2024 - 2025</v>
      </c>
      <c r="S420" s="59" t="str">
        <f>SUM(Hoja1!$I420:$P420)</f>
        <v>2</v>
      </c>
      <c r="T420" s="59" t="str">
        <f>IF(OR(Hoja1!$J420=1,Hoja1!$K420=1,Hoja1!$L420=1,Hoja1!$M420=1,Hoja1!$N420=1,Hoja1!$O420=1,Hoja1!$P420=1),"SI","NO")</f>
        <v>SI</v>
      </c>
      <c r="U420" s="59" t="str">
        <f>IF(OR(Hoja1!$K420=1,Hoja1!$L420=1,Hoja1!$M420=1,Hoja1!$N420=1,Hoja1!$O420=1,Hoja1!$P420=1),"SI","NO")</f>
        <v>SI</v>
      </c>
      <c r="V420" s="60">
        <v>0.0</v>
      </c>
      <c r="W420" s="61">
        <v>0.0</v>
      </c>
      <c r="X420" s="61">
        <v>0.0</v>
      </c>
      <c r="Y420" s="60">
        <v>0.0</v>
      </c>
      <c r="Z420" s="61">
        <v>0.0</v>
      </c>
      <c r="AA420" s="61">
        <v>0.0</v>
      </c>
      <c r="AB420" s="60">
        <v>0.0</v>
      </c>
      <c r="AC420" s="61">
        <v>0.0</v>
      </c>
      <c r="AD420" s="61">
        <v>0.0</v>
      </c>
      <c r="AE420" s="60">
        <v>0.0</v>
      </c>
      <c r="AF420" s="61">
        <v>0.0</v>
      </c>
      <c r="AG420" s="61">
        <v>0.0</v>
      </c>
      <c r="AH420" s="60">
        <v>0.0</v>
      </c>
      <c r="AI420" s="61">
        <v>0.0</v>
      </c>
      <c r="AJ420" s="61">
        <v>0.0</v>
      </c>
      <c r="AK420" s="60">
        <v>0.0</v>
      </c>
      <c r="AL420" s="61">
        <v>11.0</v>
      </c>
      <c r="AM420" s="61">
        <v>9.0</v>
      </c>
      <c r="AN420" s="60">
        <v>20.0</v>
      </c>
      <c r="AO420" s="62">
        <v>12.0</v>
      </c>
      <c r="AP420" s="62">
        <v>8.0</v>
      </c>
      <c r="AQ420" s="60">
        <v>20.0</v>
      </c>
      <c r="AR420" s="60" t="str">
        <f>IF(Hoja1!$AQ420&gt;0,Hoja1!$AQ420,IF(Hoja1!$AN420&gt;0,Hoja1!$AN420,IF(Hoja1!$AK420&gt;0,Hoja1!$AK420,IF(Hoja1!$AH420&gt;0,Hoja1!$AH420,IF(Hoja1!$AE420&gt;0,Hoja1!$AE420,IF(Hoja1!$AB420&gt;0,Hoja1!$AB420,IF(Hoja1!$Y420&gt;0,Hoja1!$Y420,IF(Hoja1!$V420&gt;0,Hoja1!$V420," ---"))))))))</f>
        <v>20</v>
      </c>
      <c r="AS420" s="63">
        <v>0.0</v>
      </c>
      <c r="AT420" s="63">
        <v>0.0</v>
      </c>
      <c r="AU420" s="63">
        <v>0.0</v>
      </c>
      <c r="AV420" s="63">
        <v>0.0</v>
      </c>
      <c r="AW420" s="63">
        <v>0.0</v>
      </c>
      <c r="AX420" s="63">
        <v>0.0</v>
      </c>
      <c r="AY420" s="63">
        <v>0.0</v>
      </c>
      <c r="AZ420" s="63">
        <v>0.0</v>
      </c>
      <c r="BA420" s="63">
        <v>30.0</v>
      </c>
      <c r="BB420" s="63">
        <v>5.0</v>
      </c>
      <c r="BC420" s="63">
        <v>30.0</v>
      </c>
      <c r="BD420" s="63">
        <v>4.0</v>
      </c>
      <c r="BE420" s="64">
        <v>0.0</v>
      </c>
      <c r="BF420" s="69">
        <v>0.0</v>
      </c>
      <c r="BG420" s="69">
        <v>0.0</v>
      </c>
      <c r="BH420" s="64">
        <v>0.0</v>
      </c>
      <c r="BI420" s="67" t="str">
        <f t="shared" si="133"/>
        <v>#REF!</v>
      </c>
      <c r="BJ420" s="68" t="str">
        <f t="shared" si="134"/>
        <v>#REF!</v>
      </c>
      <c r="BK420" s="69">
        <v>0.0</v>
      </c>
      <c r="BL420" s="69">
        <v>0.0</v>
      </c>
      <c r="BM420" s="64">
        <v>0.0</v>
      </c>
      <c r="BN420" s="67" t="str">
        <f t="shared" si="135"/>
        <v>#REF!</v>
      </c>
      <c r="BO420" s="68" t="str">
        <f t="shared" si="136"/>
        <v>#REF!</v>
      </c>
      <c r="BP420" s="65">
        <v>0.0</v>
      </c>
      <c r="BQ420" s="65">
        <v>0.0</v>
      </c>
      <c r="BR420" s="66">
        <v>0.0</v>
      </c>
      <c r="BS420" s="67" t="str">
        <f t="shared" si="137"/>
        <v>#REF!</v>
      </c>
      <c r="BT420" s="68" t="str">
        <f>'[1]DATA CONSOLIDADA 2018-2025 '!$BR420-Hoja1!$BO420</f>
        <v>#REF!</v>
      </c>
      <c r="BU420" s="69">
        <v>0.0</v>
      </c>
      <c r="BV420" s="65">
        <v>0.0</v>
      </c>
      <c r="BW420" s="66">
        <v>0.0</v>
      </c>
      <c r="BX420" s="67" t="str">
        <f t="shared" si="138"/>
        <v>#REF!</v>
      </c>
      <c r="BY420" s="68" t="str">
        <f t="shared" si="139"/>
        <v>#REF!</v>
      </c>
      <c r="BZ420" s="65">
        <v>0.0</v>
      </c>
      <c r="CA420" s="65">
        <v>0.0</v>
      </c>
      <c r="CB420" s="66">
        <v>0.0</v>
      </c>
      <c r="CC420" s="67" t="str">
        <f t="shared" si="140"/>
        <v>#REF!</v>
      </c>
      <c r="CD420" s="68" t="str">
        <f>'[1]DATA CONSOLIDADA 2018-2025 '!$CB420-Hoja1!$BW420</f>
        <v>#REF!</v>
      </c>
      <c r="CE420" s="70">
        <v>99144.0</v>
      </c>
      <c r="CF420" s="70">
        <v>0.0</v>
      </c>
      <c r="CG420" s="71">
        <v>99144.0</v>
      </c>
      <c r="CH420" s="67" t="str">
        <f t="shared" si="141"/>
        <v>#REF!</v>
      </c>
      <c r="CI420" s="68" t="str">
        <f>'[1]DATA CONSOLIDADA 2018-2025 '!$CG420-Hoja1!$CB420</f>
        <v>#REF!</v>
      </c>
      <c r="CJ420" s="64" t="str">
        <f t="shared" ref="CJ420:CJ422" si="145">'[1]DATA CONSOLIDADA 2018-2025 '!$BE420+'[1]DATA CONSOLIDADA 2018-2025 '!$BH420+'[1]DATA CONSOLIDADA 2018-2025 '!$BM420+'[1]DATA CONSOLIDADA 2018-2025 '!$BR420+'[1]DATA CONSOLIDADA 2018-2025 '!$BW420+'[1]DATA CONSOLIDADA 2018-2025 '!$CB420+'[1]DATA CONSOLIDADA 2018-2025 '!$CG420</f>
        <v>#REF!</v>
      </c>
      <c r="CK420" s="64">
        <v>118790.0</v>
      </c>
      <c r="CL420" s="64">
        <v>0.0</v>
      </c>
      <c r="CM420" s="64">
        <v>118790.0</v>
      </c>
      <c r="CN420" s="64" t="str">
        <f t="shared" si="12"/>
        <v>#REF!</v>
      </c>
      <c r="CO420" s="68" t="str">
        <f>'[1]DATA CONSOLIDADA 2018-2025 '!$CM420-Hoja1!$CG420</f>
        <v>#REF!</v>
      </c>
      <c r="CP420" s="70">
        <v>0.0</v>
      </c>
      <c r="CQ420" s="70">
        <v>0.0</v>
      </c>
      <c r="CR420" s="70">
        <v>0.0</v>
      </c>
      <c r="CS420" s="70">
        <v>0.0</v>
      </c>
      <c r="CT420" s="70">
        <v>0.0</v>
      </c>
      <c r="CU420" s="70">
        <v>0.0</v>
      </c>
      <c r="CV420" s="64">
        <v>0.0</v>
      </c>
      <c r="CW420" s="64">
        <v>0.0</v>
      </c>
      <c r="CX420" s="64">
        <v>99144.0</v>
      </c>
      <c r="CY420" s="64">
        <v>0.0</v>
      </c>
      <c r="CZ420" s="64">
        <v>0.0</v>
      </c>
      <c r="DA420" s="64">
        <v>0.0</v>
      </c>
      <c r="DB420" s="64">
        <v>99144.0</v>
      </c>
      <c r="DC420" s="72">
        <v>0.0</v>
      </c>
      <c r="DD420" s="72">
        <v>118790.0</v>
      </c>
      <c r="DE420" s="72">
        <v>0.0</v>
      </c>
      <c r="DF420" s="72">
        <v>0.0</v>
      </c>
      <c r="DG420" s="72">
        <v>0.0</v>
      </c>
      <c r="DH420" s="72">
        <v>118790.0</v>
      </c>
      <c r="DI420" s="73">
        <v>2.0607875724E10</v>
      </c>
      <c r="DJ420" s="74" t="s">
        <v>1407</v>
      </c>
      <c r="DK420" s="74" t="s">
        <v>138</v>
      </c>
      <c r="DL420" s="75"/>
      <c r="DM420" s="75"/>
      <c r="DN420" s="75"/>
      <c r="DO420" s="75"/>
      <c r="DP420" s="75"/>
      <c r="DQ420" s="75"/>
      <c r="DR420" s="75"/>
      <c r="DS420" s="75"/>
      <c r="DT420" s="75"/>
      <c r="DU420" s="75"/>
      <c r="DV420" s="75"/>
      <c r="DW420" s="75"/>
      <c r="DX420" s="75"/>
      <c r="DY420" s="75"/>
      <c r="DZ420" s="75"/>
      <c r="EA420" s="75"/>
      <c r="EB420" s="75"/>
      <c r="EC420" s="75"/>
      <c r="ED420" s="75"/>
      <c r="EE420" s="75"/>
    </row>
    <row r="421" ht="47.25" hidden="1" customHeight="1">
      <c r="A421" s="55" t="s">
        <v>1408</v>
      </c>
      <c r="B421" s="55" t="s">
        <v>126</v>
      </c>
      <c r="C421" s="55" t="s">
        <v>126</v>
      </c>
      <c r="D421" s="55" t="s">
        <v>408</v>
      </c>
      <c r="E421" s="55" t="s">
        <v>423</v>
      </c>
      <c r="F421" s="55" t="s">
        <v>408</v>
      </c>
      <c r="G421" s="55" t="s">
        <v>424</v>
      </c>
      <c r="H421" s="55" t="s">
        <v>424</v>
      </c>
      <c r="I421" s="56"/>
      <c r="J421" s="56"/>
      <c r="K421" s="56"/>
      <c r="L421" s="56"/>
      <c r="M421" s="56"/>
      <c r="N421" s="56"/>
      <c r="O421" s="56">
        <v>1.0</v>
      </c>
      <c r="P421" s="56">
        <v>1.0</v>
      </c>
      <c r="Q421" s="56" t="s">
        <v>131</v>
      </c>
      <c r="R421" s="58" t="str">
        <f t="shared" si="1"/>
        <v>2024 - 2025</v>
      </c>
      <c r="S421" s="59" t="str">
        <f>SUM(Hoja1!$I421:$P421)</f>
        <v>2</v>
      </c>
      <c r="T421" s="59" t="str">
        <f>IF(OR(Hoja1!$J421=1,Hoja1!$K421=1,Hoja1!$L421=1,Hoja1!$M421=1,Hoja1!$N421=1,Hoja1!$O421=1,Hoja1!$P421=1),"SI","NO")</f>
        <v>SI</v>
      </c>
      <c r="U421" s="59" t="str">
        <f>IF(OR(Hoja1!$K421=1,Hoja1!$L421=1,Hoja1!$M421=1,Hoja1!$N421=1,Hoja1!$O421=1,Hoja1!$P421=1),"SI","NO")</f>
        <v>SI</v>
      </c>
      <c r="V421" s="60">
        <v>0.0</v>
      </c>
      <c r="W421" s="61">
        <v>0.0</v>
      </c>
      <c r="X421" s="61">
        <v>0.0</v>
      </c>
      <c r="Y421" s="60">
        <v>0.0</v>
      </c>
      <c r="Z421" s="61">
        <v>0.0</v>
      </c>
      <c r="AA421" s="61">
        <v>0.0</v>
      </c>
      <c r="AB421" s="60">
        <v>0.0</v>
      </c>
      <c r="AC421" s="61">
        <v>0.0</v>
      </c>
      <c r="AD421" s="61">
        <v>0.0</v>
      </c>
      <c r="AE421" s="60">
        <v>0.0</v>
      </c>
      <c r="AF421" s="61">
        <v>0.0</v>
      </c>
      <c r="AG421" s="61">
        <v>0.0</v>
      </c>
      <c r="AH421" s="60">
        <v>0.0</v>
      </c>
      <c r="AI421" s="61">
        <v>0.0</v>
      </c>
      <c r="AJ421" s="61">
        <v>0.0</v>
      </c>
      <c r="AK421" s="60">
        <v>0.0</v>
      </c>
      <c r="AL421" s="61">
        <v>75.0</v>
      </c>
      <c r="AM421" s="61">
        <v>138.0</v>
      </c>
      <c r="AN421" s="60">
        <v>213.0</v>
      </c>
      <c r="AO421" s="62">
        <v>162.0</v>
      </c>
      <c r="AP421" s="62">
        <v>83.0</v>
      </c>
      <c r="AQ421" s="60">
        <v>245.0</v>
      </c>
      <c r="AR421" s="60" t="str">
        <f>IF(Hoja1!$AQ421&gt;0,Hoja1!$AQ421,IF(Hoja1!$AN421&gt;0,Hoja1!$AN421,IF(Hoja1!$AK421&gt;0,Hoja1!$AK421,IF(Hoja1!$AH421&gt;0,Hoja1!$AH421,IF(Hoja1!$AE421&gt;0,Hoja1!$AE421,IF(Hoja1!$AB421&gt;0,Hoja1!$AB421,IF(Hoja1!$Y421&gt;0,Hoja1!$Y421,IF(Hoja1!$V421&gt;0,Hoja1!$V421," ---"))))))))</f>
        <v>245</v>
      </c>
      <c r="AS421" s="63">
        <v>0.0</v>
      </c>
      <c r="AT421" s="63">
        <v>0.0</v>
      </c>
      <c r="AU421" s="63">
        <v>0.0</v>
      </c>
      <c r="AV421" s="63">
        <v>0.0</v>
      </c>
      <c r="AW421" s="63">
        <v>0.0</v>
      </c>
      <c r="AX421" s="63">
        <v>0.0</v>
      </c>
      <c r="AY421" s="63">
        <v>0.0</v>
      </c>
      <c r="AZ421" s="63">
        <v>0.0</v>
      </c>
      <c r="BA421" s="63">
        <v>13.0</v>
      </c>
      <c r="BB421" s="63">
        <v>4.0</v>
      </c>
      <c r="BC421" s="63">
        <v>15.0</v>
      </c>
      <c r="BD421" s="63">
        <v>2.0</v>
      </c>
      <c r="BE421" s="64">
        <v>0.0</v>
      </c>
      <c r="BF421" s="69">
        <v>0.0</v>
      </c>
      <c r="BG421" s="69">
        <v>0.0</v>
      </c>
      <c r="BH421" s="64">
        <v>0.0</v>
      </c>
      <c r="BI421" s="67" t="str">
        <f t="shared" si="133"/>
        <v>#REF!</v>
      </c>
      <c r="BJ421" s="68" t="str">
        <f t="shared" si="134"/>
        <v>#REF!</v>
      </c>
      <c r="BK421" s="69">
        <v>0.0</v>
      </c>
      <c r="BL421" s="69">
        <v>0.0</v>
      </c>
      <c r="BM421" s="64">
        <v>0.0</v>
      </c>
      <c r="BN421" s="67" t="str">
        <f t="shared" si="135"/>
        <v>#REF!</v>
      </c>
      <c r="BO421" s="68" t="str">
        <f t="shared" si="136"/>
        <v>#REF!</v>
      </c>
      <c r="BP421" s="65">
        <v>0.0</v>
      </c>
      <c r="BQ421" s="65">
        <v>0.0</v>
      </c>
      <c r="BR421" s="66">
        <v>0.0</v>
      </c>
      <c r="BS421" s="67" t="str">
        <f t="shared" si="137"/>
        <v>#REF!</v>
      </c>
      <c r="BT421" s="68" t="str">
        <f>'[1]DATA CONSOLIDADA 2018-2025 '!$BR421-Hoja1!$BO421</f>
        <v>#REF!</v>
      </c>
      <c r="BU421" s="69">
        <v>0.0</v>
      </c>
      <c r="BV421" s="65">
        <v>0.0</v>
      </c>
      <c r="BW421" s="66">
        <v>0.0</v>
      </c>
      <c r="BX421" s="67" t="str">
        <f t="shared" si="138"/>
        <v>#REF!</v>
      </c>
      <c r="BY421" s="68" t="str">
        <f t="shared" si="139"/>
        <v>#REF!</v>
      </c>
      <c r="BZ421" s="65">
        <v>0.0</v>
      </c>
      <c r="CA421" s="65">
        <v>0.0</v>
      </c>
      <c r="CB421" s="66">
        <v>0.0</v>
      </c>
      <c r="CC421" s="67" t="str">
        <f t="shared" si="140"/>
        <v>#REF!</v>
      </c>
      <c r="CD421" s="68" t="str">
        <f>'[1]DATA CONSOLIDADA 2018-2025 '!$CB421-Hoja1!$BW421</f>
        <v>#REF!</v>
      </c>
      <c r="CE421" s="70">
        <v>1239270.9840240497</v>
      </c>
      <c r="CF421" s="70">
        <v>0.0</v>
      </c>
      <c r="CG421" s="71">
        <v>1239270.9840240497</v>
      </c>
      <c r="CH421" s="67" t="str">
        <f t="shared" si="141"/>
        <v>#REF!</v>
      </c>
      <c r="CI421" s="68" t="str">
        <f>'[1]DATA CONSOLIDADA 2018-2025 '!$CG421-Hoja1!$CB421</f>
        <v>#REF!</v>
      </c>
      <c r="CJ421" s="64" t="str">
        <f t="shared" si="145"/>
        <v>#REF!</v>
      </c>
      <c r="CK421" s="64">
        <v>379902.5750705</v>
      </c>
      <c r="CL421" s="64">
        <v>0.0</v>
      </c>
      <c r="CM421" s="64">
        <v>379902.5750705</v>
      </c>
      <c r="CN421" s="64" t="str">
        <f t="shared" si="12"/>
        <v>#REF!</v>
      </c>
      <c r="CO421" s="68" t="str">
        <f>'[1]DATA CONSOLIDADA 2018-2025 '!$CM421-Hoja1!$CG421</f>
        <v>#REF!</v>
      </c>
      <c r="CP421" s="70">
        <v>0.0</v>
      </c>
      <c r="CQ421" s="70">
        <v>0.0</v>
      </c>
      <c r="CR421" s="70">
        <v>0.0</v>
      </c>
      <c r="CS421" s="70">
        <v>0.0</v>
      </c>
      <c r="CT421" s="70">
        <v>0.0</v>
      </c>
      <c r="CU421" s="70">
        <v>0.0</v>
      </c>
      <c r="CV421" s="64">
        <v>0.0</v>
      </c>
      <c r="CW421" s="64">
        <v>0.0</v>
      </c>
      <c r="CX421" s="64">
        <v>0.0</v>
      </c>
      <c r="CY421" s="64">
        <v>1239270.9840240497</v>
      </c>
      <c r="CZ421" s="64">
        <v>0.0</v>
      </c>
      <c r="DA421" s="64">
        <v>0.0</v>
      </c>
      <c r="DB421" s="64">
        <v>1239270.9840240497</v>
      </c>
      <c r="DC421" s="72">
        <v>0.0</v>
      </c>
      <c r="DD421" s="72">
        <v>0.0</v>
      </c>
      <c r="DE421" s="72">
        <v>379902.5750705</v>
      </c>
      <c r="DF421" s="72">
        <v>0.0</v>
      </c>
      <c r="DG421" s="72">
        <v>0.0</v>
      </c>
      <c r="DH421" s="72">
        <v>379902.5750705</v>
      </c>
      <c r="DI421" s="73">
        <v>2.0609025353E10</v>
      </c>
      <c r="DJ421" s="74" t="s">
        <v>1408</v>
      </c>
      <c r="DK421" s="74" t="s">
        <v>138</v>
      </c>
      <c r="DL421" s="75"/>
      <c r="DM421" s="75"/>
      <c r="DN421" s="75"/>
      <c r="DO421" s="75"/>
      <c r="DP421" s="75"/>
      <c r="DQ421" s="75"/>
      <c r="DR421" s="75"/>
      <c r="DS421" s="75"/>
      <c r="DT421" s="75"/>
      <c r="DU421" s="75"/>
      <c r="DV421" s="75"/>
      <c r="DW421" s="75"/>
      <c r="DX421" s="75"/>
      <c r="DY421" s="75"/>
      <c r="DZ421" s="75"/>
      <c r="EA421" s="75"/>
      <c r="EB421" s="75"/>
      <c r="EC421" s="75"/>
      <c r="ED421" s="75"/>
      <c r="EE421" s="75"/>
    </row>
    <row r="422" ht="47.25" hidden="1" customHeight="1">
      <c r="A422" s="55" t="s">
        <v>1409</v>
      </c>
      <c r="B422" s="55" t="s">
        <v>126</v>
      </c>
      <c r="C422" s="55" t="s">
        <v>126</v>
      </c>
      <c r="D422" s="55" t="s">
        <v>408</v>
      </c>
      <c r="E422" s="55" t="s">
        <v>1410</v>
      </c>
      <c r="F422" s="55" t="s">
        <v>408</v>
      </c>
      <c r="G422" s="55" t="s">
        <v>729</v>
      </c>
      <c r="H422" s="55" t="s">
        <v>729</v>
      </c>
      <c r="I422" s="56"/>
      <c r="J422" s="56"/>
      <c r="K422" s="56"/>
      <c r="L422" s="56"/>
      <c r="M422" s="56"/>
      <c r="N422" s="56"/>
      <c r="O422" s="56">
        <v>1.0</v>
      </c>
      <c r="P422" s="56">
        <v>1.0</v>
      </c>
      <c r="Q422" s="56" t="s">
        <v>131</v>
      </c>
      <c r="R422" s="58" t="str">
        <f t="shared" si="1"/>
        <v>2024 - 2025</v>
      </c>
      <c r="S422" s="59" t="str">
        <f>SUM(Hoja1!$I422:$P422)</f>
        <v>2</v>
      </c>
      <c r="T422" s="59" t="str">
        <f>IF(OR(Hoja1!$J422=1,Hoja1!$K422=1,Hoja1!$L422=1,Hoja1!$M422=1,Hoja1!$N422=1,Hoja1!$O422=1,Hoja1!$P422=1),"SI","NO")</f>
        <v>SI</v>
      </c>
      <c r="U422" s="59" t="str">
        <f>IF(OR(Hoja1!$K422=1,Hoja1!$L422=1,Hoja1!$M422=1,Hoja1!$N422=1,Hoja1!$O422=1,Hoja1!$P422=1),"SI","NO")</f>
        <v>SI</v>
      </c>
      <c r="V422" s="60">
        <v>0.0</v>
      </c>
      <c r="W422" s="61">
        <v>0.0</v>
      </c>
      <c r="X422" s="61">
        <v>0.0</v>
      </c>
      <c r="Y422" s="60">
        <v>0.0</v>
      </c>
      <c r="Z422" s="61">
        <v>0.0</v>
      </c>
      <c r="AA422" s="61">
        <v>0.0</v>
      </c>
      <c r="AB422" s="60">
        <v>0.0</v>
      </c>
      <c r="AC422" s="61">
        <v>0.0</v>
      </c>
      <c r="AD422" s="61">
        <v>0.0</v>
      </c>
      <c r="AE422" s="60">
        <v>0.0</v>
      </c>
      <c r="AF422" s="61">
        <v>0.0</v>
      </c>
      <c r="AG422" s="61">
        <v>0.0</v>
      </c>
      <c r="AH422" s="60">
        <v>0.0</v>
      </c>
      <c r="AI422" s="61">
        <v>0.0</v>
      </c>
      <c r="AJ422" s="61">
        <v>0.0</v>
      </c>
      <c r="AK422" s="60">
        <v>0.0</v>
      </c>
      <c r="AL422" s="61">
        <v>236.0</v>
      </c>
      <c r="AM422" s="61">
        <v>69.0</v>
      </c>
      <c r="AN422" s="60">
        <v>305.0</v>
      </c>
      <c r="AO422" s="62">
        <v>243.0</v>
      </c>
      <c r="AP422" s="62">
        <v>62.0</v>
      </c>
      <c r="AQ422" s="60">
        <v>305.0</v>
      </c>
      <c r="AR422" s="60" t="str">
        <f>IF(Hoja1!$AQ422&gt;0,Hoja1!$AQ422,IF(Hoja1!$AN422&gt;0,Hoja1!$AN422,IF(Hoja1!$AK422&gt;0,Hoja1!$AK422,IF(Hoja1!$AH422&gt;0,Hoja1!$AH422,IF(Hoja1!$AE422&gt;0,Hoja1!$AE422,IF(Hoja1!$AB422&gt;0,Hoja1!$AB422,IF(Hoja1!$Y422&gt;0,Hoja1!$Y422,IF(Hoja1!$V422&gt;0,Hoja1!$V422," ---"))))))))</f>
        <v>305</v>
      </c>
      <c r="AS422" s="63">
        <v>0.0</v>
      </c>
      <c r="AT422" s="63">
        <v>0.0</v>
      </c>
      <c r="AU422" s="63">
        <v>0.0</v>
      </c>
      <c r="AV422" s="63">
        <v>0.0</v>
      </c>
      <c r="AW422" s="63">
        <v>0.0</v>
      </c>
      <c r="AX422" s="63">
        <v>0.0</v>
      </c>
      <c r="AY422" s="63">
        <v>0.0</v>
      </c>
      <c r="AZ422" s="63">
        <v>0.0</v>
      </c>
      <c r="BA422" s="63">
        <v>9.0</v>
      </c>
      <c r="BB422" s="63">
        <v>4.0</v>
      </c>
      <c r="BC422" s="63">
        <v>15.0</v>
      </c>
      <c r="BD422" s="63">
        <v>2.0</v>
      </c>
      <c r="BE422" s="64">
        <v>0.0</v>
      </c>
      <c r="BF422" s="69">
        <v>0.0</v>
      </c>
      <c r="BG422" s="69">
        <v>0.0</v>
      </c>
      <c r="BH422" s="64">
        <v>0.0</v>
      </c>
      <c r="BI422" s="67" t="str">
        <f t="shared" si="133"/>
        <v>#REF!</v>
      </c>
      <c r="BJ422" s="68" t="str">
        <f t="shared" si="134"/>
        <v>#REF!</v>
      </c>
      <c r="BK422" s="69">
        <v>0.0</v>
      </c>
      <c r="BL422" s="69">
        <v>0.0</v>
      </c>
      <c r="BM422" s="64">
        <v>0.0</v>
      </c>
      <c r="BN422" s="67" t="str">
        <f t="shared" si="135"/>
        <v>#REF!</v>
      </c>
      <c r="BO422" s="68" t="str">
        <f t="shared" si="136"/>
        <v>#REF!</v>
      </c>
      <c r="BP422" s="65">
        <v>0.0</v>
      </c>
      <c r="BQ422" s="65">
        <v>0.0</v>
      </c>
      <c r="BR422" s="66">
        <v>0.0</v>
      </c>
      <c r="BS422" s="67" t="str">
        <f t="shared" si="137"/>
        <v>#REF!</v>
      </c>
      <c r="BT422" s="68" t="str">
        <f>'[1]DATA CONSOLIDADA 2018-2025 '!$BR422-Hoja1!$BO422</f>
        <v>#REF!</v>
      </c>
      <c r="BU422" s="69">
        <v>0.0</v>
      </c>
      <c r="BV422" s="65">
        <v>0.0</v>
      </c>
      <c r="BW422" s="66">
        <v>0.0</v>
      </c>
      <c r="BX422" s="67" t="str">
        <f t="shared" si="138"/>
        <v>#REF!</v>
      </c>
      <c r="BY422" s="68" t="str">
        <f t="shared" si="139"/>
        <v>#REF!</v>
      </c>
      <c r="BZ422" s="65">
        <v>0.0</v>
      </c>
      <c r="CA422" s="65">
        <v>0.0</v>
      </c>
      <c r="CB422" s="66">
        <v>0.0</v>
      </c>
      <c r="CC422" s="67" t="str">
        <f t="shared" si="140"/>
        <v>#REF!</v>
      </c>
      <c r="CD422" s="68" t="str">
        <f>'[1]DATA CONSOLIDADA 2018-2025 '!$CB422-Hoja1!$BW422</f>
        <v>#REF!</v>
      </c>
      <c r="CE422" s="70">
        <v>305444.8303</v>
      </c>
      <c r="CF422" s="70">
        <v>0.0</v>
      </c>
      <c r="CG422" s="71">
        <v>305444.8303</v>
      </c>
      <c r="CH422" s="67" t="str">
        <f t="shared" si="141"/>
        <v>#REF!</v>
      </c>
      <c r="CI422" s="68" t="str">
        <f>'[1]DATA CONSOLIDADA 2018-2025 '!$CG422-Hoja1!$CB422</f>
        <v>#REF!</v>
      </c>
      <c r="CJ422" s="64" t="str">
        <f t="shared" si="145"/>
        <v>#REF!</v>
      </c>
      <c r="CK422" s="64">
        <v>513900.72954</v>
      </c>
      <c r="CL422" s="64">
        <v>0.0</v>
      </c>
      <c r="CM422" s="64">
        <v>513900.72954</v>
      </c>
      <c r="CN422" s="64" t="str">
        <f t="shared" si="12"/>
        <v>#REF!</v>
      </c>
      <c r="CO422" s="68" t="str">
        <f>'[1]DATA CONSOLIDADA 2018-2025 '!$CM422-Hoja1!$CG422</f>
        <v>#REF!</v>
      </c>
      <c r="CP422" s="70">
        <v>0.0</v>
      </c>
      <c r="CQ422" s="70">
        <v>0.0</v>
      </c>
      <c r="CR422" s="70">
        <v>0.0</v>
      </c>
      <c r="CS422" s="70">
        <v>0.0</v>
      </c>
      <c r="CT422" s="70">
        <v>0.0</v>
      </c>
      <c r="CU422" s="70">
        <v>0.0</v>
      </c>
      <c r="CV422" s="64">
        <v>0.0</v>
      </c>
      <c r="CW422" s="64">
        <v>0.0</v>
      </c>
      <c r="CX422" s="64">
        <v>0.0</v>
      </c>
      <c r="CY422" s="64">
        <v>305444.8303</v>
      </c>
      <c r="CZ422" s="64">
        <v>0.0</v>
      </c>
      <c r="DA422" s="64">
        <v>0.0</v>
      </c>
      <c r="DB422" s="64">
        <v>305444.8303</v>
      </c>
      <c r="DC422" s="72">
        <v>0.0</v>
      </c>
      <c r="DD422" s="72">
        <v>0.0</v>
      </c>
      <c r="DE422" s="72">
        <v>513900.72954</v>
      </c>
      <c r="DF422" s="72">
        <v>0.0</v>
      </c>
      <c r="DG422" s="72">
        <v>0.0</v>
      </c>
      <c r="DH422" s="72">
        <v>513900.72954</v>
      </c>
      <c r="DI422" s="73">
        <v>2.0604309728E10</v>
      </c>
      <c r="DJ422" s="74" t="s">
        <v>1409</v>
      </c>
      <c r="DK422" s="74" t="s">
        <v>138</v>
      </c>
      <c r="DL422" s="75"/>
      <c r="DM422" s="75"/>
      <c r="DN422" s="75"/>
      <c r="DO422" s="75"/>
      <c r="DP422" s="75"/>
      <c r="DQ422" s="75"/>
      <c r="DR422" s="75"/>
      <c r="DS422" s="75"/>
      <c r="DT422" s="75"/>
      <c r="DU422" s="75"/>
      <c r="DV422" s="75"/>
      <c r="DW422" s="75"/>
      <c r="DX422" s="75"/>
      <c r="DY422" s="75"/>
      <c r="DZ422" s="75"/>
      <c r="EA422" s="75"/>
      <c r="EB422" s="75"/>
      <c r="EC422" s="75"/>
      <c r="ED422" s="75"/>
      <c r="EE422" s="75"/>
    </row>
    <row r="423" ht="47.25" hidden="1" customHeight="1">
      <c r="A423" s="55" t="s">
        <v>1411</v>
      </c>
      <c r="B423" s="55" t="s">
        <v>455</v>
      </c>
      <c r="C423" s="55" t="s">
        <v>455</v>
      </c>
      <c r="D423" s="55" t="s">
        <v>408</v>
      </c>
      <c r="E423" s="55" t="s">
        <v>1248</v>
      </c>
      <c r="F423" s="55" t="s">
        <v>408</v>
      </c>
      <c r="G423" s="55" t="s">
        <v>457</v>
      </c>
      <c r="H423" s="55" t="s">
        <v>1249</v>
      </c>
      <c r="I423" s="56"/>
      <c r="J423" s="56"/>
      <c r="K423" s="56"/>
      <c r="L423" s="56"/>
      <c r="M423" s="56"/>
      <c r="N423" s="56"/>
      <c r="O423" s="56">
        <v>1.0</v>
      </c>
      <c r="P423" s="56">
        <v>1.0</v>
      </c>
      <c r="Q423" s="56" t="s">
        <v>131</v>
      </c>
      <c r="R423" s="58" t="str">
        <f t="shared" si="1"/>
        <v>2024 - 2025</v>
      </c>
      <c r="S423" s="59" t="str">
        <f>SUM(Hoja1!$I423:$P423)</f>
        <v>2</v>
      </c>
      <c r="T423" s="59" t="str">
        <f>IF(OR(Hoja1!$J423=1,Hoja1!$K423=1,Hoja1!$L423=1,Hoja1!$M423=1,Hoja1!$N423=1,Hoja1!$O423=1,Hoja1!$P423=1),"SI","NO")</f>
        <v>SI</v>
      </c>
      <c r="U423" s="59" t="str">
        <f>IF(OR(Hoja1!$K423=1,Hoja1!$L423=1,Hoja1!$M423=1,Hoja1!$N423=1,Hoja1!$O423=1,Hoja1!$P423=1),"SI","NO")</f>
        <v>SI</v>
      </c>
      <c r="V423" s="60">
        <v>0.0</v>
      </c>
      <c r="W423" s="61">
        <v>0.0</v>
      </c>
      <c r="X423" s="61">
        <v>0.0</v>
      </c>
      <c r="Y423" s="60">
        <v>0.0</v>
      </c>
      <c r="Z423" s="61">
        <v>0.0</v>
      </c>
      <c r="AA423" s="61">
        <v>0.0</v>
      </c>
      <c r="AB423" s="60">
        <v>0.0</v>
      </c>
      <c r="AC423" s="61">
        <v>0.0</v>
      </c>
      <c r="AD423" s="61">
        <v>0.0</v>
      </c>
      <c r="AE423" s="60">
        <v>0.0</v>
      </c>
      <c r="AF423" s="61">
        <v>0.0</v>
      </c>
      <c r="AG423" s="61">
        <v>0.0</v>
      </c>
      <c r="AH423" s="60">
        <v>0.0</v>
      </c>
      <c r="AI423" s="61">
        <v>0.0</v>
      </c>
      <c r="AJ423" s="61">
        <v>0.0</v>
      </c>
      <c r="AK423" s="60">
        <v>0.0</v>
      </c>
      <c r="AL423" s="61">
        <v>19.0</v>
      </c>
      <c r="AM423" s="61">
        <v>20.0</v>
      </c>
      <c r="AN423" s="60">
        <v>39.0</v>
      </c>
      <c r="AO423" s="62">
        <v>11.0</v>
      </c>
      <c r="AP423" s="62">
        <v>14.0</v>
      </c>
      <c r="AQ423" s="60">
        <v>25.0</v>
      </c>
      <c r="AR423" s="60" t="str">
        <f>IF(Hoja1!$AQ423&gt;0,Hoja1!$AQ423,IF(Hoja1!$AN423&gt;0,Hoja1!$AN423,IF(Hoja1!$AK423&gt;0,Hoja1!$AK423,IF(Hoja1!$AH423&gt;0,Hoja1!$AH423,IF(Hoja1!$AE423&gt;0,Hoja1!$AE423,IF(Hoja1!$AB423&gt;0,Hoja1!$AB423,IF(Hoja1!$Y423&gt;0,Hoja1!$Y423,IF(Hoja1!$V423&gt;0,Hoja1!$V423," ---"))))))))</f>
        <v>25</v>
      </c>
      <c r="AS423" s="63">
        <v>0.0</v>
      </c>
      <c r="AT423" s="63">
        <v>0.0</v>
      </c>
      <c r="AU423" s="63">
        <v>0.0</v>
      </c>
      <c r="AV423" s="63">
        <v>0.0</v>
      </c>
      <c r="AW423" s="63">
        <v>0.0</v>
      </c>
      <c r="AX423" s="63">
        <v>0.0</v>
      </c>
      <c r="AY423" s="63">
        <v>0.0</v>
      </c>
      <c r="AZ423" s="63">
        <v>0.0</v>
      </c>
      <c r="BA423" s="63">
        <v>40.0</v>
      </c>
      <c r="BB423" s="63">
        <v>4.0</v>
      </c>
      <c r="BC423" s="63">
        <v>30.0</v>
      </c>
      <c r="BD423" s="63">
        <v>5.0</v>
      </c>
      <c r="BE423" s="64">
        <v>0.0</v>
      </c>
      <c r="BF423" s="69">
        <v>0.0</v>
      </c>
      <c r="BG423" s="69">
        <v>0.0</v>
      </c>
      <c r="BH423" s="64">
        <v>0.0</v>
      </c>
      <c r="BI423" s="67" t="str">
        <f t="shared" si="133"/>
        <v>#REF!</v>
      </c>
      <c r="BJ423" s="68" t="str">
        <f t="shared" si="134"/>
        <v>#REF!</v>
      </c>
      <c r="BK423" s="69">
        <v>0.0</v>
      </c>
      <c r="BL423" s="69">
        <v>0.0</v>
      </c>
      <c r="BM423" s="64">
        <v>0.0</v>
      </c>
      <c r="BN423" s="67" t="str">
        <f t="shared" si="135"/>
        <v>#REF!</v>
      </c>
      <c r="BO423" s="68" t="str">
        <f t="shared" si="136"/>
        <v>#REF!</v>
      </c>
      <c r="BP423" s="65">
        <v>0.0</v>
      </c>
      <c r="BQ423" s="65">
        <v>0.0</v>
      </c>
      <c r="BR423" s="66">
        <v>0.0</v>
      </c>
      <c r="BS423" s="67" t="str">
        <f t="shared" si="137"/>
        <v>#REF!</v>
      </c>
      <c r="BT423" s="68" t="str">
        <f>'[1]DATA CONSOLIDADA 2018-2025 '!$BR458-Hoja1!$BO423</f>
        <v>#REF!</v>
      </c>
      <c r="BU423" s="69">
        <v>0.0</v>
      </c>
      <c r="BV423" s="65">
        <v>0.0</v>
      </c>
      <c r="BW423" s="66">
        <v>0.0</v>
      </c>
      <c r="BX423" s="67" t="str">
        <f t="shared" si="138"/>
        <v>#REF!</v>
      </c>
      <c r="BY423" s="68" t="str">
        <f t="shared" si="139"/>
        <v>#REF!</v>
      </c>
      <c r="BZ423" s="65">
        <v>0.0</v>
      </c>
      <c r="CA423" s="65">
        <v>0.0</v>
      </c>
      <c r="CB423" s="66">
        <v>0.0</v>
      </c>
      <c r="CC423" s="67" t="str">
        <f t="shared" si="140"/>
        <v>#REF!</v>
      </c>
      <c r="CD423" s="68" t="str">
        <f>'[1]DATA CONSOLIDADA 2018-2025 '!$CB458-Hoja1!$BW423</f>
        <v>#REF!</v>
      </c>
      <c r="CE423" s="70">
        <v>931840.0</v>
      </c>
      <c r="CF423" s="70">
        <v>0.0</v>
      </c>
      <c r="CG423" s="71">
        <v>931840.0</v>
      </c>
      <c r="CH423" s="67" t="str">
        <f t="shared" si="141"/>
        <v>#REF!</v>
      </c>
      <c r="CI423" s="68" t="str">
        <f>'[1]DATA CONSOLIDADA 2018-2025 '!$CG458-Hoja1!$CB423</f>
        <v>#REF!</v>
      </c>
      <c r="CJ423" s="64" t="str">
        <f>'[1]DATA CONSOLIDADA 2018-2025 '!$BE458+'[1]DATA CONSOLIDADA 2018-2025 '!$BH458+'[1]DATA CONSOLIDADA 2018-2025 '!$BM458+'[1]DATA CONSOLIDADA 2018-2025 '!$BR458+'[1]DATA CONSOLIDADA 2018-2025 '!$BW458+'[1]DATA CONSOLIDADA 2018-2025 '!$CB458+'[1]DATA CONSOLIDADA 2018-2025 '!$CG458</f>
        <v>#REF!</v>
      </c>
      <c r="CK423" s="64">
        <v>1137213.0</v>
      </c>
      <c r="CL423" s="64">
        <v>0.0</v>
      </c>
      <c r="CM423" s="64">
        <v>1137213.0</v>
      </c>
      <c r="CN423" s="64" t="str">
        <f t="shared" si="12"/>
        <v>#REF!</v>
      </c>
      <c r="CO423" s="68" t="str">
        <f>'[1]DATA CONSOLIDADA 2018-2025 '!$CM423-Hoja1!$CG423</f>
        <v>#REF!</v>
      </c>
      <c r="CP423" s="70">
        <v>0.0</v>
      </c>
      <c r="CQ423" s="70">
        <v>0.0</v>
      </c>
      <c r="CR423" s="70">
        <v>0.0</v>
      </c>
      <c r="CS423" s="70">
        <v>0.0</v>
      </c>
      <c r="CT423" s="70">
        <v>0.0</v>
      </c>
      <c r="CU423" s="70">
        <v>0.0</v>
      </c>
      <c r="CV423" s="64">
        <v>0.0</v>
      </c>
      <c r="CW423" s="64">
        <v>0.0</v>
      </c>
      <c r="CX423" s="64">
        <v>931840.0</v>
      </c>
      <c r="CY423" s="64">
        <v>0.0</v>
      </c>
      <c r="CZ423" s="64">
        <v>0.0</v>
      </c>
      <c r="DA423" s="64">
        <v>0.0</v>
      </c>
      <c r="DB423" s="64">
        <v>931840.0</v>
      </c>
      <c r="DC423" s="72">
        <v>0.0</v>
      </c>
      <c r="DD423" s="72">
        <v>1137213.0</v>
      </c>
      <c r="DE423" s="72">
        <v>0.0</v>
      </c>
      <c r="DF423" s="72">
        <v>0.0</v>
      </c>
      <c r="DG423" s="72">
        <v>0.0</v>
      </c>
      <c r="DH423" s="72">
        <v>1137213.0</v>
      </c>
      <c r="DI423" s="73">
        <v>2.0609875276E10</v>
      </c>
      <c r="DJ423" s="74" t="s">
        <v>1411</v>
      </c>
      <c r="DK423" s="74" t="s">
        <v>138</v>
      </c>
      <c r="DL423" s="75"/>
      <c r="DM423" s="75"/>
      <c r="DN423" s="75"/>
      <c r="DO423" s="75"/>
      <c r="DP423" s="75"/>
      <c r="DQ423" s="75"/>
      <c r="DR423" s="75"/>
      <c r="DS423" s="75"/>
      <c r="DT423" s="75"/>
      <c r="DU423" s="75"/>
      <c r="DV423" s="75"/>
      <c r="DW423" s="75"/>
      <c r="DX423" s="75"/>
      <c r="DY423" s="75"/>
      <c r="DZ423" s="75"/>
      <c r="EA423" s="75"/>
      <c r="EB423" s="75"/>
      <c r="EC423" s="75"/>
      <c r="ED423" s="75"/>
      <c r="EE423" s="75"/>
    </row>
    <row r="424" ht="47.25" hidden="1" customHeight="1">
      <c r="A424" s="55" t="s">
        <v>1412</v>
      </c>
      <c r="B424" s="55" t="s">
        <v>455</v>
      </c>
      <c r="C424" s="55" t="s">
        <v>455</v>
      </c>
      <c r="D424" s="55" t="s">
        <v>408</v>
      </c>
      <c r="E424" s="55" t="s">
        <v>1248</v>
      </c>
      <c r="F424" s="55" t="s">
        <v>408</v>
      </c>
      <c r="G424" s="55" t="s">
        <v>457</v>
      </c>
      <c r="H424" s="55" t="s">
        <v>1249</v>
      </c>
      <c r="I424" s="56"/>
      <c r="J424" s="56"/>
      <c r="K424" s="56"/>
      <c r="L424" s="56"/>
      <c r="M424" s="56"/>
      <c r="N424" s="56"/>
      <c r="O424" s="56">
        <v>1.0</v>
      </c>
      <c r="P424" s="56">
        <v>1.0</v>
      </c>
      <c r="Q424" s="56" t="s">
        <v>131</v>
      </c>
      <c r="R424" s="58" t="str">
        <f t="shared" si="1"/>
        <v>2024 - 2025</v>
      </c>
      <c r="S424" s="59" t="str">
        <f>SUM(Hoja1!$I424:$P424)</f>
        <v>2</v>
      </c>
      <c r="T424" s="59" t="str">
        <f>IF(OR(Hoja1!$J424=1,Hoja1!$K424=1,Hoja1!$L424=1,Hoja1!$M424=1,Hoja1!$N424=1,Hoja1!$O424=1,Hoja1!$P424=1),"SI","NO")</f>
        <v>SI</v>
      </c>
      <c r="U424" s="59" t="str">
        <f>IF(OR(Hoja1!$K424=1,Hoja1!$L424=1,Hoja1!$M424=1,Hoja1!$N424=1,Hoja1!$O424=1,Hoja1!$P424=1),"SI","NO")</f>
        <v>SI</v>
      </c>
      <c r="V424" s="60">
        <v>0.0</v>
      </c>
      <c r="W424" s="61">
        <v>0.0</v>
      </c>
      <c r="X424" s="61">
        <v>0.0</v>
      </c>
      <c r="Y424" s="60">
        <v>0.0</v>
      </c>
      <c r="Z424" s="61">
        <v>0.0</v>
      </c>
      <c r="AA424" s="61">
        <v>0.0</v>
      </c>
      <c r="AB424" s="60">
        <v>0.0</v>
      </c>
      <c r="AC424" s="61">
        <v>0.0</v>
      </c>
      <c r="AD424" s="61">
        <v>0.0</v>
      </c>
      <c r="AE424" s="60">
        <v>0.0</v>
      </c>
      <c r="AF424" s="61">
        <v>0.0</v>
      </c>
      <c r="AG424" s="61">
        <v>0.0</v>
      </c>
      <c r="AH424" s="60">
        <v>0.0</v>
      </c>
      <c r="AI424" s="61">
        <v>0.0</v>
      </c>
      <c r="AJ424" s="61">
        <v>0.0</v>
      </c>
      <c r="AK424" s="60">
        <v>0.0</v>
      </c>
      <c r="AL424" s="61">
        <v>15.0</v>
      </c>
      <c r="AM424" s="61">
        <v>31.0</v>
      </c>
      <c r="AN424" s="60">
        <v>46.0</v>
      </c>
      <c r="AO424" s="62">
        <v>16.0</v>
      </c>
      <c r="AP424" s="62">
        <v>30.0</v>
      </c>
      <c r="AQ424" s="60">
        <v>46.0</v>
      </c>
      <c r="AR424" s="60" t="str">
        <f>IF(Hoja1!$AQ424&gt;0,Hoja1!$AQ424,IF(Hoja1!$AN424&gt;0,Hoja1!$AN424,IF(Hoja1!$AK424&gt;0,Hoja1!$AK424,IF(Hoja1!$AH424&gt;0,Hoja1!$AH424,IF(Hoja1!$AE424&gt;0,Hoja1!$AE424,IF(Hoja1!$AB424&gt;0,Hoja1!$AB424,IF(Hoja1!$Y424&gt;0,Hoja1!$Y424,IF(Hoja1!$V424&gt;0,Hoja1!$V424," ---"))))))))</f>
        <v>46</v>
      </c>
      <c r="AS424" s="63">
        <v>0.0</v>
      </c>
      <c r="AT424" s="63">
        <v>0.0</v>
      </c>
      <c r="AU424" s="63">
        <v>0.0</v>
      </c>
      <c r="AV424" s="63">
        <v>0.0</v>
      </c>
      <c r="AW424" s="63">
        <v>0.0</v>
      </c>
      <c r="AX424" s="63">
        <v>0.0</v>
      </c>
      <c r="AY424" s="63">
        <v>0.0</v>
      </c>
      <c r="AZ424" s="63">
        <v>0.0</v>
      </c>
      <c r="BA424" s="63">
        <v>41.0</v>
      </c>
      <c r="BB424" s="63">
        <v>4.0</v>
      </c>
      <c r="BC424" s="63">
        <v>36.0</v>
      </c>
      <c r="BD424" s="63">
        <v>4.0</v>
      </c>
      <c r="BE424" s="64">
        <v>0.0</v>
      </c>
      <c r="BF424" s="69">
        <v>0.0</v>
      </c>
      <c r="BG424" s="69">
        <v>0.0</v>
      </c>
      <c r="BH424" s="64">
        <v>0.0</v>
      </c>
      <c r="BI424" s="67" t="str">
        <f t="shared" si="133"/>
        <v>#REF!</v>
      </c>
      <c r="BJ424" s="68" t="str">
        <f t="shared" si="134"/>
        <v>#REF!</v>
      </c>
      <c r="BK424" s="69">
        <v>0.0</v>
      </c>
      <c r="BL424" s="69">
        <v>0.0</v>
      </c>
      <c r="BM424" s="64">
        <v>0.0</v>
      </c>
      <c r="BN424" s="67" t="str">
        <f t="shared" si="135"/>
        <v>#REF!</v>
      </c>
      <c r="BO424" s="68" t="str">
        <f t="shared" si="136"/>
        <v>#REF!</v>
      </c>
      <c r="BP424" s="65">
        <v>0.0</v>
      </c>
      <c r="BQ424" s="65">
        <v>0.0</v>
      </c>
      <c r="BR424" s="66">
        <v>0.0</v>
      </c>
      <c r="BS424" s="67" t="str">
        <f t="shared" si="137"/>
        <v>#REF!</v>
      </c>
      <c r="BT424" s="68" t="str">
        <f>'[1]DATA CONSOLIDADA 2018-2025 '!$BR513-Hoja1!$BO424</f>
        <v>#REF!</v>
      </c>
      <c r="BU424" s="69">
        <v>0.0</v>
      </c>
      <c r="BV424" s="65">
        <v>0.0</v>
      </c>
      <c r="BW424" s="66">
        <v>0.0</v>
      </c>
      <c r="BX424" s="67" t="str">
        <f t="shared" si="138"/>
        <v>#REF!</v>
      </c>
      <c r="BY424" s="68" t="str">
        <f t="shared" si="139"/>
        <v>#REF!</v>
      </c>
      <c r="BZ424" s="65">
        <v>0.0</v>
      </c>
      <c r="CA424" s="65">
        <v>0.0</v>
      </c>
      <c r="CB424" s="66">
        <v>0.0</v>
      </c>
      <c r="CC424" s="67" t="str">
        <f t="shared" si="140"/>
        <v>#REF!</v>
      </c>
      <c r="CD424" s="68" t="str">
        <f>'[1]DATA CONSOLIDADA 2018-2025 '!$CB513-Hoja1!$BW424</f>
        <v>#REF!</v>
      </c>
      <c r="CE424" s="70">
        <v>696123.0</v>
      </c>
      <c r="CF424" s="70">
        <v>0.0</v>
      </c>
      <c r="CG424" s="71">
        <v>696123.0</v>
      </c>
      <c r="CH424" s="67" t="str">
        <f t="shared" si="141"/>
        <v>#REF!</v>
      </c>
      <c r="CI424" s="68" t="str">
        <f>'[1]DATA CONSOLIDADA 2018-2025 '!$CG513-Hoja1!$CB424</f>
        <v>#REF!</v>
      </c>
      <c r="CJ424" s="64" t="str">
        <f>'[1]DATA CONSOLIDADA 2018-2025 '!$BE513+'[1]DATA CONSOLIDADA 2018-2025 '!$BH513+'[1]DATA CONSOLIDADA 2018-2025 '!$BM513+'[1]DATA CONSOLIDADA 2018-2025 '!$BR513+'[1]DATA CONSOLIDADA 2018-2025 '!$BW513+'[1]DATA CONSOLIDADA 2018-2025 '!$CB513+'[1]DATA CONSOLIDADA 2018-2025 '!$CG513</f>
        <v>#REF!</v>
      </c>
      <c r="CK424" s="64">
        <v>792623.0</v>
      </c>
      <c r="CL424" s="64">
        <v>0.0</v>
      </c>
      <c r="CM424" s="64">
        <v>792623.0</v>
      </c>
      <c r="CN424" s="64" t="str">
        <f t="shared" si="12"/>
        <v>#REF!</v>
      </c>
      <c r="CO424" s="68" t="str">
        <f>'[1]DATA CONSOLIDADA 2018-2025 '!$CM424-Hoja1!$CG424</f>
        <v>#REF!</v>
      </c>
      <c r="CP424" s="70">
        <v>0.0</v>
      </c>
      <c r="CQ424" s="70">
        <v>0.0</v>
      </c>
      <c r="CR424" s="70">
        <v>0.0</v>
      </c>
      <c r="CS424" s="70">
        <v>0.0</v>
      </c>
      <c r="CT424" s="70">
        <v>0.0</v>
      </c>
      <c r="CU424" s="70">
        <v>0.0</v>
      </c>
      <c r="CV424" s="64">
        <v>0.0</v>
      </c>
      <c r="CW424" s="64">
        <v>0.0</v>
      </c>
      <c r="CX424" s="64">
        <v>696123.0</v>
      </c>
      <c r="CY424" s="64">
        <v>0.0</v>
      </c>
      <c r="CZ424" s="64">
        <v>0.0</v>
      </c>
      <c r="DA424" s="64">
        <v>0.0</v>
      </c>
      <c r="DB424" s="64">
        <v>696123.0</v>
      </c>
      <c r="DC424" s="72">
        <v>0.0</v>
      </c>
      <c r="DD424" s="72">
        <v>792623.0</v>
      </c>
      <c r="DE424" s="72">
        <v>0.0</v>
      </c>
      <c r="DF424" s="72">
        <v>0.0</v>
      </c>
      <c r="DG424" s="72">
        <v>0.0</v>
      </c>
      <c r="DH424" s="72">
        <v>792623.0</v>
      </c>
      <c r="DI424" s="73">
        <v>2.0610159789E10</v>
      </c>
      <c r="DJ424" s="74" t="s">
        <v>1412</v>
      </c>
      <c r="DK424" s="74" t="s">
        <v>138</v>
      </c>
      <c r="DL424" s="75"/>
      <c r="DM424" s="75"/>
      <c r="DN424" s="75"/>
      <c r="DO424" s="75"/>
      <c r="DP424" s="75"/>
      <c r="DQ424" s="75"/>
      <c r="DR424" s="75"/>
      <c r="DS424" s="75"/>
      <c r="DT424" s="75"/>
      <c r="DU424" s="75"/>
      <c r="DV424" s="75"/>
      <c r="DW424" s="75"/>
      <c r="DX424" s="75"/>
      <c r="DY424" s="75"/>
      <c r="DZ424" s="75"/>
      <c r="EA424" s="75"/>
      <c r="EB424" s="75"/>
      <c r="EC424" s="75"/>
      <c r="ED424" s="75"/>
      <c r="EE424" s="75"/>
    </row>
    <row r="425" ht="47.25" hidden="1" customHeight="1">
      <c r="A425" s="55" t="s">
        <v>1413</v>
      </c>
      <c r="B425" s="55" t="s">
        <v>198</v>
      </c>
      <c r="C425" s="55" t="s">
        <v>1229</v>
      </c>
      <c r="D425" s="55" t="s">
        <v>408</v>
      </c>
      <c r="E425" s="55" t="s">
        <v>1414</v>
      </c>
      <c r="F425" s="55" t="s">
        <v>408</v>
      </c>
      <c r="G425" s="55" t="s">
        <v>1415</v>
      </c>
      <c r="H425" s="55" t="s">
        <v>1416</v>
      </c>
      <c r="I425" s="56"/>
      <c r="J425" s="56"/>
      <c r="K425" s="56"/>
      <c r="L425" s="56"/>
      <c r="M425" s="56"/>
      <c r="N425" s="56"/>
      <c r="O425" s="56">
        <v>1.0</v>
      </c>
      <c r="P425" s="56">
        <v>1.0</v>
      </c>
      <c r="Q425" s="56" t="s">
        <v>131</v>
      </c>
      <c r="R425" s="58" t="str">
        <f t="shared" si="1"/>
        <v>2024 - 2025</v>
      </c>
      <c r="S425" s="59" t="str">
        <f>SUM(Hoja1!$I425:$P425)</f>
        <v>2</v>
      </c>
      <c r="T425" s="59" t="str">
        <f>IF(OR(Hoja1!$J425=1,Hoja1!$K425=1,Hoja1!$L425=1,Hoja1!$M425=1,Hoja1!$N425=1,Hoja1!$O425=1,Hoja1!$P425=1),"SI","NO")</f>
        <v>SI</v>
      </c>
      <c r="U425" s="59" t="str">
        <f>IF(OR(Hoja1!$K425=1,Hoja1!$L425=1,Hoja1!$M425=1,Hoja1!$N425=1,Hoja1!$O425=1,Hoja1!$P425=1),"SI","NO")</f>
        <v>SI</v>
      </c>
      <c r="V425" s="60">
        <v>0.0</v>
      </c>
      <c r="W425" s="61">
        <v>0.0</v>
      </c>
      <c r="X425" s="61">
        <v>0.0</v>
      </c>
      <c r="Y425" s="60">
        <v>0.0</v>
      </c>
      <c r="Z425" s="61">
        <v>0.0</v>
      </c>
      <c r="AA425" s="61">
        <v>0.0</v>
      </c>
      <c r="AB425" s="60">
        <v>0.0</v>
      </c>
      <c r="AC425" s="61">
        <v>0.0</v>
      </c>
      <c r="AD425" s="61">
        <v>0.0</v>
      </c>
      <c r="AE425" s="60">
        <v>0.0</v>
      </c>
      <c r="AF425" s="61">
        <v>0.0</v>
      </c>
      <c r="AG425" s="61">
        <v>0.0</v>
      </c>
      <c r="AH425" s="60">
        <v>0.0</v>
      </c>
      <c r="AI425" s="61">
        <v>0.0</v>
      </c>
      <c r="AJ425" s="61">
        <v>0.0</v>
      </c>
      <c r="AK425" s="60">
        <v>0.0</v>
      </c>
      <c r="AL425" s="61">
        <v>15.0</v>
      </c>
      <c r="AM425" s="61">
        <v>5.0</v>
      </c>
      <c r="AN425" s="60">
        <v>20.0</v>
      </c>
      <c r="AO425" s="62">
        <v>15.0</v>
      </c>
      <c r="AP425" s="62">
        <v>5.0</v>
      </c>
      <c r="AQ425" s="60">
        <v>20.0</v>
      </c>
      <c r="AR425" s="60" t="str">
        <f>IF(Hoja1!$AQ425&gt;0,Hoja1!$AQ425,IF(Hoja1!$AN425&gt;0,Hoja1!$AN425,IF(Hoja1!$AK425&gt;0,Hoja1!$AK425,IF(Hoja1!$AH425&gt;0,Hoja1!$AH425,IF(Hoja1!$AE425&gt;0,Hoja1!$AE425,IF(Hoja1!$AB425&gt;0,Hoja1!$AB425,IF(Hoja1!$Y425&gt;0,Hoja1!$Y425,IF(Hoja1!$V425&gt;0,Hoja1!$V425," ---"))))))))</f>
        <v>20</v>
      </c>
      <c r="AS425" s="63">
        <v>0.0</v>
      </c>
      <c r="AT425" s="63">
        <v>0.0</v>
      </c>
      <c r="AU425" s="63">
        <v>0.0</v>
      </c>
      <c r="AV425" s="63">
        <v>0.0</v>
      </c>
      <c r="AW425" s="63">
        <v>0.0</v>
      </c>
      <c r="AX425" s="63">
        <v>0.0</v>
      </c>
      <c r="AY425" s="63">
        <v>0.0</v>
      </c>
      <c r="AZ425" s="63">
        <v>0.0</v>
      </c>
      <c r="BA425" s="63">
        <v>25.0</v>
      </c>
      <c r="BB425" s="63">
        <v>3.0</v>
      </c>
      <c r="BC425" s="63">
        <v>25.0</v>
      </c>
      <c r="BD425" s="63">
        <v>4.0</v>
      </c>
      <c r="BE425" s="64">
        <v>0.0</v>
      </c>
      <c r="BF425" s="69">
        <v>0.0</v>
      </c>
      <c r="BG425" s="69">
        <v>0.0</v>
      </c>
      <c r="BH425" s="64">
        <v>0.0</v>
      </c>
      <c r="BI425" s="67" t="str">
        <f t="shared" si="133"/>
        <v>#REF!</v>
      </c>
      <c r="BJ425" s="68" t="str">
        <f t="shared" si="134"/>
        <v>#REF!</v>
      </c>
      <c r="BK425" s="69">
        <v>0.0</v>
      </c>
      <c r="BL425" s="69">
        <v>0.0</v>
      </c>
      <c r="BM425" s="64">
        <v>0.0</v>
      </c>
      <c r="BN425" s="67" t="str">
        <f t="shared" si="135"/>
        <v>#REF!</v>
      </c>
      <c r="BO425" s="68" t="str">
        <f t="shared" si="136"/>
        <v>#REF!</v>
      </c>
      <c r="BP425" s="65">
        <v>0.0</v>
      </c>
      <c r="BQ425" s="65">
        <v>0.0</v>
      </c>
      <c r="BR425" s="66">
        <v>0.0</v>
      </c>
      <c r="BS425" s="67" t="str">
        <f t="shared" si="137"/>
        <v>#REF!</v>
      </c>
      <c r="BT425" s="68" t="str">
        <f>'[1]DATA CONSOLIDADA 2018-2025 '!$BR425-Hoja1!$BO425</f>
        <v>#REF!</v>
      </c>
      <c r="BU425" s="69">
        <v>0.0</v>
      </c>
      <c r="BV425" s="65">
        <v>0.0</v>
      </c>
      <c r="BW425" s="66">
        <v>0.0</v>
      </c>
      <c r="BX425" s="67" t="str">
        <f t="shared" si="138"/>
        <v>#REF!</v>
      </c>
      <c r="BY425" s="68" t="str">
        <f t="shared" si="139"/>
        <v>#REF!</v>
      </c>
      <c r="BZ425" s="65">
        <v>0.0</v>
      </c>
      <c r="CA425" s="65">
        <v>0.0</v>
      </c>
      <c r="CB425" s="66">
        <v>0.0</v>
      </c>
      <c r="CC425" s="67" t="str">
        <f t="shared" si="140"/>
        <v>#REF!</v>
      </c>
      <c r="CD425" s="68" t="str">
        <f>'[1]DATA CONSOLIDADA 2018-2025 '!$CB425-Hoja1!$BW425</f>
        <v>#REF!</v>
      </c>
      <c r="CE425" s="70">
        <v>66060.0</v>
      </c>
      <c r="CF425" s="70">
        <v>0.0</v>
      </c>
      <c r="CG425" s="71">
        <v>66060.0</v>
      </c>
      <c r="CH425" s="67" t="str">
        <f t="shared" si="141"/>
        <v>#REF!</v>
      </c>
      <c r="CI425" s="68" t="str">
        <f>'[1]DATA CONSOLIDADA 2018-2025 '!$CG425-Hoja1!$CB425</f>
        <v>#REF!</v>
      </c>
      <c r="CJ425" s="64" t="str">
        <f t="shared" ref="CJ425:CJ457" si="146">'[1]DATA CONSOLIDADA 2018-2025 '!$BE425+'[1]DATA CONSOLIDADA 2018-2025 '!$BH425+'[1]DATA CONSOLIDADA 2018-2025 '!$BM425+'[1]DATA CONSOLIDADA 2018-2025 '!$BR425+'[1]DATA CONSOLIDADA 2018-2025 '!$BW425+'[1]DATA CONSOLIDADA 2018-2025 '!$CB425+'[1]DATA CONSOLIDADA 2018-2025 '!$CG425</f>
        <v>#REF!</v>
      </c>
      <c r="CK425" s="64">
        <v>77710.0</v>
      </c>
      <c r="CL425" s="64">
        <v>0.0</v>
      </c>
      <c r="CM425" s="64">
        <v>77710.0</v>
      </c>
      <c r="CN425" s="64" t="str">
        <f t="shared" si="12"/>
        <v>#REF!</v>
      </c>
      <c r="CO425" s="68" t="str">
        <f>'[1]DATA CONSOLIDADA 2018-2025 '!$CM425-Hoja1!$CG425</f>
        <v>#REF!</v>
      </c>
      <c r="CP425" s="70">
        <v>0.0</v>
      </c>
      <c r="CQ425" s="70">
        <v>0.0</v>
      </c>
      <c r="CR425" s="70">
        <v>0.0</v>
      </c>
      <c r="CS425" s="70">
        <v>0.0</v>
      </c>
      <c r="CT425" s="70">
        <v>0.0</v>
      </c>
      <c r="CU425" s="70">
        <v>0.0</v>
      </c>
      <c r="CV425" s="64">
        <v>0.0</v>
      </c>
      <c r="CW425" s="64">
        <v>0.0</v>
      </c>
      <c r="CX425" s="64">
        <v>66060.0</v>
      </c>
      <c r="CY425" s="64">
        <v>0.0</v>
      </c>
      <c r="CZ425" s="64">
        <v>0.0</v>
      </c>
      <c r="DA425" s="64">
        <v>0.0</v>
      </c>
      <c r="DB425" s="64">
        <v>66060.0</v>
      </c>
      <c r="DC425" s="72">
        <v>0.0</v>
      </c>
      <c r="DD425" s="72">
        <v>77710.0</v>
      </c>
      <c r="DE425" s="72">
        <v>0.0</v>
      </c>
      <c r="DF425" s="72">
        <v>0.0</v>
      </c>
      <c r="DG425" s="72">
        <v>0.0</v>
      </c>
      <c r="DH425" s="72">
        <v>77710.0</v>
      </c>
      <c r="DI425" s="73">
        <v>2.0570838751E10</v>
      </c>
      <c r="DJ425" s="74" t="s">
        <v>1413</v>
      </c>
      <c r="DK425" s="74" t="s">
        <v>138</v>
      </c>
      <c r="DL425" s="75"/>
      <c r="DM425" s="75"/>
      <c r="DN425" s="75"/>
      <c r="DO425" s="75"/>
      <c r="DP425" s="75"/>
      <c r="DQ425" s="75"/>
      <c r="DR425" s="75"/>
      <c r="DS425" s="75"/>
      <c r="DT425" s="75"/>
      <c r="DU425" s="75"/>
      <c r="DV425" s="75"/>
      <c r="DW425" s="75"/>
      <c r="DX425" s="75"/>
      <c r="DY425" s="75"/>
      <c r="DZ425" s="75"/>
      <c r="EA425" s="75"/>
      <c r="EB425" s="75"/>
      <c r="EC425" s="75"/>
      <c r="ED425" s="75"/>
      <c r="EE425" s="75"/>
    </row>
    <row r="426" ht="47.25" hidden="1" customHeight="1">
      <c r="A426" s="55" t="s">
        <v>1417</v>
      </c>
      <c r="B426" s="55" t="s">
        <v>126</v>
      </c>
      <c r="C426" s="55" t="s">
        <v>126</v>
      </c>
      <c r="D426" s="55" t="s">
        <v>434</v>
      </c>
      <c r="E426" s="55" t="s">
        <v>511</v>
      </c>
      <c r="F426" s="55" t="s">
        <v>434</v>
      </c>
      <c r="G426" s="55" t="s">
        <v>435</v>
      </c>
      <c r="H426" s="55" t="s">
        <v>512</v>
      </c>
      <c r="I426" s="56"/>
      <c r="J426" s="56"/>
      <c r="K426" s="56"/>
      <c r="L426" s="56"/>
      <c r="M426" s="56"/>
      <c r="N426" s="56"/>
      <c r="O426" s="56">
        <v>1.0</v>
      </c>
      <c r="P426" s="56">
        <v>1.0</v>
      </c>
      <c r="Q426" s="56" t="s">
        <v>131</v>
      </c>
      <c r="R426" s="58" t="str">
        <f t="shared" si="1"/>
        <v>2024 - 2025</v>
      </c>
      <c r="S426" s="59" t="str">
        <f>SUM(Hoja1!$I426:$P426)</f>
        <v>2</v>
      </c>
      <c r="T426" s="59" t="str">
        <f>IF(OR(Hoja1!$J426=1,Hoja1!$K426=1,Hoja1!$L426=1,Hoja1!$M426=1,Hoja1!$N426=1,Hoja1!$O426=1,Hoja1!$P426=1),"SI","NO")</f>
        <v>SI</v>
      </c>
      <c r="U426" s="59" t="str">
        <f>IF(OR(Hoja1!$K426=1,Hoja1!$L426=1,Hoja1!$M426=1,Hoja1!$N426=1,Hoja1!$O426=1,Hoja1!$P426=1),"SI","NO")</f>
        <v>SI</v>
      </c>
      <c r="V426" s="60">
        <v>0.0</v>
      </c>
      <c r="W426" s="61">
        <v>0.0</v>
      </c>
      <c r="X426" s="61">
        <v>0.0</v>
      </c>
      <c r="Y426" s="60">
        <v>0.0</v>
      </c>
      <c r="Z426" s="61">
        <v>0.0</v>
      </c>
      <c r="AA426" s="61">
        <v>0.0</v>
      </c>
      <c r="AB426" s="60">
        <v>0.0</v>
      </c>
      <c r="AC426" s="61">
        <v>0.0</v>
      </c>
      <c r="AD426" s="61">
        <v>0.0</v>
      </c>
      <c r="AE426" s="60">
        <v>0.0</v>
      </c>
      <c r="AF426" s="61">
        <v>0.0</v>
      </c>
      <c r="AG426" s="61">
        <v>0.0</v>
      </c>
      <c r="AH426" s="60">
        <v>0.0</v>
      </c>
      <c r="AI426" s="61">
        <v>0.0</v>
      </c>
      <c r="AJ426" s="61">
        <v>0.0</v>
      </c>
      <c r="AK426" s="60">
        <v>0.0</v>
      </c>
      <c r="AL426" s="61">
        <v>38.0</v>
      </c>
      <c r="AM426" s="61">
        <v>11.0</v>
      </c>
      <c r="AN426" s="60">
        <v>49.0</v>
      </c>
      <c r="AO426" s="62">
        <v>47.0</v>
      </c>
      <c r="AP426" s="62">
        <v>13.0</v>
      </c>
      <c r="AQ426" s="60">
        <v>60.0</v>
      </c>
      <c r="AR426" s="60" t="str">
        <f>IF(Hoja1!$AQ426&gt;0,Hoja1!$AQ426,IF(Hoja1!$AN426&gt;0,Hoja1!$AN426,IF(Hoja1!$AK426&gt;0,Hoja1!$AK426,IF(Hoja1!$AH426&gt;0,Hoja1!$AH426,IF(Hoja1!$AE426&gt;0,Hoja1!$AE426,IF(Hoja1!$AB426&gt;0,Hoja1!$AB426,IF(Hoja1!$Y426&gt;0,Hoja1!$Y426,IF(Hoja1!$V426&gt;0,Hoja1!$V426," ---"))))))))</f>
        <v>60</v>
      </c>
      <c r="AS426" s="63">
        <v>0.0</v>
      </c>
      <c r="AT426" s="63">
        <v>0.0</v>
      </c>
      <c r="AU426" s="63">
        <v>0.0</v>
      </c>
      <c r="AV426" s="63">
        <v>0.0</v>
      </c>
      <c r="AW426" s="63">
        <v>0.0</v>
      </c>
      <c r="AX426" s="63">
        <v>0.0</v>
      </c>
      <c r="AY426" s="63">
        <v>0.0</v>
      </c>
      <c r="AZ426" s="63">
        <v>0.0</v>
      </c>
      <c r="BA426" s="63">
        <v>34.0</v>
      </c>
      <c r="BB426" s="63">
        <v>8.0</v>
      </c>
      <c r="BC426" s="63">
        <v>25.0</v>
      </c>
      <c r="BD426" s="63">
        <v>5.0</v>
      </c>
      <c r="BE426" s="64">
        <v>0.0</v>
      </c>
      <c r="BF426" s="69">
        <v>0.0</v>
      </c>
      <c r="BG426" s="69">
        <v>0.0</v>
      </c>
      <c r="BH426" s="64">
        <v>0.0</v>
      </c>
      <c r="BI426" s="67" t="str">
        <f t="shared" si="133"/>
        <v>#REF!</v>
      </c>
      <c r="BJ426" s="68" t="str">
        <f t="shared" si="134"/>
        <v>#REF!</v>
      </c>
      <c r="BK426" s="69">
        <v>0.0</v>
      </c>
      <c r="BL426" s="69">
        <v>0.0</v>
      </c>
      <c r="BM426" s="64">
        <v>0.0</v>
      </c>
      <c r="BN426" s="67" t="str">
        <f t="shared" si="135"/>
        <v>#REF!</v>
      </c>
      <c r="BO426" s="68" t="str">
        <f t="shared" si="136"/>
        <v>#REF!</v>
      </c>
      <c r="BP426" s="65">
        <v>0.0</v>
      </c>
      <c r="BQ426" s="65">
        <v>0.0</v>
      </c>
      <c r="BR426" s="66">
        <v>0.0</v>
      </c>
      <c r="BS426" s="67" t="str">
        <f t="shared" si="137"/>
        <v>#REF!</v>
      </c>
      <c r="BT426" s="68" t="str">
        <f>'[1]DATA CONSOLIDADA 2018-2025 '!$BR426-Hoja1!$BO426</f>
        <v>#REF!</v>
      </c>
      <c r="BU426" s="69">
        <v>0.0</v>
      </c>
      <c r="BV426" s="65">
        <v>0.0</v>
      </c>
      <c r="BW426" s="66">
        <v>0.0</v>
      </c>
      <c r="BX426" s="67" t="str">
        <f t="shared" si="138"/>
        <v>#REF!</v>
      </c>
      <c r="BY426" s="68" t="str">
        <f t="shared" si="139"/>
        <v>#REF!</v>
      </c>
      <c r="BZ426" s="65">
        <v>0.0</v>
      </c>
      <c r="CA426" s="65">
        <v>0.0</v>
      </c>
      <c r="CB426" s="66">
        <v>0.0</v>
      </c>
      <c r="CC426" s="67" t="str">
        <f t="shared" si="140"/>
        <v>#REF!</v>
      </c>
      <c r="CD426" s="68" t="str">
        <f>'[1]DATA CONSOLIDADA 2018-2025 '!$CB426-Hoja1!$BW426</f>
        <v>#REF!</v>
      </c>
      <c r="CE426" s="70">
        <v>477922.30663951</v>
      </c>
      <c r="CF426" s="70">
        <v>0.0</v>
      </c>
      <c r="CG426" s="71">
        <v>477922.30663951</v>
      </c>
      <c r="CH426" s="67" t="str">
        <f t="shared" si="141"/>
        <v>#REF!</v>
      </c>
      <c r="CI426" s="68" t="str">
        <f>'[1]DATA CONSOLIDADA 2018-2025 '!$CG426-Hoja1!$CB426</f>
        <v>#REF!</v>
      </c>
      <c r="CJ426" s="64" t="str">
        <f t="shared" si="146"/>
        <v>#REF!</v>
      </c>
      <c r="CK426" s="64">
        <v>0.0</v>
      </c>
      <c r="CL426" s="64">
        <v>1773460.0</v>
      </c>
      <c r="CM426" s="64">
        <v>1773460.0</v>
      </c>
      <c r="CN426" s="64" t="str">
        <f t="shared" si="12"/>
        <v>#REF!</v>
      </c>
      <c r="CO426" s="68" t="str">
        <f>'[1]DATA CONSOLIDADA 2018-2025 '!$CM426-Hoja1!$CG426</f>
        <v>#REF!</v>
      </c>
      <c r="CP426" s="70">
        <v>0.0</v>
      </c>
      <c r="CQ426" s="70">
        <v>0.0</v>
      </c>
      <c r="CR426" s="70">
        <v>0.0</v>
      </c>
      <c r="CS426" s="70">
        <v>0.0</v>
      </c>
      <c r="CT426" s="70">
        <v>0.0</v>
      </c>
      <c r="CU426" s="70">
        <v>0.0</v>
      </c>
      <c r="CV426" s="64">
        <v>0.0</v>
      </c>
      <c r="CW426" s="64">
        <v>0.0</v>
      </c>
      <c r="CX426" s="64">
        <v>0.0</v>
      </c>
      <c r="CY426" s="64">
        <v>477922.30663951</v>
      </c>
      <c r="CZ426" s="64">
        <v>0.0</v>
      </c>
      <c r="DA426" s="64">
        <v>0.0</v>
      </c>
      <c r="DB426" s="64">
        <v>477922.30663951</v>
      </c>
      <c r="DC426" s="72">
        <v>0.0</v>
      </c>
      <c r="DD426" s="72">
        <v>1773460.0</v>
      </c>
      <c r="DE426" s="72">
        <v>0.0</v>
      </c>
      <c r="DF426" s="72">
        <v>0.0</v>
      </c>
      <c r="DG426" s="72">
        <v>0.0</v>
      </c>
      <c r="DH426" s="72">
        <v>1773460.0</v>
      </c>
      <c r="DI426" s="73">
        <v>2.0140292657E10</v>
      </c>
      <c r="DJ426" s="74" t="s">
        <v>1417</v>
      </c>
      <c r="DK426" s="74" t="s">
        <v>132</v>
      </c>
      <c r="DL426" s="75"/>
      <c r="DM426" s="75"/>
      <c r="DN426" s="75"/>
      <c r="DO426" s="75"/>
      <c r="DP426" s="75"/>
      <c r="DQ426" s="75"/>
      <c r="DR426" s="75"/>
      <c r="DS426" s="75"/>
      <c r="DT426" s="75"/>
      <c r="DU426" s="75"/>
      <c r="DV426" s="75"/>
      <c r="DW426" s="75"/>
      <c r="DX426" s="75"/>
      <c r="DY426" s="75"/>
      <c r="DZ426" s="75"/>
      <c r="EA426" s="75"/>
      <c r="EB426" s="75"/>
      <c r="EC426" s="75"/>
      <c r="ED426" s="75"/>
      <c r="EE426" s="75"/>
    </row>
    <row r="427" ht="47.25" hidden="1" customHeight="1">
      <c r="A427" s="55" t="s">
        <v>1418</v>
      </c>
      <c r="B427" s="55" t="s">
        <v>126</v>
      </c>
      <c r="C427" s="55" t="s">
        <v>126</v>
      </c>
      <c r="D427" s="55" t="s">
        <v>434</v>
      </c>
      <c r="E427" s="55" t="s">
        <v>511</v>
      </c>
      <c r="F427" s="55" t="s">
        <v>434</v>
      </c>
      <c r="G427" s="55" t="s">
        <v>435</v>
      </c>
      <c r="H427" s="55" t="s">
        <v>512</v>
      </c>
      <c r="I427" s="56"/>
      <c r="J427" s="56"/>
      <c r="K427" s="56"/>
      <c r="L427" s="56"/>
      <c r="M427" s="56"/>
      <c r="N427" s="56"/>
      <c r="O427" s="56">
        <v>1.0</v>
      </c>
      <c r="P427" s="56">
        <v>1.0</v>
      </c>
      <c r="Q427" s="56" t="s">
        <v>131</v>
      </c>
      <c r="R427" s="58" t="str">
        <f t="shared" si="1"/>
        <v>2024 - 2025</v>
      </c>
      <c r="S427" s="59" t="str">
        <f>SUM(Hoja1!$I427:$P427)</f>
        <v>2</v>
      </c>
      <c r="T427" s="59" t="str">
        <f>IF(OR(Hoja1!$J427=1,Hoja1!$K427=1,Hoja1!$L427=1,Hoja1!$M427=1,Hoja1!$N427=1,Hoja1!$O427=1,Hoja1!$P427=1),"SI","NO")</f>
        <v>SI</v>
      </c>
      <c r="U427" s="59" t="str">
        <f>IF(OR(Hoja1!$K427=1,Hoja1!$L427=1,Hoja1!$M427=1,Hoja1!$N427=1,Hoja1!$O427=1,Hoja1!$P427=1),"SI","NO")</f>
        <v>SI</v>
      </c>
      <c r="V427" s="60">
        <v>0.0</v>
      </c>
      <c r="W427" s="61">
        <v>0.0</v>
      </c>
      <c r="X427" s="61">
        <v>0.0</v>
      </c>
      <c r="Y427" s="60">
        <v>0.0</v>
      </c>
      <c r="Z427" s="61">
        <v>0.0</v>
      </c>
      <c r="AA427" s="61">
        <v>0.0</v>
      </c>
      <c r="AB427" s="60">
        <v>0.0</v>
      </c>
      <c r="AC427" s="61">
        <v>0.0</v>
      </c>
      <c r="AD427" s="61">
        <v>0.0</v>
      </c>
      <c r="AE427" s="60">
        <v>0.0</v>
      </c>
      <c r="AF427" s="61">
        <v>0.0</v>
      </c>
      <c r="AG427" s="61">
        <v>0.0</v>
      </c>
      <c r="AH427" s="60">
        <v>0.0</v>
      </c>
      <c r="AI427" s="61">
        <v>0.0</v>
      </c>
      <c r="AJ427" s="61">
        <v>0.0</v>
      </c>
      <c r="AK427" s="60">
        <v>0.0</v>
      </c>
      <c r="AL427" s="61">
        <v>101.0</v>
      </c>
      <c r="AM427" s="61">
        <v>28.0</v>
      </c>
      <c r="AN427" s="60">
        <v>129.0</v>
      </c>
      <c r="AO427" s="62">
        <v>101.0</v>
      </c>
      <c r="AP427" s="62">
        <v>28.0</v>
      </c>
      <c r="AQ427" s="60">
        <v>129.0</v>
      </c>
      <c r="AR427" s="60" t="str">
        <f>IF(Hoja1!$AQ427&gt;0,Hoja1!$AQ427,IF(Hoja1!$AN427&gt;0,Hoja1!$AN427,IF(Hoja1!$AK427&gt;0,Hoja1!$AK427,IF(Hoja1!$AH427&gt;0,Hoja1!$AH427,IF(Hoja1!$AE427&gt;0,Hoja1!$AE427,IF(Hoja1!$AB427&gt;0,Hoja1!$AB427,IF(Hoja1!$Y427&gt;0,Hoja1!$Y427,IF(Hoja1!$V427&gt;0,Hoja1!$V427," ---"))))))))</f>
        <v>129</v>
      </c>
      <c r="AS427" s="63">
        <v>0.0</v>
      </c>
      <c r="AT427" s="63">
        <v>0.0</v>
      </c>
      <c r="AU427" s="63">
        <v>0.0</v>
      </c>
      <c r="AV427" s="63">
        <v>0.0</v>
      </c>
      <c r="AW427" s="63">
        <v>0.0</v>
      </c>
      <c r="AX427" s="63">
        <v>0.0</v>
      </c>
      <c r="AY427" s="63">
        <v>0.0</v>
      </c>
      <c r="AZ427" s="63">
        <v>0.0</v>
      </c>
      <c r="BA427" s="63">
        <v>32.0</v>
      </c>
      <c r="BB427" s="63">
        <v>7.0</v>
      </c>
      <c r="BC427" s="63">
        <v>24.0</v>
      </c>
      <c r="BD427" s="63">
        <v>5.0</v>
      </c>
      <c r="BE427" s="64">
        <v>0.0</v>
      </c>
      <c r="BF427" s="69">
        <v>0.0</v>
      </c>
      <c r="BG427" s="69">
        <v>0.0</v>
      </c>
      <c r="BH427" s="64">
        <v>0.0</v>
      </c>
      <c r="BI427" s="67" t="str">
        <f t="shared" si="133"/>
        <v>#REF!</v>
      </c>
      <c r="BJ427" s="68" t="str">
        <f t="shared" si="134"/>
        <v>#REF!</v>
      </c>
      <c r="BK427" s="69">
        <v>0.0</v>
      </c>
      <c r="BL427" s="69">
        <v>0.0</v>
      </c>
      <c r="BM427" s="64">
        <v>0.0</v>
      </c>
      <c r="BN427" s="67" t="str">
        <f t="shared" si="135"/>
        <v>#REF!</v>
      </c>
      <c r="BO427" s="68" t="str">
        <f t="shared" si="136"/>
        <v>#REF!</v>
      </c>
      <c r="BP427" s="65">
        <v>0.0</v>
      </c>
      <c r="BQ427" s="65">
        <v>0.0</v>
      </c>
      <c r="BR427" s="66">
        <v>0.0</v>
      </c>
      <c r="BS427" s="67" t="str">
        <f t="shared" si="137"/>
        <v>#REF!</v>
      </c>
      <c r="BT427" s="68" t="str">
        <f>'[1]DATA CONSOLIDADA 2018-2025 '!$BR427-Hoja1!$BO427</f>
        <v>#REF!</v>
      </c>
      <c r="BU427" s="69">
        <v>0.0</v>
      </c>
      <c r="BV427" s="65">
        <v>0.0</v>
      </c>
      <c r="BW427" s="66">
        <v>0.0</v>
      </c>
      <c r="BX427" s="67" t="str">
        <f t="shared" si="138"/>
        <v>#REF!</v>
      </c>
      <c r="BY427" s="68" t="str">
        <f t="shared" si="139"/>
        <v>#REF!</v>
      </c>
      <c r="BZ427" s="65">
        <v>0.0</v>
      </c>
      <c r="CA427" s="65">
        <v>0.0</v>
      </c>
      <c r="CB427" s="66">
        <v>0.0</v>
      </c>
      <c r="CC427" s="67" t="str">
        <f t="shared" si="140"/>
        <v>#REF!</v>
      </c>
      <c r="CD427" s="68" t="str">
        <f>'[1]DATA CONSOLIDADA 2018-2025 '!$CB427-Hoja1!$BW427</f>
        <v>#REF!</v>
      </c>
      <c r="CE427" s="70">
        <v>80172.95199999999</v>
      </c>
      <c r="CF427" s="70">
        <v>0.0</v>
      </c>
      <c r="CG427" s="71">
        <v>80172.95199999999</v>
      </c>
      <c r="CH427" s="67" t="str">
        <f t="shared" si="141"/>
        <v>#REF!</v>
      </c>
      <c r="CI427" s="68" t="str">
        <f>'[1]DATA CONSOLIDADA 2018-2025 '!$CG427-Hoja1!$CB427</f>
        <v>#REF!</v>
      </c>
      <c r="CJ427" s="64" t="str">
        <f t="shared" si="146"/>
        <v>#REF!</v>
      </c>
      <c r="CK427" s="64">
        <v>274646.15</v>
      </c>
      <c r="CL427" s="64">
        <v>0.0</v>
      </c>
      <c r="CM427" s="64">
        <v>274646.15</v>
      </c>
      <c r="CN427" s="64" t="str">
        <f t="shared" si="12"/>
        <v>#REF!</v>
      </c>
      <c r="CO427" s="68" t="str">
        <f>'[1]DATA CONSOLIDADA 2018-2025 '!$CM427-Hoja1!$CG427</f>
        <v>#REF!</v>
      </c>
      <c r="CP427" s="70">
        <v>0.0</v>
      </c>
      <c r="CQ427" s="70">
        <v>0.0</v>
      </c>
      <c r="CR427" s="70">
        <v>0.0</v>
      </c>
      <c r="CS427" s="70">
        <v>0.0</v>
      </c>
      <c r="CT427" s="70">
        <v>0.0</v>
      </c>
      <c r="CU427" s="70">
        <v>0.0</v>
      </c>
      <c r="CV427" s="64">
        <v>0.0</v>
      </c>
      <c r="CW427" s="64">
        <v>0.0</v>
      </c>
      <c r="CX427" s="64">
        <v>0.0</v>
      </c>
      <c r="CY427" s="64">
        <v>80172.95199999999</v>
      </c>
      <c r="CZ427" s="64">
        <v>0.0</v>
      </c>
      <c r="DA427" s="64">
        <v>0.0</v>
      </c>
      <c r="DB427" s="64">
        <v>80172.95199999999</v>
      </c>
      <c r="DC427" s="72">
        <v>0.0</v>
      </c>
      <c r="DD427" s="72">
        <v>169145.5</v>
      </c>
      <c r="DE427" s="72">
        <v>105500.65000000001</v>
      </c>
      <c r="DF427" s="72">
        <v>0.0</v>
      </c>
      <c r="DG427" s="72">
        <v>0.0</v>
      </c>
      <c r="DH427" s="72">
        <v>274646.15</v>
      </c>
      <c r="DI427" s="73">
        <v>2.0132517119E10</v>
      </c>
      <c r="DJ427" s="74" t="s">
        <v>1419</v>
      </c>
      <c r="DK427" s="74" t="s">
        <v>132</v>
      </c>
      <c r="DL427" s="75"/>
      <c r="DM427" s="75"/>
      <c r="DN427" s="75"/>
      <c r="DO427" s="75"/>
      <c r="DP427" s="75"/>
      <c r="DQ427" s="75"/>
      <c r="DR427" s="75"/>
      <c r="DS427" s="75"/>
      <c r="DT427" s="75"/>
      <c r="DU427" s="75"/>
      <c r="DV427" s="75"/>
      <c r="DW427" s="75"/>
      <c r="DX427" s="75"/>
      <c r="DY427" s="75"/>
      <c r="DZ427" s="75"/>
      <c r="EA427" s="75"/>
      <c r="EB427" s="75"/>
      <c r="EC427" s="75"/>
      <c r="ED427" s="75"/>
      <c r="EE427" s="75"/>
    </row>
    <row r="428" ht="47.25" hidden="1" customHeight="1">
      <c r="A428" s="55" t="s">
        <v>1420</v>
      </c>
      <c r="B428" s="55" t="s">
        <v>126</v>
      </c>
      <c r="C428" s="55" t="s">
        <v>126</v>
      </c>
      <c r="D428" s="55" t="s">
        <v>434</v>
      </c>
      <c r="E428" s="55" t="s">
        <v>511</v>
      </c>
      <c r="F428" s="55" t="s">
        <v>434</v>
      </c>
      <c r="G428" s="55" t="s">
        <v>435</v>
      </c>
      <c r="H428" s="55" t="s">
        <v>512</v>
      </c>
      <c r="I428" s="56"/>
      <c r="J428" s="56"/>
      <c r="K428" s="56"/>
      <c r="L428" s="56"/>
      <c r="M428" s="56"/>
      <c r="N428" s="56"/>
      <c r="O428" s="56">
        <v>1.0</v>
      </c>
      <c r="P428" s="56">
        <v>1.0</v>
      </c>
      <c r="Q428" s="56" t="s">
        <v>131</v>
      </c>
      <c r="R428" s="58" t="str">
        <f t="shared" si="1"/>
        <v>2024 - 2025</v>
      </c>
      <c r="S428" s="59" t="str">
        <f>SUM(Hoja1!$I428:$P428)</f>
        <v>2</v>
      </c>
      <c r="T428" s="59" t="str">
        <f>IF(OR(Hoja1!$J428=1,Hoja1!$K428=1,Hoja1!$L428=1,Hoja1!$M428=1,Hoja1!$N428=1,Hoja1!$O428=1,Hoja1!$P428=1),"SI","NO")</f>
        <v>SI</v>
      </c>
      <c r="U428" s="59" t="str">
        <f>IF(OR(Hoja1!$K428=1,Hoja1!$L428=1,Hoja1!$M428=1,Hoja1!$N428=1,Hoja1!$O428=1,Hoja1!$P428=1),"SI","NO")</f>
        <v>SI</v>
      </c>
      <c r="V428" s="60">
        <v>0.0</v>
      </c>
      <c r="W428" s="61">
        <v>0.0</v>
      </c>
      <c r="X428" s="61">
        <v>0.0</v>
      </c>
      <c r="Y428" s="60">
        <v>0.0</v>
      </c>
      <c r="Z428" s="61">
        <v>0.0</v>
      </c>
      <c r="AA428" s="61">
        <v>0.0</v>
      </c>
      <c r="AB428" s="60">
        <v>0.0</v>
      </c>
      <c r="AC428" s="61">
        <v>0.0</v>
      </c>
      <c r="AD428" s="61">
        <v>0.0</v>
      </c>
      <c r="AE428" s="60">
        <v>0.0</v>
      </c>
      <c r="AF428" s="61">
        <v>0.0</v>
      </c>
      <c r="AG428" s="61">
        <v>0.0</v>
      </c>
      <c r="AH428" s="60">
        <v>0.0</v>
      </c>
      <c r="AI428" s="61">
        <v>0.0</v>
      </c>
      <c r="AJ428" s="61">
        <v>0.0</v>
      </c>
      <c r="AK428" s="60">
        <v>0.0</v>
      </c>
      <c r="AL428" s="61">
        <v>880.0</v>
      </c>
      <c r="AM428" s="61">
        <v>220.0</v>
      </c>
      <c r="AN428" s="60">
        <v>1100.0</v>
      </c>
      <c r="AO428" s="62">
        <v>404.0</v>
      </c>
      <c r="AP428" s="62">
        <v>161.0</v>
      </c>
      <c r="AQ428" s="60">
        <v>565.0</v>
      </c>
      <c r="AR428" s="60" t="str">
        <f>IF(Hoja1!$AQ428&gt;0,Hoja1!$AQ428,IF(Hoja1!$AN428&gt;0,Hoja1!$AN428,IF(Hoja1!$AK428&gt;0,Hoja1!$AK428,IF(Hoja1!$AH428&gt;0,Hoja1!$AH428,IF(Hoja1!$AE428&gt;0,Hoja1!$AE428,IF(Hoja1!$AB428&gt;0,Hoja1!$AB428,IF(Hoja1!$Y428&gt;0,Hoja1!$Y428,IF(Hoja1!$V428&gt;0,Hoja1!$V428," ---"))))))))</f>
        <v>565</v>
      </c>
      <c r="AS428" s="63">
        <v>0.0</v>
      </c>
      <c r="AT428" s="63">
        <v>0.0</v>
      </c>
      <c r="AU428" s="63">
        <v>0.0</v>
      </c>
      <c r="AV428" s="63">
        <v>0.0</v>
      </c>
      <c r="AW428" s="63">
        <v>0.0</v>
      </c>
      <c r="AX428" s="63">
        <v>0.0</v>
      </c>
      <c r="AY428" s="63">
        <v>0.0</v>
      </c>
      <c r="AZ428" s="63">
        <v>0.0</v>
      </c>
      <c r="BA428" s="63">
        <v>35.0</v>
      </c>
      <c r="BB428" s="63">
        <v>7.0</v>
      </c>
      <c r="BC428" s="63">
        <v>10.0</v>
      </c>
      <c r="BD428" s="63">
        <v>2.0</v>
      </c>
      <c r="BE428" s="64">
        <v>0.0</v>
      </c>
      <c r="BF428" s="69">
        <v>0.0</v>
      </c>
      <c r="BG428" s="69">
        <v>0.0</v>
      </c>
      <c r="BH428" s="64">
        <v>0.0</v>
      </c>
      <c r="BI428" s="67" t="str">
        <f t="shared" si="133"/>
        <v>#REF!</v>
      </c>
      <c r="BJ428" s="68" t="str">
        <f t="shared" si="134"/>
        <v>#REF!</v>
      </c>
      <c r="BK428" s="69">
        <v>0.0</v>
      </c>
      <c r="BL428" s="69">
        <v>0.0</v>
      </c>
      <c r="BM428" s="64">
        <v>0.0</v>
      </c>
      <c r="BN428" s="67" t="str">
        <f t="shared" si="135"/>
        <v>#REF!</v>
      </c>
      <c r="BO428" s="68" t="str">
        <f t="shared" si="136"/>
        <v>#REF!</v>
      </c>
      <c r="BP428" s="65">
        <v>0.0</v>
      </c>
      <c r="BQ428" s="65">
        <v>0.0</v>
      </c>
      <c r="BR428" s="66">
        <v>0.0</v>
      </c>
      <c r="BS428" s="67" t="str">
        <f t="shared" si="137"/>
        <v>#REF!</v>
      </c>
      <c r="BT428" s="68" t="str">
        <f>'[1]DATA CONSOLIDADA 2018-2025 '!$BR428-Hoja1!$BO428</f>
        <v>#REF!</v>
      </c>
      <c r="BU428" s="69">
        <v>0.0</v>
      </c>
      <c r="BV428" s="65">
        <v>0.0</v>
      </c>
      <c r="BW428" s="66">
        <v>0.0</v>
      </c>
      <c r="BX428" s="67" t="str">
        <f t="shared" si="138"/>
        <v>#REF!</v>
      </c>
      <c r="BY428" s="68" t="str">
        <f t="shared" si="139"/>
        <v>#REF!</v>
      </c>
      <c r="BZ428" s="65">
        <v>0.0</v>
      </c>
      <c r="CA428" s="65">
        <v>0.0</v>
      </c>
      <c r="CB428" s="66">
        <v>0.0</v>
      </c>
      <c r="CC428" s="67" t="str">
        <f t="shared" si="140"/>
        <v>#REF!</v>
      </c>
      <c r="CD428" s="68" t="str">
        <f>'[1]DATA CONSOLIDADA 2018-2025 '!$CB428-Hoja1!$BW428</f>
        <v>#REF!</v>
      </c>
      <c r="CE428" s="70">
        <v>0.0</v>
      </c>
      <c r="CF428" s="70">
        <v>6987135.670337229</v>
      </c>
      <c r="CG428" s="71">
        <v>6987135.670337229</v>
      </c>
      <c r="CH428" s="67" t="str">
        <f t="shared" si="141"/>
        <v>#REF!</v>
      </c>
      <c r="CI428" s="68" t="str">
        <f>'[1]DATA CONSOLIDADA 2018-2025 '!$CG428-Hoja1!$CB428</f>
        <v>#REF!</v>
      </c>
      <c r="CJ428" s="64" t="str">
        <f t="shared" si="146"/>
        <v>#REF!</v>
      </c>
      <c r="CK428" s="64">
        <v>1525696.9459472303</v>
      </c>
      <c r="CL428" s="64">
        <v>8390056.49266227</v>
      </c>
      <c r="CM428" s="64">
        <v>9915753.4386095</v>
      </c>
      <c r="CN428" s="64" t="str">
        <f t="shared" si="12"/>
        <v>#REF!</v>
      </c>
      <c r="CO428" s="68" t="str">
        <f>'[1]DATA CONSOLIDADA 2018-2025 '!$CM428-Hoja1!$CG428</f>
        <v>#REF!</v>
      </c>
      <c r="CP428" s="70">
        <v>0.0</v>
      </c>
      <c r="CQ428" s="70">
        <v>0.0</v>
      </c>
      <c r="CR428" s="70">
        <v>0.0</v>
      </c>
      <c r="CS428" s="70">
        <v>0.0</v>
      </c>
      <c r="CT428" s="70">
        <v>0.0</v>
      </c>
      <c r="CU428" s="70">
        <v>0.0</v>
      </c>
      <c r="CV428" s="64">
        <v>0.0</v>
      </c>
      <c r="CW428" s="64">
        <v>0.0</v>
      </c>
      <c r="CX428" s="64">
        <v>0.0</v>
      </c>
      <c r="CY428" s="64">
        <v>6987135.670337229</v>
      </c>
      <c r="CZ428" s="64">
        <v>0.0</v>
      </c>
      <c r="DA428" s="64">
        <v>0.0</v>
      </c>
      <c r="DB428" s="64">
        <v>6987135.670337229</v>
      </c>
      <c r="DC428" s="72">
        <v>0.0</v>
      </c>
      <c r="DD428" s="72">
        <v>889079.2992272303</v>
      </c>
      <c r="DE428" s="72">
        <v>9026674.13938227</v>
      </c>
      <c r="DF428" s="72">
        <v>0.0</v>
      </c>
      <c r="DG428" s="72">
        <v>0.0</v>
      </c>
      <c r="DH428" s="72">
        <v>9915753.4386095</v>
      </c>
      <c r="DI428" s="73">
        <v>2.0136201213E10</v>
      </c>
      <c r="DJ428" s="74" t="s">
        <v>1421</v>
      </c>
      <c r="DK428" s="74" t="s">
        <v>132</v>
      </c>
      <c r="DL428" s="75"/>
      <c r="DM428" s="75"/>
      <c r="DN428" s="75"/>
      <c r="DO428" s="75"/>
      <c r="DP428" s="75"/>
      <c r="DQ428" s="75"/>
      <c r="DR428" s="75"/>
      <c r="DS428" s="75"/>
      <c r="DT428" s="75"/>
      <c r="DU428" s="75"/>
      <c r="DV428" s="75"/>
      <c r="DW428" s="75"/>
      <c r="DX428" s="75"/>
      <c r="DY428" s="75"/>
      <c r="DZ428" s="75"/>
      <c r="EA428" s="75"/>
      <c r="EB428" s="75"/>
      <c r="EC428" s="75"/>
      <c r="ED428" s="75"/>
      <c r="EE428" s="75"/>
    </row>
    <row r="429" ht="47.25" hidden="1" customHeight="1">
      <c r="A429" s="55" t="s">
        <v>1422</v>
      </c>
      <c r="B429" s="55" t="s">
        <v>126</v>
      </c>
      <c r="C429" s="55" t="s">
        <v>126</v>
      </c>
      <c r="D429" s="55" t="s">
        <v>434</v>
      </c>
      <c r="E429" s="55" t="s">
        <v>511</v>
      </c>
      <c r="F429" s="55" t="s">
        <v>434</v>
      </c>
      <c r="G429" s="55" t="s">
        <v>435</v>
      </c>
      <c r="H429" s="55" t="s">
        <v>512</v>
      </c>
      <c r="I429" s="56"/>
      <c r="J429" s="56"/>
      <c r="K429" s="56"/>
      <c r="L429" s="56"/>
      <c r="M429" s="56"/>
      <c r="N429" s="56"/>
      <c r="O429" s="56">
        <v>1.0</v>
      </c>
      <c r="P429" s="56">
        <v>1.0</v>
      </c>
      <c r="Q429" s="56" t="s">
        <v>131</v>
      </c>
      <c r="R429" s="58" t="str">
        <f t="shared" si="1"/>
        <v>2024 - 2025</v>
      </c>
      <c r="S429" s="59" t="str">
        <f>SUM(Hoja1!$I429:$P429)</f>
        <v>2</v>
      </c>
      <c r="T429" s="59" t="str">
        <f>IF(OR(Hoja1!$J429=1,Hoja1!$K429=1,Hoja1!$L429=1,Hoja1!$M429=1,Hoja1!$N429=1,Hoja1!$O429=1,Hoja1!$P429=1),"SI","NO")</f>
        <v>SI</v>
      </c>
      <c r="U429" s="59" t="str">
        <f>IF(OR(Hoja1!$K429=1,Hoja1!$L429=1,Hoja1!$M429=1,Hoja1!$N429=1,Hoja1!$O429=1,Hoja1!$P429=1),"SI","NO")</f>
        <v>SI</v>
      </c>
      <c r="V429" s="60">
        <v>0.0</v>
      </c>
      <c r="W429" s="61">
        <v>0.0</v>
      </c>
      <c r="X429" s="61">
        <v>0.0</v>
      </c>
      <c r="Y429" s="60">
        <v>0.0</v>
      </c>
      <c r="Z429" s="61">
        <v>0.0</v>
      </c>
      <c r="AA429" s="61">
        <v>0.0</v>
      </c>
      <c r="AB429" s="60">
        <v>0.0</v>
      </c>
      <c r="AC429" s="61">
        <v>0.0</v>
      </c>
      <c r="AD429" s="61">
        <v>0.0</v>
      </c>
      <c r="AE429" s="60">
        <v>0.0</v>
      </c>
      <c r="AF429" s="61">
        <v>0.0</v>
      </c>
      <c r="AG429" s="61">
        <v>0.0</v>
      </c>
      <c r="AH429" s="60">
        <v>0.0</v>
      </c>
      <c r="AI429" s="61">
        <v>0.0</v>
      </c>
      <c r="AJ429" s="61">
        <v>0.0</v>
      </c>
      <c r="AK429" s="60">
        <v>0.0</v>
      </c>
      <c r="AL429" s="61">
        <v>84.0</v>
      </c>
      <c r="AM429" s="61">
        <v>28.0</v>
      </c>
      <c r="AN429" s="60">
        <v>112.0</v>
      </c>
      <c r="AO429" s="62">
        <v>83.0</v>
      </c>
      <c r="AP429" s="62">
        <v>28.0</v>
      </c>
      <c r="AQ429" s="60">
        <v>111.0</v>
      </c>
      <c r="AR429" s="60" t="str">
        <f>IF(Hoja1!$AQ429&gt;0,Hoja1!$AQ429,IF(Hoja1!$AN429&gt;0,Hoja1!$AN429,IF(Hoja1!$AK429&gt;0,Hoja1!$AK429,IF(Hoja1!$AH429&gt;0,Hoja1!$AH429,IF(Hoja1!$AE429&gt;0,Hoja1!$AE429,IF(Hoja1!$AB429&gt;0,Hoja1!$AB429,IF(Hoja1!$Y429&gt;0,Hoja1!$Y429,IF(Hoja1!$V429&gt;0,Hoja1!$V429," ---"))))))))</f>
        <v>111</v>
      </c>
      <c r="AS429" s="63">
        <v>0.0</v>
      </c>
      <c r="AT429" s="63">
        <v>0.0</v>
      </c>
      <c r="AU429" s="63">
        <v>0.0</v>
      </c>
      <c r="AV429" s="63">
        <v>0.0</v>
      </c>
      <c r="AW429" s="63">
        <v>0.0</v>
      </c>
      <c r="AX429" s="63">
        <v>0.0</v>
      </c>
      <c r="AY429" s="63">
        <v>0.0</v>
      </c>
      <c r="AZ429" s="63">
        <v>0.0</v>
      </c>
      <c r="BA429" s="63">
        <v>31.0</v>
      </c>
      <c r="BB429" s="63">
        <v>7.0</v>
      </c>
      <c r="BC429" s="63">
        <v>23.0</v>
      </c>
      <c r="BD429" s="63">
        <v>5.0</v>
      </c>
      <c r="BE429" s="64">
        <v>0.0</v>
      </c>
      <c r="BF429" s="69">
        <v>0.0</v>
      </c>
      <c r="BG429" s="69">
        <v>0.0</v>
      </c>
      <c r="BH429" s="64">
        <v>0.0</v>
      </c>
      <c r="BI429" s="67" t="str">
        <f t="shared" si="133"/>
        <v>#REF!</v>
      </c>
      <c r="BJ429" s="68" t="str">
        <f t="shared" si="134"/>
        <v>#REF!</v>
      </c>
      <c r="BK429" s="69">
        <v>0.0</v>
      </c>
      <c r="BL429" s="69">
        <v>0.0</v>
      </c>
      <c r="BM429" s="64">
        <v>0.0</v>
      </c>
      <c r="BN429" s="67" t="str">
        <f t="shared" si="135"/>
        <v>#REF!</v>
      </c>
      <c r="BO429" s="68" t="str">
        <f t="shared" si="136"/>
        <v>#REF!</v>
      </c>
      <c r="BP429" s="65">
        <v>0.0</v>
      </c>
      <c r="BQ429" s="65">
        <v>0.0</v>
      </c>
      <c r="BR429" s="66">
        <v>0.0</v>
      </c>
      <c r="BS429" s="67" t="str">
        <f t="shared" si="137"/>
        <v>#REF!</v>
      </c>
      <c r="BT429" s="68" t="str">
        <f>'[1]DATA CONSOLIDADA 2018-2025 '!$BR429-Hoja1!$BO429</f>
        <v>#REF!</v>
      </c>
      <c r="BU429" s="69">
        <v>0.0</v>
      </c>
      <c r="BV429" s="65">
        <v>0.0</v>
      </c>
      <c r="BW429" s="66">
        <v>0.0</v>
      </c>
      <c r="BX429" s="67" t="str">
        <f t="shared" si="138"/>
        <v>#REF!</v>
      </c>
      <c r="BY429" s="68" t="str">
        <f t="shared" si="139"/>
        <v>#REF!</v>
      </c>
      <c r="BZ429" s="65">
        <v>0.0</v>
      </c>
      <c r="CA429" s="65">
        <v>0.0</v>
      </c>
      <c r="CB429" s="66">
        <v>0.0</v>
      </c>
      <c r="CC429" s="67" t="str">
        <f t="shared" si="140"/>
        <v>#REF!</v>
      </c>
      <c r="CD429" s="68" t="str">
        <f>'[1]DATA CONSOLIDADA 2018-2025 '!$CB429-Hoja1!$BW429</f>
        <v>#REF!</v>
      </c>
      <c r="CE429" s="70">
        <v>168351.562</v>
      </c>
      <c r="CF429" s="70">
        <v>0.0</v>
      </c>
      <c r="CG429" s="71">
        <v>168351.562</v>
      </c>
      <c r="CH429" s="67" t="str">
        <f t="shared" si="141"/>
        <v>#REF!</v>
      </c>
      <c r="CI429" s="68" t="str">
        <f>'[1]DATA CONSOLIDADA 2018-2025 '!$CG429-Hoja1!$CB429</f>
        <v>#REF!</v>
      </c>
      <c r="CJ429" s="64" t="str">
        <f t="shared" si="146"/>
        <v>#REF!</v>
      </c>
      <c r="CK429" s="64">
        <v>615259.8295000002</v>
      </c>
      <c r="CL429" s="64">
        <v>0.0</v>
      </c>
      <c r="CM429" s="64">
        <v>615259.8295000002</v>
      </c>
      <c r="CN429" s="64" t="str">
        <f t="shared" si="12"/>
        <v>#REF!</v>
      </c>
      <c r="CO429" s="68" t="str">
        <f>'[1]DATA CONSOLIDADA 2018-2025 '!$CM429-Hoja1!$CG429</f>
        <v>#REF!</v>
      </c>
      <c r="CP429" s="70">
        <v>0.0</v>
      </c>
      <c r="CQ429" s="70">
        <v>0.0</v>
      </c>
      <c r="CR429" s="70">
        <v>0.0</v>
      </c>
      <c r="CS429" s="70">
        <v>0.0</v>
      </c>
      <c r="CT429" s="70">
        <v>0.0</v>
      </c>
      <c r="CU429" s="70">
        <v>0.0</v>
      </c>
      <c r="CV429" s="64">
        <v>0.0</v>
      </c>
      <c r="CW429" s="64">
        <v>0.0</v>
      </c>
      <c r="CX429" s="64">
        <v>0.0</v>
      </c>
      <c r="CY429" s="64">
        <v>168351.562</v>
      </c>
      <c r="CZ429" s="64">
        <v>0.0</v>
      </c>
      <c r="DA429" s="64">
        <v>0.0</v>
      </c>
      <c r="DB429" s="64">
        <v>168351.562</v>
      </c>
      <c r="DC429" s="72">
        <v>113261.5</v>
      </c>
      <c r="DD429" s="72">
        <v>23369.86</v>
      </c>
      <c r="DE429" s="72">
        <v>478628.4695</v>
      </c>
      <c r="DF429" s="72">
        <v>0.0</v>
      </c>
      <c r="DG429" s="72">
        <v>0.0</v>
      </c>
      <c r="DH429" s="72">
        <v>615259.8295</v>
      </c>
      <c r="DI429" s="73">
        <v>2.0132505455E10</v>
      </c>
      <c r="DJ429" s="74" t="s">
        <v>1423</v>
      </c>
      <c r="DK429" s="74" t="s">
        <v>132</v>
      </c>
      <c r="DL429" s="75"/>
      <c r="DM429" s="75"/>
      <c r="DN429" s="75"/>
      <c r="DO429" s="75"/>
      <c r="DP429" s="75"/>
      <c r="DQ429" s="75"/>
      <c r="DR429" s="75"/>
      <c r="DS429" s="75"/>
      <c r="DT429" s="75"/>
      <c r="DU429" s="75"/>
      <c r="DV429" s="75"/>
      <c r="DW429" s="75"/>
      <c r="DX429" s="75"/>
      <c r="DY429" s="75"/>
      <c r="DZ429" s="75"/>
      <c r="EA429" s="75"/>
      <c r="EB429" s="75"/>
      <c r="EC429" s="75"/>
      <c r="ED429" s="75"/>
      <c r="EE429" s="75"/>
    </row>
    <row r="430" ht="47.25" customHeight="1">
      <c r="A430" s="55" t="s">
        <v>1424</v>
      </c>
      <c r="B430" s="55" t="s">
        <v>146</v>
      </c>
      <c r="C430" s="55" t="s">
        <v>146</v>
      </c>
      <c r="D430" s="55" t="s">
        <v>434</v>
      </c>
      <c r="E430" s="55" t="s">
        <v>487</v>
      </c>
      <c r="F430" s="55" t="s">
        <v>434</v>
      </c>
      <c r="G430" s="55" t="s">
        <v>435</v>
      </c>
      <c r="H430" s="55" t="s">
        <v>488</v>
      </c>
      <c r="I430" s="56"/>
      <c r="J430" s="56"/>
      <c r="K430" s="56"/>
      <c r="L430" s="56"/>
      <c r="M430" s="56"/>
      <c r="N430" s="56"/>
      <c r="O430" s="56">
        <v>1.0</v>
      </c>
      <c r="P430" s="56">
        <v>1.0</v>
      </c>
      <c r="Q430" s="56" t="s">
        <v>131</v>
      </c>
      <c r="R430" s="58" t="str">
        <f t="shared" si="1"/>
        <v>2024 - 2025</v>
      </c>
      <c r="S430" s="59" t="str">
        <f>SUM(Hoja1!$I430:$P430)</f>
        <v>2</v>
      </c>
      <c r="T430" s="59" t="str">
        <f>IF(OR(Hoja1!$J430=1,Hoja1!$K430=1,Hoja1!$L430=1,Hoja1!$M430=1,Hoja1!$N430=1,Hoja1!$O430=1,Hoja1!$P430=1),"SI","NO")</f>
        <v>SI</v>
      </c>
      <c r="U430" s="59" t="str">
        <f>IF(OR(Hoja1!$K430=1,Hoja1!$L430=1,Hoja1!$M430=1,Hoja1!$N430=1,Hoja1!$O430=1,Hoja1!$P430=1),"SI","NO")</f>
        <v>SI</v>
      </c>
      <c r="V430" s="60">
        <v>0.0</v>
      </c>
      <c r="W430" s="61">
        <v>0.0</v>
      </c>
      <c r="X430" s="61">
        <v>0.0</v>
      </c>
      <c r="Y430" s="60">
        <v>0.0</v>
      </c>
      <c r="Z430" s="61">
        <v>0.0</v>
      </c>
      <c r="AA430" s="61">
        <v>0.0</v>
      </c>
      <c r="AB430" s="60">
        <v>0.0</v>
      </c>
      <c r="AC430" s="61">
        <v>0.0</v>
      </c>
      <c r="AD430" s="61">
        <v>0.0</v>
      </c>
      <c r="AE430" s="60">
        <v>0.0</v>
      </c>
      <c r="AF430" s="61">
        <v>0.0</v>
      </c>
      <c r="AG430" s="61">
        <v>0.0</v>
      </c>
      <c r="AH430" s="60">
        <v>0.0</v>
      </c>
      <c r="AI430" s="61">
        <v>0.0</v>
      </c>
      <c r="AJ430" s="61">
        <v>0.0</v>
      </c>
      <c r="AK430" s="60">
        <v>0.0</v>
      </c>
      <c r="AL430" s="61">
        <v>13.0</v>
      </c>
      <c r="AM430" s="61">
        <v>2.0</v>
      </c>
      <c r="AN430" s="60">
        <v>15.0</v>
      </c>
      <c r="AO430" s="62">
        <v>8.0</v>
      </c>
      <c r="AP430" s="62">
        <v>7.0</v>
      </c>
      <c r="AQ430" s="60">
        <v>15.0</v>
      </c>
      <c r="AR430" s="60" t="str">
        <f>IF(Hoja1!$AQ430&gt;0,Hoja1!$AQ430,IF(Hoja1!$AN430&gt;0,Hoja1!$AN430,IF(Hoja1!$AK430&gt;0,Hoja1!$AK430,IF(Hoja1!$AH430&gt;0,Hoja1!$AH430,IF(Hoja1!$AE430&gt;0,Hoja1!$AE430,IF(Hoja1!$AB430&gt;0,Hoja1!$AB430,IF(Hoja1!$Y430&gt;0,Hoja1!$Y430,IF(Hoja1!$V430&gt;0,Hoja1!$V430," ---"))))))))</f>
        <v>15</v>
      </c>
      <c r="AS430" s="63">
        <v>0.0</v>
      </c>
      <c r="AT430" s="63">
        <v>0.0</v>
      </c>
      <c r="AU430" s="63">
        <v>0.0</v>
      </c>
      <c r="AV430" s="63">
        <v>0.0</v>
      </c>
      <c r="AW430" s="63">
        <v>0.0</v>
      </c>
      <c r="AX430" s="63">
        <v>0.0</v>
      </c>
      <c r="AY430" s="63">
        <v>0.0</v>
      </c>
      <c r="AZ430" s="63">
        <v>0.0</v>
      </c>
      <c r="BA430" s="63">
        <v>31.0</v>
      </c>
      <c r="BB430" s="63">
        <v>6.0</v>
      </c>
      <c r="BC430" s="63">
        <v>30.0</v>
      </c>
      <c r="BD430" s="63">
        <v>4.0</v>
      </c>
      <c r="BE430" s="64">
        <v>0.0</v>
      </c>
      <c r="BF430" s="69">
        <v>0.0</v>
      </c>
      <c r="BG430" s="69">
        <v>0.0</v>
      </c>
      <c r="BH430" s="64">
        <v>0.0</v>
      </c>
      <c r="BI430" s="67" t="str">
        <f t="shared" si="133"/>
        <v>#REF!</v>
      </c>
      <c r="BJ430" s="68" t="str">
        <f t="shared" si="134"/>
        <v>#REF!</v>
      </c>
      <c r="BK430" s="69">
        <v>0.0</v>
      </c>
      <c r="BL430" s="69">
        <v>0.0</v>
      </c>
      <c r="BM430" s="64">
        <v>0.0</v>
      </c>
      <c r="BN430" s="67" t="str">
        <f t="shared" si="135"/>
        <v>#REF!</v>
      </c>
      <c r="BO430" s="68" t="str">
        <f t="shared" si="136"/>
        <v>#REF!</v>
      </c>
      <c r="BP430" s="65">
        <v>0.0</v>
      </c>
      <c r="BQ430" s="65">
        <v>0.0</v>
      </c>
      <c r="BR430" s="66">
        <v>0.0</v>
      </c>
      <c r="BS430" s="67" t="str">
        <f t="shared" si="137"/>
        <v>#REF!</v>
      </c>
      <c r="BT430" s="68" t="str">
        <f>'[1]DATA CONSOLIDADA 2018-2025 '!$BR430-Hoja1!$BO430</f>
        <v>#REF!</v>
      </c>
      <c r="BU430" s="69">
        <v>0.0</v>
      </c>
      <c r="BV430" s="65">
        <v>0.0</v>
      </c>
      <c r="BW430" s="66">
        <v>0.0</v>
      </c>
      <c r="BX430" s="67" t="str">
        <f t="shared" si="138"/>
        <v>#REF!</v>
      </c>
      <c r="BY430" s="68" t="str">
        <f t="shared" si="139"/>
        <v>#REF!</v>
      </c>
      <c r="BZ430" s="65">
        <v>0.0</v>
      </c>
      <c r="CA430" s="65">
        <v>0.0</v>
      </c>
      <c r="CB430" s="66">
        <v>0.0</v>
      </c>
      <c r="CC430" s="67" t="str">
        <f t="shared" si="140"/>
        <v>#REF!</v>
      </c>
      <c r="CD430" s="68" t="str">
        <f>'[1]DATA CONSOLIDADA 2018-2025 '!$CB430-Hoja1!$BW430</f>
        <v>#REF!</v>
      </c>
      <c r="CE430" s="70">
        <v>261800.0</v>
      </c>
      <c r="CF430" s="70">
        <v>0.0</v>
      </c>
      <c r="CG430" s="71">
        <v>261800.0</v>
      </c>
      <c r="CH430" s="67" t="str">
        <f t="shared" si="141"/>
        <v>#REF!</v>
      </c>
      <c r="CI430" s="68" t="str">
        <f>'[1]DATA CONSOLIDADA 2018-2025 '!$CG430-Hoja1!$CB430</f>
        <v>#REF!</v>
      </c>
      <c r="CJ430" s="64" t="str">
        <f t="shared" si="146"/>
        <v>#REF!</v>
      </c>
      <c r="CK430" s="64">
        <v>381750.0</v>
      </c>
      <c r="CL430" s="64">
        <v>0.0</v>
      </c>
      <c r="CM430" s="64">
        <v>381750.0</v>
      </c>
      <c r="CN430" s="64" t="str">
        <f t="shared" si="12"/>
        <v>#REF!</v>
      </c>
      <c r="CO430" s="68" t="str">
        <f>'[1]DATA CONSOLIDADA 2018-2025 '!$CM430-Hoja1!$CG430</f>
        <v>#REF!</v>
      </c>
      <c r="CP430" s="70">
        <v>0.0</v>
      </c>
      <c r="CQ430" s="70">
        <v>0.0</v>
      </c>
      <c r="CR430" s="70">
        <v>0.0</v>
      </c>
      <c r="CS430" s="70">
        <v>0.0</v>
      </c>
      <c r="CT430" s="70">
        <v>0.0</v>
      </c>
      <c r="CU430" s="70">
        <v>0.0</v>
      </c>
      <c r="CV430" s="64">
        <v>0.0</v>
      </c>
      <c r="CW430" s="64">
        <v>0.0</v>
      </c>
      <c r="CX430" s="64">
        <v>0.0</v>
      </c>
      <c r="CY430" s="64">
        <v>261800.0</v>
      </c>
      <c r="CZ430" s="64">
        <v>0.0</v>
      </c>
      <c r="DA430" s="64">
        <v>0.0</v>
      </c>
      <c r="DB430" s="64">
        <v>261800.0</v>
      </c>
      <c r="DC430" s="72">
        <v>0.0</v>
      </c>
      <c r="DD430" s="72">
        <v>0.0</v>
      </c>
      <c r="DE430" s="72">
        <v>381750.0</v>
      </c>
      <c r="DF430" s="72">
        <v>0.0</v>
      </c>
      <c r="DG430" s="72">
        <v>0.0</v>
      </c>
      <c r="DH430" s="72">
        <v>381750.0</v>
      </c>
      <c r="DI430" s="73">
        <v>2.0490726196E10</v>
      </c>
      <c r="DJ430" s="74" t="s">
        <v>1425</v>
      </c>
      <c r="DK430" s="74" t="s">
        <v>138</v>
      </c>
      <c r="DL430" s="75"/>
      <c r="DM430" s="75"/>
      <c r="DN430" s="75"/>
      <c r="DO430" s="75"/>
      <c r="DP430" s="75"/>
      <c r="DQ430" s="75"/>
      <c r="DR430" s="75"/>
      <c r="DS430" s="75"/>
      <c r="DT430" s="75"/>
      <c r="DU430" s="75"/>
      <c r="DV430" s="75"/>
      <c r="DW430" s="75"/>
      <c r="DX430" s="75"/>
      <c r="DY430" s="75"/>
      <c r="DZ430" s="75"/>
      <c r="EA430" s="75"/>
      <c r="EB430" s="75"/>
      <c r="EC430" s="75"/>
      <c r="ED430" s="75"/>
      <c r="EE430" s="75"/>
    </row>
    <row r="431" ht="47.25" customHeight="1">
      <c r="A431" s="55" t="s">
        <v>1426</v>
      </c>
      <c r="B431" s="55" t="s">
        <v>146</v>
      </c>
      <c r="C431" s="55" t="s">
        <v>146</v>
      </c>
      <c r="D431" s="55" t="s">
        <v>434</v>
      </c>
      <c r="E431" s="55" t="s">
        <v>487</v>
      </c>
      <c r="F431" s="55" t="s">
        <v>434</v>
      </c>
      <c r="G431" s="55" t="s">
        <v>435</v>
      </c>
      <c r="H431" s="55" t="s">
        <v>488</v>
      </c>
      <c r="I431" s="56"/>
      <c r="J431" s="56"/>
      <c r="K431" s="56"/>
      <c r="L431" s="56"/>
      <c r="M431" s="56"/>
      <c r="N431" s="56"/>
      <c r="O431" s="56">
        <v>1.0</v>
      </c>
      <c r="P431" s="56">
        <v>1.0</v>
      </c>
      <c r="Q431" s="56" t="s">
        <v>131</v>
      </c>
      <c r="R431" s="58" t="str">
        <f t="shared" si="1"/>
        <v>2024 - 2025</v>
      </c>
      <c r="S431" s="59" t="str">
        <f>SUM(Hoja1!$I431:$P431)</f>
        <v>2</v>
      </c>
      <c r="T431" s="59" t="str">
        <f>IF(OR(Hoja1!$J431=1,Hoja1!$K431=1,Hoja1!$L431=1,Hoja1!$M431=1,Hoja1!$N431=1,Hoja1!$O431=1,Hoja1!$P431=1),"SI","NO")</f>
        <v>SI</v>
      </c>
      <c r="U431" s="59" t="str">
        <f>IF(OR(Hoja1!$K431=1,Hoja1!$L431=1,Hoja1!$M431=1,Hoja1!$N431=1,Hoja1!$O431=1,Hoja1!$P431=1),"SI","NO")</f>
        <v>SI</v>
      </c>
      <c r="V431" s="60">
        <v>0.0</v>
      </c>
      <c r="W431" s="61">
        <v>0.0</v>
      </c>
      <c r="X431" s="61">
        <v>0.0</v>
      </c>
      <c r="Y431" s="60">
        <v>0.0</v>
      </c>
      <c r="Z431" s="61">
        <v>0.0</v>
      </c>
      <c r="AA431" s="61">
        <v>0.0</v>
      </c>
      <c r="AB431" s="60">
        <v>0.0</v>
      </c>
      <c r="AC431" s="61">
        <v>0.0</v>
      </c>
      <c r="AD431" s="61">
        <v>0.0</v>
      </c>
      <c r="AE431" s="60">
        <v>0.0</v>
      </c>
      <c r="AF431" s="61">
        <v>0.0</v>
      </c>
      <c r="AG431" s="61">
        <v>0.0</v>
      </c>
      <c r="AH431" s="60">
        <v>0.0</v>
      </c>
      <c r="AI431" s="61">
        <v>0.0</v>
      </c>
      <c r="AJ431" s="61">
        <v>0.0</v>
      </c>
      <c r="AK431" s="60">
        <v>0.0</v>
      </c>
      <c r="AL431" s="61">
        <v>16.0</v>
      </c>
      <c r="AM431" s="61">
        <v>1.0</v>
      </c>
      <c r="AN431" s="60">
        <v>17.0</v>
      </c>
      <c r="AO431" s="62">
        <v>13.0</v>
      </c>
      <c r="AP431" s="62">
        <v>4.0</v>
      </c>
      <c r="AQ431" s="60">
        <v>17.0</v>
      </c>
      <c r="AR431" s="60" t="str">
        <f>IF(Hoja1!$AQ431&gt;0,Hoja1!$AQ431,IF(Hoja1!$AN431&gt;0,Hoja1!$AN431,IF(Hoja1!$AK431&gt;0,Hoja1!$AK431,IF(Hoja1!$AH431&gt;0,Hoja1!$AH431,IF(Hoja1!$AE431&gt;0,Hoja1!$AE431,IF(Hoja1!$AB431&gt;0,Hoja1!$AB431,IF(Hoja1!$Y431&gt;0,Hoja1!$Y431,IF(Hoja1!$V431&gt;0,Hoja1!$V431," ---"))))))))</f>
        <v>17</v>
      </c>
      <c r="AS431" s="63">
        <v>0.0</v>
      </c>
      <c r="AT431" s="63">
        <v>0.0</v>
      </c>
      <c r="AU431" s="63">
        <v>0.0</v>
      </c>
      <c r="AV431" s="63">
        <v>0.0</v>
      </c>
      <c r="AW431" s="63">
        <v>0.0</v>
      </c>
      <c r="AX431" s="63">
        <v>0.0</v>
      </c>
      <c r="AY431" s="63">
        <v>0.0</v>
      </c>
      <c r="AZ431" s="63">
        <v>0.0</v>
      </c>
      <c r="BA431" s="63">
        <v>12.0</v>
      </c>
      <c r="BB431" s="63">
        <v>3.0</v>
      </c>
      <c r="BC431" s="63">
        <v>15.0</v>
      </c>
      <c r="BD431" s="63">
        <v>3.0</v>
      </c>
      <c r="BE431" s="64">
        <v>0.0</v>
      </c>
      <c r="BF431" s="69">
        <v>0.0</v>
      </c>
      <c r="BG431" s="69">
        <v>0.0</v>
      </c>
      <c r="BH431" s="64">
        <v>0.0</v>
      </c>
      <c r="BI431" s="67" t="str">
        <f t="shared" si="133"/>
        <v>#REF!</v>
      </c>
      <c r="BJ431" s="68" t="str">
        <f t="shared" si="134"/>
        <v>#REF!</v>
      </c>
      <c r="BK431" s="69">
        <v>0.0</v>
      </c>
      <c r="BL431" s="69">
        <v>0.0</v>
      </c>
      <c r="BM431" s="64">
        <v>0.0</v>
      </c>
      <c r="BN431" s="67" t="str">
        <f t="shared" si="135"/>
        <v>#REF!</v>
      </c>
      <c r="BO431" s="68" t="str">
        <f t="shared" si="136"/>
        <v>#REF!</v>
      </c>
      <c r="BP431" s="65">
        <v>0.0</v>
      </c>
      <c r="BQ431" s="65">
        <v>0.0</v>
      </c>
      <c r="BR431" s="66">
        <v>0.0</v>
      </c>
      <c r="BS431" s="67" t="str">
        <f t="shared" si="137"/>
        <v>#REF!</v>
      </c>
      <c r="BT431" s="68" t="str">
        <f>'[1]DATA CONSOLIDADA 2018-2025 '!$BR431-Hoja1!$BO431</f>
        <v>#REF!</v>
      </c>
      <c r="BU431" s="69">
        <v>0.0</v>
      </c>
      <c r="BV431" s="65">
        <v>0.0</v>
      </c>
      <c r="BW431" s="66">
        <v>0.0</v>
      </c>
      <c r="BX431" s="67" t="str">
        <f t="shared" si="138"/>
        <v>#REF!</v>
      </c>
      <c r="BY431" s="68" t="str">
        <f t="shared" si="139"/>
        <v>#REF!</v>
      </c>
      <c r="BZ431" s="65">
        <v>0.0</v>
      </c>
      <c r="CA431" s="65">
        <v>0.0</v>
      </c>
      <c r="CB431" s="66">
        <v>0.0</v>
      </c>
      <c r="CC431" s="67" t="str">
        <f t="shared" si="140"/>
        <v>#REF!</v>
      </c>
      <c r="CD431" s="68" t="str">
        <f>'[1]DATA CONSOLIDADA 2018-2025 '!$CB431-Hoja1!$BW431</f>
        <v>#REF!</v>
      </c>
      <c r="CE431" s="70">
        <v>93000.0</v>
      </c>
      <c r="CF431" s="70">
        <v>0.0</v>
      </c>
      <c r="CG431" s="71">
        <v>93000.0</v>
      </c>
      <c r="CH431" s="67" t="str">
        <f t="shared" si="141"/>
        <v>#REF!</v>
      </c>
      <c r="CI431" s="68" t="str">
        <f>'[1]DATA CONSOLIDADA 2018-2025 '!$CG431-Hoja1!$CB431</f>
        <v>#REF!</v>
      </c>
      <c r="CJ431" s="64" t="str">
        <f t="shared" si="146"/>
        <v>#REF!</v>
      </c>
      <c r="CK431" s="64">
        <v>237108.8</v>
      </c>
      <c r="CL431" s="64">
        <v>0.0</v>
      </c>
      <c r="CM431" s="64">
        <v>237108.8</v>
      </c>
      <c r="CN431" s="64" t="str">
        <f t="shared" si="12"/>
        <v>#REF!</v>
      </c>
      <c r="CO431" s="68" t="str">
        <f>'[1]DATA CONSOLIDADA 2018-2025 '!$CM431-Hoja1!$CG431</f>
        <v>#REF!</v>
      </c>
      <c r="CP431" s="70">
        <v>0.0</v>
      </c>
      <c r="CQ431" s="70">
        <v>0.0</v>
      </c>
      <c r="CR431" s="70">
        <v>0.0</v>
      </c>
      <c r="CS431" s="70">
        <v>0.0</v>
      </c>
      <c r="CT431" s="70">
        <v>0.0</v>
      </c>
      <c r="CU431" s="70">
        <v>0.0</v>
      </c>
      <c r="CV431" s="64">
        <v>0.0</v>
      </c>
      <c r="CW431" s="64">
        <v>0.0</v>
      </c>
      <c r="CX431" s="64">
        <v>93000.0</v>
      </c>
      <c r="CY431" s="64">
        <v>0.0</v>
      </c>
      <c r="CZ431" s="64">
        <v>0.0</v>
      </c>
      <c r="DA431" s="64">
        <v>0.0</v>
      </c>
      <c r="DB431" s="64">
        <v>93000.0</v>
      </c>
      <c r="DC431" s="72">
        <v>0.0</v>
      </c>
      <c r="DD431" s="72">
        <v>0.0</v>
      </c>
      <c r="DE431" s="72">
        <v>237108.8</v>
      </c>
      <c r="DF431" s="72">
        <v>0.0</v>
      </c>
      <c r="DG431" s="72">
        <v>0.0</v>
      </c>
      <c r="DH431" s="72">
        <v>237108.8</v>
      </c>
      <c r="DI431" s="73">
        <v>2.0603676476E10</v>
      </c>
      <c r="DJ431" s="74" t="s">
        <v>1426</v>
      </c>
      <c r="DK431" s="74" t="s">
        <v>138</v>
      </c>
      <c r="DL431" s="75"/>
      <c r="DM431" s="75"/>
      <c r="DN431" s="75"/>
      <c r="DO431" s="75"/>
      <c r="DP431" s="75"/>
      <c r="DQ431" s="75"/>
      <c r="DR431" s="75"/>
      <c r="DS431" s="75"/>
      <c r="DT431" s="75"/>
      <c r="DU431" s="75"/>
      <c r="DV431" s="75"/>
      <c r="DW431" s="75"/>
      <c r="DX431" s="75"/>
      <c r="DY431" s="75"/>
      <c r="DZ431" s="75"/>
      <c r="EA431" s="75"/>
      <c r="EB431" s="75"/>
      <c r="EC431" s="75"/>
      <c r="ED431" s="75"/>
      <c r="EE431" s="75"/>
    </row>
    <row r="432" ht="47.25" customHeight="1">
      <c r="A432" s="55" t="s">
        <v>1427</v>
      </c>
      <c r="B432" s="55" t="s">
        <v>146</v>
      </c>
      <c r="C432" s="55" t="s">
        <v>146</v>
      </c>
      <c r="D432" s="55" t="s">
        <v>1149</v>
      </c>
      <c r="E432" s="55" t="s">
        <v>1170</v>
      </c>
      <c r="F432" s="55" t="s">
        <v>1149</v>
      </c>
      <c r="G432" s="55" t="s">
        <v>1156</v>
      </c>
      <c r="H432" s="55" t="s">
        <v>1171</v>
      </c>
      <c r="I432" s="56"/>
      <c r="J432" s="56"/>
      <c r="K432" s="56"/>
      <c r="L432" s="56"/>
      <c r="M432" s="56"/>
      <c r="N432" s="56"/>
      <c r="O432" s="56">
        <v>1.0</v>
      </c>
      <c r="P432" s="56">
        <v>1.0</v>
      </c>
      <c r="Q432" s="56" t="s">
        <v>393</v>
      </c>
      <c r="R432" s="58" t="str">
        <f t="shared" si="1"/>
        <v>2024 - 2025</v>
      </c>
      <c r="S432" s="59" t="str">
        <f>SUM(Hoja1!$I432:$P432)</f>
        <v>2</v>
      </c>
      <c r="T432" s="59" t="str">
        <f>IF(OR(Hoja1!$J432=1,Hoja1!$K432=1,Hoja1!$L432=1,Hoja1!$M432=1,Hoja1!$N432=1,Hoja1!$O432=1,Hoja1!$P432=1),"SI","NO")</f>
        <v>SI</v>
      </c>
      <c r="U432" s="59" t="str">
        <f>IF(OR(Hoja1!$K432=1,Hoja1!$L432=1,Hoja1!$M432=1,Hoja1!$N432=1,Hoja1!$O432=1,Hoja1!$P432=1),"SI","NO")</f>
        <v>SI</v>
      </c>
      <c r="V432" s="60">
        <v>0.0</v>
      </c>
      <c r="W432" s="61">
        <v>0.0</v>
      </c>
      <c r="X432" s="61">
        <v>0.0</v>
      </c>
      <c r="Y432" s="60">
        <v>0.0</v>
      </c>
      <c r="Z432" s="61">
        <v>0.0</v>
      </c>
      <c r="AA432" s="61">
        <v>0.0</v>
      </c>
      <c r="AB432" s="60">
        <v>0.0</v>
      </c>
      <c r="AC432" s="61">
        <v>0.0</v>
      </c>
      <c r="AD432" s="61">
        <v>0.0</v>
      </c>
      <c r="AE432" s="60">
        <v>0.0</v>
      </c>
      <c r="AF432" s="61">
        <v>0.0</v>
      </c>
      <c r="AG432" s="61">
        <v>0.0</v>
      </c>
      <c r="AH432" s="60">
        <v>0.0</v>
      </c>
      <c r="AI432" s="61">
        <v>0.0</v>
      </c>
      <c r="AJ432" s="61">
        <v>0.0</v>
      </c>
      <c r="AK432" s="60">
        <v>0.0</v>
      </c>
      <c r="AL432" s="61">
        <v>323.0</v>
      </c>
      <c r="AM432" s="61">
        <v>128.0</v>
      </c>
      <c r="AN432" s="60">
        <v>451.0</v>
      </c>
      <c r="AO432" s="62">
        <v>0.0</v>
      </c>
      <c r="AP432" s="62">
        <v>0.0</v>
      </c>
      <c r="AQ432" s="60">
        <v>0.0</v>
      </c>
      <c r="AR432" s="60" t="str">
        <f>IF(Hoja1!$AQ432&gt;0,Hoja1!$AQ432,IF(Hoja1!$AN432&gt;0,Hoja1!$AN432,IF(Hoja1!$AK432&gt;0,Hoja1!$AK432,IF(Hoja1!$AH432&gt;0,Hoja1!$AH432,IF(Hoja1!$AE432&gt;0,Hoja1!$AE432,IF(Hoja1!$AB432&gt;0,Hoja1!$AB432,IF(Hoja1!$Y432&gt;0,Hoja1!$Y432,IF(Hoja1!$V432&gt;0,Hoja1!$V432," ---"))))))))</f>
        <v>451</v>
      </c>
      <c r="AS432" s="63">
        <v>0.0</v>
      </c>
      <c r="AT432" s="63">
        <v>0.0</v>
      </c>
      <c r="AU432" s="63">
        <v>0.0</v>
      </c>
      <c r="AV432" s="63">
        <v>0.0</v>
      </c>
      <c r="AW432" s="63">
        <v>0.0</v>
      </c>
      <c r="AX432" s="63">
        <v>0.0</v>
      </c>
      <c r="AY432" s="63">
        <v>0.0</v>
      </c>
      <c r="AZ432" s="63">
        <v>0.0</v>
      </c>
      <c r="BA432" s="63">
        <v>32.0</v>
      </c>
      <c r="BB432" s="63">
        <v>0.0</v>
      </c>
      <c r="BC432" s="63">
        <v>0.0</v>
      </c>
      <c r="BD432" s="63">
        <v>0.0</v>
      </c>
      <c r="BE432" s="64">
        <v>0.0</v>
      </c>
      <c r="BF432" s="69">
        <v>0.0</v>
      </c>
      <c r="BG432" s="69">
        <v>0.0</v>
      </c>
      <c r="BH432" s="64">
        <v>0.0</v>
      </c>
      <c r="BI432" s="67" t="str">
        <f>IF('[1]DATA CONSOLIDADA 2018-2025 '!$BH499&gt;'[1]DATA CONSOLIDADA 2018-2025 '!$AN499,"Incremento",IF('[1]DATA CONSOLIDADA 2018-2025 '!$AN499='[1]DATA CONSOLIDADA 2018-2025 '!$BH499,"Sin incremento",IF('[1]DATA CONSOLIDADA 2018-2025 '!$BH499&lt;'[1]DATA CONSOLIDADA 2018-2025 '!$AN499,"Disminución"," ---")))</f>
        <v>#REF!</v>
      </c>
      <c r="BJ432" s="68" t="str">
        <f>'[1]DATA CONSOLIDADA 2018-2025 '!$BH499-'[1]DATA CONSOLIDADA 2018-2025 '!$BE499</f>
        <v>#REF!</v>
      </c>
      <c r="BK432" s="69">
        <v>0.0</v>
      </c>
      <c r="BL432" s="69">
        <v>0.0</v>
      </c>
      <c r="BM432" s="64">
        <v>0.0</v>
      </c>
      <c r="BN432" s="67" t="str">
        <f>IF('[1]DATA CONSOLIDADA 2018-2025 '!$BM499&gt;'[1]DATA CONSOLIDADA 2018-2025 '!$BH499,"Incremento",IF('[1]DATA CONSOLIDADA 2018-2025 '!$BH499='[1]DATA CONSOLIDADA 2018-2025 '!$BM499,"Sin incremento",IF('[1]DATA CONSOLIDADA 2018-2025 '!$BM499&lt;'[1]DATA CONSOLIDADA 2018-2025 '!$BH499,"Disminución"," ---")))</f>
        <v>#REF!</v>
      </c>
      <c r="BO432" s="68" t="str">
        <f>'[1]DATA CONSOLIDADA 2018-2025 '!$BM499-'[1]DATA CONSOLIDADA 2018-2025 '!$BH499</f>
        <v>#REF!</v>
      </c>
      <c r="BP432" s="65">
        <v>0.0</v>
      </c>
      <c r="BQ432" s="65">
        <v>0.0</v>
      </c>
      <c r="BR432" s="66">
        <v>0.0</v>
      </c>
      <c r="BS432" s="67" t="str">
        <f>IF('[1]DATA CONSOLIDADA 2018-2025 '!$BR499&gt;'[1]DATA CONSOLIDADA 2018-2025 '!$BM499,"Incremento",IF('[1]DATA CONSOLIDADA 2018-2025 '!$BM499='[1]DATA CONSOLIDADA 2018-2025 '!$BR499,"Sin incremento",IF('[1]DATA CONSOLIDADA 2018-2025 '!$BR499&lt;'[1]DATA CONSOLIDADA 2018-2025 '!$BM499,"Disminución"," ---")))</f>
        <v>#REF!</v>
      </c>
      <c r="BT432" s="68" t="str">
        <f>'[1]DATA CONSOLIDADA 2018-2025 '!$BR432-Hoja1!$BO432</f>
        <v>#REF!</v>
      </c>
      <c r="BU432" s="69">
        <v>0.0</v>
      </c>
      <c r="BV432" s="65">
        <v>0.0</v>
      </c>
      <c r="BW432" s="66">
        <v>0.0</v>
      </c>
      <c r="BX432" s="67" t="str">
        <f>IF('[1]DATA CONSOLIDADA 2018-2025 '!$BW499&gt;'[1]DATA CONSOLIDADA 2018-2025 '!$BR499,"Incremento",IF('[1]DATA CONSOLIDADA 2018-2025 '!$BR499='[1]DATA CONSOLIDADA 2018-2025 '!$BW499,"Sin incremento",IF('[1]DATA CONSOLIDADA 2018-2025 '!$BW499&lt;'[1]DATA CONSOLIDADA 2018-2025 '!$BR499,"Disminución"," ---")))</f>
        <v>#REF!</v>
      </c>
      <c r="BY432" s="68" t="str">
        <f>'[1]DATA CONSOLIDADA 2018-2025 '!$BW499-'[1]DATA CONSOLIDADA 2018-2025 '!$BR499</f>
        <v>#REF!</v>
      </c>
      <c r="BZ432" s="65">
        <v>0.0</v>
      </c>
      <c r="CA432" s="65">
        <v>0.0</v>
      </c>
      <c r="CB432" s="66">
        <v>0.0</v>
      </c>
      <c r="CC432" s="67" t="str">
        <f>IF('[1]DATA CONSOLIDADA 2018-2025 '!$CB499&gt;'[1]DATA CONSOLIDADA 2018-2025 '!$BW499,"Incremento",IF('[1]DATA CONSOLIDADA 2018-2025 '!$BW499='[1]DATA CONSOLIDADA 2018-2025 '!$CB499,"Sin incremento",IF('[1]DATA CONSOLIDADA 2018-2025 '!$CB499&lt;'[1]DATA CONSOLIDADA 2018-2025 '!$BW499,"Disminución"," ---")))</f>
        <v>#REF!</v>
      </c>
      <c r="CD432" s="68" t="str">
        <f>'[1]DATA CONSOLIDADA 2018-2025 '!$CB432-Hoja1!$BW432</f>
        <v>#REF!</v>
      </c>
      <c r="CE432" s="70">
        <v>0.0</v>
      </c>
      <c r="CF432" s="70">
        <v>2.8651766731805526E7</v>
      </c>
      <c r="CG432" s="71">
        <v>2.8651766731805526E7</v>
      </c>
      <c r="CH432" s="67" t="str">
        <f>IF('[1]DATA CONSOLIDADA 2018-2025 '!$CG499&gt;'[1]DATA CONSOLIDADA 2018-2025 '!$CB499,"Incremento",IF('[1]DATA CONSOLIDADA 2018-2025 '!$CB499='[1]DATA CONSOLIDADA 2018-2025 '!$CG499,"Sin incremento",IF('[1]DATA CONSOLIDADA 2018-2025 '!$CG499&lt;'[1]DATA CONSOLIDADA 2018-2025 '!$CB499,"Disminución"," ---")))</f>
        <v>#REF!</v>
      </c>
      <c r="CI432" s="68" t="str">
        <f>'[1]DATA CONSOLIDADA 2018-2025 '!$CG432-Hoja1!$CB432</f>
        <v>#REF!</v>
      </c>
      <c r="CJ432" s="64" t="str">
        <f t="shared" si="146"/>
        <v>#REF!</v>
      </c>
      <c r="CK432" s="64">
        <v>0.0</v>
      </c>
      <c r="CL432" s="64">
        <v>1464838.8241214799</v>
      </c>
      <c r="CM432" s="64">
        <v>1464838.8241214799</v>
      </c>
      <c r="CN432" s="64" t="str">
        <f t="shared" si="12"/>
        <v>#REF!</v>
      </c>
      <c r="CO432" s="68" t="str">
        <f>'[1]DATA CONSOLIDADA 2018-2025 '!$CM432-Hoja1!$CG432</f>
        <v>#REF!</v>
      </c>
      <c r="CP432" s="70">
        <v>0.0</v>
      </c>
      <c r="CQ432" s="70">
        <v>0.0</v>
      </c>
      <c r="CR432" s="70">
        <v>0.0</v>
      </c>
      <c r="CS432" s="70">
        <v>0.0</v>
      </c>
      <c r="CT432" s="70">
        <v>0.0</v>
      </c>
      <c r="CU432" s="70">
        <v>0.0</v>
      </c>
      <c r="CV432" s="64">
        <v>0.0</v>
      </c>
      <c r="CW432" s="64">
        <v>0.0</v>
      </c>
      <c r="CX432" s="64">
        <v>0.0</v>
      </c>
      <c r="CY432" s="64">
        <v>2.8651766731805526E7</v>
      </c>
      <c r="CZ432" s="64">
        <v>0.0</v>
      </c>
      <c r="DA432" s="64">
        <v>0.0</v>
      </c>
      <c r="DB432" s="64">
        <v>2.8651766731805526E7</v>
      </c>
      <c r="DC432" s="72">
        <v>0.0</v>
      </c>
      <c r="DD432" s="72">
        <v>0.0</v>
      </c>
      <c r="DE432" s="72">
        <v>1464838.8241214799</v>
      </c>
      <c r="DF432" s="72">
        <v>0.0</v>
      </c>
      <c r="DG432" s="72">
        <v>0.0</v>
      </c>
      <c r="DH432" s="72">
        <v>1464838.8241214799</v>
      </c>
      <c r="DI432" s="73">
        <v>2.0600390911E10</v>
      </c>
      <c r="DJ432" s="74" t="s">
        <v>1427</v>
      </c>
      <c r="DK432" s="74" t="s">
        <v>132</v>
      </c>
      <c r="DL432" s="75"/>
      <c r="DM432" s="75"/>
      <c r="DN432" s="75"/>
      <c r="DO432" s="75"/>
      <c r="DP432" s="75"/>
      <c r="DQ432" s="75"/>
      <c r="DR432" s="75"/>
      <c r="DS432" s="75"/>
      <c r="DT432" s="75"/>
      <c r="DU432" s="75"/>
      <c r="DV432" s="75"/>
      <c r="DW432" s="75"/>
      <c r="DX432" s="75"/>
      <c r="DY432" s="75"/>
      <c r="DZ432" s="75"/>
      <c r="EA432" s="75"/>
      <c r="EB432" s="75"/>
      <c r="EC432" s="75"/>
      <c r="ED432" s="75"/>
      <c r="EE432" s="75"/>
    </row>
    <row r="433" ht="47.25" hidden="1" customHeight="1">
      <c r="A433" s="55" t="s">
        <v>1428</v>
      </c>
      <c r="B433" s="55"/>
      <c r="C433" s="55" t="s">
        <v>146</v>
      </c>
      <c r="D433" s="55" t="s">
        <v>434</v>
      </c>
      <c r="E433" s="55" t="s">
        <v>487</v>
      </c>
      <c r="F433" s="55" t="s">
        <v>434</v>
      </c>
      <c r="G433" s="55" t="s">
        <v>435</v>
      </c>
      <c r="H433" s="55" t="s">
        <v>488</v>
      </c>
      <c r="I433" s="56"/>
      <c r="J433" s="56"/>
      <c r="K433" s="56"/>
      <c r="L433" s="56"/>
      <c r="M433" s="56"/>
      <c r="N433" s="56"/>
      <c r="O433" s="56">
        <v>1.0</v>
      </c>
      <c r="P433" s="56">
        <v>1.0</v>
      </c>
      <c r="Q433" s="56" t="s">
        <v>131</v>
      </c>
      <c r="R433" s="58" t="str">
        <f t="shared" si="1"/>
        <v>2024 - 2025</v>
      </c>
      <c r="S433" s="59" t="str">
        <f>SUM(Hoja1!$I433:$P433)</f>
        <v>2</v>
      </c>
      <c r="T433" s="59" t="str">
        <f>IF(OR(Hoja1!$J433=1,Hoja1!$K433=1,Hoja1!$L433=1,Hoja1!$M433=1,Hoja1!$N433=1,Hoja1!$O433=1,Hoja1!$P433=1),"SI","NO")</f>
        <v>SI</v>
      </c>
      <c r="U433" s="59" t="str">
        <f>IF(OR(Hoja1!$K433=1,Hoja1!$L433=1,Hoja1!$M433=1,Hoja1!$N433=1,Hoja1!$O433=1,Hoja1!$P433=1),"SI","NO")</f>
        <v>SI</v>
      </c>
      <c r="V433" s="60">
        <v>0.0</v>
      </c>
      <c r="W433" s="61">
        <v>0.0</v>
      </c>
      <c r="X433" s="61">
        <v>0.0</v>
      </c>
      <c r="Y433" s="60">
        <v>0.0</v>
      </c>
      <c r="Z433" s="61">
        <v>0.0</v>
      </c>
      <c r="AA433" s="61">
        <v>0.0</v>
      </c>
      <c r="AB433" s="60">
        <v>0.0</v>
      </c>
      <c r="AC433" s="61">
        <v>0.0</v>
      </c>
      <c r="AD433" s="61">
        <v>0.0</v>
      </c>
      <c r="AE433" s="60">
        <v>0.0</v>
      </c>
      <c r="AF433" s="61">
        <v>0.0</v>
      </c>
      <c r="AG433" s="61">
        <v>0.0</v>
      </c>
      <c r="AH433" s="60">
        <v>0.0</v>
      </c>
      <c r="AI433" s="61">
        <v>0.0</v>
      </c>
      <c r="AJ433" s="61">
        <v>0.0</v>
      </c>
      <c r="AK433" s="60">
        <v>0.0</v>
      </c>
      <c r="AL433" s="61">
        <v>8.0</v>
      </c>
      <c r="AM433" s="61">
        <v>5.0</v>
      </c>
      <c r="AN433" s="60">
        <v>13.0</v>
      </c>
      <c r="AO433" s="62">
        <v>9.0</v>
      </c>
      <c r="AP433" s="62">
        <v>5.0</v>
      </c>
      <c r="AQ433" s="60">
        <v>14.0</v>
      </c>
      <c r="AR433" s="60" t="str">
        <f>IF(Hoja1!$AQ433&gt;0,Hoja1!$AQ433,IF(Hoja1!$AN433&gt;0,Hoja1!$AN433,IF(Hoja1!$AK433&gt;0,Hoja1!$AK433,IF(Hoja1!$AH433&gt;0,Hoja1!$AH433,IF(Hoja1!$AE433&gt;0,Hoja1!$AE433,IF(Hoja1!$AB433&gt;0,Hoja1!$AB433,IF(Hoja1!$Y433&gt;0,Hoja1!$Y433,IF(Hoja1!$V433&gt;0,Hoja1!$V433," ---"))))))))</f>
        <v>14</v>
      </c>
      <c r="AS433" s="63">
        <v>0.0</v>
      </c>
      <c r="AT433" s="63">
        <v>0.0</v>
      </c>
      <c r="AU433" s="63">
        <v>0.0</v>
      </c>
      <c r="AV433" s="63">
        <v>0.0</v>
      </c>
      <c r="AW433" s="63">
        <v>0.0</v>
      </c>
      <c r="AX433" s="63">
        <v>0.0</v>
      </c>
      <c r="AY433" s="63">
        <v>0.0</v>
      </c>
      <c r="AZ433" s="63">
        <v>0.0</v>
      </c>
      <c r="BA433" s="63">
        <v>34.0</v>
      </c>
      <c r="BB433" s="63">
        <v>7.0</v>
      </c>
      <c r="BC433" s="63">
        <v>20.0</v>
      </c>
      <c r="BD433" s="63">
        <v>4.0</v>
      </c>
      <c r="BE433" s="64">
        <v>0.0</v>
      </c>
      <c r="BF433" s="69">
        <v>0.0</v>
      </c>
      <c r="BG433" s="69">
        <v>0.0</v>
      </c>
      <c r="BH433" s="64">
        <v>0.0</v>
      </c>
      <c r="BI433" s="67" t="str">
        <f>IF('[1]DATA CONSOLIDADA 2018-2025 '!$BH433&gt;'[1]DATA CONSOLIDADA 2018-2025 '!$AN433,"Incremento",IF('[1]DATA CONSOLIDADA 2018-2025 '!$AN433='[1]DATA CONSOLIDADA 2018-2025 '!$BH433,"Sin incremento",IF('[1]DATA CONSOLIDADA 2018-2025 '!$BH433&lt;'[1]DATA CONSOLIDADA 2018-2025 '!$AN433,"Disminución"," ---")))</f>
        <v>#REF!</v>
      </c>
      <c r="BJ433" s="68" t="str">
        <f>'[1]DATA CONSOLIDADA 2018-2025 '!$BH433-'[1]DATA CONSOLIDADA 2018-2025 '!$BE433</f>
        <v>#REF!</v>
      </c>
      <c r="BK433" s="69">
        <v>0.0</v>
      </c>
      <c r="BL433" s="69">
        <v>0.0</v>
      </c>
      <c r="BM433" s="64">
        <v>0.0</v>
      </c>
      <c r="BN433" s="67" t="str">
        <f>IF('[1]DATA CONSOLIDADA 2018-2025 '!$BM433&gt;'[1]DATA CONSOLIDADA 2018-2025 '!$BH433,"Incremento",IF('[1]DATA CONSOLIDADA 2018-2025 '!$BH433='[1]DATA CONSOLIDADA 2018-2025 '!$BM433,"Sin incremento",IF('[1]DATA CONSOLIDADA 2018-2025 '!$BM433&lt;'[1]DATA CONSOLIDADA 2018-2025 '!$BH433,"Disminución"," ---")))</f>
        <v>#REF!</v>
      </c>
      <c r="BO433" s="68" t="str">
        <f>'[1]DATA CONSOLIDADA 2018-2025 '!$BM433-'[1]DATA CONSOLIDADA 2018-2025 '!$BH433</f>
        <v>#REF!</v>
      </c>
      <c r="BP433" s="65">
        <v>0.0</v>
      </c>
      <c r="BQ433" s="65">
        <v>0.0</v>
      </c>
      <c r="BR433" s="66">
        <v>0.0</v>
      </c>
      <c r="BS433" s="67" t="str">
        <f>IF('[1]DATA CONSOLIDADA 2018-2025 '!$BR433&gt;'[1]DATA CONSOLIDADA 2018-2025 '!$BM433,"Incremento",IF('[1]DATA CONSOLIDADA 2018-2025 '!$BM433='[1]DATA CONSOLIDADA 2018-2025 '!$BR433,"Sin incremento",IF('[1]DATA CONSOLIDADA 2018-2025 '!$BR433&lt;'[1]DATA CONSOLIDADA 2018-2025 '!$BM433,"Disminución"," ---")))</f>
        <v>#REF!</v>
      </c>
      <c r="BT433" s="68" t="str">
        <f>'[1]DATA CONSOLIDADA 2018-2025 '!$BR433-Hoja1!$BO433</f>
        <v>#REF!</v>
      </c>
      <c r="BU433" s="69">
        <v>0.0</v>
      </c>
      <c r="BV433" s="65">
        <v>0.0</v>
      </c>
      <c r="BW433" s="66">
        <v>0.0</v>
      </c>
      <c r="BX433" s="67" t="str">
        <f>IF('[1]DATA CONSOLIDADA 2018-2025 '!$BW433&gt;'[1]DATA CONSOLIDADA 2018-2025 '!$BR433,"Incremento",IF('[1]DATA CONSOLIDADA 2018-2025 '!$BR433='[1]DATA CONSOLIDADA 2018-2025 '!$BW433,"Sin incremento",IF('[1]DATA CONSOLIDADA 2018-2025 '!$BW433&lt;'[1]DATA CONSOLIDADA 2018-2025 '!$BR433,"Disminución"," ---")))</f>
        <v>#REF!</v>
      </c>
      <c r="BY433" s="68" t="str">
        <f>'[1]DATA CONSOLIDADA 2018-2025 '!$BW433-'[1]DATA CONSOLIDADA 2018-2025 '!$BR433</f>
        <v>#REF!</v>
      </c>
      <c r="BZ433" s="65">
        <v>0.0</v>
      </c>
      <c r="CA433" s="65">
        <v>0.0</v>
      </c>
      <c r="CB433" s="66">
        <v>0.0</v>
      </c>
      <c r="CC433" s="67" t="str">
        <f>IF('[1]DATA CONSOLIDADA 2018-2025 '!$CB433&gt;'[1]DATA CONSOLIDADA 2018-2025 '!$BW433,"Incremento",IF('[1]DATA CONSOLIDADA 2018-2025 '!$BW433='[1]DATA CONSOLIDADA 2018-2025 '!$CB433,"Sin incremento",IF('[1]DATA CONSOLIDADA 2018-2025 '!$CB433&lt;'[1]DATA CONSOLIDADA 2018-2025 '!$BW433,"Disminución"," ---")))</f>
        <v>#REF!</v>
      </c>
      <c r="CD433" s="68" t="str">
        <f>'[1]DATA CONSOLIDADA 2018-2025 '!$CB433-Hoja1!$BW433</f>
        <v>#REF!</v>
      </c>
      <c r="CE433" s="70">
        <v>0.0</v>
      </c>
      <c r="CF433" s="70">
        <v>0.0</v>
      </c>
      <c r="CG433" s="71">
        <v>0.0</v>
      </c>
      <c r="CH433" s="67" t="str">
        <f>IF('[1]DATA CONSOLIDADA 2018-2025 '!$CG433&gt;'[1]DATA CONSOLIDADA 2018-2025 '!$CB433,"Incremento",IF('[1]DATA CONSOLIDADA 2018-2025 '!$CB433='[1]DATA CONSOLIDADA 2018-2025 '!$CG433,"Sin incremento",IF('[1]DATA CONSOLIDADA 2018-2025 '!$CG433&lt;'[1]DATA CONSOLIDADA 2018-2025 '!$CB433,"Disminución"," ---")))</f>
        <v>#REF!</v>
      </c>
      <c r="CI433" s="68" t="str">
        <f>'[1]DATA CONSOLIDADA 2018-2025 '!$CG433-Hoja1!$CB433</f>
        <v>#REF!</v>
      </c>
      <c r="CJ433" s="64" t="str">
        <f t="shared" si="146"/>
        <v>#REF!</v>
      </c>
      <c r="CK433" s="64">
        <v>72291.25</v>
      </c>
      <c r="CL433" s="64">
        <v>0.0</v>
      </c>
      <c r="CM433" s="64">
        <v>72291.25</v>
      </c>
      <c r="CN433" s="64" t="str">
        <f t="shared" si="12"/>
        <v>#REF!</v>
      </c>
      <c r="CO433" s="68" t="str">
        <f>'[1]DATA CONSOLIDADA 2018-2025 '!$CM433-Hoja1!$CG433</f>
        <v>#REF!</v>
      </c>
      <c r="CP433" s="70">
        <v>0.0</v>
      </c>
      <c r="CQ433" s="70">
        <v>0.0</v>
      </c>
      <c r="CR433" s="70">
        <v>0.0</v>
      </c>
      <c r="CS433" s="70">
        <v>0.0</v>
      </c>
      <c r="CT433" s="70">
        <v>0.0</v>
      </c>
      <c r="CU433" s="70">
        <v>0.0</v>
      </c>
      <c r="CV433" s="64">
        <v>0.0</v>
      </c>
      <c r="CW433" s="64">
        <v>0.0</v>
      </c>
      <c r="CX433" s="64">
        <v>0.0</v>
      </c>
      <c r="CY433" s="64">
        <v>0.0</v>
      </c>
      <c r="CZ433" s="64">
        <v>0.0</v>
      </c>
      <c r="DA433" s="64">
        <v>0.0</v>
      </c>
      <c r="DB433" s="64">
        <v>0.0</v>
      </c>
      <c r="DC433" s="72">
        <v>0.0</v>
      </c>
      <c r="DD433" s="72">
        <v>0.0</v>
      </c>
      <c r="DE433" s="72">
        <v>72291.25</v>
      </c>
      <c r="DF433" s="72">
        <v>0.0</v>
      </c>
      <c r="DG433" s="72">
        <v>0.0</v>
      </c>
      <c r="DH433" s="72">
        <v>72291.25</v>
      </c>
      <c r="DI433" s="73">
        <v>2.0612229105E10</v>
      </c>
      <c r="DJ433" s="74" t="s">
        <v>1429</v>
      </c>
      <c r="DK433" s="74" t="s">
        <v>138</v>
      </c>
      <c r="DL433" s="75"/>
      <c r="DM433" s="75"/>
      <c r="DN433" s="75"/>
      <c r="DO433" s="75"/>
      <c r="DP433" s="75"/>
      <c r="DQ433" s="75"/>
      <c r="DR433" s="75"/>
      <c r="DS433" s="75"/>
      <c r="DT433" s="75"/>
      <c r="DU433" s="75"/>
      <c r="DV433" s="75"/>
      <c r="DW433" s="75"/>
      <c r="DX433" s="75"/>
      <c r="DY433" s="75"/>
      <c r="DZ433" s="75"/>
      <c r="EA433" s="75"/>
      <c r="EB433" s="75"/>
      <c r="EC433" s="75"/>
      <c r="ED433" s="75"/>
      <c r="EE433" s="75"/>
    </row>
    <row r="434" ht="47.25" customHeight="1">
      <c r="A434" s="55" t="s">
        <v>1430</v>
      </c>
      <c r="B434" s="55" t="s">
        <v>146</v>
      </c>
      <c r="C434" s="55" t="s">
        <v>146</v>
      </c>
      <c r="D434" s="55" t="s">
        <v>1149</v>
      </c>
      <c r="E434" s="55" t="s">
        <v>1177</v>
      </c>
      <c r="F434" s="55" t="s">
        <v>1149</v>
      </c>
      <c r="G434" s="55" t="s">
        <v>1156</v>
      </c>
      <c r="H434" s="55" t="s">
        <v>1178</v>
      </c>
      <c r="I434" s="56">
        <v>1.0</v>
      </c>
      <c r="J434" s="56"/>
      <c r="K434" s="56"/>
      <c r="L434" s="56"/>
      <c r="M434" s="56"/>
      <c r="N434" s="56"/>
      <c r="O434" s="56"/>
      <c r="P434" s="56"/>
      <c r="Q434" s="56" t="s">
        <v>131</v>
      </c>
      <c r="R434" s="58" t="str">
        <f t="shared" si="1"/>
        <v>2018</v>
      </c>
      <c r="S434" s="59" t="str">
        <f>SUM(Hoja1!$I434:$P434)</f>
        <v>1</v>
      </c>
      <c r="T434" s="59" t="str">
        <f>IF(OR(Hoja1!$J434=1,Hoja1!$K434=1,Hoja1!$L434=1,Hoja1!$M434=1,Hoja1!$N434=1,Hoja1!$O434=1,Hoja1!$P434=1),"SI","NO")</f>
        <v>NO</v>
      </c>
      <c r="U434" s="59" t="str">
        <f>IF(OR(Hoja1!$K434=1,Hoja1!$L434=1,Hoja1!$M434=1,Hoja1!$N434=1,Hoja1!$O434=1,Hoja1!$P434=1),"SI","NO")</f>
        <v>NO</v>
      </c>
      <c r="V434" s="60">
        <v>193.0</v>
      </c>
      <c r="W434" s="61">
        <v>0.0</v>
      </c>
      <c r="X434" s="61">
        <v>0.0</v>
      </c>
      <c r="Y434" s="60">
        <v>0.0</v>
      </c>
      <c r="Z434" s="61">
        <v>0.0</v>
      </c>
      <c r="AA434" s="61">
        <v>0.0</v>
      </c>
      <c r="AB434" s="60">
        <v>0.0</v>
      </c>
      <c r="AC434" s="61">
        <v>0.0</v>
      </c>
      <c r="AD434" s="61">
        <v>0.0</v>
      </c>
      <c r="AE434" s="60">
        <v>0.0</v>
      </c>
      <c r="AF434" s="61">
        <v>0.0</v>
      </c>
      <c r="AG434" s="61">
        <v>0.0</v>
      </c>
      <c r="AH434" s="60">
        <v>0.0</v>
      </c>
      <c r="AI434" s="61">
        <v>0.0</v>
      </c>
      <c r="AJ434" s="61">
        <v>0.0</v>
      </c>
      <c r="AK434" s="60">
        <v>0.0</v>
      </c>
      <c r="AL434" s="61">
        <v>0.0</v>
      </c>
      <c r="AM434" s="61">
        <v>0.0</v>
      </c>
      <c r="AN434" s="60">
        <v>0.0</v>
      </c>
      <c r="AO434" s="62">
        <v>0.0</v>
      </c>
      <c r="AP434" s="62">
        <v>0.0</v>
      </c>
      <c r="AQ434" s="60">
        <v>0.0</v>
      </c>
      <c r="AR434" s="60" t="str">
        <f>IF(Hoja1!$AQ434&gt;0,Hoja1!$AQ434,IF(Hoja1!$AN434&gt;0,Hoja1!$AN434,IF(Hoja1!$AK434&gt;0,Hoja1!$AK434,IF(Hoja1!$AH434&gt;0,Hoja1!$AH434,IF(Hoja1!$AE434&gt;0,Hoja1!$AE434,IF(Hoja1!$AB434&gt;0,Hoja1!$AB434,IF(Hoja1!$Y434&gt;0,Hoja1!$Y434,IF(Hoja1!$V434&gt;0,Hoja1!$V434," ---"))))))))</f>
        <v>193</v>
      </c>
      <c r="AS434" s="63">
        <v>0.0</v>
      </c>
      <c r="AT434" s="63">
        <v>0.0</v>
      </c>
      <c r="AU434" s="63">
        <v>0.0</v>
      </c>
      <c r="AV434" s="63">
        <v>0.0</v>
      </c>
      <c r="AW434" s="63">
        <v>0.0</v>
      </c>
      <c r="AX434" s="63">
        <v>0.0</v>
      </c>
      <c r="AY434" s="63">
        <v>0.0</v>
      </c>
      <c r="AZ434" s="63">
        <v>0.0</v>
      </c>
      <c r="BA434" s="63">
        <v>0.0</v>
      </c>
      <c r="BB434" s="63">
        <v>0.0</v>
      </c>
      <c r="BC434" s="63">
        <v>0.0</v>
      </c>
      <c r="BD434" s="63">
        <v>0.0</v>
      </c>
      <c r="BE434" s="64">
        <v>0.0</v>
      </c>
      <c r="BF434" s="65">
        <v>0.0</v>
      </c>
      <c r="BG434" s="65">
        <v>0.0</v>
      </c>
      <c r="BH434" s="66">
        <v>0.0</v>
      </c>
      <c r="BI434" s="67" t="str">
        <f>IF('[1]DATA CONSOLIDADA 2018-2025 '!$BH314&gt;'[1]DATA CONSOLIDADA 2018-2025 '!$AN314,"Incremento",IF('[1]DATA CONSOLIDADA 2018-2025 '!$AN314='[1]DATA CONSOLIDADA 2018-2025 '!$BH314,"Sin incremento",IF('[1]DATA CONSOLIDADA 2018-2025 '!$BH314&lt;'[1]DATA CONSOLIDADA 2018-2025 '!$AN314,"Disminución"," ---")))</f>
        <v>#REF!</v>
      </c>
      <c r="BJ434" s="68" t="str">
        <f>'[1]DATA CONSOLIDADA 2018-2025 '!$BH314-'[1]DATA CONSOLIDADA 2018-2025 '!$BE314</f>
        <v>#REF!</v>
      </c>
      <c r="BK434" s="65">
        <v>0.0</v>
      </c>
      <c r="BL434" s="65">
        <v>0.0</v>
      </c>
      <c r="BM434" s="66">
        <v>0.0</v>
      </c>
      <c r="BN434" s="67" t="str">
        <f>IF('[1]DATA CONSOLIDADA 2018-2025 '!$BM314&gt;'[1]DATA CONSOLIDADA 2018-2025 '!$BH314,"Incremento",IF('[1]DATA CONSOLIDADA 2018-2025 '!$BH314='[1]DATA CONSOLIDADA 2018-2025 '!$BM314,"Sin incremento",IF('[1]DATA CONSOLIDADA 2018-2025 '!$BM314&lt;'[1]DATA CONSOLIDADA 2018-2025 '!$BH314,"Disminución"," ---")))</f>
        <v>#REF!</v>
      </c>
      <c r="BO434" s="68" t="str">
        <f>'[1]DATA CONSOLIDADA 2018-2025 '!$BM314-'[1]DATA CONSOLIDADA 2018-2025 '!$BH314</f>
        <v>#REF!</v>
      </c>
      <c r="BP434" s="65">
        <v>0.0</v>
      </c>
      <c r="BQ434" s="65">
        <v>0.0</v>
      </c>
      <c r="BR434" s="66">
        <v>0.0</v>
      </c>
      <c r="BS434" s="67" t="str">
        <f>IF('[1]DATA CONSOLIDADA 2018-2025 '!$BR314&gt;'[1]DATA CONSOLIDADA 2018-2025 '!$BM314,"Incremento",IF('[1]DATA CONSOLIDADA 2018-2025 '!$BM314='[1]DATA CONSOLIDADA 2018-2025 '!$BR314,"Sin incremento",IF('[1]DATA CONSOLIDADA 2018-2025 '!$BR314&lt;'[1]DATA CONSOLIDADA 2018-2025 '!$BM314,"Disminución"," ---")))</f>
        <v>#REF!</v>
      </c>
      <c r="BT434" s="68" t="str">
        <f>'[1]DATA CONSOLIDADA 2018-2025 '!$BR434-Hoja1!$BO434</f>
        <v>#REF!</v>
      </c>
      <c r="BU434" s="65">
        <v>0.0</v>
      </c>
      <c r="BV434" s="65">
        <v>0.0</v>
      </c>
      <c r="BW434" s="66">
        <v>0.0</v>
      </c>
      <c r="BX434" s="67" t="str">
        <f>IF('[1]DATA CONSOLIDADA 2018-2025 '!$BW314&gt;'[1]DATA CONSOLIDADA 2018-2025 '!$BR314,"Incremento",IF('[1]DATA CONSOLIDADA 2018-2025 '!$BR314='[1]DATA CONSOLIDADA 2018-2025 '!$BW314,"Sin incremento",IF('[1]DATA CONSOLIDADA 2018-2025 '!$BW314&lt;'[1]DATA CONSOLIDADA 2018-2025 '!$BR314,"Disminución"," ---")))</f>
        <v>#REF!</v>
      </c>
      <c r="BY434" s="68" t="str">
        <f>'[1]DATA CONSOLIDADA 2018-2025 '!$BW314-'[1]DATA CONSOLIDADA 2018-2025 '!$BR314</f>
        <v>#REF!</v>
      </c>
      <c r="BZ434" s="65">
        <v>0.0</v>
      </c>
      <c r="CA434" s="65">
        <v>0.0</v>
      </c>
      <c r="CB434" s="66">
        <v>0.0</v>
      </c>
      <c r="CC434" s="67" t="str">
        <f>IF('[1]DATA CONSOLIDADA 2018-2025 '!$CB314&gt;'[1]DATA CONSOLIDADA 2018-2025 '!$BW314,"Incremento",IF('[1]DATA CONSOLIDADA 2018-2025 '!$BW314='[1]DATA CONSOLIDADA 2018-2025 '!$CB314,"Sin incremento",IF('[1]DATA CONSOLIDADA 2018-2025 '!$CB314&lt;'[1]DATA CONSOLIDADA 2018-2025 '!$BW314,"Disminución"," ---")))</f>
        <v>#REF!</v>
      </c>
      <c r="CD434" s="68" t="str">
        <f>'[1]DATA CONSOLIDADA 2018-2025 '!$CB434-Hoja1!$BW434</f>
        <v>#REF!</v>
      </c>
      <c r="CE434" s="70">
        <v>0.0</v>
      </c>
      <c r="CF434" s="70">
        <v>0.0</v>
      </c>
      <c r="CG434" s="71">
        <v>0.0</v>
      </c>
      <c r="CH434" s="67" t="str">
        <f>IF('[1]DATA CONSOLIDADA 2018-2025 '!$CG314&gt;'[1]DATA CONSOLIDADA 2018-2025 '!$CB314,"Incremento",IF('[1]DATA CONSOLIDADA 2018-2025 '!$CB314='[1]DATA CONSOLIDADA 2018-2025 '!$CG314,"Sin incremento",IF('[1]DATA CONSOLIDADA 2018-2025 '!$CG314&lt;'[1]DATA CONSOLIDADA 2018-2025 '!$CB314,"Disminución"," ---")))</f>
        <v>#REF!</v>
      </c>
      <c r="CI434" s="68" t="str">
        <f>'[1]DATA CONSOLIDADA 2018-2025 '!$CG434-Hoja1!$CB434</f>
        <v>#REF!</v>
      </c>
      <c r="CJ434" s="64" t="str">
        <f t="shared" si="146"/>
        <v>#REF!</v>
      </c>
      <c r="CK434" s="64">
        <v>0.0</v>
      </c>
      <c r="CL434" s="64">
        <v>0.0</v>
      </c>
      <c r="CM434" s="64">
        <v>0.0</v>
      </c>
      <c r="CN434" s="64" t="str">
        <f t="shared" si="12"/>
        <v>#REF!</v>
      </c>
      <c r="CO434" s="68" t="str">
        <f>'[1]DATA CONSOLIDADA 2018-2025 '!$CM434-Hoja1!$CG434</f>
        <v>#REF!</v>
      </c>
      <c r="CP434" s="70">
        <v>0.0</v>
      </c>
      <c r="CQ434" s="70">
        <v>0.0</v>
      </c>
      <c r="CR434" s="70">
        <v>0.0</v>
      </c>
      <c r="CS434" s="70">
        <v>0.0</v>
      </c>
      <c r="CT434" s="70">
        <v>0.0</v>
      </c>
      <c r="CU434" s="70">
        <v>0.0</v>
      </c>
      <c r="CV434" s="64">
        <v>0.0</v>
      </c>
      <c r="CW434" s="64">
        <v>0.0</v>
      </c>
      <c r="CX434" s="64">
        <v>0.0</v>
      </c>
      <c r="CY434" s="64">
        <v>0.0</v>
      </c>
      <c r="CZ434" s="64">
        <v>0.0</v>
      </c>
      <c r="DA434" s="64">
        <v>0.0</v>
      </c>
      <c r="DB434" s="64">
        <v>0.0</v>
      </c>
      <c r="DC434" s="72">
        <v>0.0</v>
      </c>
      <c r="DD434" s="72">
        <v>0.0</v>
      </c>
      <c r="DE434" s="72">
        <v>0.0</v>
      </c>
      <c r="DF434" s="72">
        <v>0.0</v>
      </c>
      <c r="DG434" s="72">
        <v>0.0</v>
      </c>
      <c r="DH434" s="72">
        <v>0.0</v>
      </c>
      <c r="DI434" s="73">
        <v>2.0352417018E10</v>
      </c>
      <c r="DJ434" s="74" t="s">
        <v>1430</v>
      </c>
      <c r="DK434" s="74" t="s">
        <v>132</v>
      </c>
      <c r="DL434" s="75"/>
      <c r="DM434" s="75"/>
      <c r="DN434" s="75"/>
      <c r="DO434" s="75"/>
      <c r="DP434" s="75"/>
      <c r="DQ434" s="75"/>
      <c r="DR434" s="75"/>
      <c r="DS434" s="75"/>
      <c r="DT434" s="75"/>
      <c r="DU434" s="75"/>
      <c r="DV434" s="75"/>
      <c r="DW434" s="75"/>
      <c r="DX434" s="75"/>
      <c r="DY434" s="75"/>
      <c r="DZ434" s="75"/>
      <c r="EA434" s="75"/>
      <c r="EB434" s="75"/>
      <c r="EC434" s="75"/>
      <c r="ED434" s="75"/>
      <c r="EE434" s="75"/>
    </row>
    <row r="435" ht="47.25" customHeight="1">
      <c r="A435" s="55" t="s">
        <v>1431</v>
      </c>
      <c r="B435" s="55" t="s">
        <v>146</v>
      </c>
      <c r="C435" s="55" t="s">
        <v>146</v>
      </c>
      <c r="D435" s="55" t="s">
        <v>434</v>
      </c>
      <c r="E435" s="55" t="s">
        <v>487</v>
      </c>
      <c r="F435" s="55" t="s">
        <v>434</v>
      </c>
      <c r="G435" s="55" t="s">
        <v>435</v>
      </c>
      <c r="H435" s="55" t="s">
        <v>488</v>
      </c>
      <c r="I435" s="56"/>
      <c r="J435" s="56"/>
      <c r="K435" s="56"/>
      <c r="L435" s="56"/>
      <c r="M435" s="56"/>
      <c r="N435" s="56"/>
      <c r="O435" s="56">
        <v>1.0</v>
      </c>
      <c r="P435" s="56">
        <v>1.0</v>
      </c>
      <c r="Q435" s="56" t="s">
        <v>131</v>
      </c>
      <c r="R435" s="58" t="str">
        <f t="shared" si="1"/>
        <v>2024 - 2025</v>
      </c>
      <c r="S435" s="59" t="str">
        <f>SUM(Hoja1!$I435:$P435)</f>
        <v>2</v>
      </c>
      <c r="T435" s="59" t="str">
        <f>IF(OR(Hoja1!$J435=1,Hoja1!$K435=1,Hoja1!$L435=1,Hoja1!$M435=1,Hoja1!$N435=1,Hoja1!$O435=1,Hoja1!$P435=1),"SI","NO")</f>
        <v>SI</v>
      </c>
      <c r="U435" s="59" t="str">
        <f>IF(OR(Hoja1!$K435=1,Hoja1!$L435=1,Hoja1!$M435=1,Hoja1!$N435=1,Hoja1!$O435=1,Hoja1!$P435=1),"SI","NO")</f>
        <v>SI</v>
      </c>
      <c r="V435" s="60">
        <v>0.0</v>
      </c>
      <c r="W435" s="61">
        <v>0.0</v>
      </c>
      <c r="X435" s="61">
        <v>0.0</v>
      </c>
      <c r="Y435" s="60">
        <v>0.0</v>
      </c>
      <c r="Z435" s="61">
        <v>0.0</v>
      </c>
      <c r="AA435" s="61">
        <v>0.0</v>
      </c>
      <c r="AB435" s="60">
        <v>0.0</v>
      </c>
      <c r="AC435" s="61">
        <v>0.0</v>
      </c>
      <c r="AD435" s="61">
        <v>0.0</v>
      </c>
      <c r="AE435" s="60">
        <v>0.0</v>
      </c>
      <c r="AF435" s="61">
        <v>0.0</v>
      </c>
      <c r="AG435" s="61">
        <v>0.0</v>
      </c>
      <c r="AH435" s="60">
        <v>0.0</v>
      </c>
      <c r="AI435" s="61">
        <v>0.0</v>
      </c>
      <c r="AJ435" s="61">
        <v>0.0</v>
      </c>
      <c r="AK435" s="60">
        <v>0.0</v>
      </c>
      <c r="AL435" s="61">
        <v>13.0</v>
      </c>
      <c r="AM435" s="61">
        <v>10.0</v>
      </c>
      <c r="AN435" s="60">
        <v>23.0</v>
      </c>
      <c r="AO435" s="62">
        <v>14.0</v>
      </c>
      <c r="AP435" s="62">
        <v>8.0</v>
      </c>
      <c r="AQ435" s="60">
        <v>22.0</v>
      </c>
      <c r="AR435" s="60" t="str">
        <f>IF(Hoja1!$AQ435&gt;0,Hoja1!$AQ435,IF(Hoja1!$AN435&gt;0,Hoja1!$AN435,IF(Hoja1!$AK435&gt;0,Hoja1!$AK435,IF(Hoja1!$AH435&gt;0,Hoja1!$AH435,IF(Hoja1!$AE435&gt;0,Hoja1!$AE435,IF(Hoja1!$AB435&gt;0,Hoja1!$AB435,IF(Hoja1!$Y435&gt;0,Hoja1!$Y435,IF(Hoja1!$V435&gt;0,Hoja1!$V435," ---"))))))))</f>
        <v>22</v>
      </c>
      <c r="AS435" s="63">
        <v>0.0</v>
      </c>
      <c r="AT435" s="63">
        <v>0.0</v>
      </c>
      <c r="AU435" s="63">
        <v>0.0</v>
      </c>
      <c r="AV435" s="63">
        <v>0.0</v>
      </c>
      <c r="AW435" s="63">
        <v>0.0</v>
      </c>
      <c r="AX435" s="63">
        <v>0.0</v>
      </c>
      <c r="AY435" s="63">
        <v>0.0</v>
      </c>
      <c r="AZ435" s="63">
        <v>0.0</v>
      </c>
      <c r="BA435" s="63">
        <v>30.0</v>
      </c>
      <c r="BB435" s="63">
        <v>7.0</v>
      </c>
      <c r="BC435" s="63">
        <v>23.0</v>
      </c>
      <c r="BD435" s="63">
        <v>4.0</v>
      </c>
      <c r="BE435" s="64">
        <v>0.0</v>
      </c>
      <c r="BF435" s="69">
        <v>0.0</v>
      </c>
      <c r="BG435" s="69">
        <v>0.0</v>
      </c>
      <c r="BH435" s="64">
        <v>0.0</v>
      </c>
      <c r="BI435" s="67" t="str">
        <f t="shared" ref="BI435:BI436" si="147">IF('[1]DATA CONSOLIDADA 2018-2025 '!$BH435&gt;'[1]DATA CONSOLIDADA 2018-2025 '!$AN435,"Incremento",IF('[1]DATA CONSOLIDADA 2018-2025 '!$AN435='[1]DATA CONSOLIDADA 2018-2025 '!$BH435,"Sin incremento",IF('[1]DATA CONSOLIDADA 2018-2025 '!$BH435&lt;'[1]DATA CONSOLIDADA 2018-2025 '!$AN435,"Disminución"," ---")))</f>
        <v>#REF!</v>
      </c>
      <c r="BJ435" s="68" t="str">
        <f t="shared" ref="BJ435:BJ436" si="148">'[1]DATA CONSOLIDADA 2018-2025 '!$BH435-'[1]DATA CONSOLIDADA 2018-2025 '!$BE435</f>
        <v>#REF!</v>
      </c>
      <c r="BK435" s="69">
        <v>0.0</v>
      </c>
      <c r="BL435" s="69">
        <v>0.0</v>
      </c>
      <c r="BM435" s="64">
        <v>0.0</v>
      </c>
      <c r="BN435" s="67" t="str">
        <f t="shared" ref="BN435:BN436" si="149">IF('[1]DATA CONSOLIDADA 2018-2025 '!$BM435&gt;'[1]DATA CONSOLIDADA 2018-2025 '!$BH435,"Incremento",IF('[1]DATA CONSOLIDADA 2018-2025 '!$BH435='[1]DATA CONSOLIDADA 2018-2025 '!$BM435,"Sin incremento",IF('[1]DATA CONSOLIDADA 2018-2025 '!$BM435&lt;'[1]DATA CONSOLIDADA 2018-2025 '!$BH435,"Disminución"," ---")))</f>
        <v>#REF!</v>
      </c>
      <c r="BO435" s="68" t="str">
        <f t="shared" ref="BO435:BO436" si="150">'[1]DATA CONSOLIDADA 2018-2025 '!$BM435-'[1]DATA CONSOLIDADA 2018-2025 '!$BH435</f>
        <v>#REF!</v>
      </c>
      <c r="BP435" s="65">
        <v>0.0</v>
      </c>
      <c r="BQ435" s="65">
        <v>0.0</v>
      </c>
      <c r="BR435" s="66">
        <v>0.0</v>
      </c>
      <c r="BS435" s="67" t="str">
        <f t="shared" ref="BS435:BS436" si="151">IF('[1]DATA CONSOLIDADA 2018-2025 '!$BR435&gt;'[1]DATA CONSOLIDADA 2018-2025 '!$BM435,"Incremento",IF('[1]DATA CONSOLIDADA 2018-2025 '!$BM435='[1]DATA CONSOLIDADA 2018-2025 '!$BR435,"Sin incremento",IF('[1]DATA CONSOLIDADA 2018-2025 '!$BR435&lt;'[1]DATA CONSOLIDADA 2018-2025 '!$BM435,"Disminución"," ---")))</f>
        <v>#REF!</v>
      </c>
      <c r="BT435" s="68" t="str">
        <f>'[1]DATA CONSOLIDADA 2018-2025 '!$BR435-Hoja1!$BO435</f>
        <v>#REF!</v>
      </c>
      <c r="BU435" s="69">
        <v>0.0</v>
      </c>
      <c r="BV435" s="65">
        <v>0.0</v>
      </c>
      <c r="BW435" s="66">
        <v>0.0</v>
      </c>
      <c r="BX435" s="67" t="str">
        <f t="shared" ref="BX435:BX436" si="152">IF('[1]DATA CONSOLIDADA 2018-2025 '!$BW435&gt;'[1]DATA CONSOLIDADA 2018-2025 '!$BR435,"Incremento",IF('[1]DATA CONSOLIDADA 2018-2025 '!$BR435='[1]DATA CONSOLIDADA 2018-2025 '!$BW435,"Sin incremento",IF('[1]DATA CONSOLIDADA 2018-2025 '!$BW435&lt;'[1]DATA CONSOLIDADA 2018-2025 '!$BR435,"Disminución"," ---")))</f>
        <v>#REF!</v>
      </c>
      <c r="BY435" s="68" t="str">
        <f t="shared" ref="BY435:BY436" si="153">'[1]DATA CONSOLIDADA 2018-2025 '!$BW435-'[1]DATA CONSOLIDADA 2018-2025 '!$BR435</f>
        <v>#REF!</v>
      </c>
      <c r="BZ435" s="65">
        <v>0.0</v>
      </c>
      <c r="CA435" s="65">
        <v>0.0</v>
      </c>
      <c r="CB435" s="66">
        <v>0.0</v>
      </c>
      <c r="CC435" s="67" t="str">
        <f t="shared" ref="CC435:CC436" si="154">IF('[1]DATA CONSOLIDADA 2018-2025 '!$CB435&gt;'[1]DATA CONSOLIDADA 2018-2025 '!$BW435,"Incremento",IF('[1]DATA CONSOLIDADA 2018-2025 '!$BW435='[1]DATA CONSOLIDADA 2018-2025 '!$CB435,"Sin incremento",IF('[1]DATA CONSOLIDADA 2018-2025 '!$CB435&lt;'[1]DATA CONSOLIDADA 2018-2025 '!$BW435,"Disminución"," ---")))</f>
        <v>#REF!</v>
      </c>
      <c r="CD435" s="68" t="str">
        <f>'[1]DATA CONSOLIDADA 2018-2025 '!$CB435-Hoja1!$BW435</f>
        <v>#REF!</v>
      </c>
      <c r="CE435" s="70">
        <v>503500.0</v>
      </c>
      <c r="CF435" s="70">
        <v>0.0</v>
      </c>
      <c r="CG435" s="71">
        <v>503500.0</v>
      </c>
      <c r="CH435" s="67" t="str">
        <f t="shared" ref="CH435:CH436" si="155">IF('[1]DATA CONSOLIDADA 2018-2025 '!$CG435&gt;'[1]DATA CONSOLIDADA 2018-2025 '!$CB435,"Incremento",IF('[1]DATA CONSOLIDADA 2018-2025 '!$CB435='[1]DATA CONSOLIDADA 2018-2025 '!$CG435,"Sin incremento",IF('[1]DATA CONSOLIDADA 2018-2025 '!$CG435&lt;'[1]DATA CONSOLIDADA 2018-2025 '!$CB435,"Disminución"," ---")))</f>
        <v>#REF!</v>
      </c>
      <c r="CI435" s="68" t="str">
        <f>'[1]DATA CONSOLIDADA 2018-2025 '!$CG435-Hoja1!$CB435</f>
        <v>#REF!</v>
      </c>
      <c r="CJ435" s="64" t="str">
        <f t="shared" si="146"/>
        <v>#REF!</v>
      </c>
      <c r="CK435" s="64">
        <v>1204150.0</v>
      </c>
      <c r="CL435" s="64">
        <v>0.0</v>
      </c>
      <c r="CM435" s="64">
        <v>1204150.0</v>
      </c>
      <c r="CN435" s="64" t="str">
        <f t="shared" si="12"/>
        <v>#REF!</v>
      </c>
      <c r="CO435" s="68" t="str">
        <f>'[1]DATA CONSOLIDADA 2018-2025 '!$CM435-Hoja1!$CG435</f>
        <v>#REF!</v>
      </c>
      <c r="CP435" s="70">
        <v>0.0</v>
      </c>
      <c r="CQ435" s="70">
        <v>0.0</v>
      </c>
      <c r="CR435" s="70">
        <v>0.0</v>
      </c>
      <c r="CS435" s="70">
        <v>0.0</v>
      </c>
      <c r="CT435" s="70">
        <v>0.0</v>
      </c>
      <c r="CU435" s="70">
        <v>0.0</v>
      </c>
      <c r="CV435" s="64">
        <v>0.0</v>
      </c>
      <c r="CW435" s="64">
        <v>0.0</v>
      </c>
      <c r="CX435" s="64">
        <v>0.0</v>
      </c>
      <c r="CY435" s="64">
        <v>503500.0</v>
      </c>
      <c r="CZ435" s="64">
        <v>0.0</v>
      </c>
      <c r="DA435" s="64">
        <v>0.0</v>
      </c>
      <c r="DB435" s="64">
        <v>503500.0</v>
      </c>
      <c r="DC435" s="72">
        <v>0.0</v>
      </c>
      <c r="DD435" s="72">
        <v>0.0</v>
      </c>
      <c r="DE435" s="72">
        <v>1204150.0</v>
      </c>
      <c r="DF435" s="72">
        <v>0.0</v>
      </c>
      <c r="DG435" s="72">
        <v>0.0</v>
      </c>
      <c r="DH435" s="72">
        <v>1204150.0</v>
      </c>
      <c r="DI435" s="73">
        <v>2.0603829515E10</v>
      </c>
      <c r="DJ435" s="74" t="s">
        <v>1432</v>
      </c>
      <c r="DK435" s="74" t="s">
        <v>138</v>
      </c>
      <c r="DL435" s="75"/>
      <c r="DM435" s="75"/>
      <c r="DN435" s="75"/>
      <c r="DO435" s="75"/>
      <c r="DP435" s="75"/>
      <c r="DQ435" s="75"/>
      <c r="DR435" s="75"/>
      <c r="DS435" s="75"/>
      <c r="DT435" s="75"/>
      <c r="DU435" s="75"/>
      <c r="DV435" s="75"/>
      <c r="DW435" s="75"/>
      <c r="DX435" s="75"/>
      <c r="DY435" s="75"/>
      <c r="DZ435" s="75"/>
      <c r="EA435" s="75"/>
      <c r="EB435" s="75"/>
      <c r="EC435" s="75"/>
      <c r="ED435" s="75"/>
      <c r="EE435" s="75"/>
    </row>
    <row r="436" ht="47.25" customHeight="1">
      <c r="A436" s="55" t="s">
        <v>1433</v>
      </c>
      <c r="B436" s="55" t="s">
        <v>146</v>
      </c>
      <c r="C436" s="55" t="s">
        <v>146</v>
      </c>
      <c r="D436" s="55" t="s">
        <v>434</v>
      </c>
      <c r="E436" s="55" t="s">
        <v>487</v>
      </c>
      <c r="F436" s="55" t="s">
        <v>434</v>
      </c>
      <c r="G436" s="55" t="s">
        <v>435</v>
      </c>
      <c r="H436" s="55" t="s">
        <v>488</v>
      </c>
      <c r="I436" s="56"/>
      <c r="J436" s="56"/>
      <c r="K436" s="56"/>
      <c r="L436" s="56"/>
      <c r="M436" s="56"/>
      <c r="N436" s="56"/>
      <c r="O436" s="56">
        <v>1.0</v>
      </c>
      <c r="P436" s="56">
        <v>1.0</v>
      </c>
      <c r="Q436" s="56" t="s">
        <v>131</v>
      </c>
      <c r="R436" s="58" t="str">
        <f t="shared" si="1"/>
        <v>2024 - 2025</v>
      </c>
      <c r="S436" s="59" t="str">
        <f>SUM(Hoja1!$I436:$P436)</f>
        <v>2</v>
      </c>
      <c r="T436" s="59" t="str">
        <f>IF(OR(Hoja1!$J436=1,Hoja1!$K436=1,Hoja1!$L436=1,Hoja1!$M436=1,Hoja1!$N436=1,Hoja1!$O436=1,Hoja1!$P436=1),"SI","NO")</f>
        <v>SI</v>
      </c>
      <c r="U436" s="59" t="str">
        <f>IF(OR(Hoja1!$K436=1,Hoja1!$L436=1,Hoja1!$M436=1,Hoja1!$N436=1,Hoja1!$O436=1,Hoja1!$P436=1),"SI","NO")</f>
        <v>SI</v>
      </c>
      <c r="V436" s="60">
        <v>0.0</v>
      </c>
      <c r="W436" s="61">
        <v>0.0</v>
      </c>
      <c r="X436" s="61">
        <v>0.0</v>
      </c>
      <c r="Y436" s="60">
        <v>0.0</v>
      </c>
      <c r="Z436" s="61">
        <v>0.0</v>
      </c>
      <c r="AA436" s="61">
        <v>0.0</v>
      </c>
      <c r="AB436" s="60">
        <v>0.0</v>
      </c>
      <c r="AC436" s="61">
        <v>0.0</v>
      </c>
      <c r="AD436" s="61">
        <v>0.0</v>
      </c>
      <c r="AE436" s="60">
        <v>0.0</v>
      </c>
      <c r="AF436" s="61">
        <v>0.0</v>
      </c>
      <c r="AG436" s="61">
        <v>0.0</v>
      </c>
      <c r="AH436" s="60">
        <v>0.0</v>
      </c>
      <c r="AI436" s="61">
        <v>0.0</v>
      </c>
      <c r="AJ436" s="61">
        <v>0.0</v>
      </c>
      <c r="AK436" s="60">
        <v>0.0</v>
      </c>
      <c r="AL436" s="61">
        <v>24.0</v>
      </c>
      <c r="AM436" s="61">
        <v>8.0</v>
      </c>
      <c r="AN436" s="60">
        <v>32.0</v>
      </c>
      <c r="AO436" s="62">
        <v>23.0</v>
      </c>
      <c r="AP436" s="62">
        <v>8.0</v>
      </c>
      <c r="AQ436" s="60">
        <v>31.0</v>
      </c>
      <c r="AR436" s="60" t="str">
        <f>IF(Hoja1!$AQ436&gt;0,Hoja1!$AQ436,IF(Hoja1!$AN436&gt;0,Hoja1!$AN436,IF(Hoja1!$AK436&gt;0,Hoja1!$AK436,IF(Hoja1!$AH436&gt;0,Hoja1!$AH436,IF(Hoja1!$AE436&gt;0,Hoja1!$AE436,IF(Hoja1!$AB436&gt;0,Hoja1!$AB436,IF(Hoja1!$Y436&gt;0,Hoja1!$Y436,IF(Hoja1!$V436&gt;0,Hoja1!$V436," ---"))))))))</f>
        <v>31</v>
      </c>
      <c r="AS436" s="63">
        <v>0.0</v>
      </c>
      <c r="AT436" s="63">
        <v>0.0</v>
      </c>
      <c r="AU436" s="63">
        <v>0.0</v>
      </c>
      <c r="AV436" s="63">
        <v>0.0</v>
      </c>
      <c r="AW436" s="63">
        <v>0.0</v>
      </c>
      <c r="AX436" s="63">
        <v>0.0</v>
      </c>
      <c r="AY436" s="63">
        <v>0.0</v>
      </c>
      <c r="AZ436" s="63">
        <v>0.0</v>
      </c>
      <c r="BA436" s="63">
        <v>11.0</v>
      </c>
      <c r="BB436" s="63">
        <v>3.0</v>
      </c>
      <c r="BC436" s="63">
        <v>15.0</v>
      </c>
      <c r="BD436" s="63">
        <v>3.0</v>
      </c>
      <c r="BE436" s="64">
        <v>0.0</v>
      </c>
      <c r="BF436" s="69">
        <v>0.0</v>
      </c>
      <c r="BG436" s="69">
        <v>0.0</v>
      </c>
      <c r="BH436" s="64">
        <v>0.0</v>
      </c>
      <c r="BI436" s="67" t="str">
        <f t="shared" si="147"/>
        <v>#REF!</v>
      </c>
      <c r="BJ436" s="68" t="str">
        <f t="shared" si="148"/>
        <v>#REF!</v>
      </c>
      <c r="BK436" s="69">
        <v>0.0</v>
      </c>
      <c r="BL436" s="69">
        <v>0.0</v>
      </c>
      <c r="BM436" s="64">
        <v>0.0</v>
      </c>
      <c r="BN436" s="67" t="str">
        <f t="shared" si="149"/>
        <v>#REF!</v>
      </c>
      <c r="BO436" s="68" t="str">
        <f t="shared" si="150"/>
        <v>#REF!</v>
      </c>
      <c r="BP436" s="65">
        <v>0.0</v>
      </c>
      <c r="BQ436" s="65">
        <v>0.0</v>
      </c>
      <c r="BR436" s="66">
        <v>0.0</v>
      </c>
      <c r="BS436" s="67" t="str">
        <f t="shared" si="151"/>
        <v>#REF!</v>
      </c>
      <c r="BT436" s="68" t="str">
        <f>'[1]DATA CONSOLIDADA 2018-2025 '!$BR436-Hoja1!$BO436</f>
        <v>#REF!</v>
      </c>
      <c r="BU436" s="69">
        <v>0.0</v>
      </c>
      <c r="BV436" s="65">
        <v>0.0</v>
      </c>
      <c r="BW436" s="66">
        <v>0.0</v>
      </c>
      <c r="BX436" s="67" t="str">
        <f t="shared" si="152"/>
        <v>#REF!</v>
      </c>
      <c r="BY436" s="68" t="str">
        <f t="shared" si="153"/>
        <v>#REF!</v>
      </c>
      <c r="BZ436" s="65">
        <v>0.0</v>
      </c>
      <c r="CA436" s="65">
        <v>0.0</v>
      </c>
      <c r="CB436" s="66">
        <v>0.0</v>
      </c>
      <c r="CC436" s="67" t="str">
        <f t="shared" si="154"/>
        <v>#REF!</v>
      </c>
      <c r="CD436" s="68" t="str">
        <f>'[1]DATA CONSOLIDADA 2018-2025 '!$CB436-Hoja1!$BW436</f>
        <v>#REF!</v>
      </c>
      <c r="CE436" s="70">
        <v>186000.0</v>
      </c>
      <c r="CF436" s="70">
        <v>0.0</v>
      </c>
      <c r="CG436" s="71">
        <v>186000.0</v>
      </c>
      <c r="CH436" s="67" t="str">
        <f t="shared" si="155"/>
        <v>#REF!</v>
      </c>
      <c r="CI436" s="68" t="str">
        <f>'[1]DATA CONSOLIDADA 2018-2025 '!$CG436-Hoja1!$CB436</f>
        <v>#REF!</v>
      </c>
      <c r="CJ436" s="64" t="str">
        <f t="shared" si="146"/>
        <v>#REF!</v>
      </c>
      <c r="CK436" s="64">
        <v>318000.0</v>
      </c>
      <c r="CL436" s="64">
        <v>0.0</v>
      </c>
      <c r="CM436" s="64">
        <v>318000.0</v>
      </c>
      <c r="CN436" s="64" t="str">
        <f t="shared" si="12"/>
        <v>#REF!</v>
      </c>
      <c r="CO436" s="68" t="str">
        <f>'[1]DATA CONSOLIDADA 2018-2025 '!$CM436-Hoja1!$CG436</f>
        <v>#REF!</v>
      </c>
      <c r="CP436" s="70">
        <v>0.0</v>
      </c>
      <c r="CQ436" s="70">
        <v>0.0</v>
      </c>
      <c r="CR436" s="70">
        <v>0.0</v>
      </c>
      <c r="CS436" s="70">
        <v>0.0</v>
      </c>
      <c r="CT436" s="70">
        <v>0.0</v>
      </c>
      <c r="CU436" s="70">
        <v>0.0</v>
      </c>
      <c r="CV436" s="64">
        <v>0.0</v>
      </c>
      <c r="CW436" s="64">
        <v>0.0</v>
      </c>
      <c r="CX436" s="64">
        <v>62000.0</v>
      </c>
      <c r="CY436" s="64">
        <v>124000.0</v>
      </c>
      <c r="CZ436" s="64">
        <v>0.0</v>
      </c>
      <c r="DA436" s="64">
        <v>0.0</v>
      </c>
      <c r="DB436" s="64">
        <v>186000.0</v>
      </c>
      <c r="DC436" s="72">
        <v>0.0</v>
      </c>
      <c r="DD436" s="72">
        <v>0.0</v>
      </c>
      <c r="DE436" s="72">
        <v>318000.0</v>
      </c>
      <c r="DF436" s="72">
        <v>0.0</v>
      </c>
      <c r="DG436" s="72">
        <v>0.0</v>
      </c>
      <c r="DH436" s="72">
        <v>318000.0</v>
      </c>
      <c r="DI436" s="73">
        <v>2.0603842511E10</v>
      </c>
      <c r="DJ436" s="74" t="s">
        <v>1434</v>
      </c>
      <c r="DK436" s="74" t="s">
        <v>138</v>
      </c>
      <c r="DL436" s="75"/>
      <c r="DM436" s="75"/>
      <c r="DN436" s="75"/>
      <c r="DO436" s="75"/>
      <c r="DP436" s="75"/>
      <c r="DQ436" s="75"/>
      <c r="DR436" s="75"/>
      <c r="DS436" s="75"/>
      <c r="DT436" s="75"/>
      <c r="DU436" s="75"/>
      <c r="DV436" s="75"/>
      <c r="DW436" s="75"/>
      <c r="DX436" s="75"/>
      <c r="DY436" s="75"/>
      <c r="DZ436" s="75"/>
      <c r="EA436" s="75"/>
      <c r="EB436" s="75"/>
      <c r="EC436" s="75"/>
      <c r="ED436" s="75"/>
      <c r="EE436" s="75"/>
    </row>
    <row r="437" ht="47.25" customHeight="1">
      <c r="A437" s="55" t="s">
        <v>1435</v>
      </c>
      <c r="B437" s="55" t="s">
        <v>146</v>
      </c>
      <c r="C437" s="55" t="s">
        <v>146</v>
      </c>
      <c r="D437" s="55" t="s">
        <v>1149</v>
      </c>
      <c r="E437" s="55" t="s">
        <v>1174</v>
      </c>
      <c r="F437" s="55" t="s">
        <v>1149</v>
      </c>
      <c r="G437" s="55" t="s">
        <v>1156</v>
      </c>
      <c r="H437" s="55" t="s">
        <v>1175</v>
      </c>
      <c r="I437" s="56"/>
      <c r="J437" s="56">
        <v>1.0</v>
      </c>
      <c r="K437" s="56">
        <v>1.0</v>
      </c>
      <c r="L437" s="56">
        <v>1.0</v>
      </c>
      <c r="M437" s="56">
        <v>1.0</v>
      </c>
      <c r="N437" s="56">
        <v>1.0</v>
      </c>
      <c r="O437" s="56"/>
      <c r="P437" s="56"/>
      <c r="Q437" s="56" t="s">
        <v>131</v>
      </c>
      <c r="R437" s="58" t="str">
        <f t="shared" si="1"/>
        <v>2019-2020-2021-2022-2023</v>
      </c>
      <c r="S437" s="59" t="str">
        <f>SUM(Hoja1!$I437:$P437)</f>
        <v>5</v>
      </c>
      <c r="T437" s="59" t="str">
        <f>IF(OR(Hoja1!$J437=1,Hoja1!$K437=1,Hoja1!$L437=1,Hoja1!$M437=1,Hoja1!$N437=1,Hoja1!$O437=1,Hoja1!$P437=1),"SI","NO")</f>
        <v>SI</v>
      </c>
      <c r="U437" s="59" t="str">
        <f>IF(OR(Hoja1!$K437=1,Hoja1!$L437=1,Hoja1!$M437=1,Hoja1!$N437=1,Hoja1!$O437=1,Hoja1!$P437=1),"SI","NO")</f>
        <v>SI</v>
      </c>
      <c r="V437" s="60">
        <v>0.0</v>
      </c>
      <c r="W437" s="61">
        <v>29.0</v>
      </c>
      <c r="X437" s="61">
        <v>1.0</v>
      </c>
      <c r="Y437" s="60">
        <v>30.0</v>
      </c>
      <c r="Z437" s="61">
        <v>32.0</v>
      </c>
      <c r="AA437" s="61">
        <v>0.0</v>
      </c>
      <c r="AB437" s="60">
        <v>32.0</v>
      </c>
      <c r="AC437" s="61">
        <v>32.0</v>
      </c>
      <c r="AD437" s="61">
        <v>0.0</v>
      </c>
      <c r="AE437" s="60">
        <v>32.0</v>
      </c>
      <c r="AF437" s="61">
        <v>68.0</v>
      </c>
      <c r="AG437" s="61">
        <v>15.0</v>
      </c>
      <c r="AH437" s="60">
        <v>83.0</v>
      </c>
      <c r="AI437" s="61">
        <v>68.0</v>
      </c>
      <c r="AJ437" s="61">
        <v>15.0</v>
      </c>
      <c r="AK437" s="60">
        <v>83.0</v>
      </c>
      <c r="AL437" s="61">
        <v>0.0</v>
      </c>
      <c r="AM437" s="61">
        <v>0.0</v>
      </c>
      <c r="AN437" s="60">
        <v>0.0</v>
      </c>
      <c r="AO437" s="62">
        <v>0.0</v>
      </c>
      <c r="AP437" s="62">
        <v>0.0</v>
      </c>
      <c r="AQ437" s="60">
        <v>0.0</v>
      </c>
      <c r="AR437" s="60" t="str">
        <f>IF(Hoja1!$AQ437&gt;0,Hoja1!$AQ437,IF(Hoja1!$AN437&gt;0,Hoja1!$AN437,IF(Hoja1!$AK437&gt;0,Hoja1!$AK437,IF(Hoja1!$AH437&gt;0,Hoja1!$AH437,IF(Hoja1!$AE437&gt;0,Hoja1!$AE437,IF(Hoja1!$AB437&gt;0,Hoja1!$AB437,IF(Hoja1!$Y437&gt;0,Hoja1!$Y437,IF(Hoja1!$V437&gt;0,Hoja1!$V437," ---"))))))))</f>
        <v>83</v>
      </c>
      <c r="AS437" s="63">
        <v>0.0</v>
      </c>
      <c r="AT437" s="63">
        <v>0.0</v>
      </c>
      <c r="AU437" s="63">
        <v>33.0</v>
      </c>
      <c r="AV437" s="63">
        <v>0.0</v>
      </c>
      <c r="AW437" s="63">
        <v>33.0</v>
      </c>
      <c r="AX437" s="63">
        <v>0.0</v>
      </c>
      <c r="AY437" s="63">
        <v>46.0</v>
      </c>
      <c r="AZ437" s="63">
        <v>0.0</v>
      </c>
      <c r="BA437" s="63">
        <v>0.0</v>
      </c>
      <c r="BB437" s="63">
        <v>0.0</v>
      </c>
      <c r="BC437" s="63">
        <v>0.0</v>
      </c>
      <c r="BD437" s="63">
        <v>0.0</v>
      </c>
      <c r="BE437" s="66">
        <v>0.0</v>
      </c>
      <c r="BF437" s="65">
        <v>224423.85</v>
      </c>
      <c r="BG437" s="65">
        <v>0.0</v>
      </c>
      <c r="BH437" s="66">
        <v>224423.85</v>
      </c>
      <c r="BI437" s="67" t="str">
        <f>IF('[1]DATA CONSOLIDADA 2018-2025 '!$BH325&gt;'[1]DATA CONSOLIDADA 2018-2025 '!$AN325,"Incremento",IF('[1]DATA CONSOLIDADA 2018-2025 '!$AN325='[1]DATA CONSOLIDADA 2018-2025 '!$BH325,"Sin incremento",IF('[1]DATA CONSOLIDADA 2018-2025 '!$BH325&lt;'[1]DATA CONSOLIDADA 2018-2025 '!$AN325,"Disminución"," ---")))</f>
        <v>#REF!</v>
      </c>
      <c r="BJ437" s="68" t="str">
        <f>'[1]DATA CONSOLIDADA 2018-2025 '!$BH325-'[1]DATA CONSOLIDADA 2018-2025 '!$BE325</f>
        <v>#REF!</v>
      </c>
      <c r="BK437" s="65">
        <v>312170.55</v>
      </c>
      <c r="BL437" s="65">
        <v>0.0</v>
      </c>
      <c r="BM437" s="66">
        <v>312170.55</v>
      </c>
      <c r="BN437" s="67" t="str">
        <f>IF('[1]DATA CONSOLIDADA 2018-2025 '!$BM325&gt;'[1]DATA CONSOLIDADA 2018-2025 '!$BH325,"Incremento",IF('[1]DATA CONSOLIDADA 2018-2025 '!$BH325='[1]DATA CONSOLIDADA 2018-2025 '!$BM325,"Sin incremento",IF('[1]DATA CONSOLIDADA 2018-2025 '!$BM325&lt;'[1]DATA CONSOLIDADA 2018-2025 '!$BH325,"Disminución"," ---")))</f>
        <v>#REF!</v>
      </c>
      <c r="BO437" s="68" t="str">
        <f>'[1]DATA CONSOLIDADA 2018-2025 '!$BM325-'[1]DATA CONSOLIDADA 2018-2025 '!$BH325</f>
        <v>#REF!</v>
      </c>
      <c r="BP437" s="65">
        <v>977880.71</v>
      </c>
      <c r="BQ437" s="65">
        <v>0.0</v>
      </c>
      <c r="BR437" s="66">
        <v>977880.71</v>
      </c>
      <c r="BS437" s="67" t="str">
        <f>IF('[1]DATA CONSOLIDADA 2018-2025 '!$BR325&gt;'[1]DATA CONSOLIDADA 2018-2025 '!$BM325,"Incremento",IF('[1]DATA CONSOLIDADA 2018-2025 '!$BM325='[1]DATA CONSOLIDADA 2018-2025 '!$BR325,"Sin incremento",IF('[1]DATA CONSOLIDADA 2018-2025 '!$BR325&lt;'[1]DATA CONSOLIDADA 2018-2025 '!$BM325,"Disminución"," ---")))</f>
        <v>#REF!</v>
      </c>
      <c r="BT437" s="68" t="str">
        <f>'[1]DATA CONSOLIDADA 2018-2025 '!$BR437-Hoja1!$BO437</f>
        <v>#REF!</v>
      </c>
      <c r="BU437" s="65">
        <v>198520.61</v>
      </c>
      <c r="BV437" s="65">
        <v>0.0</v>
      </c>
      <c r="BW437" s="66">
        <v>198520.61</v>
      </c>
      <c r="BX437" s="67" t="str">
        <f>IF('[1]DATA CONSOLIDADA 2018-2025 '!$BW325&gt;'[1]DATA CONSOLIDADA 2018-2025 '!$BR325,"Incremento",IF('[1]DATA CONSOLIDADA 2018-2025 '!$BR325='[1]DATA CONSOLIDADA 2018-2025 '!$BW325,"Sin incremento",IF('[1]DATA CONSOLIDADA 2018-2025 '!$BW325&lt;'[1]DATA CONSOLIDADA 2018-2025 '!$BR325,"Disminución"," ---")))</f>
        <v>#REF!</v>
      </c>
      <c r="BY437" s="68" t="str">
        <f>'[1]DATA CONSOLIDADA 2018-2025 '!$BW325-'[1]DATA CONSOLIDADA 2018-2025 '!$BR325</f>
        <v>#REF!</v>
      </c>
      <c r="BZ437" s="65">
        <v>1094750.02</v>
      </c>
      <c r="CA437" s="65">
        <v>0.0</v>
      </c>
      <c r="CB437" s="66">
        <v>1094750.02</v>
      </c>
      <c r="CC437" s="67" t="str">
        <f>IF('[1]DATA CONSOLIDADA 2018-2025 '!$CB325&gt;'[1]DATA CONSOLIDADA 2018-2025 '!$BW325,"Incremento",IF('[1]DATA CONSOLIDADA 2018-2025 '!$BW325='[1]DATA CONSOLIDADA 2018-2025 '!$CB325,"Sin incremento",IF('[1]DATA CONSOLIDADA 2018-2025 '!$CB325&lt;'[1]DATA CONSOLIDADA 2018-2025 '!$BW325,"Disminución"," ---")))</f>
        <v>#REF!</v>
      </c>
      <c r="CD437" s="68" t="str">
        <f>'[1]DATA CONSOLIDADA 2018-2025 '!$CB437-Hoja1!$BW437</f>
        <v>#REF!</v>
      </c>
      <c r="CE437" s="70">
        <v>0.0</v>
      </c>
      <c r="CF437" s="70">
        <v>0.0</v>
      </c>
      <c r="CG437" s="71">
        <v>0.0</v>
      </c>
      <c r="CH437" s="67" t="str">
        <f>IF('[1]DATA CONSOLIDADA 2018-2025 '!$CG325&gt;'[1]DATA CONSOLIDADA 2018-2025 '!$CB325,"Incremento",IF('[1]DATA CONSOLIDADA 2018-2025 '!$CB325='[1]DATA CONSOLIDADA 2018-2025 '!$CG325,"Sin incremento",IF('[1]DATA CONSOLIDADA 2018-2025 '!$CG325&lt;'[1]DATA CONSOLIDADA 2018-2025 '!$CB325,"Disminución"," ---")))</f>
        <v>#REF!</v>
      </c>
      <c r="CI437" s="68" t="str">
        <f>'[1]DATA CONSOLIDADA 2018-2025 '!$CG437-Hoja1!$CB437</f>
        <v>#REF!</v>
      </c>
      <c r="CJ437" s="64" t="str">
        <f t="shared" si="146"/>
        <v>#REF!</v>
      </c>
      <c r="CK437" s="64">
        <v>0.0</v>
      </c>
      <c r="CL437" s="64">
        <v>0.0</v>
      </c>
      <c r="CM437" s="64">
        <v>0.0</v>
      </c>
      <c r="CN437" s="64" t="str">
        <f t="shared" si="12"/>
        <v>#REF!</v>
      </c>
      <c r="CO437" s="68" t="str">
        <f>'[1]DATA CONSOLIDADA 2018-2025 '!$CM437-Hoja1!$CG437</f>
        <v>#REF!</v>
      </c>
      <c r="CP437" s="70">
        <v>0.0</v>
      </c>
      <c r="CQ437" s="70">
        <v>0.0</v>
      </c>
      <c r="CR437" s="70">
        <v>0.0</v>
      </c>
      <c r="CS437" s="70">
        <v>1094750.02</v>
      </c>
      <c r="CT437" s="70">
        <v>0.0</v>
      </c>
      <c r="CU437" s="70">
        <v>0.0</v>
      </c>
      <c r="CV437" s="64">
        <v>1094750.02</v>
      </c>
      <c r="CW437" s="64">
        <v>0.0</v>
      </c>
      <c r="CX437" s="64">
        <v>0.0</v>
      </c>
      <c r="CY437" s="64">
        <v>0.0</v>
      </c>
      <c r="CZ437" s="64">
        <v>0.0</v>
      </c>
      <c r="DA437" s="64">
        <v>0.0</v>
      </c>
      <c r="DB437" s="64">
        <v>0.0</v>
      </c>
      <c r="DC437" s="72">
        <v>0.0</v>
      </c>
      <c r="DD437" s="72">
        <v>0.0</v>
      </c>
      <c r="DE437" s="72">
        <v>0.0</v>
      </c>
      <c r="DF437" s="72">
        <v>0.0</v>
      </c>
      <c r="DG437" s="72">
        <v>0.0</v>
      </c>
      <c r="DH437" s="72">
        <v>0.0</v>
      </c>
      <c r="DI437" s="73">
        <v>2.0602194265E10</v>
      </c>
      <c r="DJ437" s="74" t="s">
        <v>1436</v>
      </c>
      <c r="DK437" s="74" t="s">
        <v>138</v>
      </c>
      <c r="DL437" s="75"/>
      <c r="DM437" s="75"/>
      <c r="DN437" s="75"/>
      <c r="DO437" s="75"/>
      <c r="DP437" s="75"/>
      <c r="DQ437" s="75"/>
      <c r="DR437" s="75"/>
      <c r="DS437" s="75"/>
      <c r="DT437" s="75"/>
      <c r="DU437" s="75"/>
      <c r="DV437" s="75"/>
      <c r="DW437" s="75"/>
      <c r="DX437" s="75"/>
      <c r="DY437" s="75"/>
      <c r="DZ437" s="75"/>
      <c r="EA437" s="75"/>
      <c r="EB437" s="75"/>
      <c r="EC437" s="75"/>
      <c r="ED437" s="75"/>
      <c r="EE437" s="75"/>
    </row>
    <row r="438" ht="47.25" customHeight="1">
      <c r="A438" s="55" t="s">
        <v>1437</v>
      </c>
      <c r="B438" s="55" t="s">
        <v>146</v>
      </c>
      <c r="C438" s="55" t="s">
        <v>146</v>
      </c>
      <c r="D438" s="55" t="s">
        <v>434</v>
      </c>
      <c r="E438" s="55" t="s">
        <v>852</v>
      </c>
      <c r="F438" s="55" t="s">
        <v>434</v>
      </c>
      <c r="G438" s="55" t="s">
        <v>435</v>
      </c>
      <c r="H438" s="55" t="s">
        <v>853</v>
      </c>
      <c r="I438" s="56"/>
      <c r="J438" s="56"/>
      <c r="K438" s="56"/>
      <c r="L438" s="56"/>
      <c r="M438" s="56"/>
      <c r="N438" s="56"/>
      <c r="O438" s="56">
        <v>1.0</v>
      </c>
      <c r="P438" s="56">
        <v>1.0</v>
      </c>
      <c r="Q438" s="56" t="s">
        <v>131</v>
      </c>
      <c r="R438" s="58" t="str">
        <f t="shared" si="1"/>
        <v>2024 - 2025</v>
      </c>
      <c r="S438" s="59" t="str">
        <f>SUM(Hoja1!$I438:$P438)</f>
        <v>2</v>
      </c>
      <c r="T438" s="59" t="str">
        <f>IF(OR(Hoja1!$J438=1,Hoja1!$K438=1,Hoja1!$L438=1,Hoja1!$M438=1,Hoja1!$N438=1,Hoja1!$O438=1,Hoja1!$P438=1),"SI","NO")</f>
        <v>SI</v>
      </c>
      <c r="U438" s="59" t="str">
        <f>IF(OR(Hoja1!$K438=1,Hoja1!$L438=1,Hoja1!$M438=1,Hoja1!$N438=1,Hoja1!$O438=1,Hoja1!$P438=1),"SI","NO")</f>
        <v>SI</v>
      </c>
      <c r="V438" s="60">
        <v>0.0</v>
      </c>
      <c r="W438" s="61">
        <v>0.0</v>
      </c>
      <c r="X438" s="61">
        <v>0.0</v>
      </c>
      <c r="Y438" s="60">
        <v>0.0</v>
      </c>
      <c r="Z438" s="61">
        <v>0.0</v>
      </c>
      <c r="AA438" s="61">
        <v>0.0</v>
      </c>
      <c r="AB438" s="60">
        <v>0.0</v>
      </c>
      <c r="AC438" s="61">
        <v>0.0</v>
      </c>
      <c r="AD438" s="61">
        <v>0.0</v>
      </c>
      <c r="AE438" s="60">
        <v>0.0</v>
      </c>
      <c r="AF438" s="61">
        <v>0.0</v>
      </c>
      <c r="AG438" s="61">
        <v>0.0</v>
      </c>
      <c r="AH438" s="60">
        <v>0.0</v>
      </c>
      <c r="AI438" s="61">
        <v>0.0</v>
      </c>
      <c r="AJ438" s="61">
        <v>0.0</v>
      </c>
      <c r="AK438" s="60">
        <v>0.0</v>
      </c>
      <c r="AL438" s="61">
        <v>13.0</v>
      </c>
      <c r="AM438" s="61">
        <v>11.0</v>
      </c>
      <c r="AN438" s="60">
        <v>24.0</v>
      </c>
      <c r="AO438" s="62">
        <v>12.0</v>
      </c>
      <c r="AP438" s="62">
        <v>12.0</v>
      </c>
      <c r="AQ438" s="60">
        <v>24.0</v>
      </c>
      <c r="AR438" s="60" t="str">
        <f>IF(Hoja1!$AQ438&gt;0,Hoja1!$AQ438,IF(Hoja1!$AN438&gt;0,Hoja1!$AN438,IF(Hoja1!$AK438&gt;0,Hoja1!$AK438,IF(Hoja1!$AH438&gt;0,Hoja1!$AH438,IF(Hoja1!$AE438&gt;0,Hoja1!$AE438,IF(Hoja1!$AB438&gt;0,Hoja1!$AB438,IF(Hoja1!$Y438&gt;0,Hoja1!$Y438,IF(Hoja1!$V438&gt;0,Hoja1!$V438," ---"))))))))</f>
        <v>24</v>
      </c>
      <c r="AS438" s="63">
        <v>0.0</v>
      </c>
      <c r="AT438" s="63">
        <v>0.0</v>
      </c>
      <c r="AU438" s="63">
        <v>0.0</v>
      </c>
      <c r="AV438" s="63">
        <v>0.0</v>
      </c>
      <c r="AW438" s="63">
        <v>0.0</v>
      </c>
      <c r="AX438" s="63">
        <v>0.0</v>
      </c>
      <c r="AY438" s="63">
        <v>0.0</v>
      </c>
      <c r="AZ438" s="63">
        <v>0.0</v>
      </c>
      <c r="BA438" s="63">
        <v>44.0</v>
      </c>
      <c r="BB438" s="63">
        <v>9.0</v>
      </c>
      <c r="BC438" s="63">
        <v>30.0</v>
      </c>
      <c r="BD438" s="63">
        <v>5.0</v>
      </c>
      <c r="BE438" s="64">
        <v>0.0</v>
      </c>
      <c r="BF438" s="69">
        <v>0.0</v>
      </c>
      <c r="BG438" s="69">
        <v>0.0</v>
      </c>
      <c r="BH438" s="64">
        <v>0.0</v>
      </c>
      <c r="BI438" s="67" t="str">
        <f>IF('[1]DATA CONSOLIDADA 2018-2025 '!$BH438&gt;'[1]DATA CONSOLIDADA 2018-2025 '!$AN438,"Incremento",IF('[1]DATA CONSOLIDADA 2018-2025 '!$AN438='[1]DATA CONSOLIDADA 2018-2025 '!$BH438,"Sin incremento",IF('[1]DATA CONSOLIDADA 2018-2025 '!$BH438&lt;'[1]DATA CONSOLIDADA 2018-2025 '!$AN438,"Disminución"," ---")))</f>
        <v>#REF!</v>
      </c>
      <c r="BJ438" s="68" t="str">
        <f>'[1]DATA CONSOLIDADA 2018-2025 '!$BH438-'[1]DATA CONSOLIDADA 2018-2025 '!$BE438</f>
        <v>#REF!</v>
      </c>
      <c r="BK438" s="69">
        <v>0.0</v>
      </c>
      <c r="BL438" s="69">
        <v>0.0</v>
      </c>
      <c r="BM438" s="64">
        <v>0.0</v>
      </c>
      <c r="BN438" s="67" t="str">
        <f>IF('[1]DATA CONSOLIDADA 2018-2025 '!$BM438&gt;'[1]DATA CONSOLIDADA 2018-2025 '!$BH438,"Incremento",IF('[1]DATA CONSOLIDADA 2018-2025 '!$BH438='[1]DATA CONSOLIDADA 2018-2025 '!$BM438,"Sin incremento",IF('[1]DATA CONSOLIDADA 2018-2025 '!$BM438&lt;'[1]DATA CONSOLIDADA 2018-2025 '!$BH438,"Disminución"," ---")))</f>
        <v>#REF!</v>
      </c>
      <c r="BO438" s="68" t="str">
        <f>'[1]DATA CONSOLIDADA 2018-2025 '!$BM438-'[1]DATA CONSOLIDADA 2018-2025 '!$BH438</f>
        <v>#REF!</v>
      </c>
      <c r="BP438" s="65">
        <v>0.0</v>
      </c>
      <c r="BQ438" s="65">
        <v>0.0</v>
      </c>
      <c r="BR438" s="66">
        <v>0.0</v>
      </c>
      <c r="BS438" s="67" t="str">
        <f>IF('[1]DATA CONSOLIDADA 2018-2025 '!$BR438&gt;'[1]DATA CONSOLIDADA 2018-2025 '!$BM438,"Incremento",IF('[1]DATA CONSOLIDADA 2018-2025 '!$BM438='[1]DATA CONSOLIDADA 2018-2025 '!$BR438,"Sin incremento",IF('[1]DATA CONSOLIDADA 2018-2025 '!$BR438&lt;'[1]DATA CONSOLIDADA 2018-2025 '!$BM438,"Disminución"," ---")))</f>
        <v>#REF!</v>
      </c>
      <c r="BT438" s="68" t="str">
        <f>'[1]DATA CONSOLIDADA 2018-2025 '!$BR438-Hoja1!$BO438</f>
        <v>#REF!</v>
      </c>
      <c r="BU438" s="69">
        <v>0.0</v>
      </c>
      <c r="BV438" s="65">
        <v>0.0</v>
      </c>
      <c r="BW438" s="66">
        <v>0.0</v>
      </c>
      <c r="BX438" s="67" t="str">
        <f>IF('[1]DATA CONSOLIDADA 2018-2025 '!$BW438&gt;'[1]DATA CONSOLIDADA 2018-2025 '!$BR438,"Incremento",IF('[1]DATA CONSOLIDADA 2018-2025 '!$BR438='[1]DATA CONSOLIDADA 2018-2025 '!$BW438,"Sin incremento",IF('[1]DATA CONSOLIDADA 2018-2025 '!$BW438&lt;'[1]DATA CONSOLIDADA 2018-2025 '!$BR438,"Disminución"," ---")))</f>
        <v>#REF!</v>
      </c>
      <c r="BY438" s="68" t="str">
        <f>'[1]DATA CONSOLIDADA 2018-2025 '!$BW438-'[1]DATA CONSOLIDADA 2018-2025 '!$BR438</f>
        <v>#REF!</v>
      </c>
      <c r="BZ438" s="65">
        <v>0.0</v>
      </c>
      <c r="CA438" s="65">
        <v>0.0</v>
      </c>
      <c r="CB438" s="66">
        <v>0.0</v>
      </c>
      <c r="CC438" s="67" t="str">
        <f>IF('[1]DATA CONSOLIDADA 2018-2025 '!$CB438&gt;'[1]DATA CONSOLIDADA 2018-2025 '!$BW438,"Incremento",IF('[1]DATA CONSOLIDADA 2018-2025 '!$BW438='[1]DATA CONSOLIDADA 2018-2025 '!$CB438,"Sin incremento",IF('[1]DATA CONSOLIDADA 2018-2025 '!$CB438&lt;'[1]DATA CONSOLIDADA 2018-2025 '!$BW438,"Disminución"," ---")))</f>
        <v>#REF!</v>
      </c>
      <c r="CD438" s="68" t="str">
        <f>'[1]DATA CONSOLIDADA 2018-2025 '!$CB438-Hoja1!$BW438</f>
        <v>#REF!</v>
      </c>
      <c r="CE438" s="70">
        <v>644500.0</v>
      </c>
      <c r="CF438" s="70">
        <v>0.0</v>
      </c>
      <c r="CG438" s="71">
        <v>644500.0</v>
      </c>
      <c r="CH438" s="67" t="str">
        <f>IF('[1]DATA CONSOLIDADA 2018-2025 '!$CG438&gt;'[1]DATA CONSOLIDADA 2018-2025 '!$CB438,"Incremento",IF('[1]DATA CONSOLIDADA 2018-2025 '!$CB438='[1]DATA CONSOLIDADA 2018-2025 '!$CG438,"Sin incremento",IF('[1]DATA CONSOLIDADA 2018-2025 '!$CG438&lt;'[1]DATA CONSOLIDADA 2018-2025 '!$CB438,"Disminución"," ---")))</f>
        <v>#REF!</v>
      </c>
      <c r="CI438" s="68" t="str">
        <f>'[1]DATA CONSOLIDADA 2018-2025 '!$CG438-Hoja1!$CB438</f>
        <v>#REF!</v>
      </c>
      <c r="CJ438" s="64" t="str">
        <f t="shared" si="146"/>
        <v>#REF!</v>
      </c>
      <c r="CK438" s="64">
        <v>501245.0</v>
      </c>
      <c r="CL438" s="64">
        <v>0.0</v>
      </c>
      <c r="CM438" s="64">
        <v>501245.0</v>
      </c>
      <c r="CN438" s="64" t="str">
        <f t="shared" si="12"/>
        <v>#REF!</v>
      </c>
      <c r="CO438" s="68" t="str">
        <f>'[1]DATA CONSOLIDADA 2018-2025 '!$CM438-Hoja1!$CG438</f>
        <v>#REF!</v>
      </c>
      <c r="CP438" s="70">
        <v>0.0</v>
      </c>
      <c r="CQ438" s="70">
        <v>0.0</v>
      </c>
      <c r="CR438" s="70">
        <v>0.0</v>
      </c>
      <c r="CS438" s="70">
        <v>0.0</v>
      </c>
      <c r="CT438" s="70">
        <v>0.0</v>
      </c>
      <c r="CU438" s="70">
        <v>0.0</v>
      </c>
      <c r="CV438" s="64">
        <v>0.0</v>
      </c>
      <c r="CW438" s="64">
        <v>0.0</v>
      </c>
      <c r="CX438" s="64">
        <v>0.0</v>
      </c>
      <c r="CY438" s="64">
        <v>644500.0</v>
      </c>
      <c r="CZ438" s="64">
        <v>0.0</v>
      </c>
      <c r="DA438" s="64">
        <v>0.0</v>
      </c>
      <c r="DB438" s="64">
        <v>644500.0</v>
      </c>
      <c r="DC438" s="72">
        <v>0.0</v>
      </c>
      <c r="DD438" s="72">
        <v>0.0</v>
      </c>
      <c r="DE438" s="72">
        <v>501245.0</v>
      </c>
      <c r="DF438" s="72">
        <v>0.0</v>
      </c>
      <c r="DG438" s="72">
        <v>0.0</v>
      </c>
      <c r="DH438" s="72">
        <v>501245.0</v>
      </c>
      <c r="DI438" s="73">
        <v>2.0603675551E10</v>
      </c>
      <c r="DJ438" s="74" t="s">
        <v>1438</v>
      </c>
      <c r="DK438" s="74" t="s">
        <v>138</v>
      </c>
      <c r="DL438" s="75"/>
      <c r="DM438" s="75"/>
      <c r="DN438" s="75"/>
      <c r="DO438" s="75"/>
      <c r="DP438" s="75"/>
      <c r="DQ438" s="75"/>
      <c r="DR438" s="75"/>
      <c r="DS438" s="75"/>
      <c r="DT438" s="75"/>
      <c r="DU438" s="75"/>
      <c r="DV438" s="75"/>
      <c r="DW438" s="75"/>
      <c r="DX438" s="75"/>
      <c r="DY438" s="75"/>
      <c r="DZ438" s="75"/>
      <c r="EA438" s="75"/>
      <c r="EB438" s="75"/>
      <c r="EC438" s="75"/>
      <c r="ED438" s="75"/>
      <c r="EE438" s="75"/>
    </row>
    <row r="439" ht="47.25" customHeight="1">
      <c r="A439" s="55" t="s">
        <v>1439</v>
      </c>
      <c r="B439" s="55" t="s">
        <v>146</v>
      </c>
      <c r="C439" s="55" t="s">
        <v>146</v>
      </c>
      <c r="D439" s="55" t="s">
        <v>967</v>
      </c>
      <c r="E439" s="55" t="s">
        <v>1440</v>
      </c>
      <c r="F439" s="55" t="s">
        <v>967</v>
      </c>
      <c r="G439" s="55" t="s">
        <v>969</v>
      </c>
      <c r="H439" s="55" t="s">
        <v>1441</v>
      </c>
      <c r="I439" s="56"/>
      <c r="J439" s="56">
        <v>1.0</v>
      </c>
      <c r="K439" s="56"/>
      <c r="L439" s="56"/>
      <c r="M439" s="56"/>
      <c r="N439" s="56"/>
      <c r="O439" s="56"/>
      <c r="P439" s="56"/>
      <c r="Q439" s="56" t="s">
        <v>131</v>
      </c>
      <c r="R439" s="58" t="str">
        <f t="shared" si="1"/>
        <v>2019</v>
      </c>
      <c r="S439" s="59" t="str">
        <f>SUM(Hoja1!$I439:$P439)</f>
        <v>1</v>
      </c>
      <c r="T439" s="59" t="str">
        <f>IF(OR(Hoja1!$J439=1,Hoja1!$K439=1,Hoja1!$L439=1,Hoja1!$M439=1,Hoja1!$N439=1,Hoja1!$O439=1,Hoja1!$P439=1),"SI","NO")</f>
        <v>SI</v>
      </c>
      <c r="U439" s="59" t="str">
        <f>IF(OR(Hoja1!$K439=1,Hoja1!$L439=1,Hoja1!$M439=1,Hoja1!$N439=1,Hoja1!$O439=1,Hoja1!$P439=1),"SI","NO")</f>
        <v>NO</v>
      </c>
      <c r="V439" s="60">
        <v>0.0</v>
      </c>
      <c r="W439" s="61">
        <v>19.0</v>
      </c>
      <c r="X439" s="61">
        <v>1.0</v>
      </c>
      <c r="Y439" s="60">
        <v>20.0</v>
      </c>
      <c r="Z439" s="61">
        <v>0.0</v>
      </c>
      <c r="AA439" s="61">
        <v>0.0</v>
      </c>
      <c r="AB439" s="60">
        <v>0.0</v>
      </c>
      <c r="AC439" s="61">
        <v>0.0</v>
      </c>
      <c r="AD439" s="61">
        <v>0.0</v>
      </c>
      <c r="AE439" s="60">
        <v>0.0</v>
      </c>
      <c r="AF439" s="61">
        <v>0.0</v>
      </c>
      <c r="AG439" s="61">
        <v>0.0</v>
      </c>
      <c r="AH439" s="60">
        <v>0.0</v>
      </c>
      <c r="AI439" s="61">
        <v>0.0</v>
      </c>
      <c r="AJ439" s="61">
        <v>0.0</v>
      </c>
      <c r="AK439" s="60">
        <v>0.0</v>
      </c>
      <c r="AL439" s="61">
        <v>0.0</v>
      </c>
      <c r="AM439" s="61">
        <v>0.0</v>
      </c>
      <c r="AN439" s="60">
        <v>0.0</v>
      </c>
      <c r="AO439" s="62">
        <v>0.0</v>
      </c>
      <c r="AP439" s="62">
        <v>0.0</v>
      </c>
      <c r="AQ439" s="60">
        <v>0.0</v>
      </c>
      <c r="AR439" s="60" t="str">
        <f>IF(Hoja1!$AQ439&gt;0,Hoja1!$AQ439,IF(Hoja1!$AN439&gt;0,Hoja1!$AN439,IF(Hoja1!$AK439&gt;0,Hoja1!$AK439,IF(Hoja1!$AH439&gt;0,Hoja1!$AH439,IF(Hoja1!$AE439&gt;0,Hoja1!$AE439,IF(Hoja1!$AB439&gt;0,Hoja1!$AB439,IF(Hoja1!$Y439&gt;0,Hoja1!$Y439,IF(Hoja1!$V439&gt;0,Hoja1!$V439," ---"))))))))</f>
        <v>20</v>
      </c>
      <c r="AS439" s="63">
        <v>0.0</v>
      </c>
      <c r="AT439" s="63">
        <v>0.0</v>
      </c>
      <c r="AU439" s="63">
        <v>0.0</v>
      </c>
      <c r="AV439" s="63">
        <v>0.0</v>
      </c>
      <c r="AW439" s="63">
        <v>0.0</v>
      </c>
      <c r="AX439" s="63">
        <v>0.0</v>
      </c>
      <c r="AY439" s="63">
        <v>0.0</v>
      </c>
      <c r="AZ439" s="63">
        <v>0.0</v>
      </c>
      <c r="BA439" s="63">
        <v>0.0</v>
      </c>
      <c r="BB439" s="63">
        <v>0.0</v>
      </c>
      <c r="BC439" s="63">
        <v>0.0</v>
      </c>
      <c r="BD439" s="63">
        <v>0.0</v>
      </c>
      <c r="BE439" s="66">
        <v>0.0</v>
      </c>
      <c r="BF439" s="65">
        <v>0.0</v>
      </c>
      <c r="BG439" s="65">
        <v>0.0</v>
      </c>
      <c r="BH439" s="66">
        <v>0.0</v>
      </c>
      <c r="BI439" s="67" t="str">
        <f>IF('[1]DATA CONSOLIDADA 2018-2025 '!$BH267&gt;'[1]DATA CONSOLIDADA 2018-2025 '!$AN267,"Incremento",IF('[1]DATA CONSOLIDADA 2018-2025 '!$AN267='[1]DATA CONSOLIDADA 2018-2025 '!$BH267,"Sin incremento",IF('[1]DATA CONSOLIDADA 2018-2025 '!$BH267&lt;'[1]DATA CONSOLIDADA 2018-2025 '!$AN267,"Disminución"," ---")))</f>
        <v>#REF!</v>
      </c>
      <c r="BJ439" s="68" t="str">
        <f>'[1]DATA CONSOLIDADA 2018-2025 '!$BH267-'[1]DATA CONSOLIDADA 2018-2025 '!$BE267</f>
        <v>#REF!</v>
      </c>
      <c r="BK439" s="65">
        <v>0.0</v>
      </c>
      <c r="BL439" s="65">
        <v>0.0</v>
      </c>
      <c r="BM439" s="66">
        <v>0.0</v>
      </c>
      <c r="BN439" s="67" t="str">
        <f>IF('[1]DATA CONSOLIDADA 2018-2025 '!$BM267&gt;'[1]DATA CONSOLIDADA 2018-2025 '!$BH267,"Incremento",IF('[1]DATA CONSOLIDADA 2018-2025 '!$BH267='[1]DATA CONSOLIDADA 2018-2025 '!$BM267,"Sin incremento",IF('[1]DATA CONSOLIDADA 2018-2025 '!$BM267&lt;'[1]DATA CONSOLIDADA 2018-2025 '!$BH267,"Disminución"," ---")))</f>
        <v>#REF!</v>
      </c>
      <c r="BO439" s="68" t="str">
        <f>'[1]DATA CONSOLIDADA 2018-2025 '!$BM267-'[1]DATA CONSOLIDADA 2018-2025 '!$BH267</f>
        <v>#REF!</v>
      </c>
      <c r="BP439" s="65">
        <v>0.0</v>
      </c>
      <c r="BQ439" s="65">
        <v>0.0</v>
      </c>
      <c r="BR439" s="66">
        <v>0.0</v>
      </c>
      <c r="BS439" s="67" t="str">
        <f>IF('[1]DATA CONSOLIDADA 2018-2025 '!$BR267&gt;'[1]DATA CONSOLIDADA 2018-2025 '!$BM267,"Incremento",IF('[1]DATA CONSOLIDADA 2018-2025 '!$BM267='[1]DATA CONSOLIDADA 2018-2025 '!$BR267,"Sin incremento",IF('[1]DATA CONSOLIDADA 2018-2025 '!$BR267&lt;'[1]DATA CONSOLIDADA 2018-2025 '!$BM267,"Disminución"," ---")))</f>
        <v>#REF!</v>
      </c>
      <c r="BT439" s="68" t="str">
        <f>'[1]DATA CONSOLIDADA 2018-2025 '!$BR439-Hoja1!$BO439</f>
        <v>#REF!</v>
      </c>
      <c r="BU439" s="65">
        <v>0.0</v>
      </c>
      <c r="BV439" s="65">
        <v>0.0</v>
      </c>
      <c r="BW439" s="66">
        <v>0.0</v>
      </c>
      <c r="BX439" s="67" t="str">
        <f>IF('[1]DATA CONSOLIDADA 2018-2025 '!$BW267&gt;'[1]DATA CONSOLIDADA 2018-2025 '!$BR267,"Incremento",IF('[1]DATA CONSOLIDADA 2018-2025 '!$BR267='[1]DATA CONSOLIDADA 2018-2025 '!$BW267,"Sin incremento",IF('[1]DATA CONSOLIDADA 2018-2025 '!$BW267&lt;'[1]DATA CONSOLIDADA 2018-2025 '!$BR267,"Disminución"," ---")))</f>
        <v>#REF!</v>
      </c>
      <c r="BY439" s="68" t="str">
        <f>'[1]DATA CONSOLIDADA 2018-2025 '!$BW267-'[1]DATA CONSOLIDADA 2018-2025 '!$BR267</f>
        <v>#REF!</v>
      </c>
      <c r="BZ439" s="65">
        <v>0.0</v>
      </c>
      <c r="CA439" s="65">
        <v>0.0</v>
      </c>
      <c r="CB439" s="66">
        <v>0.0</v>
      </c>
      <c r="CC439" s="67" t="str">
        <f>IF('[1]DATA CONSOLIDADA 2018-2025 '!$CB267&gt;'[1]DATA CONSOLIDADA 2018-2025 '!$BW267,"Incremento",IF('[1]DATA CONSOLIDADA 2018-2025 '!$BW267='[1]DATA CONSOLIDADA 2018-2025 '!$CB267,"Sin incremento",IF('[1]DATA CONSOLIDADA 2018-2025 '!$CB267&lt;'[1]DATA CONSOLIDADA 2018-2025 '!$BW267,"Disminución"," ---")))</f>
        <v>#REF!</v>
      </c>
      <c r="CD439" s="68" t="str">
        <f>'[1]DATA CONSOLIDADA 2018-2025 '!$CB439-Hoja1!$BW439</f>
        <v>#REF!</v>
      </c>
      <c r="CE439" s="70">
        <v>0.0</v>
      </c>
      <c r="CF439" s="70">
        <v>0.0</v>
      </c>
      <c r="CG439" s="71">
        <v>0.0</v>
      </c>
      <c r="CH439" s="67" t="str">
        <f>IF('[1]DATA CONSOLIDADA 2018-2025 '!$CG267&gt;'[1]DATA CONSOLIDADA 2018-2025 '!$CB267,"Incremento",IF('[1]DATA CONSOLIDADA 2018-2025 '!$CB267='[1]DATA CONSOLIDADA 2018-2025 '!$CG267,"Sin incremento",IF('[1]DATA CONSOLIDADA 2018-2025 '!$CG267&lt;'[1]DATA CONSOLIDADA 2018-2025 '!$CB267,"Disminución"," ---")))</f>
        <v>#REF!</v>
      </c>
      <c r="CI439" s="68" t="str">
        <f>'[1]DATA CONSOLIDADA 2018-2025 '!$CG439-Hoja1!$CB439</f>
        <v>#REF!</v>
      </c>
      <c r="CJ439" s="64" t="str">
        <f t="shared" si="146"/>
        <v>#REF!</v>
      </c>
      <c r="CK439" s="64">
        <v>0.0</v>
      </c>
      <c r="CL439" s="64">
        <v>0.0</v>
      </c>
      <c r="CM439" s="64">
        <v>0.0</v>
      </c>
      <c r="CN439" s="64" t="str">
        <f t="shared" si="12"/>
        <v>#REF!</v>
      </c>
      <c r="CO439" s="68" t="str">
        <f>'[1]DATA CONSOLIDADA 2018-2025 '!$CM439-Hoja1!$CG439</f>
        <v>#REF!</v>
      </c>
      <c r="CP439" s="70">
        <v>0.0</v>
      </c>
      <c r="CQ439" s="70">
        <v>0.0</v>
      </c>
      <c r="CR439" s="70">
        <v>0.0</v>
      </c>
      <c r="CS439" s="70">
        <v>0.0</v>
      </c>
      <c r="CT439" s="70">
        <v>0.0</v>
      </c>
      <c r="CU439" s="70">
        <v>0.0</v>
      </c>
      <c r="CV439" s="64">
        <v>0.0</v>
      </c>
      <c r="CW439" s="64">
        <v>0.0</v>
      </c>
      <c r="CX439" s="64">
        <v>0.0</v>
      </c>
      <c r="CY439" s="64">
        <v>0.0</v>
      </c>
      <c r="CZ439" s="64">
        <v>0.0</v>
      </c>
      <c r="DA439" s="64">
        <v>0.0</v>
      </c>
      <c r="DB439" s="64">
        <v>0.0</v>
      </c>
      <c r="DC439" s="72">
        <v>0.0</v>
      </c>
      <c r="DD439" s="72">
        <v>0.0</v>
      </c>
      <c r="DE439" s="72">
        <v>0.0</v>
      </c>
      <c r="DF439" s="72">
        <v>0.0</v>
      </c>
      <c r="DG439" s="72">
        <v>0.0</v>
      </c>
      <c r="DH439" s="72">
        <v>0.0</v>
      </c>
      <c r="DI439" s="73">
        <v>2.0525969551E10</v>
      </c>
      <c r="DJ439" s="74" t="s">
        <v>1439</v>
      </c>
      <c r="DK439" s="74" t="s">
        <v>132</v>
      </c>
      <c r="DL439" s="75"/>
      <c r="DM439" s="75"/>
      <c r="DN439" s="75"/>
      <c r="DO439" s="75"/>
      <c r="DP439" s="75"/>
      <c r="DQ439" s="75"/>
      <c r="DR439" s="75"/>
      <c r="DS439" s="75"/>
      <c r="DT439" s="75"/>
      <c r="DU439" s="75"/>
      <c r="DV439" s="75"/>
      <c r="DW439" s="75"/>
      <c r="DX439" s="75"/>
      <c r="DY439" s="75"/>
      <c r="DZ439" s="75"/>
      <c r="EA439" s="75"/>
      <c r="EB439" s="75"/>
      <c r="EC439" s="75"/>
      <c r="ED439" s="75"/>
      <c r="EE439" s="75"/>
    </row>
    <row r="440" ht="47.25" hidden="1" customHeight="1">
      <c r="A440" s="55" t="s">
        <v>1442</v>
      </c>
      <c r="B440" s="55" t="s">
        <v>250</v>
      </c>
      <c r="C440" s="55" t="s">
        <v>250</v>
      </c>
      <c r="D440" s="55" t="s">
        <v>434</v>
      </c>
      <c r="E440" s="55" t="s">
        <v>534</v>
      </c>
      <c r="F440" s="55" t="s">
        <v>434</v>
      </c>
      <c r="G440" s="55" t="s">
        <v>535</v>
      </c>
      <c r="H440" s="55" t="s">
        <v>536</v>
      </c>
      <c r="I440" s="56"/>
      <c r="J440" s="56"/>
      <c r="K440" s="56"/>
      <c r="L440" s="56"/>
      <c r="M440" s="56"/>
      <c r="N440" s="56"/>
      <c r="O440" s="56">
        <v>1.0</v>
      </c>
      <c r="P440" s="56">
        <v>1.0</v>
      </c>
      <c r="Q440" s="56" t="s">
        <v>131</v>
      </c>
      <c r="R440" s="58" t="str">
        <f t="shared" si="1"/>
        <v>2024 - 2025</v>
      </c>
      <c r="S440" s="59" t="str">
        <f>SUM(Hoja1!$I440:$P440)</f>
        <v>2</v>
      </c>
      <c r="T440" s="59" t="str">
        <f>IF(OR(Hoja1!$J440=1,Hoja1!$K440=1,Hoja1!$L440=1,Hoja1!$M440=1,Hoja1!$N440=1,Hoja1!$O440=1,Hoja1!$P440=1),"SI","NO")</f>
        <v>SI</v>
      </c>
      <c r="U440" s="59" t="str">
        <f>IF(OR(Hoja1!$K440=1,Hoja1!$L440=1,Hoja1!$M440=1,Hoja1!$N440=1,Hoja1!$O440=1,Hoja1!$P440=1),"SI","NO")</f>
        <v>SI</v>
      </c>
      <c r="V440" s="60">
        <v>0.0</v>
      </c>
      <c r="W440" s="61">
        <v>0.0</v>
      </c>
      <c r="X440" s="61">
        <v>0.0</v>
      </c>
      <c r="Y440" s="60">
        <v>0.0</v>
      </c>
      <c r="Z440" s="61">
        <v>0.0</v>
      </c>
      <c r="AA440" s="61">
        <v>0.0</v>
      </c>
      <c r="AB440" s="60">
        <v>0.0</v>
      </c>
      <c r="AC440" s="61">
        <v>0.0</v>
      </c>
      <c r="AD440" s="61">
        <v>0.0</v>
      </c>
      <c r="AE440" s="60">
        <v>0.0</v>
      </c>
      <c r="AF440" s="61">
        <v>0.0</v>
      </c>
      <c r="AG440" s="61">
        <v>0.0</v>
      </c>
      <c r="AH440" s="60">
        <v>0.0</v>
      </c>
      <c r="AI440" s="61">
        <v>0.0</v>
      </c>
      <c r="AJ440" s="61">
        <v>0.0</v>
      </c>
      <c r="AK440" s="60">
        <v>0.0</v>
      </c>
      <c r="AL440" s="61">
        <v>219.0</v>
      </c>
      <c r="AM440" s="61">
        <v>93.0</v>
      </c>
      <c r="AN440" s="60">
        <v>312.0</v>
      </c>
      <c r="AO440" s="62">
        <v>219.0</v>
      </c>
      <c r="AP440" s="62">
        <v>93.0</v>
      </c>
      <c r="AQ440" s="60">
        <v>312.0</v>
      </c>
      <c r="AR440" s="60" t="str">
        <f>IF(Hoja1!$AQ440&gt;0,Hoja1!$AQ440,IF(Hoja1!$AN440&gt;0,Hoja1!$AN440,IF(Hoja1!$AK440&gt;0,Hoja1!$AK440,IF(Hoja1!$AH440&gt;0,Hoja1!$AH440,IF(Hoja1!$AE440&gt;0,Hoja1!$AE440,IF(Hoja1!$AB440&gt;0,Hoja1!$AB440,IF(Hoja1!$Y440&gt;0,Hoja1!$Y440,IF(Hoja1!$V440&gt;0,Hoja1!$V440," ---"))))))))</f>
        <v>312</v>
      </c>
      <c r="AS440" s="63">
        <v>0.0</v>
      </c>
      <c r="AT440" s="63">
        <v>0.0</v>
      </c>
      <c r="AU440" s="63">
        <v>0.0</v>
      </c>
      <c r="AV440" s="63">
        <v>0.0</v>
      </c>
      <c r="AW440" s="63">
        <v>0.0</v>
      </c>
      <c r="AX440" s="63">
        <v>0.0</v>
      </c>
      <c r="AY440" s="63">
        <v>0.0</v>
      </c>
      <c r="AZ440" s="63">
        <v>0.0</v>
      </c>
      <c r="BA440" s="63">
        <v>3.0</v>
      </c>
      <c r="BB440" s="63">
        <v>2.0</v>
      </c>
      <c r="BC440" s="63">
        <v>11.0</v>
      </c>
      <c r="BD440" s="63">
        <v>2.0</v>
      </c>
      <c r="BE440" s="64">
        <v>0.0</v>
      </c>
      <c r="BF440" s="69">
        <v>0.0</v>
      </c>
      <c r="BG440" s="69">
        <v>0.0</v>
      </c>
      <c r="BH440" s="64">
        <v>0.0</v>
      </c>
      <c r="BI440" s="67" t="str">
        <f t="shared" ref="BI440:BI482" si="156">IF('[1]DATA CONSOLIDADA 2018-2025 '!$BH440&gt;'[1]DATA CONSOLIDADA 2018-2025 '!$AN440,"Incremento",IF('[1]DATA CONSOLIDADA 2018-2025 '!$AN440='[1]DATA CONSOLIDADA 2018-2025 '!$BH440,"Sin incremento",IF('[1]DATA CONSOLIDADA 2018-2025 '!$BH440&lt;'[1]DATA CONSOLIDADA 2018-2025 '!$AN440,"Disminución"," ---")))</f>
        <v>#REF!</v>
      </c>
      <c r="BJ440" s="68" t="str">
        <f t="shared" ref="BJ440:BJ482" si="157">'[1]DATA CONSOLIDADA 2018-2025 '!$BH440-'[1]DATA CONSOLIDADA 2018-2025 '!$BE440</f>
        <v>#REF!</v>
      </c>
      <c r="BK440" s="69">
        <v>0.0</v>
      </c>
      <c r="BL440" s="69">
        <v>0.0</v>
      </c>
      <c r="BM440" s="64">
        <v>0.0</v>
      </c>
      <c r="BN440" s="67" t="str">
        <f t="shared" ref="BN440:BN482" si="158">IF('[1]DATA CONSOLIDADA 2018-2025 '!$BM440&gt;'[1]DATA CONSOLIDADA 2018-2025 '!$BH440,"Incremento",IF('[1]DATA CONSOLIDADA 2018-2025 '!$BH440='[1]DATA CONSOLIDADA 2018-2025 '!$BM440,"Sin incremento",IF('[1]DATA CONSOLIDADA 2018-2025 '!$BM440&lt;'[1]DATA CONSOLIDADA 2018-2025 '!$BH440,"Disminución"," ---")))</f>
        <v>#REF!</v>
      </c>
      <c r="BO440" s="68" t="str">
        <f t="shared" ref="BO440:BO482" si="159">'[1]DATA CONSOLIDADA 2018-2025 '!$BM440-'[1]DATA CONSOLIDADA 2018-2025 '!$BH440</f>
        <v>#REF!</v>
      </c>
      <c r="BP440" s="65">
        <v>0.0</v>
      </c>
      <c r="BQ440" s="65">
        <v>0.0</v>
      </c>
      <c r="BR440" s="66">
        <v>0.0</v>
      </c>
      <c r="BS440" s="67" t="str">
        <f t="shared" ref="BS440:BS482" si="160">IF('[1]DATA CONSOLIDADA 2018-2025 '!$BR440&gt;'[1]DATA CONSOLIDADA 2018-2025 '!$BM440,"Incremento",IF('[1]DATA CONSOLIDADA 2018-2025 '!$BM440='[1]DATA CONSOLIDADA 2018-2025 '!$BR440,"Sin incremento",IF('[1]DATA CONSOLIDADA 2018-2025 '!$BR440&lt;'[1]DATA CONSOLIDADA 2018-2025 '!$BM440,"Disminución"," ---")))</f>
        <v>#REF!</v>
      </c>
      <c r="BT440" s="68" t="str">
        <f>'[1]DATA CONSOLIDADA 2018-2025 '!$BR440-Hoja1!$BO440</f>
        <v>#REF!</v>
      </c>
      <c r="BU440" s="69">
        <v>0.0</v>
      </c>
      <c r="BV440" s="65">
        <v>0.0</v>
      </c>
      <c r="BW440" s="66">
        <v>0.0</v>
      </c>
      <c r="BX440" s="67" t="str">
        <f t="shared" ref="BX440:BX482" si="161">IF('[1]DATA CONSOLIDADA 2018-2025 '!$BW440&gt;'[1]DATA CONSOLIDADA 2018-2025 '!$BR440,"Incremento",IF('[1]DATA CONSOLIDADA 2018-2025 '!$BR440='[1]DATA CONSOLIDADA 2018-2025 '!$BW440,"Sin incremento",IF('[1]DATA CONSOLIDADA 2018-2025 '!$BW440&lt;'[1]DATA CONSOLIDADA 2018-2025 '!$BR440,"Disminución"," ---")))</f>
        <v>#REF!</v>
      </c>
      <c r="BY440" s="68" t="str">
        <f t="shared" ref="BY440:BY482" si="162">'[1]DATA CONSOLIDADA 2018-2025 '!$BW440-'[1]DATA CONSOLIDADA 2018-2025 '!$BR440</f>
        <v>#REF!</v>
      </c>
      <c r="BZ440" s="65">
        <v>0.0</v>
      </c>
      <c r="CA440" s="65">
        <v>0.0</v>
      </c>
      <c r="CB440" s="66">
        <v>0.0</v>
      </c>
      <c r="CC440" s="67" t="str">
        <f t="shared" ref="CC440:CC482" si="163">IF('[1]DATA CONSOLIDADA 2018-2025 '!$CB440&gt;'[1]DATA CONSOLIDADA 2018-2025 '!$BW440,"Incremento",IF('[1]DATA CONSOLIDADA 2018-2025 '!$BW440='[1]DATA CONSOLIDADA 2018-2025 '!$CB440,"Sin incremento",IF('[1]DATA CONSOLIDADA 2018-2025 '!$CB440&lt;'[1]DATA CONSOLIDADA 2018-2025 '!$BW440,"Disminución"," ---")))</f>
        <v>#REF!</v>
      </c>
      <c r="CD440" s="68" t="str">
        <f>'[1]DATA CONSOLIDADA 2018-2025 '!$CB440-Hoja1!$BW440</f>
        <v>#REF!</v>
      </c>
      <c r="CE440" s="70">
        <v>269748.7999399</v>
      </c>
      <c r="CF440" s="70">
        <v>0.0</v>
      </c>
      <c r="CG440" s="71">
        <v>269748.7999399</v>
      </c>
      <c r="CH440" s="67" t="str">
        <f t="shared" ref="CH440:CH482" si="164">IF('[1]DATA CONSOLIDADA 2018-2025 '!$CG440&gt;'[1]DATA CONSOLIDADA 2018-2025 '!$CB440,"Incremento",IF('[1]DATA CONSOLIDADA 2018-2025 '!$CB440='[1]DATA CONSOLIDADA 2018-2025 '!$CG440,"Sin incremento",IF('[1]DATA CONSOLIDADA 2018-2025 '!$CG440&lt;'[1]DATA CONSOLIDADA 2018-2025 '!$CB440,"Disminución"," ---")))</f>
        <v>#REF!</v>
      </c>
      <c r="CI440" s="68" t="str">
        <f>'[1]DATA CONSOLIDADA 2018-2025 '!$CG440-Hoja1!$CB440</f>
        <v>#REF!</v>
      </c>
      <c r="CJ440" s="64" t="str">
        <f t="shared" si="146"/>
        <v>#REF!</v>
      </c>
      <c r="CK440" s="64">
        <v>478354.74</v>
      </c>
      <c r="CL440" s="64">
        <v>0.0</v>
      </c>
      <c r="CM440" s="64">
        <v>478354.74</v>
      </c>
      <c r="CN440" s="64" t="str">
        <f t="shared" si="12"/>
        <v>#REF!</v>
      </c>
      <c r="CO440" s="68" t="str">
        <f>'[1]DATA CONSOLIDADA 2018-2025 '!$CM440-Hoja1!$CG440</f>
        <v>#REF!</v>
      </c>
      <c r="CP440" s="70">
        <v>0.0</v>
      </c>
      <c r="CQ440" s="70">
        <v>0.0</v>
      </c>
      <c r="CR440" s="70">
        <v>0.0</v>
      </c>
      <c r="CS440" s="70">
        <v>0.0</v>
      </c>
      <c r="CT440" s="70">
        <v>0.0</v>
      </c>
      <c r="CU440" s="70">
        <v>0.0</v>
      </c>
      <c r="CV440" s="64">
        <v>0.0</v>
      </c>
      <c r="CW440" s="64">
        <v>0.0</v>
      </c>
      <c r="CX440" s="64">
        <v>269748.7999399</v>
      </c>
      <c r="CY440" s="64">
        <v>0.0</v>
      </c>
      <c r="CZ440" s="64">
        <v>0.0</v>
      </c>
      <c r="DA440" s="64">
        <v>0.0</v>
      </c>
      <c r="DB440" s="64">
        <v>269748.7999399</v>
      </c>
      <c r="DC440" s="72">
        <v>0.0</v>
      </c>
      <c r="DD440" s="72">
        <v>478354.74</v>
      </c>
      <c r="DE440" s="72">
        <v>0.0</v>
      </c>
      <c r="DF440" s="72">
        <v>0.0</v>
      </c>
      <c r="DG440" s="72">
        <v>0.0</v>
      </c>
      <c r="DH440" s="72">
        <v>478354.74</v>
      </c>
      <c r="DI440" s="73">
        <v>2.0600796268E10</v>
      </c>
      <c r="DJ440" s="74" t="s">
        <v>1443</v>
      </c>
      <c r="DK440" s="74" t="s">
        <v>138</v>
      </c>
      <c r="DL440" s="75"/>
      <c r="DM440" s="75"/>
      <c r="DN440" s="75"/>
      <c r="DO440" s="75"/>
      <c r="DP440" s="75"/>
      <c r="DQ440" s="75"/>
      <c r="DR440" s="75"/>
      <c r="DS440" s="75"/>
      <c r="DT440" s="75"/>
      <c r="DU440" s="75"/>
      <c r="DV440" s="75"/>
      <c r="DW440" s="75"/>
      <c r="DX440" s="75"/>
      <c r="DY440" s="75"/>
      <c r="DZ440" s="75"/>
      <c r="EA440" s="75"/>
      <c r="EB440" s="75"/>
      <c r="EC440" s="75"/>
      <c r="ED440" s="75"/>
      <c r="EE440" s="75"/>
    </row>
    <row r="441" ht="47.25" hidden="1" customHeight="1">
      <c r="A441" s="55" t="s">
        <v>1444</v>
      </c>
      <c r="B441" s="55" t="s">
        <v>250</v>
      </c>
      <c r="C441" s="55" t="s">
        <v>250</v>
      </c>
      <c r="D441" s="55" t="s">
        <v>434</v>
      </c>
      <c r="E441" s="55" t="s">
        <v>1445</v>
      </c>
      <c r="F441" s="55" t="s">
        <v>434</v>
      </c>
      <c r="G441" s="55" t="s">
        <v>1269</v>
      </c>
      <c r="H441" s="55" t="s">
        <v>1446</v>
      </c>
      <c r="I441" s="56"/>
      <c r="J441" s="56"/>
      <c r="K441" s="56"/>
      <c r="L441" s="56"/>
      <c r="M441" s="56"/>
      <c r="N441" s="56"/>
      <c r="O441" s="56">
        <v>1.0</v>
      </c>
      <c r="P441" s="56">
        <v>1.0</v>
      </c>
      <c r="Q441" s="56" t="s">
        <v>131</v>
      </c>
      <c r="R441" s="58" t="str">
        <f t="shared" si="1"/>
        <v>2024 - 2025</v>
      </c>
      <c r="S441" s="59" t="str">
        <f>SUM(Hoja1!$I441:$P441)</f>
        <v>2</v>
      </c>
      <c r="T441" s="59" t="str">
        <f>IF(OR(Hoja1!$J441=1,Hoja1!$K441=1,Hoja1!$L441=1,Hoja1!$M441=1,Hoja1!$N441=1,Hoja1!$O441=1,Hoja1!$P441=1),"SI","NO")</f>
        <v>SI</v>
      </c>
      <c r="U441" s="59" t="str">
        <f>IF(OR(Hoja1!$K441=1,Hoja1!$L441=1,Hoja1!$M441=1,Hoja1!$N441=1,Hoja1!$O441=1,Hoja1!$P441=1),"SI","NO")</f>
        <v>SI</v>
      </c>
      <c r="V441" s="60">
        <v>0.0</v>
      </c>
      <c r="W441" s="61">
        <v>0.0</v>
      </c>
      <c r="X441" s="61">
        <v>0.0</v>
      </c>
      <c r="Y441" s="60">
        <v>0.0</v>
      </c>
      <c r="Z441" s="61">
        <v>0.0</v>
      </c>
      <c r="AA441" s="61">
        <v>0.0</v>
      </c>
      <c r="AB441" s="60">
        <v>0.0</v>
      </c>
      <c r="AC441" s="61">
        <v>0.0</v>
      </c>
      <c r="AD441" s="61">
        <v>0.0</v>
      </c>
      <c r="AE441" s="60">
        <v>0.0</v>
      </c>
      <c r="AF441" s="61">
        <v>0.0</v>
      </c>
      <c r="AG441" s="61">
        <v>0.0</v>
      </c>
      <c r="AH441" s="60">
        <v>0.0</v>
      </c>
      <c r="AI441" s="61">
        <v>0.0</v>
      </c>
      <c r="AJ441" s="61">
        <v>0.0</v>
      </c>
      <c r="AK441" s="60">
        <v>0.0</v>
      </c>
      <c r="AL441" s="61">
        <v>41.0</v>
      </c>
      <c r="AM441" s="61">
        <v>27.0</v>
      </c>
      <c r="AN441" s="60">
        <v>68.0</v>
      </c>
      <c r="AO441" s="62">
        <v>41.0</v>
      </c>
      <c r="AP441" s="62">
        <v>27.0</v>
      </c>
      <c r="AQ441" s="60">
        <v>68.0</v>
      </c>
      <c r="AR441" s="60" t="str">
        <f>IF(Hoja1!$AQ441&gt;0,Hoja1!$AQ441,IF(Hoja1!$AN441&gt;0,Hoja1!$AN441,IF(Hoja1!$AK441&gt;0,Hoja1!$AK441,IF(Hoja1!$AH441&gt;0,Hoja1!$AH441,IF(Hoja1!$AE441&gt;0,Hoja1!$AE441,IF(Hoja1!$AB441&gt;0,Hoja1!$AB441,IF(Hoja1!$Y441&gt;0,Hoja1!$Y441,IF(Hoja1!$V441&gt;0,Hoja1!$V441," ---"))))))))</f>
        <v>68</v>
      </c>
      <c r="AS441" s="63">
        <v>0.0</v>
      </c>
      <c r="AT441" s="63">
        <v>0.0</v>
      </c>
      <c r="AU441" s="63">
        <v>0.0</v>
      </c>
      <c r="AV441" s="63">
        <v>0.0</v>
      </c>
      <c r="AW441" s="63">
        <v>0.0</v>
      </c>
      <c r="AX441" s="63">
        <v>0.0</v>
      </c>
      <c r="AY441" s="63">
        <v>0.0</v>
      </c>
      <c r="AZ441" s="63">
        <v>0.0</v>
      </c>
      <c r="BA441" s="63">
        <v>4.0</v>
      </c>
      <c r="BB441" s="63">
        <v>1.0</v>
      </c>
      <c r="BC441" s="63">
        <v>11.0</v>
      </c>
      <c r="BD441" s="63">
        <v>2.0</v>
      </c>
      <c r="BE441" s="64">
        <v>0.0</v>
      </c>
      <c r="BF441" s="69">
        <v>0.0</v>
      </c>
      <c r="BG441" s="69">
        <v>0.0</v>
      </c>
      <c r="BH441" s="64">
        <v>0.0</v>
      </c>
      <c r="BI441" s="67" t="str">
        <f t="shared" si="156"/>
        <v>#REF!</v>
      </c>
      <c r="BJ441" s="68" t="str">
        <f t="shared" si="157"/>
        <v>#REF!</v>
      </c>
      <c r="BK441" s="69">
        <v>0.0</v>
      </c>
      <c r="BL441" s="69">
        <v>0.0</v>
      </c>
      <c r="BM441" s="64">
        <v>0.0</v>
      </c>
      <c r="BN441" s="67" t="str">
        <f t="shared" si="158"/>
        <v>#REF!</v>
      </c>
      <c r="BO441" s="68" t="str">
        <f t="shared" si="159"/>
        <v>#REF!</v>
      </c>
      <c r="BP441" s="65">
        <v>0.0</v>
      </c>
      <c r="BQ441" s="65">
        <v>0.0</v>
      </c>
      <c r="BR441" s="66">
        <v>0.0</v>
      </c>
      <c r="BS441" s="67" t="str">
        <f t="shared" si="160"/>
        <v>#REF!</v>
      </c>
      <c r="BT441" s="68" t="str">
        <f>'[1]DATA CONSOLIDADA 2018-2025 '!$BR441-Hoja1!$BO441</f>
        <v>#REF!</v>
      </c>
      <c r="BU441" s="69">
        <v>0.0</v>
      </c>
      <c r="BV441" s="65">
        <v>0.0</v>
      </c>
      <c r="BW441" s="66">
        <v>0.0</v>
      </c>
      <c r="BX441" s="67" t="str">
        <f t="shared" si="161"/>
        <v>#REF!</v>
      </c>
      <c r="BY441" s="68" t="str">
        <f t="shared" si="162"/>
        <v>#REF!</v>
      </c>
      <c r="BZ441" s="65">
        <v>0.0</v>
      </c>
      <c r="CA441" s="65">
        <v>0.0</v>
      </c>
      <c r="CB441" s="66">
        <v>0.0</v>
      </c>
      <c r="CC441" s="67" t="str">
        <f t="shared" si="163"/>
        <v>#REF!</v>
      </c>
      <c r="CD441" s="68" t="str">
        <f>'[1]DATA CONSOLIDADA 2018-2025 '!$CB441-Hoja1!$BW441</f>
        <v>#REF!</v>
      </c>
      <c r="CE441" s="70">
        <v>520694.998625</v>
      </c>
      <c r="CF441" s="70">
        <v>0.0</v>
      </c>
      <c r="CG441" s="71">
        <v>520694.998625</v>
      </c>
      <c r="CH441" s="67" t="str">
        <f t="shared" si="164"/>
        <v>#REF!</v>
      </c>
      <c r="CI441" s="68" t="str">
        <f>'[1]DATA CONSOLIDADA 2018-2025 '!$CG441-Hoja1!$CB441</f>
        <v>#REF!</v>
      </c>
      <c r="CJ441" s="64" t="str">
        <f t="shared" si="146"/>
        <v>#REF!</v>
      </c>
      <c r="CK441" s="64">
        <v>865251.7</v>
      </c>
      <c r="CL441" s="64">
        <v>0.0</v>
      </c>
      <c r="CM441" s="64">
        <v>865251.7</v>
      </c>
      <c r="CN441" s="64" t="str">
        <f t="shared" si="12"/>
        <v>#REF!</v>
      </c>
      <c r="CO441" s="68" t="str">
        <f>'[1]DATA CONSOLIDADA 2018-2025 '!$CM441-Hoja1!$CG441</f>
        <v>#REF!</v>
      </c>
      <c r="CP441" s="70">
        <v>0.0</v>
      </c>
      <c r="CQ441" s="70">
        <v>0.0</v>
      </c>
      <c r="CR441" s="70">
        <v>0.0</v>
      </c>
      <c r="CS441" s="70">
        <v>0.0</v>
      </c>
      <c r="CT441" s="70">
        <v>0.0</v>
      </c>
      <c r="CU441" s="70">
        <v>0.0</v>
      </c>
      <c r="CV441" s="64">
        <v>0.0</v>
      </c>
      <c r="CW441" s="64">
        <v>0.0</v>
      </c>
      <c r="CX441" s="64">
        <v>520694.998625</v>
      </c>
      <c r="CY441" s="64">
        <v>0.0</v>
      </c>
      <c r="CZ441" s="64">
        <v>0.0</v>
      </c>
      <c r="DA441" s="64">
        <v>0.0</v>
      </c>
      <c r="DB441" s="64">
        <v>520694.998625</v>
      </c>
      <c r="DC441" s="72">
        <v>0.0</v>
      </c>
      <c r="DD441" s="72">
        <v>865251.7</v>
      </c>
      <c r="DE441" s="72">
        <v>0.0</v>
      </c>
      <c r="DF441" s="72">
        <v>0.0</v>
      </c>
      <c r="DG441" s="72">
        <v>0.0</v>
      </c>
      <c r="DH441" s="72">
        <v>865251.7</v>
      </c>
      <c r="DI441" s="73">
        <v>2.0490822071E10</v>
      </c>
      <c r="DJ441" s="74" t="s">
        <v>1447</v>
      </c>
      <c r="DK441" s="74" t="s">
        <v>138</v>
      </c>
      <c r="DL441" s="75"/>
      <c r="DM441" s="75"/>
      <c r="DN441" s="75"/>
      <c r="DO441" s="75"/>
      <c r="DP441" s="75"/>
      <c r="DQ441" s="75"/>
      <c r="DR441" s="75"/>
      <c r="DS441" s="75"/>
      <c r="DT441" s="75"/>
      <c r="DU441" s="75"/>
      <c r="DV441" s="75"/>
      <c r="DW441" s="75"/>
      <c r="DX441" s="75"/>
      <c r="DY441" s="75"/>
      <c r="DZ441" s="75"/>
      <c r="EA441" s="75"/>
      <c r="EB441" s="75"/>
      <c r="EC441" s="75"/>
      <c r="ED441" s="75"/>
      <c r="EE441" s="75"/>
    </row>
    <row r="442" ht="47.25" hidden="1" customHeight="1">
      <c r="A442" s="55" t="s">
        <v>1448</v>
      </c>
      <c r="B442" s="55" t="s">
        <v>198</v>
      </c>
      <c r="C442" s="55" t="s">
        <v>1449</v>
      </c>
      <c r="D442" s="55" t="s">
        <v>434</v>
      </c>
      <c r="E442" s="55" t="s">
        <v>1450</v>
      </c>
      <c r="F442" s="55" t="s">
        <v>434</v>
      </c>
      <c r="G442" s="55" t="s">
        <v>470</v>
      </c>
      <c r="H442" s="55" t="s">
        <v>1451</v>
      </c>
      <c r="I442" s="56"/>
      <c r="J442" s="56"/>
      <c r="K442" s="56"/>
      <c r="L442" s="56"/>
      <c r="M442" s="56"/>
      <c r="N442" s="56"/>
      <c r="O442" s="56">
        <v>1.0</v>
      </c>
      <c r="P442" s="56">
        <v>1.0</v>
      </c>
      <c r="Q442" s="56" t="s">
        <v>131</v>
      </c>
      <c r="R442" s="58" t="str">
        <f t="shared" si="1"/>
        <v>2024 - 2025</v>
      </c>
      <c r="S442" s="59" t="str">
        <f>SUM(Hoja1!$I442:$P442)</f>
        <v>2</v>
      </c>
      <c r="T442" s="59" t="str">
        <f>IF(OR(Hoja1!$J442=1,Hoja1!$K442=1,Hoja1!$L442=1,Hoja1!$M442=1,Hoja1!$N442=1,Hoja1!$O442=1,Hoja1!$P442=1),"SI","NO")</f>
        <v>SI</v>
      </c>
      <c r="U442" s="59" t="str">
        <f>IF(OR(Hoja1!$K442=1,Hoja1!$L442=1,Hoja1!$M442=1,Hoja1!$N442=1,Hoja1!$O442=1,Hoja1!$P442=1),"SI","NO")</f>
        <v>SI</v>
      </c>
      <c r="V442" s="60">
        <v>0.0</v>
      </c>
      <c r="W442" s="61">
        <v>0.0</v>
      </c>
      <c r="X442" s="61">
        <v>0.0</v>
      </c>
      <c r="Y442" s="60">
        <v>0.0</v>
      </c>
      <c r="Z442" s="61">
        <v>0.0</v>
      </c>
      <c r="AA442" s="61">
        <v>0.0</v>
      </c>
      <c r="AB442" s="60">
        <v>0.0</v>
      </c>
      <c r="AC442" s="61">
        <v>0.0</v>
      </c>
      <c r="AD442" s="61">
        <v>0.0</v>
      </c>
      <c r="AE442" s="60">
        <v>0.0</v>
      </c>
      <c r="AF442" s="61">
        <v>0.0</v>
      </c>
      <c r="AG442" s="61">
        <v>0.0</v>
      </c>
      <c r="AH442" s="60">
        <v>0.0</v>
      </c>
      <c r="AI442" s="61">
        <v>0.0</v>
      </c>
      <c r="AJ442" s="61">
        <v>0.0</v>
      </c>
      <c r="AK442" s="60">
        <v>0.0</v>
      </c>
      <c r="AL442" s="61">
        <v>16.0</v>
      </c>
      <c r="AM442" s="61">
        <v>14.0</v>
      </c>
      <c r="AN442" s="60">
        <v>30.0</v>
      </c>
      <c r="AO442" s="62">
        <v>11.0</v>
      </c>
      <c r="AP442" s="62">
        <v>19.0</v>
      </c>
      <c r="AQ442" s="60">
        <v>30.0</v>
      </c>
      <c r="AR442" s="60" t="str">
        <f>IF(Hoja1!$AQ442&gt;0,Hoja1!$AQ442,IF(Hoja1!$AN442&gt;0,Hoja1!$AN442,IF(Hoja1!$AK442&gt;0,Hoja1!$AK442,IF(Hoja1!$AH442&gt;0,Hoja1!$AH442,IF(Hoja1!$AE442&gt;0,Hoja1!$AE442,IF(Hoja1!$AB442&gt;0,Hoja1!$AB442,IF(Hoja1!$Y442&gt;0,Hoja1!$Y442,IF(Hoja1!$V442&gt;0,Hoja1!$V442," ---"))))))))</f>
        <v>30</v>
      </c>
      <c r="AS442" s="63">
        <v>0.0</v>
      </c>
      <c r="AT442" s="63">
        <v>0.0</v>
      </c>
      <c r="AU442" s="63">
        <v>0.0</v>
      </c>
      <c r="AV442" s="63">
        <v>0.0</v>
      </c>
      <c r="AW442" s="63">
        <v>0.0</v>
      </c>
      <c r="AX442" s="63">
        <v>0.0</v>
      </c>
      <c r="AY442" s="63">
        <v>0.0</v>
      </c>
      <c r="AZ442" s="63">
        <v>0.0</v>
      </c>
      <c r="BA442" s="63">
        <v>20.0</v>
      </c>
      <c r="BB442" s="63">
        <v>4.0</v>
      </c>
      <c r="BC442" s="63">
        <v>11.0</v>
      </c>
      <c r="BD442" s="63">
        <v>3.0</v>
      </c>
      <c r="BE442" s="64">
        <v>0.0</v>
      </c>
      <c r="BF442" s="69">
        <v>0.0</v>
      </c>
      <c r="BG442" s="69">
        <v>0.0</v>
      </c>
      <c r="BH442" s="64">
        <v>0.0</v>
      </c>
      <c r="BI442" s="67" t="str">
        <f t="shared" si="156"/>
        <v>#REF!</v>
      </c>
      <c r="BJ442" s="68" t="str">
        <f t="shared" si="157"/>
        <v>#REF!</v>
      </c>
      <c r="BK442" s="69">
        <v>0.0</v>
      </c>
      <c r="BL442" s="69">
        <v>0.0</v>
      </c>
      <c r="BM442" s="64">
        <v>0.0</v>
      </c>
      <c r="BN442" s="67" t="str">
        <f t="shared" si="158"/>
        <v>#REF!</v>
      </c>
      <c r="BO442" s="68" t="str">
        <f t="shared" si="159"/>
        <v>#REF!</v>
      </c>
      <c r="BP442" s="65">
        <v>0.0</v>
      </c>
      <c r="BQ442" s="65">
        <v>0.0</v>
      </c>
      <c r="BR442" s="66">
        <v>0.0</v>
      </c>
      <c r="BS442" s="67" t="str">
        <f t="shared" si="160"/>
        <v>#REF!</v>
      </c>
      <c r="BT442" s="68" t="str">
        <f>'[1]DATA CONSOLIDADA 2018-2025 '!$BR442-Hoja1!$BO442</f>
        <v>#REF!</v>
      </c>
      <c r="BU442" s="69">
        <v>0.0</v>
      </c>
      <c r="BV442" s="65">
        <v>0.0</v>
      </c>
      <c r="BW442" s="66">
        <v>0.0</v>
      </c>
      <c r="BX442" s="67" t="str">
        <f t="shared" si="161"/>
        <v>#REF!</v>
      </c>
      <c r="BY442" s="68" t="str">
        <f t="shared" si="162"/>
        <v>#REF!</v>
      </c>
      <c r="BZ442" s="65">
        <v>0.0</v>
      </c>
      <c r="CA442" s="65">
        <v>0.0</v>
      </c>
      <c r="CB442" s="66">
        <v>0.0</v>
      </c>
      <c r="CC442" s="67" t="str">
        <f t="shared" si="163"/>
        <v>#REF!</v>
      </c>
      <c r="CD442" s="68" t="str">
        <f>'[1]DATA CONSOLIDADA 2018-2025 '!$CB442-Hoja1!$BW442</f>
        <v>#REF!</v>
      </c>
      <c r="CE442" s="70">
        <v>0.0</v>
      </c>
      <c r="CF442" s="70">
        <v>0.0</v>
      </c>
      <c r="CG442" s="71">
        <v>0.0</v>
      </c>
      <c r="CH442" s="67" t="str">
        <f t="shared" si="164"/>
        <v>#REF!</v>
      </c>
      <c r="CI442" s="68" t="str">
        <f>'[1]DATA CONSOLIDADA 2018-2025 '!$CG442-Hoja1!$CB442</f>
        <v>#REF!</v>
      </c>
      <c r="CJ442" s="64" t="str">
        <f t="shared" si="146"/>
        <v>#REF!</v>
      </c>
      <c r="CK442" s="64">
        <v>10371.999997039999</v>
      </c>
      <c r="CL442" s="64">
        <v>0.0</v>
      </c>
      <c r="CM442" s="64">
        <v>10371.999997039999</v>
      </c>
      <c r="CN442" s="64" t="str">
        <f t="shared" si="12"/>
        <v>#REF!</v>
      </c>
      <c r="CO442" s="68" t="str">
        <f>'[1]DATA CONSOLIDADA 2018-2025 '!$CM442-Hoja1!$CG442</f>
        <v>#REF!</v>
      </c>
      <c r="CP442" s="70">
        <v>0.0</v>
      </c>
      <c r="CQ442" s="70">
        <v>0.0</v>
      </c>
      <c r="CR442" s="70">
        <v>0.0</v>
      </c>
      <c r="CS442" s="70">
        <v>0.0</v>
      </c>
      <c r="CT442" s="70">
        <v>0.0</v>
      </c>
      <c r="CU442" s="70">
        <v>0.0</v>
      </c>
      <c r="CV442" s="64">
        <v>0.0</v>
      </c>
      <c r="CW442" s="64">
        <v>0.0</v>
      </c>
      <c r="CX442" s="64">
        <v>0.0</v>
      </c>
      <c r="CY442" s="64">
        <v>0.0</v>
      </c>
      <c r="CZ442" s="64">
        <v>0.0</v>
      </c>
      <c r="DA442" s="64">
        <v>0.0</v>
      </c>
      <c r="DB442" s="64">
        <v>0.0</v>
      </c>
      <c r="DC442" s="72">
        <v>0.0</v>
      </c>
      <c r="DD442" s="72">
        <v>10371.999997039999</v>
      </c>
      <c r="DE442" s="72">
        <v>0.0</v>
      </c>
      <c r="DF442" s="72">
        <v>0.0</v>
      </c>
      <c r="DG442" s="72">
        <v>0.0</v>
      </c>
      <c r="DH442" s="72">
        <v>10371.999997039999</v>
      </c>
      <c r="DI442" s="73">
        <v>2.0612596833E10</v>
      </c>
      <c r="DJ442" s="74" t="s">
        <v>1448</v>
      </c>
      <c r="DK442" s="74" t="s">
        <v>138</v>
      </c>
      <c r="DL442" s="75"/>
      <c r="DM442" s="75"/>
      <c r="DN442" s="75"/>
      <c r="DO442" s="75"/>
      <c r="DP442" s="75"/>
      <c r="DQ442" s="75"/>
      <c r="DR442" s="75"/>
      <c r="DS442" s="75"/>
      <c r="DT442" s="75"/>
      <c r="DU442" s="75"/>
      <c r="DV442" s="75"/>
      <c r="DW442" s="75"/>
      <c r="DX442" s="75"/>
      <c r="DY442" s="75"/>
      <c r="DZ442" s="75"/>
      <c r="EA442" s="75"/>
      <c r="EB442" s="75"/>
      <c r="EC442" s="75"/>
      <c r="ED442" s="75"/>
      <c r="EE442" s="75"/>
    </row>
    <row r="443" ht="47.25" hidden="1" customHeight="1">
      <c r="A443" s="55" t="s">
        <v>1452</v>
      </c>
      <c r="B443" s="55" t="s">
        <v>198</v>
      </c>
      <c r="C443" s="55" t="s">
        <v>1453</v>
      </c>
      <c r="D443" s="55" t="s">
        <v>434</v>
      </c>
      <c r="E443" s="55" t="s">
        <v>1454</v>
      </c>
      <c r="F443" s="55" t="s">
        <v>434</v>
      </c>
      <c r="G443" s="55" t="s">
        <v>470</v>
      </c>
      <c r="H443" s="55" t="s">
        <v>1455</v>
      </c>
      <c r="I443" s="56"/>
      <c r="J443" s="56"/>
      <c r="K443" s="56"/>
      <c r="L443" s="56"/>
      <c r="M443" s="56"/>
      <c r="N443" s="56"/>
      <c r="O443" s="56">
        <v>1.0</v>
      </c>
      <c r="P443" s="56">
        <v>1.0</v>
      </c>
      <c r="Q443" s="56" t="s">
        <v>131</v>
      </c>
      <c r="R443" s="58" t="str">
        <f t="shared" si="1"/>
        <v>2024 - 2025</v>
      </c>
      <c r="S443" s="59" t="str">
        <f>SUM(Hoja1!$I443:$P443)</f>
        <v>2</v>
      </c>
      <c r="T443" s="59" t="str">
        <f>IF(OR(Hoja1!$J443=1,Hoja1!$K443=1,Hoja1!$L443=1,Hoja1!$M443=1,Hoja1!$N443=1,Hoja1!$O443=1,Hoja1!$P443=1),"SI","NO")</f>
        <v>SI</v>
      </c>
      <c r="U443" s="59" t="str">
        <f>IF(OR(Hoja1!$K443=1,Hoja1!$L443=1,Hoja1!$M443=1,Hoja1!$N443=1,Hoja1!$O443=1,Hoja1!$P443=1),"SI","NO")</f>
        <v>SI</v>
      </c>
      <c r="V443" s="60">
        <v>0.0</v>
      </c>
      <c r="W443" s="61">
        <v>0.0</v>
      </c>
      <c r="X443" s="61">
        <v>0.0</v>
      </c>
      <c r="Y443" s="60">
        <v>0.0</v>
      </c>
      <c r="Z443" s="61">
        <v>0.0</v>
      </c>
      <c r="AA443" s="61">
        <v>0.0</v>
      </c>
      <c r="AB443" s="60">
        <v>0.0</v>
      </c>
      <c r="AC443" s="61">
        <v>0.0</v>
      </c>
      <c r="AD443" s="61">
        <v>0.0</v>
      </c>
      <c r="AE443" s="60">
        <v>0.0</v>
      </c>
      <c r="AF443" s="61">
        <v>0.0</v>
      </c>
      <c r="AG443" s="61">
        <v>0.0</v>
      </c>
      <c r="AH443" s="60">
        <v>0.0</v>
      </c>
      <c r="AI443" s="61">
        <v>0.0</v>
      </c>
      <c r="AJ443" s="61">
        <v>0.0</v>
      </c>
      <c r="AK443" s="60">
        <v>0.0</v>
      </c>
      <c r="AL443" s="61">
        <v>4.0</v>
      </c>
      <c r="AM443" s="61">
        <v>6.0</v>
      </c>
      <c r="AN443" s="60">
        <v>10.0</v>
      </c>
      <c r="AO443" s="62">
        <v>6.0</v>
      </c>
      <c r="AP443" s="62">
        <v>4.0</v>
      </c>
      <c r="AQ443" s="60">
        <v>10.0</v>
      </c>
      <c r="AR443" s="60" t="str">
        <f>IF(Hoja1!$AQ443&gt;0,Hoja1!$AQ443,IF(Hoja1!$AN443&gt;0,Hoja1!$AN443,IF(Hoja1!$AK443&gt;0,Hoja1!$AK443,IF(Hoja1!$AH443&gt;0,Hoja1!$AH443,IF(Hoja1!$AE443&gt;0,Hoja1!$AE443,IF(Hoja1!$AB443&gt;0,Hoja1!$AB443,IF(Hoja1!$Y443&gt;0,Hoja1!$Y443,IF(Hoja1!$V443&gt;0,Hoja1!$V443," ---"))))))))</f>
        <v>10</v>
      </c>
      <c r="AS443" s="63">
        <v>0.0</v>
      </c>
      <c r="AT443" s="63">
        <v>0.0</v>
      </c>
      <c r="AU443" s="63">
        <v>0.0</v>
      </c>
      <c r="AV443" s="63">
        <v>0.0</v>
      </c>
      <c r="AW443" s="63">
        <v>0.0</v>
      </c>
      <c r="AX443" s="63">
        <v>0.0</v>
      </c>
      <c r="AY443" s="63">
        <v>0.0</v>
      </c>
      <c r="AZ443" s="63">
        <v>0.0</v>
      </c>
      <c r="BA443" s="63">
        <v>18.0</v>
      </c>
      <c r="BB443" s="63">
        <v>2.0</v>
      </c>
      <c r="BC443" s="63">
        <v>10.0</v>
      </c>
      <c r="BD443" s="63">
        <v>3.0</v>
      </c>
      <c r="BE443" s="64">
        <v>0.0</v>
      </c>
      <c r="BF443" s="69">
        <v>0.0</v>
      </c>
      <c r="BG443" s="69">
        <v>0.0</v>
      </c>
      <c r="BH443" s="64">
        <v>0.0</v>
      </c>
      <c r="BI443" s="67" t="str">
        <f t="shared" si="156"/>
        <v>#REF!</v>
      </c>
      <c r="BJ443" s="68" t="str">
        <f t="shared" si="157"/>
        <v>#REF!</v>
      </c>
      <c r="BK443" s="69">
        <v>0.0</v>
      </c>
      <c r="BL443" s="69">
        <v>0.0</v>
      </c>
      <c r="BM443" s="64">
        <v>0.0</v>
      </c>
      <c r="BN443" s="67" t="str">
        <f t="shared" si="158"/>
        <v>#REF!</v>
      </c>
      <c r="BO443" s="68" t="str">
        <f t="shared" si="159"/>
        <v>#REF!</v>
      </c>
      <c r="BP443" s="65">
        <v>0.0</v>
      </c>
      <c r="BQ443" s="65">
        <v>0.0</v>
      </c>
      <c r="BR443" s="66">
        <v>0.0</v>
      </c>
      <c r="BS443" s="67" t="str">
        <f t="shared" si="160"/>
        <v>#REF!</v>
      </c>
      <c r="BT443" s="68" t="str">
        <f>'[1]DATA CONSOLIDADA 2018-2025 '!$BR443-Hoja1!$BO443</f>
        <v>#REF!</v>
      </c>
      <c r="BU443" s="69">
        <v>0.0</v>
      </c>
      <c r="BV443" s="65">
        <v>0.0</v>
      </c>
      <c r="BW443" s="66">
        <v>0.0</v>
      </c>
      <c r="BX443" s="67" t="str">
        <f t="shared" si="161"/>
        <v>#REF!</v>
      </c>
      <c r="BY443" s="68" t="str">
        <f t="shared" si="162"/>
        <v>#REF!</v>
      </c>
      <c r="BZ443" s="65">
        <v>0.0</v>
      </c>
      <c r="CA443" s="65">
        <v>0.0</v>
      </c>
      <c r="CB443" s="66">
        <v>0.0</v>
      </c>
      <c r="CC443" s="67" t="str">
        <f t="shared" si="163"/>
        <v>#REF!</v>
      </c>
      <c r="CD443" s="68" t="str">
        <f>'[1]DATA CONSOLIDADA 2018-2025 '!$CB443-Hoja1!$BW443</f>
        <v>#REF!</v>
      </c>
      <c r="CE443" s="70">
        <v>0.0</v>
      </c>
      <c r="CF443" s="70">
        <v>0.0</v>
      </c>
      <c r="CG443" s="71">
        <v>0.0</v>
      </c>
      <c r="CH443" s="67" t="str">
        <f t="shared" si="164"/>
        <v>#REF!</v>
      </c>
      <c r="CI443" s="68" t="str">
        <f>'[1]DATA CONSOLIDADA 2018-2025 '!$CG443-Hoja1!$CB443</f>
        <v>#REF!</v>
      </c>
      <c r="CJ443" s="64" t="str">
        <f t="shared" si="146"/>
        <v>#REF!</v>
      </c>
      <c r="CK443" s="64">
        <v>17320.0000025</v>
      </c>
      <c r="CL443" s="64">
        <v>0.0</v>
      </c>
      <c r="CM443" s="64">
        <v>17320.0000025</v>
      </c>
      <c r="CN443" s="64" t="str">
        <f t="shared" si="12"/>
        <v>#REF!</v>
      </c>
      <c r="CO443" s="68" t="str">
        <f>'[1]DATA CONSOLIDADA 2018-2025 '!$CM443-Hoja1!$CG443</f>
        <v>#REF!</v>
      </c>
      <c r="CP443" s="70">
        <v>0.0</v>
      </c>
      <c r="CQ443" s="70">
        <v>0.0</v>
      </c>
      <c r="CR443" s="70">
        <v>0.0</v>
      </c>
      <c r="CS443" s="70">
        <v>0.0</v>
      </c>
      <c r="CT443" s="70">
        <v>0.0</v>
      </c>
      <c r="CU443" s="70">
        <v>0.0</v>
      </c>
      <c r="CV443" s="64">
        <v>0.0</v>
      </c>
      <c r="CW443" s="64">
        <v>0.0</v>
      </c>
      <c r="CX443" s="64">
        <v>0.0</v>
      </c>
      <c r="CY443" s="64">
        <v>0.0</v>
      </c>
      <c r="CZ443" s="64">
        <v>0.0</v>
      </c>
      <c r="DA443" s="64">
        <v>0.0</v>
      </c>
      <c r="DB443" s="64">
        <v>0.0</v>
      </c>
      <c r="DC443" s="72">
        <v>0.0</v>
      </c>
      <c r="DD443" s="72">
        <v>17320.0000025</v>
      </c>
      <c r="DE443" s="72">
        <v>0.0</v>
      </c>
      <c r="DF443" s="72">
        <v>0.0</v>
      </c>
      <c r="DG443" s="72">
        <v>0.0</v>
      </c>
      <c r="DH443" s="72">
        <v>17320.0000025</v>
      </c>
      <c r="DI443" s="73">
        <v>2.0607264237E10</v>
      </c>
      <c r="DJ443" s="74" t="s">
        <v>1452</v>
      </c>
      <c r="DK443" s="74" t="s">
        <v>138</v>
      </c>
      <c r="DL443" s="75"/>
      <c r="DM443" s="75"/>
      <c r="DN443" s="75"/>
      <c r="DO443" s="75"/>
      <c r="DP443" s="75"/>
      <c r="DQ443" s="75"/>
      <c r="DR443" s="75"/>
      <c r="DS443" s="75"/>
      <c r="DT443" s="75"/>
      <c r="DU443" s="75"/>
      <c r="DV443" s="75"/>
      <c r="DW443" s="75"/>
      <c r="DX443" s="75"/>
      <c r="DY443" s="75"/>
      <c r="DZ443" s="75"/>
      <c r="EA443" s="75"/>
      <c r="EB443" s="75"/>
      <c r="EC443" s="75"/>
      <c r="ED443" s="75"/>
      <c r="EE443" s="75"/>
    </row>
    <row r="444" ht="47.25" hidden="1" customHeight="1">
      <c r="A444" s="55" t="s">
        <v>1456</v>
      </c>
      <c r="B444" s="55" t="s">
        <v>198</v>
      </c>
      <c r="C444" s="55" t="s">
        <v>199</v>
      </c>
      <c r="D444" s="55" t="s">
        <v>434</v>
      </c>
      <c r="E444" s="55" t="s">
        <v>1457</v>
      </c>
      <c r="F444" s="55" t="s">
        <v>434</v>
      </c>
      <c r="G444" s="55" t="s">
        <v>470</v>
      </c>
      <c r="H444" s="55" t="s">
        <v>1458</v>
      </c>
      <c r="I444" s="56"/>
      <c r="J444" s="56"/>
      <c r="K444" s="56"/>
      <c r="L444" s="56"/>
      <c r="M444" s="56"/>
      <c r="N444" s="56"/>
      <c r="O444" s="56">
        <v>1.0</v>
      </c>
      <c r="P444" s="56">
        <v>1.0</v>
      </c>
      <c r="Q444" s="56" t="s">
        <v>131</v>
      </c>
      <c r="R444" s="58" t="str">
        <f t="shared" si="1"/>
        <v>2024 - 2025</v>
      </c>
      <c r="S444" s="59" t="str">
        <f>SUM(Hoja1!$I444:$P444)</f>
        <v>2</v>
      </c>
      <c r="T444" s="59" t="str">
        <f>IF(OR(Hoja1!$J444=1,Hoja1!$K444=1,Hoja1!$L444=1,Hoja1!$M444=1,Hoja1!$N444=1,Hoja1!$O444=1,Hoja1!$P444=1),"SI","NO")</f>
        <v>SI</v>
      </c>
      <c r="U444" s="59" t="str">
        <f>IF(OR(Hoja1!$K444=1,Hoja1!$L444=1,Hoja1!$M444=1,Hoja1!$N444=1,Hoja1!$O444=1,Hoja1!$P444=1),"SI","NO")</f>
        <v>SI</v>
      </c>
      <c r="V444" s="60">
        <v>0.0</v>
      </c>
      <c r="W444" s="61">
        <v>0.0</v>
      </c>
      <c r="X444" s="61">
        <v>0.0</v>
      </c>
      <c r="Y444" s="60">
        <v>0.0</v>
      </c>
      <c r="Z444" s="61">
        <v>0.0</v>
      </c>
      <c r="AA444" s="61">
        <v>0.0</v>
      </c>
      <c r="AB444" s="60">
        <v>0.0</v>
      </c>
      <c r="AC444" s="61">
        <v>0.0</v>
      </c>
      <c r="AD444" s="61">
        <v>0.0</v>
      </c>
      <c r="AE444" s="60">
        <v>0.0</v>
      </c>
      <c r="AF444" s="61">
        <v>0.0</v>
      </c>
      <c r="AG444" s="61">
        <v>0.0</v>
      </c>
      <c r="AH444" s="60">
        <v>0.0</v>
      </c>
      <c r="AI444" s="61">
        <v>0.0</v>
      </c>
      <c r="AJ444" s="61">
        <v>0.0</v>
      </c>
      <c r="AK444" s="60">
        <v>0.0</v>
      </c>
      <c r="AL444" s="61">
        <v>15.0</v>
      </c>
      <c r="AM444" s="61">
        <v>9.0</v>
      </c>
      <c r="AN444" s="60">
        <v>24.0</v>
      </c>
      <c r="AO444" s="62">
        <v>15.0</v>
      </c>
      <c r="AP444" s="62">
        <v>9.0</v>
      </c>
      <c r="AQ444" s="60">
        <v>24.0</v>
      </c>
      <c r="AR444" s="60" t="str">
        <f>IF(Hoja1!$AQ444&gt;0,Hoja1!$AQ444,IF(Hoja1!$AN444&gt;0,Hoja1!$AN444,IF(Hoja1!$AK444&gt;0,Hoja1!$AK444,IF(Hoja1!$AH444&gt;0,Hoja1!$AH444,IF(Hoja1!$AE444&gt;0,Hoja1!$AE444,IF(Hoja1!$AB444&gt;0,Hoja1!$AB444,IF(Hoja1!$Y444&gt;0,Hoja1!$Y444,IF(Hoja1!$V444&gt;0,Hoja1!$V444," ---"))))))))</f>
        <v>24</v>
      </c>
      <c r="AS444" s="63">
        <v>0.0</v>
      </c>
      <c r="AT444" s="63">
        <v>0.0</v>
      </c>
      <c r="AU444" s="63">
        <v>0.0</v>
      </c>
      <c r="AV444" s="63">
        <v>0.0</v>
      </c>
      <c r="AW444" s="63">
        <v>0.0</v>
      </c>
      <c r="AX444" s="63">
        <v>0.0</v>
      </c>
      <c r="AY444" s="63">
        <v>0.0</v>
      </c>
      <c r="AZ444" s="63">
        <v>0.0</v>
      </c>
      <c r="BA444" s="63">
        <v>17.0</v>
      </c>
      <c r="BB444" s="63">
        <v>4.0</v>
      </c>
      <c r="BC444" s="63">
        <v>12.0</v>
      </c>
      <c r="BD444" s="63">
        <v>2.0</v>
      </c>
      <c r="BE444" s="64">
        <v>0.0</v>
      </c>
      <c r="BF444" s="69">
        <v>0.0</v>
      </c>
      <c r="BG444" s="69">
        <v>0.0</v>
      </c>
      <c r="BH444" s="64">
        <v>0.0</v>
      </c>
      <c r="BI444" s="67" t="str">
        <f t="shared" si="156"/>
        <v>#REF!</v>
      </c>
      <c r="BJ444" s="68" t="str">
        <f t="shared" si="157"/>
        <v>#REF!</v>
      </c>
      <c r="BK444" s="69">
        <v>0.0</v>
      </c>
      <c r="BL444" s="69">
        <v>0.0</v>
      </c>
      <c r="BM444" s="64">
        <v>0.0</v>
      </c>
      <c r="BN444" s="67" t="str">
        <f t="shared" si="158"/>
        <v>#REF!</v>
      </c>
      <c r="BO444" s="68" t="str">
        <f t="shared" si="159"/>
        <v>#REF!</v>
      </c>
      <c r="BP444" s="65">
        <v>0.0</v>
      </c>
      <c r="BQ444" s="65">
        <v>0.0</v>
      </c>
      <c r="BR444" s="66">
        <v>0.0</v>
      </c>
      <c r="BS444" s="67" t="str">
        <f t="shared" si="160"/>
        <v>#REF!</v>
      </c>
      <c r="BT444" s="68" t="str">
        <f>'[1]DATA CONSOLIDADA 2018-2025 '!$BR444-Hoja1!$BO444</f>
        <v>#REF!</v>
      </c>
      <c r="BU444" s="69">
        <v>0.0</v>
      </c>
      <c r="BV444" s="65">
        <v>0.0</v>
      </c>
      <c r="BW444" s="66">
        <v>0.0</v>
      </c>
      <c r="BX444" s="67" t="str">
        <f t="shared" si="161"/>
        <v>#REF!</v>
      </c>
      <c r="BY444" s="68" t="str">
        <f t="shared" si="162"/>
        <v>#REF!</v>
      </c>
      <c r="BZ444" s="65">
        <v>0.0</v>
      </c>
      <c r="CA444" s="65">
        <v>0.0</v>
      </c>
      <c r="CB444" s="66">
        <v>0.0</v>
      </c>
      <c r="CC444" s="67" t="str">
        <f t="shared" si="163"/>
        <v>#REF!</v>
      </c>
      <c r="CD444" s="68" t="str">
        <f>'[1]DATA CONSOLIDADA 2018-2025 '!$CB444-Hoja1!$BW444</f>
        <v>#REF!</v>
      </c>
      <c r="CE444" s="70">
        <v>0.0</v>
      </c>
      <c r="CF444" s="70">
        <v>0.0</v>
      </c>
      <c r="CG444" s="71">
        <v>0.0</v>
      </c>
      <c r="CH444" s="67" t="str">
        <f t="shared" si="164"/>
        <v>#REF!</v>
      </c>
      <c r="CI444" s="68" t="str">
        <f>'[1]DATA CONSOLIDADA 2018-2025 '!$CG444-Hoja1!$CB444</f>
        <v>#REF!</v>
      </c>
      <c r="CJ444" s="64" t="str">
        <f t="shared" si="146"/>
        <v>#REF!</v>
      </c>
      <c r="CK444" s="64">
        <v>36424.9989969</v>
      </c>
      <c r="CL444" s="64">
        <v>0.0</v>
      </c>
      <c r="CM444" s="64">
        <v>36424.9989969</v>
      </c>
      <c r="CN444" s="64" t="str">
        <f t="shared" si="12"/>
        <v>#REF!</v>
      </c>
      <c r="CO444" s="68" t="str">
        <f>'[1]DATA CONSOLIDADA 2018-2025 '!$CM444-Hoja1!$CG444</f>
        <v>#REF!</v>
      </c>
      <c r="CP444" s="70">
        <v>0.0</v>
      </c>
      <c r="CQ444" s="70">
        <v>0.0</v>
      </c>
      <c r="CR444" s="70">
        <v>0.0</v>
      </c>
      <c r="CS444" s="70">
        <v>0.0</v>
      </c>
      <c r="CT444" s="70">
        <v>0.0</v>
      </c>
      <c r="CU444" s="70">
        <v>0.0</v>
      </c>
      <c r="CV444" s="64">
        <v>0.0</v>
      </c>
      <c r="CW444" s="64">
        <v>0.0</v>
      </c>
      <c r="CX444" s="64">
        <v>0.0</v>
      </c>
      <c r="CY444" s="64">
        <v>0.0</v>
      </c>
      <c r="CZ444" s="64">
        <v>0.0</v>
      </c>
      <c r="DA444" s="64">
        <v>0.0</v>
      </c>
      <c r="DB444" s="64">
        <v>0.0</v>
      </c>
      <c r="DC444" s="72">
        <v>0.0</v>
      </c>
      <c r="DD444" s="72">
        <v>36424.9989969</v>
      </c>
      <c r="DE444" s="72">
        <v>0.0</v>
      </c>
      <c r="DF444" s="72">
        <v>0.0</v>
      </c>
      <c r="DG444" s="72">
        <v>0.0</v>
      </c>
      <c r="DH444" s="72">
        <v>36424.9989969</v>
      </c>
      <c r="DI444" s="73">
        <v>2.0527504741E10</v>
      </c>
      <c r="DJ444" s="74" t="s">
        <v>1456</v>
      </c>
      <c r="DK444" s="74" t="s">
        <v>138</v>
      </c>
      <c r="DL444" s="75"/>
      <c r="DM444" s="75"/>
      <c r="DN444" s="75"/>
      <c r="DO444" s="75"/>
      <c r="DP444" s="75"/>
      <c r="DQ444" s="75"/>
      <c r="DR444" s="75"/>
      <c r="DS444" s="75"/>
      <c r="DT444" s="75"/>
      <c r="DU444" s="75"/>
      <c r="DV444" s="75"/>
      <c r="DW444" s="75"/>
      <c r="DX444" s="75"/>
      <c r="DY444" s="75"/>
      <c r="DZ444" s="75"/>
      <c r="EA444" s="75"/>
      <c r="EB444" s="75"/>
      <c r="EC444" s="75"/>
      <c r="ED444" s="75"/>
      <c r="EE444" s="75"/>
    </row>
    <row r="445" ht="47.25" hidden="1" customHeight="1">
      <c r="A445" s="55" t="s">
        <v>1459</v>
      </c>
      <c r="B445" s="55" t="s">
        <v>198</v>
      </c>
      <c r="C445" s="55" t="s">
        <v>198</v>
      </c>
      <c r="D445" s="55" t="s">
        <v>563</v>
      </c>
      <c r="E445" s="55" t="s">
        <v>570</v>
      </c>
      <c r="F445" s="55" t="s">
        <v>563</v>
      </c>
      <c r="G445" s="55" t="s">
        <v>567</v>
      </c>
      <c r="H445" s="55" t="s">
        <v>571</v>
      </c>
      <c r="I445" s="56"/>
      <c r="J445" s="56"/>
      <c r="K445" s="56"/>
      <c r="L445" s="56"/>
      <c r="M445" s="56"/>
      <c r="N445" s="56"/>
      <c r="O445" s="56">
        <v>1.0</v>
      </c>
      <c r="P445" s="56">
        <v>1.0</v>
      </c>
      <c r="Q445" s="56" t="s">
        <v>131</v>
      </c>
      <c r="R445" s="58" t="str">
        <f t="shared" si="1"/>
        <v>2024 - 2025</v>
      </c>
      <c r="S445" s="59" t="str">
        <f>SUM(Hoja1!$I445:$P445)</f>
        <v>2</v>
      </c>
      <c r="T445" s="59" t="str">
        <f>IF(OR(Hoja1!$J445=1,Hoja1!$K445=1,Hoja1!$L445=1,Hoja1!$M445=1,Hoja1!$N445=1,Hoja1!$O445=1,Hoja1!$P445=1),"SI","NO")</f>
        <v>SI</v>
      </c>
      <c r="U445" s="59" t="str">
        <f>IF(OR(Hoja1!$K445=1,Hoja1!$L445=1,Hoja1!$M445=1,Hoja1!$N445=1,Hoja1!$O445=1,Hoja1!$P445=1),"SI","NO")</f>
        <v>SI</v>
      </c>
      <c r="V445" s="60">
        <v>0.0</v>
      </c>
      <c r="W445" s="61">
        <v>0.0</v>
      </c>
      <c r="X445" s="61">
        <v>0.0</v>
      </c>
      <c r="Y445" s="60">
        <v>0.0</v>
      </c>
      <c r="Z445" s="61">
        <v>0.0</v>
      </c>
      <c r="AA445" s="61">
        <v>0.0</v>
      </c>
      <c r="AB445" s="60">
        <v>0.0</v>
      </c>
      <c r="AC445" s="61">
        <v>0.0</v>
      </c>
      <c r="AD445" s="61">
        <v>0.0</v>
      </c>
      <c r="AE445" s="60">
        <v>0.0</v>
      </c>
      <c r="AF445" s="61">
        <v>0.0</v>
      </c>
      <c r="AG445" s="61">
        <v>0.0</v>
      </c>
      <c r="AH445" s="60">
        <v>0.0</v>
      </c>
      <c r="AI445" s="61">
        <v>0.0</v>
      </c>
      <c r="AJ445" s="61">
        <v>0.0</v>
      </c>
      <c r="AK445" s="60">
        <v>0.0</v>
      </c>
      <c r="AL445" s="61">
        <v>19.0</v>
      </c>
      <c r="AM445" s="61">
        <v>11.0</v>
      </c>
      <c r="AN445" s="60">
        <v>30.0</v>
      </c>
      <c r="AO445" s="62">
        <v>15.0</v>
      </c>
      <c r="AP445" s="62">
        <v>7.0</v>
      </c>
      <c r="AQ445" s="60">
        <v>22.0</v>
      </c>
      <c r="AR445" s="60" t="str">
        <f>IF(Hoja1!$AQ445&gt;0,Hoja1!$AQ445,IF(Hoja1!$AN445&gt;0,Hoja1!$AN445,IF(Hoja1!$AK445&gt;0,Hoja1!$AK445,IF(Hoja1!$AH445&gt;0,Hoja1!$AH445,IF(Hoja1!$AE445&gt;0,Hoja1!$AE445,IF(Hoja1!$AB445&gt;0,Hoja1!$AB445,IF(Hoja1!$Y445&gt;0,Hoja1!$Y445,IF(Hoja1!$V445&gt;0,Hoja1!$V445," ---"))))))))</f>
        <v>22</v>
      </c>
      <c r="AS445" s="63">
        <v>0.0</v>
      </c>
      <c r="AT445" s="63">
        <v>0.0</v>
      </c>
      <c r="AU445" s="63">
        <v>0.0</v>
      </c>
      <c r="AV445" s="63">
        <v>0.0</v>
      </c>
      <c r="AW445" s="63">
        <v>0.0</v>
      </c>
      <c r="AX445" s="63">
        <v>0.0</v>
      </c>
      <c r="AY445" s="63">
        <v>0.0</v>
      </c>
      <c r="AZ445" s="63">
        <v>0.0</v>
      </c>
      <c r="BA445" s="63">
        <v>22.0</v>
      </c>
      <c r="BB445" s="63">
        <v>6.0</v>
      </c>
      <c r="BC445" s="63">
        <v>27.0</v>
      </c>
      <c r="BD445" s="63">
        <v>14.0</v>
      </c>
      <c r="BE445" s="64">
        <v>0.0</v>
      </c>
      <c r="BF445" s="69">
        <v>0.0</v>
      </c>
      <c r="BG445" s="69">
        <v>0.0</v>
      </c>
      <c r="BH445" s="64">
        <v>0.0</v>
      </c>
      <c r="BI445" s="67" t="str">
        <f t="shared" si="156"/>
        <v>#REF!</v>
      </c>
      <c r="BJ445" s="68" t="str">
        <f t="shared" si="157"/>
        <v>#REF!</v>
      </c>
      <c r="BK445" s="69">
        <v>0.0</v>
      </c>
      <c r="BL445" s="69">
        <v>0.0</v>
      </c>
      <c r="BM445" s="64">
        <v>0.0</v>
      </c>
      <c r="BN445" s="67" t="str">
        <f t="shared" si="158"/>
        <v>#REF!</v>
      </c>
      <c r="BO445" s="68" t="str">
        <f t="shared" si="159"/>
        <v>#REF!</v>
      </c>
      <c r="BP445" s="65">
        <v>0.0</v>
      </c>
      <c r="BQ445" s="65">
        <v>0.0</v>
      </c>
      <c r="BR445" s="66">
        <v>0.0</v>
      </c>
      <c r="BS445" s="67" t="str">
        <f t="shared" si="160"/>
        <v>#REF!</v>
      </c>
      <c r="BT445" s="68" t="str">
        <f>'[1]DATA CONSOLIDADA 2018-2025 '!$BR445-Hoja1!$BO445</f>
        <v>#REF!</v>
      </c>
      <c r="BU445" s="69">
        <v>0.0</v>
      </c>
      <c r="BV445" s="65">
        <v>0.0</v>
      </c>
      <c r="BW445" s="66">
        <v>0.0</v>
      </c>
      <c r="BX445" s="67" t="str">
        <f t="shared" si="161"/>
        <v>#REF!</v>
      </c>
      <c r="BY445" s="68" t="str">
        <f t="shared" si="162"/>
        <v>#REF!</v>
      </c>
      <c r="BZ445" s="65">
        <v>0.0</v>
      </c>
      <c r="CA445" s="65">
        <v>0.0</v>
      </c>
      <c r="CB445" s="66">
        <v>0.0</v>
      </c>
      <c r="CC445" s="67" t="str">
        <f t="shared" si="163"/>
        <v>#REF!</v>
      </c>
      <c r="CD445" s="68" t="str">
        <f>'[1]DATA CONSOLIDADA 2018-2025 '!$CB445-Hoja1!$BW445</f>
        <v>#REF!</v>
      </c>
      <c r="CE445" s="70">
        <v>0.0</v>
      </c>
      <c r="CF445" s="70">
        <v>0.0</v>
      </c>
      <c r="CG445" s="71">
        <v>0.0</v>
      </c>
      <c r="CH445" s="67" t="str">
        <f t="shared" si="164"/>
        <v>#REF!</v>
      </c>
      <c r="CI445" s="68" t="str">
        <f>'[1]DATA CONSOLIDADA 2018-2025 '!$CG445-Hoja1!$CB445</f>
        <v>#REF!</v>
      </c>
      <c r="CJ445" s="64" t="str">
        <f t="shared" si="146"/>
        <v>#REF!</v>
      </c>
      <c r="CK445" s="64">
        <v>19440.0</v>
      </c>
      <c r="CL445" s="64">
        <v>0.0</v>
      </c>
      <c r="CM445" s="64">
        <v>19440.0</v>
      </c>
      <c r="CN445" s="64" t="str">
        <f t="shared" si="12"/>
        <v>#REF!</v>
      </c>
      <c r="CO445" s="68" t="str">
        <f>'[1]DATA CONSOLIDADA 2018-2025 '!$CM445-Hoja1!$CG445</f>
        <v>#REF!</v>
      </c>
      <c r="CP445" s="70">
        <v>0.0</v>
      </c>
      <c r="CQ445" s="70">
        <v>0.0</v>
      </c>
      <c r="CR445" s="70">
        <v>0.0</v>
      </c>
      <c r="CS445" s="70">
        <v>0.0</v>
      </c>
      <c r="CT445" s="70">
        <v>0.0</v>
      </c>
      <c r="CU445" s="70">
        <v>0.0</v>
      </c>
      <c r="CV445" s="64">
        <v>0.0</v>
      </c>
      <c r="CW445" s="64">
        <v>0.0</v>
      </c>
      <c r="CX445" s="64">
        <v>0.0</v>
      </c>
      <c r="CY445" s="64">
        <v>0.0</v>
      </c>
      <c r="CZ445" s="64">
        <v>0.0</v>
      </c>
      <c r="DA445" s="64">
        <v>0.0</v>
      </c>
      <c r="DB445" s="64">
        <v>0.0</v>
      </c>
      <c r="DC445" s="72">
        <v>0.0</v>
      </c>
      <c r="DD445" s="72">
        <v>19440.0</v>
      </c>
      <c r="DE445" s="72">
        <v>0.0</v>
      </c>
      <c r="DF445" s="72">
        <v>0.0</v>
      </c>
      <c r="DG445" s="72">
        <v>0.0</v>
      </c>
      <c r="DH445" s="72">
        <v>19440.0</v>
      </c>
      <c r="DI445" s="73">
        <v>2.0602260021E10</v>
      </c>
      <c r="DJ445" s="74" t="s">
        <v>1459</v>
      </c>
      <c r="DK445" s="74" t="s">
        <v>138</v>
      </c>
      <c r="DL445" s="75"/>
      <c r="DM445" s="75"/>
      <c r="DN445" s="75"/>
      <c r="DO445" s="75"/>
      <c r="DP445" s="75"/>
      <c r="DQ445" s="75"/>
      <c r="DR445" s="75"/>
      <c r="DS445" s="75"/>
      <c r="DT445" s="75"/>
      <c r="DU445" s="75"/>
      <c r="DV445" s="75"/>
      <c r="DW445" s="75"/>
      <c r="DX445" s="75"/>
      <c r="DY445" s="75"/>
      <c r="DZ445" s="75"/>
      <c r="EA445" s="75"/>
      <c r="EB445" s="75"/>
      <c r="EC445" s="75"/>
      <c r="ED445" s="75"/>
      <c r="EE445" s="75"/>
    </row>
    <row r="446" ht="47.25" hidden="1" customHeight="1">
      <c r="A446" s="55" t="s">
        <v>1460</v>
      </c>
      <c r="B446" s="55" t="s">
        <v>198</v>
      </c>
      <c r="C446" s="55" t="s">
        <v>198</v>
      </c>
      <c r="D446" s="55" t="s">
        <v>563</v>
      </c>
      <c r="E446" s="55" t="s">
        <v>1461</v>
      </c>
      <c r="F446" s="55" t="s">
        <v>563</v>
      </c>
      <c r="G446" s="55" t="s">
        <v>567</v>
      </c>
      <c r="H446" s="55" t="s">
        <v>1462</v>
      </c>
      <c r="I446" s="56"/>
      <c r="J446" s="56"/>
      <c r="K446" s="56"/>
      <c r="L446" s="56"/>
      <c r="M446" s="56"/>
      <c r="N446" s="56"/>
      <c r="O446" s="56">
        <v>1.0</v>
      </c>
      <c r="P446" s="56">
        <v>1.0</v>
      </c>
      <c r="Q446" s="56" t="s">
        <v>131</v>
      </c>
      <c r="R446" s="58" t="str">
        <f t="shared" si="1"/>
        <v>2024 - 2025</v>
      </c>
      <c r="S446" s="59" t="str">
        <f>SUM(Hoja1!$I446:$P446)</f>
        <v>2</v>
      </c>
      <c r="T446" s="59" t="str">
        <f>IF(OR(Hoja1!$J446=1,Hoja1!$K446=1,Hoja1!$L446=1,Hoja1!$M446=1,Hoja1!$N446=1,Hoja1!$O446=1,Hoja1!$P446=1),"SI","NO")</f>
        <v>SI</v>
      </c>
      <c r="U446" s="59" t="str">
        <f>IF(OR(Hoja1!$K446=1,Hoja1!$L446=1,Hoja1!$M446=1,Hoja1!$N446=1,Hoja1!$O446=1,Hoja1!$P446=1),"SI","NO")</f>
        <v>SI</v>
      </c>
      <c r="V446" s="60">
        <v>0.0</v>
      </c>
      <c r="W446" s="61">
        <v>0.0</v>
      </c>
      <c r="X446" s="61">
        <v>0.0</v>
      </c>
      <c r="Y446" s="60">
        <v>0.0</v>
      </c>
      <c r="Z446" s="61">
        <v>0.0</v>
      </c>
      <c r="AA446" s="61">
        <v>0.0</v>
      </c>
      <c r="AB446" s="60">
        <v>0.0</v>
      </c>
      <c r="AC446" s="61">
        <v>0.0</v>
      </c>
      <c r="AD446" s="61">
        <v>0.0</v>
      </c>
      <c r="AE446" s="60">
        <v>0.0</v>
      </c>
      <c r="AF446" s="61">
        <v>0.0</v>
      </c>
      <c r="AG446" s="61">
        <v>0.0</v>
      </c>
      <c r="AH446" s="60">
        <v>0.0</v>
      </c>
      <c r="AI446" s="61">
        <v>0.0</v>
      </c>
      <c r="AJ446" s="61">
        <v>0.0</v>
      </c>
      <c r="AK446" s="60">
        <v>0.0</v>
      </c>
      <c r="AL446" s="61">
        <v>15.0</v>
      </c>
      <c r="AM446" s="61">
        <v>15.0</v>
      </c>
      <c r="AN446" s="60">
        <v>30.0</v>
      </c>
      <c r="AO446" s="62">
        <v>15.0</v>
      </c>
      <c r="AP446" s="62">
        <v>4.0</v>
      </c>
      <c r="AQ446" s="60">
        <v>19.0</v>
      </c>
      <c r="AR446" s="60" t="str">
        <f>IF(Hoja1!$AQ446&gt;0,Hoja1!$AQ446,IF(Hoja1!$AN446&gt;0,Hoja1!$AN446,IF(Hoja1!$AK446&gt;0,Hoja1!$AK446,IF(Hoja1!$AH446&gt;0,Hoja1!$AH446,IF(Hoja1!$AE446&gt;0,Hoja1!$AE446,IF(Hoja1!$AB446&gt;0,Hoja1!$AB446,IF(Hoja1!$Y446&gt;0,Hoja1!$Y446,IF(Hoja1!$V446&gt;0,Hoja1!$V446," ---"))))))))</f>
        <v>19</v>
      </c>
      <c r="AS446" s="63">
        <v>0.0</v>
      </c>
      <c r="AT446" s="63">
        <v>0.0</v>
      </c>
      <c r="AU446" s="63">
        <v>0.0</v>
      </c>
      <c r="AV446" s="63">
        <v>0.0</v>
      </c>
      <c r="AW446" s="63">
        <v>0.0</v>
      </c>
      <c r="AX446" s="63">
        <v>0.0</v>
      </c>
      <c r="AY446" s="63">
        <v>0.0</v>
      </c>
      <c r="AZ446" s="63">
        <v>0.0</v>
      </c>
      <c r="BA446" s="63">
        <v>22.0</v>
      </c>
      <c r="BB446" s="63">
        <v>6.0</v>
      </c>
      <c r="BC446" s="63">
        <v>27.0</v>
      </c>
      <c r="BD446" s="63">
        <v>14.0</v>
      </c>
      <c r="BE446" s="64">
        <v>0.0</v>
      </c>
      <c r="BF446" s="69">
        <v>0.0</v>
      </c>
      <c r="BG446" s="69">
        <v>0.0</v>
      </c>
      <c r="BH446" s="64">
        <v>0.0</v>
      </c>
      <c r="BI446" s="67" t="str">
        <f t="shared" si="156"/>
        <v>#REF!</v>
      </c>
      <c r="BJ446" s="68" t="str">
        <f t="shared" si="157"/>
        <v>#REF!</v>
      </c>
      <c r="BK446" s="69">
        <v>0.0</v>
      </c>
      <c r="BL446" s="69">
        <v>0.0</v>
      </c>
      <c r="BM446" s="64">
        <v>0.0</v>
      </c>
      <c r="BN446" s="67" t="str">
        <f t="shared" si="158"/>
        <v>#REF!</v>
      </c>
      <c r="BO446" s="68" t="str">
        <f t="shared" si="159"/>
        <v>#REF!</v>
      </c>
      <c r="BP446" s="65">
        <v>0.0</v>
      </c>
      <c r="BQ446" s="65">
        <v>0.0</v>
      </c>
      <c r="BR446" s="66">
        <v>0.0</v>
      </c>
      <c r="BS446" s="67" t="str">
        <f t="shared" si="160"/>
        <v>#REF!</v>
      </c>
      <c r="BT446" s="68" t="str">
        <f>'[1]DATA CONSOLIDADA 2018-2025 '!$BR446-Hoja1!$BO446</f>
        <v>#REF!</v>
      </c>
      <c r="BU446" s="69">
        <v>0.0</v>
      </c>
      <c r="BV446" s="65">
        <v>0.0</v>
      </c>
      <c r="BW446" s="66">
        <v>0.0</v>
      </c>
      <c r="BX446" s="67" t="str">
        <f t="shared" si="161"/>
        <v>#REF!</v>
      </c>
      <c r="BY446" s="68" t="str">
        <f t="shared" si="162"/>
        <v>#REF!</v>
      </c>
      <c r="BZ446" s="65">
        <v>0.0</v>
      </c>
      <c r="CA446" s="65">
        <v>0.0</v>
      </c>
      <c r="CB446" s="66">
        <v>0.0</v>
      </c>
      <c r="CC446" s="67" t="str">
        <f t="shared" si="163"/>
        <v>#REF!</v>
      </c>
      <c r="CD446" s="68" t="str">
        <f>'[1]DATA CONSOLIDADA 2018-2025 '!$CB446-Hoja1!$BW446</f>
        <v>#REF!</v>
      </c>
      <c r="CE446" s="70">
        <v>0.0</v>
      </c>
      <c r="CF446" s="70">
        <v>0.0</v>
      </c>
      <c r="CG446" s="71">
        <v>0.0</v>
      </c>
      <c r="CH446" s="67" t="str">
        <f t="shared" si="164"/>
        <v>#REF!</v>
      </c>
      <c r="CI446" s="68" t="str">
        <f>'[1]DATA CONSOLIDADA 2018-2025 '!$CG446-Hoja1!$CB446</f>
        <v>#REF!</v>
      </c>
      <c r="CJ446" s="64" t="str">
        <f t="shared" si="146"/>
        <v>#REF!</v>
      </c>
      <c r="CK446" s="64">
        <v>18090.0</v>
      </c>
      <c r="CL446" s="64">
        <v>0.0</v>
      </c>
      <c r="CM446" s="64">
        <v>18090.0</v>
      </c>
      <c r="CN446" s="64" t="str">
        <f t="shared" si="12"/>
        <v>#REF!</v>
      </c>
      <c r="CO446" s="68" t="str">
        <f>'[1]DATA CONSOLIDADA 2018-2025 '!$CM446-Hoja1!$CG446</f>
        <v>#REF!</v>
      </c>
      <c r="CP446" s="70">
        <v>0.0</v>
      </c>
      <c r="CQ446" s="70">
        <v>0.0</v>
      </c>
      <c r="CR446" s="70">
        <v>0.0</v>
      </c>
      <c r="CS446" s="70">
        <v>0.0</v>
      </c>
      <c r="CT446" s="70">
        <v>0.0</v>
      </c>
      <c r="CU446" s="70">
        <v>0.0</v>
      </c>
      <c r="CV446" s="64">
        <v>0.0</v>
      </c>
      <c r="CW446" s="64">
        <v>0.0</v>
      </c>
      <c r="CX446" s="64">
        <v>0.0</v>
      </c>
      <c r="CY446" s="64">
        <v>0.0</v>
      </c>
      <c r="CZ446" s="64">
        <v>0.0</v>
      </c>
      <c r="DA446" s="64">
        <v>0.0</v>
      </c>
      <c r="DB446" s="64">
        <v>0.0</v>
      </c>
      <c r="DC446" s="72">
        <v>0.0</v>
      </c>
      <c r="DD446" s="72">
        <v>18090.0</v>
      </c>
      <c r="DE446" s="72">
        <v>0.0</v>
      </c>
      <c r="DF446" s="72">
        <v>0.0</v>
      </c>
      <c r="DG446" s="72">
        <v>0.0</v>
      </c>
      <c r="DH446" s="72">
        <v>18090.0</v>
      </c>
      <c r="DI446" s="73">
        <v>2.0611142162E10</v>
      </c>
      <c r="DJ446" s="74" t="s">
        <v>1460</v>
      </c>
      <c r="DK446" s="74" t="s">
        <v>138</v>
      </c>
      <c r="DL446" s="75"/>
      <c r="DM446" s="75"/>
      <c r="DN446" s="75"/>
      <c r="DO446" s="75"/>
      <c r="DP446" s="75"/>
      <c r="DQ446" s="75"/>
      <c r="DR446" s="75"/>
      <c r="DS446" s="75"/>
      <c r="DT446" s="75"/>
      <c r="DU446" s="75"/>
      <c r="DV446" s="75"/>
      <c r="DW446" s="75"/>
      <c r="DX446" s="75"/>
      <c r="DY446" s="75"/>
      <c r="DZ446" s="75"/>
      <c r="EA446" s="75"/>
      <c r="EB446" s="75"/>
      <c r="EC446" s="75"/>
      <c r="ED446" s="75"/>
      <c r="EE446" s="75"/>
    </row>
    <row r="447" ht="47.25" hidden="1" customHeight="1">
      <c r="A447" s="55" t="s">
        <v>1463</v>
      </c>
      <c r="B447" s="55" t="s">
        <v>198</v>
      </c>
      <c r="C447" s="55" t="s">
        <v>198</v>
      </c>
      <c r="D447" s="55" t="s">
        <v>563</v>
      </c>
      <c r="E447" s="55" t="s">
        <v>570</v>
      </c>
      <c r="F447" s="55" t="s">
        <v>563</v>
      </c>
      <c r="G447" s="55" t="s">
        <v>567</v>
      </c>
      <c r="H447" s="55" t="s">
        <v>571</v>
      </c>
      <c r="I447" s="56"/>
      <c r="J447" s="56"/>
      <c r="K447" s="56"/>
      <c r="L447" s="56"/>
      <c r="M447" s="56"/>
      <c r="N447" s="56"/>
      <c r="O447" s="56">
        <v>1.0</v>
      </c>
      <c r="P447" s="56">
        <v>1.0</v>
      </c>
      <c r="Q447" s="56" t="s">
        <v>131</v>
      </c>
      <c r="R447" s="58" t="str">
        <f t="shared" si="1"/>
        <v>2024 - 2025</v>
      </c>
      <c r="S447" s="59" t="str">
        <f>SUM(Hoja1!$I447:$P447)</f>
        <v>2</v>
      </c>
      <c r="T447" s="59" t="str">
        <f>IF(OR(Hoja1!$J447=1,Hoja1!$K447=1,Hoja1!$L447=1,Hoja1!$M447=1,Hoja1!$N447=1,Hoja1!$O447=1,Hoja1!$P447=1),"SI","NO")</f>
        <v>SI</v>
      </c>
      <c r="U447" s="59" t="str">
        <f>IF(OR(Hoja1!$K447=1,Hoja1!$L447=1,Hoja1!$M447=1,Hoja1!$N447=1,Hoja1!$O447=1,Hoja1!$P447=1),"SI","NO")</f>
        <v>SI</v>
      </c>
      <c r="V447" s="60">
        <v>0.0</v>
      </c>
      <c r="W447" s="61">
        <v>0.0</v>
      </c>
      <c r="X447" s="61">
        <v>0.0</v>
      </c>
      <c r="Y447" s="60">
        <v>0.0</v>
      </c>
      <c r="Z447" s="61">
        <v>0.0</v>
      </c>
      <c r="AA447" s="61">
        <v>0.0</v>
      </c>
      <c r="AB447" s="60">
        <v>0.0</v>
      </c>
      <c r="AC447" s="61">
        <v>0.0</v>
      </c>
      <c r="AD447" s="61">
        <v>0.0</v>
      </c>
      <c r="AE447" s="60">
        <v>0.0</v>
      </c>
      <c r="AF447" s="61">
        <v>0.0</v>
      </c>
      <c r="AG447" s="61">
        <v>0.0</v>
      </c>
      <c r="AH447" s="60">
        <v>0.0</v>
      </c>
      <c r="AI447" s="61">
        <v>0.0</v>
      </c>
      <c r="AJ447" s="61">
        <v>0.0</v>
      </c>
      <c r="AK447" s="60">
        <v>0.0</v>
      </c>
      <c r="AL447" s="61">
        <v>20.0</v>
      </c>
      <c r="AM447" s="61">
        <v>10.0</v>
      </c>
      <c r="AN447" s="60">
        <v>30.0</v>
      </c>
      <c r="AO447" s="62">
        <v>9.0</v>
      </c>
      <c r="AP447" s="62">
        <v>12.0</v>
      </c>
      <c r="AQ447" s="60">
        <v>21.0</v>
      </c>
      <c r="AR447" s="60" t="str">
        <f>IF(Hoja1!$AQ447&gt;0,Hoja1!$AQ447,IF(Hoja1!$AN447&gt;0,Hoja1!$AN447,IF(Hoja1!$AK447&gt;0,Hoja1!$AK447,IF(Hoja1!$AH447&gt;0,Hoja1!$AH447,IF(Hoja1!$AE447&gt;0,Hoja1!$AE447,IF(Hoja1!$AB447&gt;0,Hoja1!$AB447,IF(Hoja1!$Y447&gt;0,Hoja1!$Y447,IF(Hoja1!$V447&gt;0,Hoja1!$V447," ---"))))))))</f>
        <v>21</v>
      </c>
      <c r="AS447" s="63">
        <v>0.0</v>
      </c>
      <c r="AT447" s="63">
        <v>0.0</v>
      </c>
      <c r="AU447" s="63">
        <v>0.0</v>
      </c>
      <c r="AV447" s="63">
        <v>0.0</v>
      </c>
      <c r="AW447" s="63">
        <v>0.0</v>
      </c>
      <c r="AX447" s="63">
        <v>0.0</v>
      </c>
      <c r="AY447" s="63">
        <v>0.0</v>
      </c>
      <c r="AZ447" s="63">
        <v>0.0</v>
      </c>
      <c r="BA447" s="63">
        <v>22.0</v>
      </c>
      <c r="BB447" s="63">
        <v>6.0</v>
      </c>
      <c r="BC447" s="63">
        <v>27.0</v>
      </c>
      <c r="BD447" s="63">
        <v>14.0</v>
      </c>
      <c r="BE447" s="64">
        <v>0.0</v>
      </c>
      <c r="BF447" s="69">
        <v>0.0</v>
      </c>
      <c r="BG447" s="69">
        <v>0.0</v>
      </c>
      <c r="BH447" s="64">
        <v>0.0</v>
      </c>
      <c r="BI447" s="67" t="str">
        <f t="shared" si="156"/>
        <v>#REF!</v>
      </c>
      <c r="BJ447" s="68" t="str">
        <f t="shared" si="157"/>
        <v>#REF!</v>
      </c>
      <c r="BK447" s="69">
        <v>0.0</v>
      </c>
      <c r="BL447" s="69">
        <v>0.0</v>
      </c>
      <c r="BM447" s="64">
        <v>0.0</v>
      </c>
      <c r="BN447" s="67" t="str">
        <f t="shared" si="158"/>
        <v>#REF!</v>
      </c>
      <c r="BO447" s="68" t="str">
        <f t="shared" si="159"/>
        <v>#REF!</v>
      </c>
      <c r="BP447" s="65">
        <v>0.0</v>
      </c>
      <c r="BQ447" s="65">
        <v>0.0</v>
      </c>
      <c r="BR447" s="66">
        <v>0.0</v>
      </c>
      <c r="BS447" s="67" t="str">
        <f t="shared" si="160"/>
        <v>#REF!</v>
      </c>
      <c r="BT447" s="68" t="str">
        <f>'[1]DATA CONSOLIDADA 2018-2025 '!$BR447-Hoja1!$BO447</f>
        <v>#REF!</v>
      </c>
      <c r="BU447" s="69">
        <v>0.0</v>
      </c>
      <c r="BV447" s="65">
        <v>0.0</v>
      </c>
      <c r="BW447" s="66">
        <v>0.0</v>
      </c>
      <c r="BX447" s="67" t="str">
        <f t="shared" si="161"/>
        <v>#REF!</v>
      </c>
      <c r="BY447" s="68" t="str">
        <f t="shared" si="162"/>
        <v>#REF!</v>
      </c>
      <c r="BZ447" s="65">
        <v>0.0</v>
      </c>
      <c r="CA447" s="65">
        <v>0.0</v>
      </c>
      <c r="CB447" s="66">
        <v>0.0</v>
      </c>
      <c r="CC447" s="67" t="str">
        <f t="shared" si="163"/>
        <v>#REF!</v>
      </c>
      <c r="CD447" s="68" t="str">
        <f>'[1]DATA CONSOLIDADA 2018-2025 '!$CB447-Hoja1!$BW447</f>
        <v>#REF!</v>
      </c>
      <c r="CE447" s="70">
        <v>0.0</v>
      </c>
      <c r="CF447" s="70">
        <v>0.0</v>
      </c>
      <c r="CG447" s="71">
        <v>0.0</v>
      </c>
      <c r="CH447" s="67" t="str">
        <f t="shared" si="164"/>
        <v>#REF!</v>
      </c>
      <c r="CI447" s="68" t="str">
        <f>'[1]DATA CONSOLIDADA 2018-2025 '!$CG447-Hoja1!$CB447</f>
        <v>#REF!</v>
      </c>
      <c r="CJ447" s="64" t="str">
        <f t="shared" si="146"/>
        <v>#REF!</v>
      </c>
      <c r="CK447" s="64">
        <v>15930.0</v>
      </c>
      <c r="CL447" s="64">
        <v>0.0</v>
      </c>
      <c r="CM447" s="64">
        <v>15930.0</v>
      </c>
      <c r="CN447" s="64" t="str">
        <f t="shared" si="12"/>
        <v>#REF!</v>
      </c>
      <c r="CO447" s="68" t="str">
        <f>'[1]DATA CONSOLIDADA 2018-2025 '!$CM447-Hoja1!$CG447</f>
        <v>#REF!</v>
      </c>
      <c r="CP447" s="70">
        <v>0.0</v>
      </c>
      <c r="CQ447" s="70">
        <v>0.0</v>
      </c>
      <c r="CR447" s="70">
        <v>0.0</v>
      </c>
      <c r="CS447" s="70">
        <v>0.0</v>
      </c>
      <c r="CT447" s="70">
        <v>0.0</v>
      </c>
      <c r="CU447" s="70">
        <v>0.0</v>
      </c>
      <c r="CV447" s="64">
        <v>0.0</v>
      </c>
      <c r="CW447" s="64">
        <v>0.0</v>
      </c>
      <c r="CX447" s="64">
        <v>0.0</v>
      </c>
      <c r="CY447" s="64">
        <v>0.0</v>
      </c>
      <c r="CZ447" s="64">
        <v>0.0</v>
      </c>
      <c r="DA447" s="64">
        <v>0.0</v>
      </c>
      <c r="DB447" s="64">
        <v>0.0</v>
      </c>
      <c r="DC447" s="72">
        <v>0.0</v>
      </c>
      <c r="DD447" s="72">
        <v>15930.0</v>
      </c>
      <c r="DE447" s="72">
        <v>0.0</v>
      </c>
      <c r="DF447" s="72">
        <v>0.0</v>
      </c>
      <c r="DG447" s="72">
        <v>0.0</v>
      </c>
      <c r="DH447" s="72">
        <v>15930.0</v>
      </c>
      <c r="DI447" s="73">
        <v>2.0606538465E10</v>
      </c>
      <c r="DJ447" s="74" t="s">
        <v>1463</v>
      </c>
      <c r="DK447" s="74" t="s">
        <v>138</v>
      </c>
      <c r="DL447" s="75"/>
      <c r="DM447" s="75"/>
      <c r="DN447" s="75"/>
      <c r="DO447" s="75"/>
      <c r="DP447" s="75"/>
      <c r="DQ447" s="75"/>
      <c r="DR447" s="75"/>
      <c r="DS447" s="75"/>
      <c r="DT447" s="75"/>
      <c r="DU447" s="75"/>
      <c r="DV447" s="75"/>
      <c r="DW447" s="75"/>
      <c r="DX447" s="75"/>
      <c r="DY447" s="75"/>
      <c r="DZ447" s="75"/>
      <c r="EA447" s="75"/>
      <c r="EB447" s="75"/>
      <c r="EC447" s="75"/>
      <c r="ED447" s="75"/>
      <c r="EE447" s="75"/>
    </row>
    <row r="448" ht="47.25" hidden="1" customHeight="1">
      <c r="A448" s="55" t="s">
        <v>1464</v>
      </c>
      <c r="B448" s="55" t="s">
        <v>198</v>
      </c>
      <c r="C448" s="55" t="s">
        <v>198</v>
      </c>
      <c r="D448" s="55" t="s">
        <v>563</v>
      </c>
      <c r="E448" s="55" t="s">
        <v>1461</v>
      </c>
      <c r="F448" s="55" t="s">
        <v>563</v>
      </c>
      <c r="G448" s="55" t="s">
        <v>567</v>
      </c>
      <c r="H448" s="55" t="s">
        <v>1462</v>
      </c>
      <c r="I448" s="56"/>
      <c r="J448" s="56"/>
      <c r="K448" s="56"/>
      <c r="L448" s="56"/>
      <c r="M448" s="56"/>
      <c r="N448" s="56"/>
      <c r="O448" s="56">
        <v>1.0</v>
      </c>
      <c r="P448" s="56">
        <v>1.0</v>
      </c>
      <c r="Q448" s="56" t="s">
        <v>131</v>
      </c>
      <c r="R448" s="58" t="str">
        <f t="shared" si="1"/>
        <v>2024 - 2025</v>
      </c>
      <c r="S448" s="59" t="str">
        <f>SUM(Hoja1!$I448:$P448)</f>
        <v>2</v>
      </c>
      <c r="T448" s="59" t="str">
        <f>IF(OR(Hoja1!$J448=1,Hoja1!$K448=1,Hoja1!$L448=1,Hoja1!$M448=1,Hoja1!$N448=1,Hoja1!$O448=1,Hoja1!$P448=1),"SI","NO")</f>
        <v>SI</v>
      </c>
      <c r="U448" s="59" t="str">
        <f>IF(OR(Hoja1!$K448=1,Hoja1!$L448=1,Hoja1!$M448=1,Hoja1!$N448=1,Hoja1!$O448=1,Hoja1!$P448=1),"SI","NO")</f>
        <v>SI</v>
      </c>
      <c r="V448" s="60">
        <v>0.0</v>
      </c>
      <c r="W448" s="61">
        <v>0.0</v>
      </c>
      <c r="X448" s="61">
        <v>0.0</v>
      </c>
      <c r="Y448" s="60">
        <v>0.0</v>
      </c>
      <c r="Z448" s="61">
        <v>0.0</v>
      </c>
      <c r="AA448" s="61">
        <v>0.0</v>
      </c>
      <c r="AB448" s="60">
        <v>0.0</v>
      </c>
      <c r="AC448" s="61">
        <v>0.0</v>
      </c>
      <c r="AD448" s="61">
        <v>0.0</v>
      </c>
      <c r="AE448" s="60">
        <v>0.0</v>
      </c>
      <c r="AF448" s="61">
        <v>0.0</v>
      </c>
      <c r="AG448" s="61">
        <v>0.0</v>
      </c>
      <c r="AH448" s="60">
        <v>0.0</v>
      </c>
      <c r="AI448" s="61">
        <v>0.0</v>
      </c>
      <c r="AJ448" s="61">
        <v>0.0</v>
      </c>
      <c r="AK448" s="60">
        <v>0.0</v>
      </c>
      <c r="AL448" s="61">
        <v>19.0</v>
      </c>
      <c r="AM448" s="61">
        <v>31.0</v>
      </c>
      <c r="AN448" s="60">
        <v>50.0</v>
      </c>
      <c r="AO448" s="62">
        <v>4.0</v>
      </c>
      <c r="AP448" s="62">
        <v>12.0</v>
      </c>
      <c r="AQ448" s="60">
        <v>16.0</v>
      </c>
      <c r="AR448" s="60" t="str">
        <f>IF(Hoja1!$AQ448&gt;0,Hoja1!$AQ448,IF(Hoja1!$AN448&gt;0,Hoja1!$AN448,IF(Hoja1!$AK448&gt;0,Hoja1!$AK448,IF(Hoja1!$AH448&gt;0,Hoja1!$AH448,IF(Hoja1!$AE448&gt;0,Hoja1!$AE448,IF(Hoja1!$AB448&gt;0,Hoja1!$AB448,IF(Hoja1!$Y448&gt;0,Hoja1!$Y448,IF(Hoja1!$V448&gt;0,Hoja1!$V448," ---"))))))))</f>
        <v>16</v>
      </c>
      <c r="AS448" s="63">
        <v>0.0</v>
      </c>
      <c r="AT448" s="63">
        <v>0.0</v>
      </c>
      <c r="AU448" s="63">
        <v>0.0</v>
      </c>
      <c r="AV448" s="63">
        <v>0.0</v>
      </c>
      <c r="AW448" s="63">
        <v>0.0</v>
      </c>
      <c r="AX448" s="63">
        <v>0.0</v>
      </c>
      <c r="AY448" s="63">
        <v>0.0</v>
      </c>
      <c r="AZ448" s="63">
        <v>0.0</v>
      </c>
      <c r="BA448" s="63">
        <v>22.0</v>
      </c>
      <c r="BB448" s="63">
        <v>6.0</v>
      </c>
      <c r="BC448" s="63">
        <v>27.0</v>
      </c>
      <c r="BD448" s="63">
        <v>14.0</v>
      </c>
      <c r="BE448" s="64">
        <v>0.0</v>
      </c>
      <c r="BF448" s="69">
        <v>0.0</v>
      </c>
      <c r="BG448" s="69">
        <v>0.0</v>
      </c>
      <c r="BH448" s="64">
        <v>0.0</v>
      </c>
      <c r="BI448" s="67" t="str">
        <f t="shared" si="156"/>
        <v>#REF!</v>
      </c>
      <c r="BJ448" s="68" t="str">
        <f t="shared" si="157"/>
        <v>#REF!</v>
      </c>
      <c r="BK448" s="69">
        <v>0.0</v>
      </c>
      <c r="BL448" s="69">
        <v>0.0</v>
      </c>
      <c r="BM448" s="64">
        <v>0.0</v>
      </c>
      <c r="BN448" s="67" t="str">
        <f t="shared" si="158"/>
        <v>#REF!</v>
      </c>
      <c r="BO448" s="68" t="str">
        <f t="shared" si="159"/>
        <v>#REF!</v>
      </c>
      <c r="BP448" s="65">
        <v>0.0</v>
      </c>
      <c r="BQ448" s="65">
        <v>0.0</v>
      </c>
      <c r="BR448" s="66">
        <v>0.0</v>
      </c>
      <c r="BS448" s="67" t="str">
        <f t="shared" si="160"/>
        <v>#REF!</v>
      </c>
      <c r="BT448" s="68" t="str">
        <f>'[1]DATA CONSOLIDADA 2018-2025 '!$BR448-Hoja1!$BO448</f>
        <v>#REF!</v>
      </c>
      <c r="BU448" s="69">
        <v>0.0</v>
      </c>
      <c r="BV448" s="65">
        <v>0.0</v>
      </c>
      <c r="BW448" s="66">
        <v>0.0</v>
      </c>
      <c r="BX448" s="67" t="str">
        <f t="shared" si="161"/>
        <v>#REF!</v>
      </c>
      <c r="BY448" s="68" t="str">
        <f t="shared" si="162"/>
        <v>#REF!</v>
      </c>
      <c r="BZ448" s="65">
        <v>0.0</v>
      </c>
      <c r="CA448" s="65">
        <v>0.0</v>
      </c>
      <c r="CB448" s="66">
        <v>0.0</v>
      </c>
      <c r="CC448" s="67" t="str">
        <f t="shared" si="163"/>
        <v>#REF!</v>
      </c>
      <c r="CD448" s="68" t="str">
        <f>'[1]DATA CONSOLIDADA 2018-2025 '!$CB448-Hoja1!$BW448</f>
        <v>#REF!</v>
      </c>
      <c r="CE448" s="70">
        <v>0.0</v>
      </c>
      <c r="CF448" s="70">
        <v>0.0</v>
      </c>
      <c r="CG448" s="71">
        <v>0.0</v>
      </c>
      <c r="CH448" s="67" t="str">
        <f t="shared" si="164"/>
        <v>#REF!</v>
      </c>
      <c r="CI448" s="68" t="str">
        <f>'[1]DATA CONSOLIDADA 2018-2025 '!$CG448-Hoja1!$CB448</f>
        <v>#REF!</v>
      </c>
      <c r="CJ448" s="64" t="str">
        <f t="shared" si="146"/>
        <v>#REF!</v>
      </c>
      <c r="CK448" s="64">
        <v>14040.0</v>
      </c>
      <c r="CL448" s="64">
        <v>0.0</v>
      </c>
      <c r="CM448" s="64">
        <v>14040.0</v>
      </c>
      <c r="CN448" s="64" t="str">
        <f t="shared" si="12"/>
        <v>#REF!</v>
      </c>
      <c r="CO448" s="68" t="str">
        <f>'[1]DATA CONSOLIDADA 2018-2025 '!$CM448-Hoja1!$CG448</f>
        <v>#REF!</v>
      </c>
      <c r="CP448" s="70">
        <v>0.0</v>
      </c>
      <c r="CQ448" s="70">
        <v>0.0</v>
      </c>
      <c r="CR448" s="70">
        <v>0.0</v>
      </c>
      <c r="CS448" s="70">
        <v>0.0</v>
      </c>
      <c r="CT448" s="70">
        <v>0.0</v>
      </c>
      <c r="CU448" s="70">
        <v>0.0</v>
      </c>
      <c r="CV448" s="64">
        <v>0.0</v>
      </c>
      <c r="CW448" s="64">
        <v>0.0</v>
      </c>
      <c r="CX448" s="64">
        <v>0.0</v>
      </c>
      <c r="CY448" s="64">
        <v>0.0</v>
      </c>
      <c r="CZ448" s="64">
        <v>0.0</v>
      </c>
      <c r="DA448" s="64">
        <v>0.0</v>
      </c>
      <c r="DB448" s="64">
        <v>0.0</v>
      </c>
      <c r="DC448" s="72">
        <v>0.0</v>
      </c>
      <c r="DD448" s="72">
        <v>14040.0</v>
      </c>
      <c r="DE448" s="72">
        <v>0.0</v>
      </c>
      <c r="DF448" s="72">
        <v>0.0</v>
      </c>
      <c r="DG448" s="72">
        <v>0.0</v>
      </c>
      <c r="DH448" s="72">
        <v>14040.0</v>
      </c>
      <c r="DI448" s="73">
        <v>2.0611065044E10</v>
      </c>
      <c r="DJ448" s="74" t="s">
        <v>1464</v>
      </c>
      <c r="DK448" s="74" t="s">
        <v>138</v>
      </c>
      <c r="DL448" s="75"/>
      <c r="DM448" s="75"/>
      <c r="DN448" s="75"/>
      <c r="DO448" s="75"/>
      <c r="DP448" s="75"/>
      <c r="DQ448" s="75"/>
      <c r="DR448" s="75"/>
      <c r="DS448" s="75"/>
      <c r="DT448" s="75"/>
      <c r="DU448" s="75"/>
      <c r="DV448" s="75"/>
      <c r="DW448" s="75"/>
      <c r="DX448" s="75"/>
      <c r="DY448" s="75"/>
      <c r="DZ448" s="75"/>
      <c r="EA448" s="75"/>
      <c r="EB448" s="75"/>
      <c r="EC448" s="75"/>
      <c r="ED448" s="75"/>
      <c r="EE448" s="75"/>
    </row>
    <row r="449" ht="47.25" hidden="1" customHeight="1">
      <c r="A449" s="55" t="s">
        <v>1465</v>
      </c>
      <c r="B449" s="55" t="s">
        <v>256</v>
      </c>
      <c r="C449" s="55" t="s">
        <v>272</v>
      </c>
      <c r="D449" s="55" t="s">
        <v>593</v>
      </c>
      <c r="E449" s="55" t="s">
        <v>1287</v>
      </c>
      <c r="F449" s="55" t="s">
        <v>593</v>
      </c>
      <c r="G449" s="55" t="s">
        <v>651</v>
      </c>
      <c r="H449" s="55" t="s">
        <v>1288</v>
      </c>
      <c r="I449" s="56"/>
      <c r="J449" s="56"/>
      <c r="K449" s="56"/>
      <c r="L449" s="56"/>
      <c r="M449" s="56"/>
      <c r="N449" s="56"/>
      <c r="O449" s="56">
        <v>1.0</v>
      </c>
      <c r="P449" s="56">
        <v>1.0</v>
      </c>
      <c r="Q449" s="56" t="s">
        <v>131</v>
      </c>
      <c r="R449" s="58" t="str">
        <f t="shared" si="1"/>
        <v>2024 - 2025</v>
      </c>
      <c r="S449" s="59" t="str">
        <f>SUM(Hoja1!$I449:$P449)</f>
        <v>2</v>
      </c>
      <c r="T449" s="59" t="str">
        <f>IF(OR(Hoja1!$J449=1,Hoja1!$K449=1,Hoja1!$L449=1,Hoja1!$M449=1,Hoja1!$N449=1,Hoja1!$O449=1,Hoja1!$P449=1),"SI","NO")</f>
        <v>SI</v>
      </c>
      <c r="U449" s="59" t="str">
        <f>IF(OR(Hoja1!$K449=1,Hoja1!$L449=1,Hoja1!$M449=1,Hoja1!$N449=1,Hoja1!$O449=1,Hoja1!$P449=1),"SI","NO")</f>
        <v>SI</v>
      </c>
      <c r="V449" s="60">
        <v>0.0</v>
      </c>
      <c r="W449" s="61">
        <v>0.0</v>
      </c>
      <c r="X449" s="61">
        <v>0.0</v>
      </c>
      <c r="Y449" s="60">
        <v>0.0</v>
      </c>
      <c r="Z449" s="61">
        <v>0.0</v>
      </c>
      <c r="AA449" s="61">
        <v>0.0</v>
      </c>
      <c r="AB449" s="60">
        <v>0.0</v>
      </c>
      <c r="AC449" s="61">
        <v>0.0</v>
      </c>
      <c r="AD449" s="61">
        <v>0.0</v>
      </c>
      <c r="AE449" s="60">
        <v>0.0</v>
      </c>
      <c r="AF449" s="61">
        <v>0.0</v>
      </c>
      <c r="AG449" s="61">
        <v>0.0</v>
      </c>
      <c r="AH449" s="60">
        <v>0.0</v>
      </c>
      <c r="AI449" s="61">
        <v>0.0</v>
      </c>
      <c r="AJ449" s="61">
        <v>0.0</v>
      </c>
      <c r="AK449" s="60">
        <v>0.0</v>
      </c>
      <c r="AL449" s="61">
        <v>20.0</v>
      </c>
      <c r="AM449" s="61">
        <v>11.0</v>
      </c>
      <c r="AN449" s="60">
        <v>31.0</v>
      </c>
      <c r="AO449" s="62">
        <v>21.0</v>
      </c>
      <c r="AP449" s="62">
        <v>12.0</v>
      </c>
      <c r="AQ449" s="60">
        <v>33.0</v>
      </c>
      <c r="AR449" s="60" t="str">
        <f>IF(Hoja1!$AQ449&gt;0,Hoja1!$AQ449,IF(Hoja1!$AN449&gt;0,Hoja1!$AN449,IF(Hoja1!$AK449&gt;0,Hoja1!$AK449,IF(Hoja1!$AH449&gt;0,Hoja1!$AH449,IF(Hoja1!$AE449&gt;0,Hoja1!$AE449,IF(Hoja1!$AB449&gt;0,Hoja1!$AB449,IF(Hoja1!$Y449&gt;0,Hoja1!$Y449,IF(Hoja1!$V449&gt;0,Hoja1!$V449," ---"))))))))</f>
        <v>33</v>
      </c>
      <c r="AS449" s="63">
        <v>0.0</v>
      </c>
      <c r="AT449" s="63">
        <v>0.0</v>
      </c>
      <c r="AU449" s="63">
        <v>0.0</v>
      </c>
      <c r="AV449" s="63">
        <v>0.0</v>
      </c>
      <c r="AW449" s="63">
        <v>0.0</v>
      </c>
      <c r="AX449" s="63">
        <v>0.0</v>
      </c>
      <c r="AY449" s="63">
        <v>0.0</v>
      </c>
      <c r="AZ449" s="63">
        <v>0.0</v>
      </c>
      <c r="BA449" s="63">
        <v>24.0</v>
      </c>
      <c r="BB449" s="63">
        <v>0.0</v>
      </c>
      <c r="BC449" s="63">
        <v>12.0</v>
      </c>
      <c r="BD449" s="63">
        <v>0.0</v>
      </c>
      <c r="BE449" s="64">
        <v>0.0</v>
      </c>
      <c r="BF449" s="69">
        <v>0.0</v>
      </c>
      <c r="BG449" s="69">
        <v>0.0</v>
      </c>
      <c r="BH449" s="64">
        <v>0.0</v>
      </c>
      <c r="BI449" s="67" t="str">
        <f t="shared" si="156"/>
        <v>#REF!</v>
      </c>
      <c r="BJ449" s="68" t="str">
        <f t="shared" si="157"/>
        <v>#REF!</v>
      </c>
      <c r="BK449" s="69">
        <v>0.0</v>
      </c>
      <c r="BL449" s="69">
        <v>0.0</v>
      </c>
      <c r="BM449" s="64">
        <v>0.0</v>
      </c>
      <c r="BN449" s="67" t="str">
        <f t="shared" si="158"/>
        <v>#REF!</v>
      </c>
      <c r="BO449" s="68" t="str">
        <f t="shared" si="159"/>
        <v>#REF!</v>
      </c>
      <c r="BP449" s="65">
        <v>0.0</v>
      </c>
      <c r="BQ449" s="65">
        <v>0.0</v>
      </c>
      <c r="BR449" s="66">
        <v>0.0</v>
      </c>
      <c r="BS449" s="67" t="str">
        <f t="shared" si="160"/>
        <v>#REF!</v>
      </c>
      <c r="BT449" s="68" t="str">
        <f>'[1]DATA CONSOLIDADA 2018-2025 '!$BR449-Hoja1!$BO449</f>
        <v>#REF!</v>
      </c>
      <c r="BU449" s="69">
        <v>0.0</v>
      </c>
      <c r="BV449" s="65">
        <v>0.0</v>
      </c>
      <c r="BW449" s="66">
        <v>0.0</v>
      </c>
      <c r="BX449" s="67" t="str">
        <f t="shared" si="161"/>
        <v>#REF!</v>
      </c>
      <c r="BY449" s="68" t="str">
        <f t="shared" si="162"/>
        <v>#REF!</v>
      </c>
      <c r="BZ449" s="65">
        <v>0.0</v>
      </c>
      <c r="CA449" s="65">
        <v>0.0</v>
      </c>
      <c r="CB449" s="66">
        <v>0.0</v>
      </c>
      <c r="CC449" s="67" t="str">
        <f t="shared" si="163"/>
        <v>#REF!</v>
      </c>
      <c r="CD449" s="68" t="str">
        <f>'[1]DATA CONSOLIDADA 2018-2025 '!$CB449-Hoja1!$BW449</f>
        <v>#REF!</v>
      </c>
      <c r="CE449" s="70">
        <v>179725.366</v>
      </c>
      <c r="CF449" s="70">
        <v>0.0</v>
      </c>
      <c r="CG449" s="71">
        <v>179725.366</v>
      </c>
      <c r="CH449" s="67" t="str">
        <f t="shared" si="164"/>
        <v>#REF!</v>
      </c>
      <c r="CI449" s="68" t="str">
        <f>'[1]DATA CONSOLIDADA 2018-2025 '!$CG449-Hoja1!$CB449</f>
        <v>#REF!</v>
      </c>
      <c r="CJ449" s="64" t="str">
        <f t="shared" si="146"/>
        <v>#REF!</v>
      </c>
      <c r="CK449" s="64">
        <v>157123.126</v>
      </c>
      <c r="CL449" s="64">
        <v>0.0</v>
      </c>
      <c r="CM449" s="64">
        <v>157123.126</v>
      </c>
      <c r="CN449" s="64" t="str">
        <f t="shared" si="12"/>
        <v>#REF!</v>
      </c>
      <c r="CO449" s="68" t="str">
        <f>'[1]DATA CONSOLIDADA 2018-2025 '!$CM449-Hoja1!$CG449</f>
        <v>#REF!</v>
      </c>
      <c r="CP449" s="70">
        <v>0.0</v>
      </c>
      <c r="CQ449" s="70">
        <v>0.0</v>
      </c>
      <c r="CR449" s="70">
        <v>0.0</v>
      </c>
      <c r="CS449" s="70">
        <v>0.0</v>
      </c>
      <c r="CT449" s="70">
        <v>0.0</v>
      </c>
      <c r="CU449" s="70">
        <v>0.0</v>
      </c>
      <c r="CV449" s="64">
        <v>0.0</v>
      </c>
      <c r="CW449" s="64">
        <v>0.0</v>
      </c>
      <c r="CX449" s="64">
        <v>61820.0</v>
      </c>
      <c r="CY449" s="64">
        <v>117905.36600000001</v>
      </c>
      <c r="CZ449" s="64">
        <v>0.0</v>
      </c>
      <c r="DA449" s="64">
        <v>0.0</v>
      </c>
      <c r="DB449" s="64">
        <v>179725.366</v>
      </c>
      <c r="DC449" s="72">
        <v>0.0</v>
      </c>
      <c r="DD449" s="72">
        <v>0.0</v>
      </c>
      <c r="DE449" s="72">
        <v>157123.126</v>
      </c>
      <c r="DF449" s="72">
        <v>0.0</v>
      </c>
      <c r="DG449" s="72">
        <v>0.0</v>
      </c>
      <c r="DH449" s="72">
        <v>157123.126</v>
      </c>
      <c r="DI449" s="73">
        <v>2.0608206346E10</v>
      </c>
      <c r="DJ449" s="74" t="s">
        <v>1466</v>
      </c>
      <c r="DK449" s="74" t="s">
        <v>138</v>
      </c>
      <c r="DL449" s="75"/>
      <c r="DM449" s="75"/>
      <c r="DN449" s="75"/>
      <c r="DO449" s="75"/>
      <c r="DP449" s="75"/>
      <c r="DQ449" s="75"/>
      <c r="DR449" s="75"/>
      <c r="DS449" s="75"/>
      <c r="DT449" s="75"/>
      <c r="DU449" s="75"/>
      <c r="DV449" s="75"/>
      <c r="DW449" s="75"/>
      <c r="DX449" s="75"/>
      <c r="DY449" s="75"/>
      <c r="DZ449" s="75"/>
      <c r="EA449" s="75"/>
      <c r="EB449" s="75"/>
      <c r="EC449" s="75"/>
      <c r="ED449" s="75"/>
      <c r="EE449" s="75"/>
    </row>
    <row r="450" ht="47.25" hidden="1" customHeight="1">
      <c r="A450" s="55" t="s">
        <v>1467</v>
      </c>
      <c r="B450" s="55" t="s">
        <v>256</v>
      </c>
      <c r="C450" s="55" t="s">
        <v>272</v>
      </c>
      <c r="D450" s="55" t="s">
        <v>593</v>
      </c>
      <c r="E450" s="55" t="s">
        <v>1287</v>
      </c>
      <c r="F450" s="55" t="s">
        <v>593</v>
      </c>
      <c r="G450" s="55" t="s">
        <v>651</v>
      </c>
      <c r="H450" s="55" t="s">
        <v>1288</v>
      </c>
      <c r="I450" s="56"/>
      <c r="J450" s="56"/>
      <c r="K450" s="56"/>
      <c r="L450" s="56"/>
      <c r="M450" s="56"/>
      <c r="N450" s="56"/>
      <c r="O450" s="56">
        <v>1.0</v>
      </c>
      <c r="P450" s="56">
        <v>1.0</v>
      </c>
      <c r="Q450" s="56" t="s">
        <v>131</v>
      </c>
      <c r="R450" s="58" t="str">
        <f t="shared" si="1"/>
        <v>2024 - 2025</v>
      </c>
      <c r="S450" s="59" t="str">
        <f>SUM(Hoja1!$I450:$P450)</f>
        <v>2</v>
      </c>
      <c r="T450" s="59" t="str">
        <f>IF(OR(Hoja1!$J450=1,Hoja1!$K450=1,Hoja1!$L450=1,Hoja1!$M450=1,Hoja1!$N450=1,Hoja1!$O450=1,Hoja1!$P450=1),"SI","NO")</f>
        <v>SI</v>
      </c>
      <c r="U450" s="59" t="str">
        <f>IF(OR(Hoja1!$K450=1,Hoja1!$L450=1,Hoja1!$M450=1,Hoja1!$N450=1,Hoja1!$O450=1,Hoja1!$P450=1),"SI","NO")</f>
        <v>SI</v>
      </c>
      <c r="V450" s="60">
        <v>0.0</v>
      </c>
      <c r="W450" s="61">
        <v>0.0</v>
      </c>
      <c r="X450" s="61">
        <v>0.0</v>
      </c>
      <c r="Y450" s="60">
        <v>0.0</v>
      </c>
      <c r="Z450" s="61">
        <v>0.0</v>
      </c>
      <c r="AA450" s="61">
        <v>0.0</v>
      </c>
      <c r="AB450" s="60">
        <v>0.0</v>
      </c>
      <c r="AC450" s="61">
        <v>0.0</v>
      </c>
      <c r="AD450" s="61">
        <v>0.0</v>
      </c>
      <c r="AE450" s="60">
        <v>0.0</v>
      </c>
      <c r="AF450" s="61">
        <v>0.0</v>
      </c>
      <c r="AG450" s="61">
        <v>0.0</v>
      </c>
      <c r="AH450" s="60">
        <v>0.0</v>
      </c>
      <c r="AI450" s="61">
        <v>0.0</v>
      </c>
      <c r="AJ450" s="61">
        <v>0.0</v>
      </c>
      <c r="AK450" s="60">
        <v>0.0</v>
      </c>
      <c r="AL450" s="61">
        <v>14.0</v>
      </c>
      <c r="AM450" s="61">
        <v>21.0</v>
      </c>
      <c r="AN450" s="60">
        <v>35.0</v>
      </c>
      <c r="AO450" s="62">
        <v>18.0</v>
      </c>
      <c r="AP450" s="62">
        <v>11.0</v>
      </c>
      <c r="AQ450" s="60">
        <v>29.0</v>
      </c>
      <c r="AR450" s="60" t="str">
        <f>IF(Hoja1!$AQ450&gt;0,Hoja1!$AQ450,IF(Hoja1!$AN450&gt;0,Hoja1!$AN450,IF(Hoja1!$AK450&gt;0,Hoja1!$AK450,IF(Hoja1!$AH450&gt;0,Hoja1!$AH450,IF(Hoja1!$AE450&gt;0,Hoja1!$AE450,IF(Hoja1!$AB450&gt;0,Hoja1!$AB450,IF(Hoja1!$Y450&gt;0,Hoja1!$Y450,IF(Hoja1!$V450&gt;0,Hoja1!$V450," ---"))))))))</f>
        <v>29</v>
      </c>
      <c r="AS450" s="63">
        <v>0.0</v>
      </c>
      <c r="AT450" s="63">
        <v>0.0</v>
      </c>
      <c r="AU450" s="63">
        <v>0.0</v>
      </c>
      <c r="AV450" s="63">
        <v>0.0</v>
      </c>
      <c r="AW450" s="63">
        <v>0.0</v>
      </c>
      <c r="AX450" s="63">
        <v>0.0</v>
      </c>
      <c r="AY450" s="63">
        <v>0.0</v>
      </c>
      <c r="AZ450" s="63">
        <v>0.0</v>
      </c>
      <c r="BA450" s="63">
        <v>24.0</v>
      </c>
      <c r="BB450" s="63">
        <v>0.0</v>
      </c>
      <c r="BC450" s="63">
        <v>12.0</v>
      </c>
      <c r="BD450" s="63">
        <v>0.0</v>
      </c>
      <c r="BE450" s="64">
        <v>0.0</v>
      </c>
      <c r="BF450" s="69">
        <v>0.0</v>
      </c>
      <c r="BG450" s="69">
        <v>0.0</v>
      </c>
      <c r="BH450" s="64">
        <v>0.0</v>
      </c>
      <c r="BI450" s="67" t="str">
        <f t="shared" si="156"/>
        <v>#REF!</v>
      </c>
      <c r="BJ450" s="68" t="str">
        <f t="shared" si="157"/>
        <v>#REF!</v>
      </c>
      <c r="BK450" s="69">
        <v>0.0</v>
      </c>
      <c r="BL450" s="69">
        <v>0.0</v>
      </c>
      <c r="BM450" s="64">
        <v>0.0</v>
      </c>
      <c r="BN450" s="67" t="str">
        <f t="shared" si="158"/>
        <v>#REF!</v>
      </c>
      <c r="BO450" s="68" t="str">
        <f t="shared" si="159"/>
        <v>#REF!</v>
      </c>
      <c r="BP450" s="65">
        <v>0.0</v>
      </c>
      <c r="BQ450" s="65">
        <v>0.0</v>
      </c>
      <c r="BR450" s="66">
        <v>0.0</v>
      </c>
      <c r="BS450" s="67" t="str">
        <f t="shared" si="160"/>
        <v>#REF!</v>
      </c>
      <c r="BT450" s="68" t="str">
        <f>'[1]DATA CONSOLIDADA 2018-2025 '!$BR450-Hoja1!$BO450</f>
        <v>#REF!</v>
      </c>
      <c r="BU450" s="69">
        <v>0.0</v>
      </c>
      <c r="BV450" s="65">
        <v>0.0</v>
      </c>
      <c r="BW450" s="66">
        <v>0.0</v>
      </c>
      <c r="BX450" s="67" t="str">
        <f t="shared" si="161"/>
        <v>#REF!</v>
      </c>
      <c r="BY450" s="68" t="str">
        <f t="shared" si="162"/>
        <v>#REF!</v>
      </c>
      <c r="BZ450" s="65">
        <v>0.0</v>
      </c>
      <c r="CA450" s="65">
        <v>0.0</v>
      </c>
      <c r="CB450" s="66">
        <v>0.0</v>
      </c>
      <c r="CC450" s="67" t="str">
        <f t="shared" si="163"/>
        <v>#REF!</v>
      </c>
      <c r="CD450" s="68" t="str">
        <f>'[1]DATA CONSOLIDADA 2018-2025 '!$CB450-Hoja1!$BW450</f>
        <v>#REF!</v>
      </c>
      <c r="CE450" s="70">
        <v>349670.019</v>
      </c>
      <c r="CF450" s="70">
        <v>0.0</v>
      </c>
      <c r="CG450" s="71">
        <v>349670.019</v>
      </c>
      <c r="CH450" s="67" t="str">
        <f t="shared" si="164"/>
        <v>#REF!</v>
      </c>
      <c r="CI450" s="68" t="str">
        <f>'[1]DATA CONSOLIDADA 2018-2025 '!$CG450-Hoja1!$CB450</f>
        <v>#REF!</v>
      </c>
      <c r="CJ450" s="64" t="str">
        <f t="shared" si="146"/>
        <v>#REF!</v>
      </c>
      <c r="CK450" s="64">
        <v>539946.784</v>
      </c>
      <c r="CL450" s="64">
        <v>0.0</v>
      </c>
      <c r="CM450" s="64">
        <v>539946.784</v>
      </c>
      <c r="CN450" s="64" t="str">
        <f t="shared" si="12"/>
        <v>#REF!</v>
      </c>
      <c r="CO450" s="68" t="str">
        <f>'[1]DATA CONSOLIDADA 2018-2025 '!$CM450-Hoja1!$CG450</f>
        <v>#REF!</v>
      </c>
      <c r="CP450" s="70">
        <v>0.0</v>
      </c>
      <c r="CQ450" s="70">
        <v>0.0</v>
      </c>
      <c r="CR450" s="70">
        <v>0.0</v>
      </c>
      <c r="CS450" s="70">
        <v>0.0</v>
      </c>
      <c r="CT450" s="70">
        <v>0.0</v>
      </c>
      <c r="CU450" s="70">
        <v>0.0</v>
      </c>
      <c r="CV450" s="64">
        <v>0.0</v>
      </c>
      <c r="CW450" s="64">
        <v>0.0</v>
      </c>
      <c r="CX450" s="64">
        <v>66982.0</v>
      </c>
      <c r="CY450" s="64">
        <v>282688.019</v>
      </c>
      <c r="CZ450" s="64">
        <v>0.0</v>
      </c>
      <c r="DA450" s="64">
        <v>0.0</v>
      </c>
      <c r="DB450" s="64">
        <v>349670.019</v>
      </c>
      <c r="DC450" s="72">
        <v>0.0</v>
      </c>
      <c r="DD450" s="72">
        <v>0.0</v>
      </c>
      <c r="DE450" s="72">
        <v>539946.784</v>
      </c>
      <c r="DF450" s="72">
        <v>0.0</v>
      </c>
      <c r="DG450" s="72">
        <v>0.0</v>
      </c>
      <c r="DH450" s="72">
        <v>539946.784</v>
      </c>
      <c r="DI450" s="73">
        <v>2.0608058291E10</v>
      </c>
      <c r="DJ450" s="74" t="s">
        <v>1468</v>
      </c>
      <c r="DK450" s="74" t="s">
        <v>138</v>
      </c>
      <c r="DL450" s="75"/>
      <c r="DM450" s="75"/>
      <c r="DN450" s="75"/>
      <c r="DO450" s="75"/>
      <c r="DP450" s="75"/>
      <c r="DQ450" s="75"/>
      <c r="DR450" s="75"/>
      <c r="DS450" s="75"/>
      <c r="DT450" s="75"/>
      <c r="DU450" s="75"/>
      <c r="DV450" s="75"/>
      <c r="DW450" s="75"/>
      <c r="DX450" s="75"/>
      <c r="DY450" s="75"/>
      <c r="DZ450" s="75"/>
      <c r="EA450" s="75"/>
      <c r="EB450" s="75"/>
      <c r="EC450" s="75"/>
      <c r="ED450" s="75"/>
      <c r="EE450" s="75"/>
    </row>
    <row r="451" ht="47.25" hidden="1" customHeight="1">
      <c r="A451" s="55" t="s">
        <v>1469</v>
      </c>
      <c r="B451" s="55" t="s">
        <v>256</v>
      </c>
      <c r="C451" s="55" t="s">
        <v>272</v>
      </c>
      <c r="D451" s="55" t="s">
        <v>593</v>
      </c>
      <c r="E451" s="55" t="s">
        <v>1287</v>
      </c>
      <c r="F451" s="55" t="s">
        <v>593</v>
      </c>
      <c r="G451" s="55" t="s">
        <v>651</v>
      </c>
      <c r="H451" s="55" t="s">
        <v>1288</v>
      </c>
      <c r="I451" s="56"/>
      <c r="J451" s="56"/>
      <c r="K451" s="56"/>
      <c r="L451" s="56"/>
      <c r="M451" s="56"/>
      <c r="N451" s="56"/>
      <c r="O451" s="56">
        <v>1.0</v>
      </c>
      <c r="P451" s="56">
        <v>1.0</v>
      </c>
      <c r="Q451" s="56" t="s">
        <v>131</v>
      </c>
      <c r="R451" s="58" t="str">
        <f t="shared" si="1"/>
        <v>2024 - 2025</v>
      </c>
      <c r="S451" s="59" t="str">
        <f>SUM(Hoja1!$I451:$P451)</f>
        <v>2</v>
      </c>
      <c r="T451" s="59" t="str">
        <f>IF(OR(Hoja1!$J451=1,Hoja1!$K451=1,Hoja1!$L451=1,Hoja1!$M451=1,Hoja1!$N451=1,Hoja1!$O451=1,Hoja1!$P451=1),"SI","NO")</f>
        <v>SI</v>
      </c>
      <c r="U451" s="59" t="str">
        <f>IF(OR(Hoja1!$K451=1,Hoja1!$L451=1,Hoja1!$M451=1,Hoja1!$N451=1,Hoja1!$O451=1,Hoja1!$P451=1),"SI","NO")</f>
        <v>SI</v>
      </c>
      <c r="V451" s="60">
        <v>0.0</v>
      </c>
      <c r="W451" s="61">
        <v>0.0</v>
      </c>
      <c r="X451" s="61">
        <v>0.0</v>
      </c>
      <c r="Y451" s="60">
        <v>0.0</v>
      </c>
      <c r="Z451" s="61">
        <v>0.0</v>
      </c>
      <c r="AA451" s="61">
        <v>0.0</v>
      </c>
      <c r="AB451" s="60">
        <v>0.0</v>
      </c>
      <c r="AC451" s="61">
        <v>0.0</v>
      </c>
      <c r="AD451" s="61">
        <v>0.0</v>
      </c>
      <c r="AE451" s="60">
        <v>0.0</v>
      </c>
      <c r="AF451" s="61">
        <v>0.0</v>
      </c>
      <c r="AG451" s="61">
        <v>0.0</v>
      </c>
      <c r="AH451" s="60">
        <v>0.0</v>
      </c>
      <c r="AI451" s="61">
        <v>0.0</v>
      </c>
      <c r="AJ451" s="61">
        <v>0.0</v>
      </c>
      <c r="AK451" s="60">
        <v>0.0</v>
      </c>
      <c r="AL451" s="61">
        <v>23.0</v>
      </c>
      <c r="AM451" s="61">
        <v>11.0</v>
      </c>
      <c r="AN451" s="60">
        <v>34.0</v>
      </c>
      <c r="AO451" s="62">
        <v>23.0</v>
      </c>
      <c r="AP451" s="62">
        <v>11.0</v>
      </c>
      <c r="AQ451" s="60">
        <v>34.0</v>
      </c>
      <c r="AR451" s="60" t="str">
        <f>IF(Hoja1!$AQ451&gt;0,Hoja1!$AQ451,IF(Hoja1!$AN451&gt;0,Hoja1!$AN451,IF(Hoja1!$AK451&gt;0,Hoja1!$AK451,IF(Hoja1!$AH451&gt;0,Hoja1!$AH451,IF(Hoja1!$AE451&gt;0,Hoja1!$AE451,IF(Hoja1!$AB451&gt;0,Hoja1!$AB451,IF(Hoja1!$Y451&gt;0,Hoja1!$Y451,IF(Hoja1!$V451&gt;0,Hoja1!$V451," ---"))))))))</f>
        <v>34</v>
      </c>
      <c r="AS451" s="63">
        <v>0.0</v>
      </c>
      <c r="AT451" s="63">
        <v>0.0</v>
      </c>
      <c r="AU451" s="63">
        <v>0.0</v>
      </c>
      <c r="AV451" s="63">
        <v>0.0</v>
      </c>
      <c r="AW451" s="63">
        <v>0.0</v>
      </c>
      <c r="AX451" s="63">
        <v>0.0</v>
      </c>
      <c r="AY451" s="63">
        <v>0.0</v>
      </c>
      <c r="AZ451" s="63">
        <v>0.0</v>
      </c>
      <c r="BA451" s="63">
        <v>24.0</v>
      </c>
      <c r="BB451" s="63">
        <v>0.0</v>
      </c>
      <c r="BC451" s="63">
        <v>12.0</v>
      </c>
      <c r="BD451" s="63">
        <v>0.0</v>
      </c>
      <c r="BE451" s="64">
        <v>0.0</v>
      </c>
      <c r="BF451" s="69">
        <v>0.0</v>
      </c>
      <c r="BG451" s="69">
        <v>0.0</v>
      </c>
      <c r="BH451" s="64">
        <v>0.0</v>
      </c>
      <c r="BI451" s="67" t="str">
        <f t="shared" si="156"/>
        <v>#REF!</v>
      </c>
      <c r="BJ451" s="68" t="str">
        <f t="shared" si="157"/>
        <v>#REF!</v>
      </c>
      <c r="BK451" s="69">
        <v>0.0</v>
      </c>
      <c r="BL451" s="69">
        <v>0.0</v>
      </c>
      <c r="BM451" s="64">
        <v>0.0</v>
      </c>
      <c r="BN451" s="67" t="str">
        <f t="shared" si="158"/>
        <v>#REF!</v>
      </c>
      <c r="BO451" s="68" t="str">
        <f t="shared" si="159"/>
        <v>#REF!</v>
      </c>
      <c r="BP451" s="65">
        <v>0.0</v>
      </c>
      <c r="BQ451" s="65">
        <v>0.0</v>
      </c>
      <c r="BR451" s="66">
        <v>0.0</v>
      </c>
      <c r="BS451" s="67" t="str">
        <f t="shared" si="160"/>
        <v>#REF!</v>
      </c>
      <c r="BT451" s="68" t="str">
        <f>'[1]DATA CONSOLIDADA 2018-2025 '!$BR451-Hoja1!$BO451</f>
        <v>#REF!</v>
      </c>
      <c r="BU451" s="69">
        <v>0.0</v>
      </c>
      <c r="BV451" s="65">
        <v>0.0</v>
      </c>
      <c r="BW451" s="66">
        <v>0.0</v>
      </c>
      <c r="BX451" s="67" t="str">
        <f t="shared" si="161"/>
        <v>#REF!</v>
      </c>
      <c r="BY451" s="68" t="str">
        <f t="shared" si="162"/>
        <v>#REF!</v>
      </c>
      <c r="BZ451" s="65">
        <v>0.0</v>
      </c>
      <c r="CA451" s="65">
        <v>0.0</v>
      </c>
      <c r="CB451" s="66">
        <v>0.0</v>
      </c>
      <c r="CC451" s="67" t="str">
        <f t="shared" si="163"/>
        <v>#REF!</v>
      </c>
      <c r="CD451" s="68" t="str">
        <f>'[1]DATA CONSOLIDADA 2018-2025 '!$CB451-Hoja1!$BW451</f>
        <v>#REF!</v>
      </c>
      <c r="CE451" s="70">
        <v>248228.844</v>
      </c>
      <c r="CF451" s="70">
        <v>0.0</v>
      </c>
      <c r="CG451" s="71">
        <v>248228.844</v>
      </c>
      <c r="CH451" s="67" t="str">
        <f t="shared" si="164"/>
        <v>#REF!</v>
      </c>
      <c r="CI451" s="68" t="str">
        <f>'[1]DATA CONSOLIDADA 2018-2025 '!$CG451-Hoja1!$CB451</f>
        <v>#REF!</v>
      </c>
      <c r="CJ451" s="64" t="str">
        <f t="shared" si="146"/>
        <v>#REF!</v>
      </c>
      <c r="CK451" s="64">
        <v>535111.1020000001</v>
      </c>
      <c r="CL451" s="64">
        <v>0.0</v>
      </c>
      <c r="CM451" s="64">
        <v>535111.1020000001</v>
      </c>
      <c r="CN451" s="64" t="str">
        <f t="shared" si="12"/>
        <v>#REF!</v>
      </c>
      <c r="CO451" s="68" t="str">
        <f>'[1]DATA CONSOLIDADA 2018-2025 '!$CM451-Hoja1!$CG451</f>
        <v>#REF!</v>
      </c>
      <c r="CP451" s="70">
        <v>0.0</v>
      </c>
      <c r="CQ451" s="70">
        <v>0.0</v>
      </c>
      <c r="CR451" s="70">
        <v>0.0</v>
      </c>
      <c r="CS451" s="70">
        <v>0.0</v>
      </c>
      <c r="CT451" s="70">
        <v>0.0</v>
      </c>
      <c r="CU451" s="70">
        <v>0.0</v>
      </c>
      <c r="CV451" s="64">
        <v>0.0</v>
      </c>
      <c r="CW451" s="64">
        <v>0.0</v>
      </c>
      <c r="CX451" s="64">
        <v>53715.54</v>
      </c>
      <c r="CY451" s="64">
        <v>194513.304</v>
      </c>
      <c r="CZ451" s="64">
        <v>0.0</v>
      </c>
      <c r="DA451" s="64">
        <v>0.0</v>
      </c>
      <c r="DB451" s="64">
        <v>248228.844</v>
      </c>
      <c r="DC451" s="72">
        <v>0.0</v>
      </c>
      <c r="DD451" s="72">
        <v>0.0</v>
      </c>
      <c r="DE451" s="72">
        <v>535111.1020000001</v>
      </c>
      <c r="DF451" s="72">
        <v>0.0</v>
      </c>
      <c r="DG451" s="72">
        <v>0.0</v>
      </c>
      <c r="DH451" s="72">
        <v>535111.1020000001</v>
      </c>
      <c r="DI451" s="73">
        <v>2.0608453815E10</v>
      </c>
      <c r="DJ451" s="74" t="s">
        <v>1469</v>
      </c>
      <c r="DK451" s="74" t="s">
        <v>138</v>
      </c>
      <c r="DL451" s="75"/>
      <c r="DM451" s="75"/>
      <c r="DN451" s="75"/>
      <c r="DO451" s="75"/>
      <c r="DP451" s="75"/>
      <c r="DQ451" s="75"/>
      <c r="DR451" s="75"/>
      <c r="DS451" s="75"/>
      <c r="DT451" s="75"/>
      <c r="DU451" s="75"/>
      <c r="DV451" s="75"/>
      <c r="DW451" s="75"/>
      <c r="DX451" s="75"/>
      <c r="DY451" s="75"/>
      <c r="DZ451" s="75"/>
      <c r="EA451" s="75"/>
      <c r="EB451" s="75"/>
      <c r="EC451" s="75"/>
      <c r="ED451" s="75"/>
      <c r="EE451" s="75"/>
    </row>
    <row r="452" ht="47.25" hidden="1" customHeight="1">
      <c r="A452" s="55" t="s">
        <v>1470</v>
      </c>
      <c r="B452" s="55" t="s">
        <v>256</v>
      </c>
      <c r="C452" s="55" t="s">
        <v>272</v>
      </c>
      <c r="D452" s="55" t="s">
        <v>593</v>
      </c>
      <c r="E452" s="55" t="s">
        <v>1287</v>
      </c>
      <c r="F452" s="55" t="s">
        <v>593</v>
      </c>
      <c r="G452" s="55" t="s">
        <v>651</v>
      </c>
      <c r="H452" s="55" t="s">
        <v>1288</v>
      </c>
      <c r="I452" s="56"/>
      <c r="J452" s="56"/>
      <c r="K452" s="56"/>
      <c r="L452" s="56"/>
      <c r="M452" s="56"/>
      <c r="N452" s="56"/>
      <c r="O452" s="56">
        <v>1.0</v>
      </c>
      <c r="P452" s="56">
        <v>1.0</v>
      </c>
      <c r="Q452" s="56" t="s">
        <v>131</v>
      </c>
      <c r="R452" s="58" t="str">
        <f t="shared" si="1"/>
        <v>2024 - 2025</v>
      </c>
      <c r="S452" s="59" t="str">
        <f>SUM(Hoja1!$I452:$P452)</f>
        <v>2</v>
      </c>
      <c r="T452" s="59" t="str">
        <f>IF(OR(Hoja1!$J452=1,Hoja1!$K452=1,Hoja1!$L452=1,Hoja1!$M452=1,Hoja1!$N452=1,Hoja1!$O452=1,Hoja1!$P452=1),"SI","NO")</f>
        <v>SI</v>
      </c>
      <c r="U452" s="59" t="str">
        <f>IF(OR(Hoja1!$K452=1,Hoja1!$L452=1,Hoja1!$M452=1,Hoja1!$N452=1,Hoja1!$O452=1,Hoja1!$P452=1),"SI","NO")</f>
        <v>SI</v>
      </c>
      <c r="V452" s="60">
        <v>0.0</v>
      </c>
      <c r="W452" s="61">
        <v>0.0</v>
      </c>
      <c r="X452" s="61">
        <v>0.0</v>
      </c>
      <c r="Y452" s="60">
        <v>0.0</v>
      </c>
      <c r="Z452" s="61">
        <v>0.0</v>
      </c>
      <c r="AA452" s="61">
        <v>0.0</v>
      </c>
      <c r="AB452" s="60">
        <v>0.0</v>
      </c>
      <c r="AC452" s="61">
        <v>0.0</v>
      </c>
      <c r="AD452" s="61">
        <v>0.0</v>
      </c>
      <c r="AE452" s="60">
        <v>0.0</v>
      </c>
      <c r="AF452" s="61">
        <v>0.0</v>
      </c>
      <c r="AG452" s="61">
        <v>0.0</v>
      </c>
      <c r="AH452" s="60">
        <v>0.0</v>
      </c>
      <c r="AI452" s="61">
        <v>0.0</v>
      </c>
      <c r="AJ452" s="61">
        <v>0.0</v>
      </c>
      <c r="AK452" s="60">
        <v>0.0</v>
      </c>
      <c r="AL452" s="61">
        <v>17.0</v>
      </c>
      <c r="AM452" s="61">
        <v>1.0</v>
      </c>
      <c r="AN452" s="60">
        <v>18.0</v>
      </c>
      <c r="AO452" s="62">
        <v>17.0</v>
      </c>
      <c r="AP452" s="62">
        <v>3.0</v>
      </c>
      <c r="AQ452" s="60">
        <v>20.0</v>
      </c>
      <c r="AR452" s="60" t="str">
        <f>IF(Hoja1!$AQ452&gt;0,Hoja1!$AQ452,IF(Hoja1!$AN452&gt;0,Hoja1!$AN452,IF(Hoja1!$AK452&gt;0,Hoja1!$AK452,IF(Hoja1!$AH452&gt;0,Hoja1!$AH452,IF(Hoja1!$AE452&gt;0,Hoja1!$AE452,IF(Hoja1!$AB452&gt;0,Hoja1!$AB452,IF(Hoja1!$Y452&gt;0,Hoja1!$Y452,IF(Hoja1!$V452&gt;0,Hoja1!$V452," ---"))))))))</f>
        <v>20</v>
      </c>
      <c r="AS452" s="63">
        <v>0.0</v>
      </c>
      <c r="AT452" s="63">
        <v>0.0</v>
      </c>
      <c r="AU452" s="63">
        <v>0.0</v>
      </c>
      <c r="AV452" s="63">
        <v>0.0</v>
      </c>
      <c r="AW452" s="63">
        <v>0.0</v>
      </c>
      <c r="AX452" s="63">
        <v>0.0</v>
      </c>
      <c r="AY452" s="63">
        <v>0.0</v>
      </c>
      <c r="AZ452" s="63">
        <v>0.0</v>
      </c>
      <c r="BA452" s="63">
        <v>24.0</v>
      </c>
      <c r="BB452" s="63">
        <v>0.0</v>
      </c>
      <c r="BC452" s="63">
        <v>12.0</v>
      </c>
      <c r="BD452" s="63">
        <v>0.0</v>
      </c>
      <c r="BE452" s="64">
        <v>0.0</v>
      </c>
      <c r="BF452" s="69">
        <v>0.0</v>
      </c>
      <c r="BG452" s="69">
        <v>0.0</v>
      </c>
      <c r="BH452" s="64">
        <v>0.0</v>
      </c>
      <c r="BI452" s="67" t="str">
        <f t="shared" si="156"/>
        <v>#REF!</v>
      </c>
      <c r="BJ452" s="68" t="str">
        <f t="shared" si="157"/>
        <v>#REF!</v>
      </c>
      <c r="BK452" s="69">
        <v>0.0</v>
      </c>
      <c r="BL452" s="69">
        <v>0.0</v>
      </c>
      <c r="BM452" s="64">
        <v>0.0</v>
      </c>
      <c r="BN452" s="67" t="str">
        <f t="shared" si="158"/>
        <v>#REF!</v>
      </c>
      <c r="BO452" s="68" t="str">
        <f t="shared" si="159"/>
        <v>#REF!</v>
      </c>
      <c r="BP452" s="65">
        <v>0.0</v>
      </c>
      <c r="BQ452" s="65">
        <v>0.0</v>
      </c>
      <c r="BR452" s="66">
        <v>0.0</v>
      </c>
      <c r="BS452" s="67" t="str">
        <f t="shared" si="160"/>
        <v>#REF!</v>
      </c>
      <c r="BT452" s="68" t="str">
        <f>'[1]DATA CONSOLIDADA 2018-2025 '!$BR452-Hoja1!$BO452</f>
        <v>#REF!</v>
      </c>
      <c r="BU452" s="69">
        <v>0.0</v>
      </c>
      <c r="BV452" s="65">
        <v>0.0</v>
      </c>
      <c r="BW452" s="66">
        <v>0.0</v>
      </c>
      <c r="BX452" s="67" t="str">
        <f t="shared" si="161"/>
        <v>#REF!</v>
      </c>
      <c r="BY452" s="68" t="str">
        <f t="shared" si="162"/>
        <v>#REF!</v>
      </c>
      <c r="BZ452" s="65">
        <v>0.0</v>
      </c>
      <c r="CA452" s="65">
        <v>0.0</v>
      </c>
      <c r="CB452" s="66">
        <v>0.0</v>
      </c>
      <c r="CC452" s="67" t="str">
        <f t="shared" si="163"/>
        <v>#REF!</v>
      </c>
      <c r="CD452" s="68" t="str">
        <f>'[1]DATA CONSOLIDADA 2018-2025 '!$CB452-Hoja1!$BW452</f>
        <v>#REF!</v>
      </c>
      <c r="CE452" s="70">
        <v>225660.78559999997</v>
      </c>
      <c r="CF452" s="70">
        <v>0.0</v>
      </c>
      <c r="CG452" s="71">
        <v>225660.78559999997</v>
      </c>
      <c r="CH452" s="67" t="str">
        <f t="shared" si="164"/>
        <v>#REF!</v>
      </c>
      <c r="CI452" s="68" t="str">
        <f>'[1]DATA CONSOLIDADA 2018-2025 '!$CG452-Hoja1!$CB452</f>
        <v>#REF!</v>
      </c>
      <c r="CJ452" s="64" t="str">
        <f t="shared" si="146"/>
        <v>#REF!</v>
      </c>
      <c r="CK452" s="64">
        <v>346536.612</v>
      </c>
      <c r="CL452" s="64">
        <v>0.0</v>
      </c>
      <c r="CM452" s="64">
        <v>346536.612</v>
      </c>
      <c r="CN452" s="64" t="str">
        <f t="shared" si="12"/>
        <v>#REF!</v>
      </c>
      <c r="CO452" s="68" t="str">
        <f>'[1]DATA CONSOLIDADA 2018-2025 '!$CM452-Hoja1!$CG452</f>
        <v>#REF!</v>
      </c>
      <c r="CP452" s="70">
        <v>0.0</v>
      </c>
      <c r="CQ452" s="70">
        <v>0.0</v>
      </c>
      <c r="CR452" s="70">
        <v>0.0</v>
      </c>
      <c r="CS452" s="70">
        <v>0.0</v>
      </c>
      <c r="CT452" s="70">
        <v>0.0</v>
      </c>
      <c r="CU452" s="70">
        <v>0.0</v>
      </c>
      <c r="CV452" s="64">
        <v>0.0</v>
      </c>
      <c r="CW452" s="64">
        <v>0.0</v>
      </c>
      <c r="CX452" s="64">
        <v>74515.0</v>
      </c>
      <c r="CY452" s="64">
        <v>151145.78559999997</v>
      </c>
      <c r="CZ452" s="64">
        <v>0.0</v>
      </c>
      <c r="DA452" s="64">
        <v>0.0</v>
      </c>
      <c r="DB452" s="64">
        <v>225660.78559999997</v>
      </c>
      <c r="DC452" s="72">
        <v>0.0</v>
      </c>
      <c r="DD452" s="72">
        <v>0.0</v>
      </c>
      <c r="DE452" s="72">
        <v>346536.612</v>
      </c>
      <c r="DF452" s="72">
        <v>0.0</v>
      </c>
      <c r="DG452" s="72">
        <v>0.0</v>
      </c>
      <c r="DH452" s="72">
        <v>346536.612</v>
      </c>
      <c r="DI452" s="73">
        <v>2.0608124935E10</v>
      </c>
      <c r="DJ452" s="74" t="s">
        <v>1471</v>
      </c>
      <c r="DK452" s="74" t="s">
        <v>138</v>
      </c>
      <c r="DL452" s="75"/>
      <c r="DM452" s="75"/>
      <c r="DN452" s="75"/>
      <c r="DO452" s="75"/>
      <c r="DP452" s="75"/>
      <c r="DQ452" s="75"/>
      <c r="DR452" s="75"/>
      <c r="DS452" s="75"/>
      <c r="DT452" s="75"/>
      <c r="DU452" s="75"/>
      <c r="DV452" s="75"/>
      <c r="DW452" s="75"/>
      <c r="DX452" s="75"/>
      <c r="DY452" s="75"/>
      <c r="DZ452" s="75"/>
      <c r="EA452" s="75"/>
      <c r="EB452" s="75"/>
      <c r="EC452" s="75"/>
      <c r="ED452" s="75"/>
      <c r="EE452" s="75"/>
    </row>
    <row r="453" ht="47.25" hidden="1" customHeight="1">
      <c r="A453" s="55" t="s">
        <v>1472</v>
      </c>
      <c r="B453" s="55" t="s">
        <v>256</v>
      </c>
      <c r="C453" s="55" t="s">
        <v>272</v>
      </c>
      <c r="D453" s="55" t="s">
        <v>593</v>
      </c>
      <c r="E453" s="55" t="s">
        <v>1287</v>
      </c>
      <c r="F453" s="55" t="s">
        <v>593</v>
      </c>
      <c r="G453" s="55" t="s">
        <v>651</v>
      </c>
      <c r="H453" s="55" t="s">
        <v>1288</v>
      </c>
      <c r="I453" s="56"/>
      <c r="J453" s="56"/>
      <c r="K453" s="56"/>
      <c r="L453" s="56"/>
      <c r="M453" s="56"/>
      <c r="N453" s="56"/>
      <c r="O453" s="56">
        <v>1.0</v>
      </c>
      <c r="P453" s="56">
        <v>1.0</v>
      </c>
      <c r="Q453" s="56" t="s">
        <v>131</v>
      </c>
      <c r="R453" s="58" t="str">
        <f t="shared" si="1"/>
        <v>2024 - 2025</v>
      </c>
      <c r="S453" s="59" t="str">
        <f>SUM(Hoja1!$I453:$P453)</f>
        <v>2</v>
      </c>
      <c r="T453" s="59" t="str">
        <f>IF(OR(Hoja1!$J453=1,Hoja1!$K453=1,Hoja1!$L453=1,Hoja1!$M453=1,Hoja1!$N453=1,Hoja1!$O453=1,Hoja1!$P453=1),"SI","NO")</f>
        <v>SI</v>
      </c>
      <c r="U453" s="59" t="str">
        <f>IF(OR(Hoja1!$K453=1,Hoja1!$L453=1,Hoja1!$M453=1,Hoja1!$N453=1,Hoja1!$O453=1,Hoja1!$P453=1),"SI","NO")</f>
        <v>SI</v>
      </c>
      <c r="V453" s="60">
        <v>0.0</v>
      </c>
      <c r="W453" s="61">
        <v>0.0</v>
      </c>
      <c r="X453" s="61">
        <v>0.0</v>
      </c>
      <c r="Y453" s="60">
        <v>0.0</v>
      </c>
      <c r="Z453" s="61">
        <v>0.0</v>
      </c>
      <c r="AA453" s="61">
        <v>0.0</v>
      </c>
      <c r="AB453" s="60">
        <v>0.0</v>
      </c>
      <c r="AC453" s="61">
        <v>0.0</v>
      </c>
      <c r="AD453" s="61">
        <v>0.0</v>
      </c>
      <c r="AE453" s="60">
        <v>0.0</v>
      </c>
      <c r="AF453" s="61">
        <v>0.0</v>
      </c>
      <c r="AG453" s="61">
        <v>0.0</v>
      </c>
      <c r="AH453" s="60">
        <v>0.0</v>
      </c>
      <c r="AI453" s="61">
        <v>0.0</v>
      </c>
      <c r="AJ453" s="61">
        <v>0.0</v>
      </c>
      <c r="AK453" s="60">
        <v>0.0</v>
      </c>
      <c r="AL453" s="61">
        <v>25.0</v>
      </c>
      <c r="AM453" s="61">
        <v>10.0</v>
      </c>
      <c r="AN453" s="60">
        <v>35.0</v>
      </c>
      <c r="AO453" s="62">
        <v>29.0</v>
      </c>
      <c r="AP453" s="62">
        <v>6.0</v>
      </c>
      <c r="AQ453" s="60">
        <v>35.0</v>
      </c>
      <c r="AR453" s="60" t="str">
        <f>IF(Hoja1!$AQ453&gt;0,Hoja1!$AQ453,IF(Hoja1!$AN453&gt;0,Hoja1!$AN453,IF(Hoja1!$AK453&gt;0,Hoja1!$AK453,IF(Hoja1!$AH453&gt;0,Hoja1!$AH453,IF(Hoja1!$AE453&gt;0,Hoja1!$AE453,IF(Hoja1!$AB453&gt;0,Hoja1!$AB453,IF(Hoja1!$Y453&gt;0,Hoja1!$Y453,IF(Hoja1!$V453&gt;0,Hoja1!$V453," ---"))))))))</f>
        <v>35</v>
      </c>
      <c r="AS453" s="63">
        <v>0.0</v>
      </c>
      <c r="AT453" s="63">
        <v>0.0</v>
      </c>
      <c r="AU453" s="63">
        <v>0.0</v>
      </c>
      <c r="AV453" s="63">
        <v>0.0</v>
      </c>
      <c r="AW453" s="63">
        <v>0.0</v>
      </c>
      <c r="AX453" s="63">
        <v>0.0</v>
      </c>
      <c r="AY453" s="63">
        <v>0.0</v>
      </c>
      <c r="AZ453" s="63">
        <v>0.0</v>
      </c>
      <c r="BA453" s="63">
        <v>24.0</v>
      </c>
      <c r="BB453" s="63">
        <v>0.0</v>
      </c>
      <c r="BC453" s="63">
        <v>21.0</v>
      </c>
      <c r="BD453" s="63">
        <v>0.0</v>
      </c>
      <c r="BE453" s="64">
        <v>0.0</v>
      </c>
      <c r="BF453" s="69">
        <v>0.0</v>
      </c>
      <c r="BG453" s="69">
        <v>0.0</v>
      </c>
      <c r="BH453" s="64">
        <v>0.0</v>
      </c>
      <c r="BI453" s="67" t="str">
        <f t="shared" si="156"/>
        <v>#REF!</v>
      </c>
      <c r="BJ453" s="68" t="str">
        <f t="shared" si="157"/>
        <v>#REF!</v>
      </c>
      <c r="BK453" s="69">
        <v>0.0</v>
      </c>
      <c r="BL453" s="69">
        <v>0.0</v>
      </c>
      <c r="BM453" s="64">
        <v>0.0</v>
      </c>
      <c r="BN453" s="67" t="str">
        <f t="shared" si="158"/>
        <v>#REF!</v>
      </c>
      <c r="BO453" s="68" t="str">
        <f t="shared" si="159"/>
        <v>#REF!</v>
      </c>
      <c r="BP453" s="65">
        <v>0.0</v>
      </c>
      <c r="BQ453" s="65">
        <v>0.0</v>
      </c>
      <c r="BR453" s="66">
        <v>0.0</v>
      </c>
      <c r="BS453" s="67" t="str">
        <f t="shared" si="160"/>
        <v>#REF!</v>
      </c>
      <c r="BT453" s="68" t="str">
        <f>'[1]DATA CONSOLIDADA 2018-2025 '!$BR453-Hoja1!$BO453</f>
        <v>#REF!</v>
      </c>
      <c r="BU453" s="69">
        <v>0.0</v>
      </c>
      <c r="BV453" s="65">
        <v>0.0</v>
      </c>
      <c r="BW453" s="66">
        <v>0.0</v>
      </c>
      <c r="BX453" s="67" t="str">
        <f t="shared" si="161"/>
        <v>#REF!</v>
      </c>
      <c r="BY453" s="68" t="str">
        <f t="shared" si="162"/>
        <v>#REF!</v>
      </c>
      <c r="BZ453" s="65">
        <v>0.0</v>
      </c>
      <c r="CA453" s="65">
        <v>0.0</v>
      </c>
      <c r="CB453" s="66">
        <v>0.0</v>
      </c>
      <c r="CC453" s="67" t="str">
        <f t="shared" si="163"/>
        <v>#REF!</v>
      </c>
      <c r="CD453" s="68" t="str">
        <f>'[1]DATA CONSOLIDADA 2018-2025 '!$CB453-Hoja1!$BW453</f>
        <v>#REF!</v>
      </c>
      <c r="CE453" s="70">
        <v>253715.512</v>
      </c>
      <c r="CF453" s="70">
        <v>0.0</v>
      </c>
      <c r="CG453" s="71">
        <v>253715.512</v>
      </c>
      <c r="CH453" s="67" t="str">
        <f t="shared" si="164"/>
        <v>#REF!</v>
      </c>
      <c r="CI453" s="68" t="str">
        <f>'[1]DATA CONSOLIDADA 2018-2025 '!$CG453-Hoja1!$CB453</f>
        <v>#REF!</v>
      </c>
      <c r="CJ453" s="64" t="str">
        <f t="shared" si="146"/>
        <v>#REF!</v>
      </c>
      <c r="CK453" s="64">
        <v>534162.1840000001</v>
      </c>
      <c r="CL453" s="64">
        <v>0.0</v>
      </c>
      <c r="CM453" s="64">
        <v>534162.1840000001</v>
      </c>
      <c r="CN453" s="64" t="str">
        <f t="shared" si="12"/>
        <v>#REF!</v>
      </c>
      <c r="CO453" s="68" t="str">
        <f>'[1]DATA CONSOLIDADA 2018-2025 '!$CM453-Hoja1!$CG453</f>
        <v>#REF!</v>
      </c>
      <c r="CP453" s="70">
        <v>0.0</v>
      </c>
      <c r="CQ453" s="70">
        <v>0.0</v>
      </c>
      <c r="CR453" s="70">
        <v>0.0</v>
      </c>
      <c r="CS453" s="70">
        <v>0.0</v>
      </c>
      <c r="CT453" s="70">
        <v>0.0</v>
      </c>
      <c r="CU453" s="70">
        <v>0.0</v>
      </c>
      <c r="CV453" s="64">
        <v>0.0</v>
      </c>
      <c r="CW453" s="64">
        <v>0.0</v>
      </c>
      <c r="CX453" s="64">
        <v>0.0</v>
      </c>
      <c r="CY453" s="64">
        <v>253715.512</v>
      </c>
      <c r="CZ453" s="64">
        <v>0.0</v>
      </c>
      <c r="DA453" s="64">
        <v>0.0</v>
      </c>
      <c r="DB453" s="64">
        <v>253715.512</v>
      </c>
      <c r="DC453" s="72">
        <v>0.0</v>
      </c>
      <c r="DD453" s="72">
        <v>0.0</v>
      </c>
      <c r="DE453" s="72">
        <v>534162.1840000001</v>
      </c>
      <c r="DF453" s="72">
        <v>0.0</v>
      </c>
      <c r="DG453" s="72">
        <v>0.0</v>
      </c>
      <c r="DH453" s="72">
        <v>534162.1840000001</v>
      </c>
      <c r="DI453" s="73">
        <v>2.0608597973E10</v>
      </c>
      <c r="DJ453" s="74" t="s">
        <v>1473</v>
      </c>
      <c r="DK453" s="74" t="s">
        <v>138</v>
      </c>
      <c r="DL453" s="75"/>
      <c r="DM453" s="75"/>
      <c r="DN453" s="75"/>
      <c r="DO453" s="75"/>
      <c r="DP453" s="75"/>
      <c r="DQ453" s="75"/>
      <c r="DR453" s="75"/>
      <c r="DS453" s="75"/>
      <c r="DT453" s="75"/>
      <c r="DU453" s="75"/>
      <c r="DV453" s="75"/>
      <c r="DW453" s="75"/>
      <c r="DX453" s="75"/>
      <c r="DY453" s="75"/>
      <c r="DZ453" s="75"/>
      <c r="EA453" s="75"/>
      <c r="EB453" s="75"/>
      <c r="EC453" s="75"/>
      <c r="ED453" s="75"/>
      <c r="EE453" s="75"/>
    </row>
    <row r="454" ht="47.25" hidden="1" customHeight="1">
      <c r="A454" s="55" t="s">
        <v>1474</v>
      </c>
      <c r="B454" s="55" t="s">
        <v>256</v>
      </c>
      <c r="C454" s="55" t="s">
        <v>272</v>
      </c>
      <c r="D454" s="55" t="s">
        <v>593</v>
      </c>
      <c r="E454" s="55" t="s">
        <v>1287</v>
      </c>
      <c r="F454" s="55" t="s">
        <v>593</v>
      </c>
      <c r="G454" s="55" t="s">
        <v>651</v>
      </c>
      <c r="H454" s="55" t="s">
        <v>1288</v>
      </c>
      <c r="I454" s="56"/>
      <c r="J454" s="56"/>
      <c r="K454" s="56"/>
      <c r="L454" s="56"/>
      <c r="M454" s="56"/>
      <c r="N454" s="56"/>
      <c r="O454" s="56">
        <v>1.0</v>
      </c>
      <c r="P454" s="56">
        <v>1.0</v>
      </c>
      <c r="Q454" s="56" t="s">
        <v>131</v>
      </c>
      <c r="R454" s="58" t="str">
        <f t="shared" si="1"/>
        <v>2024 - 2025</v>
      </c>
      <c r="S454" s="59" t="str">
        <f>SUM(Hoja1!$I454:$P454)</f>
        <v>2</v>
      </c>
      <c r="T454" s="59" t="str">
        <f>IF(OR(Hoja1!$J454=1,Hoja1!$K454=1,Hoja1!$L454=1,Hoja1!$M454=1,Hoja1!$N454=1,Hoja1!$O454=1,Hoja1!$P454=1),"SI","NO")</f>
        <v>SI</v>
      </c>
      <c r="U454" s="59" t="str">
        <f>IF(OR(Hoja1!$K454=1,Hoja1!$L454=1,Hoja1!$M454=1,Hoja1!$N454=1,Hoja1!$O454=1,Hoja1!$P454=1),"SI","NO")</f>
        <v>SI</v>
      </c>
      <c r="V454" s="60">
        <v>0.0</v>
      </c>
      <c r="W454" s="61">
        <v>0.0</v>
      </c>
      <c r="X454" s="61">
        <v>0.0</v>
      </c>
      <c r="Y454" s="60">
        <v>0.0</v>
      </c>
      <c r="Z454" s="61">
        <v>0.0</v>
      </c>
      <c r="AA454" s="61">
        <v>0.0</v>
      </c>
      <c r="AB454" s="60">
        <v>0.0</v>
      </c>
      <c r="AC454" s="61">
        <v>0.0</v>
      </c>
      <c r="AD454" s="61">
        <v>0.0</v>
      </c>
      <c r="AE454" s="60">
        <v>0.0</v>
      </c>
      <c r="AF454" s="61">
        <v>0.0</v>
      </c>
      <c r="AG454" s="61">
        <v>0.0</v>
      </c>
      <c r="AH454" s="60">
        <v>0.0</v>
      </c>
      <c r="AI454" s="61">
        <v>0.0</v>
      </c>
      <c r="AJ454" s="61">
        <v>0.0</v>
      </c>
      <c r="AK454" s="60">
        <v>0.0</v>
      </c>
      <c r="AL454" s="61">
        <v>21.0</v>
      </c>
      <c r="AM454" s="61">
        <v>3.0</v>
      </c>
      <c r="AN454" s="60">
        <v>24.0</v>
      </c>
      <c r="AO454" s="62">
        <v>19.0</v>
      </c>
      <c r="AP454" s="62">
        <v>5.0</v>
      </c>
      <c r="AQ454" s="60">
        <v>24.0</v>
      </c>
      <c r="AR454" s="60" t="str">
        <f>IF(Hoja1!$AQ454&gt;0,Hoja1!$AQ454,IF(Hoja1!$AN454&gt;0,Hoja1!$AN454,IF(Hoja1!$AK454&gt;0,Hoja1!$AK454,IF(Hoja1!$AH454&gt;0,Hoja1!$AH454,IF(Hoja1!$AE454&gt;0,Hoja1!$AE454,IF(Hoja1!$AB454&gt;0,Hoja1!$AB454,IF(Hoja1!$Y454&gt;0,Hoja1!$Y454,IF(Hoja1!$V454&gt;0,Hoja1!$V454," ---"))))))))</f>
        <v>24</v>
      </c>
      <c r="AS454" s="63">
        <v>0.0</v>
      </c>
      <c r="AT454" s="63">
        <v>0.0</v>
      </c>
      <c r="AU454" s="63">
        <v>0.0</v>
      </c>
      <c r="AV454" s="63">
        <v>0.0</v>
      </c>
      <c r="AW454" s="63">
        <v>0.0</v>
      </c>
      <c r="AX454" s="63">
        <v>0.0</v>
      </c>
      <c r="AY454" s="63">
        <v>0.0</v>
      </c>
      <c r="AZ454" s="63">
        <v>0.0</v>
      </c>
      <c r="BA454" s="63">
        <v>24.0</v>
      </c>
      <c r="BB454" s="63">
        <v>0.0</v>
      </c>
      <c r="BC454" s="63">
        <v>21.0</v>
      </c>
      <c r="BD454" s="63">
        <v>0.0</v>
      </c>
      <c r="BE454" s="64">
        <v>0.0</v>
      </c>
      <c r="BF454" s="69">
        <v>0.0</v>
      </c>
      <c r="BG454" s="69">
        <v>0.0</v>
      </c>
      <c r="BH454" s="64">
        <v>0.0</v>
      </c>
      <c r="BI454" s="67" t="str">
        <f t="shared" si="156"/>
        <v>#REF!</v>
      </c>
      <c r="BJ454" s="68" t="str">
        <f t="shared" si="157"/>
        <v>#REF!</v>
      </c>
      <c r="BK454" s="69">
        <v>0.0</v>
      </c>
      <c r="BL454" s="69">
        <v>0.0</v>
      </c>
      <c r="BM454" s="64">
        <v>0.0</v>
      </c>
      <c r="BN454" s="67" t="str">
        <f t="shared" si="158"/>
        <v>#REF!</v>
      </c>
      <c r="BO454" s="68" t="str">
        <f t="shared" si="159"/>
        <v>#REF!</v>
      </c>
      <c r="BP454" s="65">
        <v>0.0</v>
      </c>
      <c r="BQ454" s="65">
        <v>0.0</v>
      </c>
      <c r="BR454" s="66">
        <v>0.0</v>
      </c>
      <c r="BS454" s="67" t="str">
        <f t="shared" si="160"/>
        <v>#REF!</v>
      </c>
      <c r="BT454" s="68" t="str">
        <f>'[1]DATA CONSOLIDADA 2018-2025 '!$BR454-Hoja1!$BO454</f>
        <v>#REF!</v>
      </c>
      <c r="BU454" s="69">
        <v>0.0</v>
      </c>
      <c r="BV454" s="65">
        <v>0.0</v>
      </c>
      <c r="BW454" s="66">
        <v>0.0</v>
      </c>
      <c r="BX454" s="67" t="str">
        <f t="shared" si="161"/>
        <v>#REF!</v>
      </c>
      <c r="BY454" s="68" t="str">
        <f t="shared" si="162"/>
        <v>#REF!</v>
      </c>
      <c r="BZ454" s="65">
        <v>0.0</v>
      </c>
      <c r="CA454" s="65">
        <v>0.0</v>
      </c>
      <c r="CB454" s="66">
        <v>0.0</v>
      </c>
      <c r="CC454" s="67" t="str">
        <f t="shared" si="163"/>
        <v>#REF!</v>
      </c>
      <c r="CD454" s="68" t="str">
        <f>'[1]DATA CONSOLIDADA 2018-2025 '!$CB454-Hoja1!$BW454</f>
        <v>#REF!</v>
      </c>
      <c r="CE454" s="70">
        <v>174435.7802</v>
      </c>
      <c r="CF454" s="70">
        <v>0.0</v>
      </c>
      <c r="CG454" s="71">
        <v>174435.7802</v>
      </c>
      <c r="CH454" s="67" t="str">
        <f t="shared" si="164"/>
        <v>#REF!</v>
      </c>
      <c r="CI454" s="68" t="str">
        <f>'[1]DATA CONSOLIDADA 2018-2025 '!$CG454-Hoja1!$CB454</f>
        <v>#REF!</v>
      </c>
      <c r="CJ454" s="64" t="str">
        <f t="shared" si="146"/>
        <v>#REF!</v>
      </c>
      <c r="CK454" s="64">
        <v>158478.817</v>
      </c>
      <c r="CL454" s="64">
        <v>0.0</v>
      </c>
      <c r="CM454" s="64">
        <v>158478.817</v>
      </c>
      <c r="CN454" s="64" t="str">
        <f t="shared" si="12"/>
        <v>#REF!</v>
      </c>
      <c r="CO454" s="68" t="str">
        <f>'[1]DATA CONSOLIDADA 2018-2025 '!$CM454-Hoja1!$CG454</f>
        <v>#REF!</v>
      </c>
      <c r="CP454" s="70">
        <v>0.0</v>
      </c>
      <c r="CQ454" s="70">
        <v>0.0</v>
      </c>
      <c r="CR454" s="70">
        <v>0.0</v>
      </c>
      <c r="CS454" s="70">
        <v>0.0</v>
      </c>
      <c r="CT454" s="70">
        <v>0.0</v>
      </c>
      <c r="CU454" s="70">
        <v>0.0</v>
      </c>
      <c r="CV454" s="64">
        <v>0.0</v>
      </c>
      <c r="CW454" s="64">
        <v>0.0</v>
      </c>
      <c r="CX454" s="64">
        <v>0.0</v>
      </c>
      <c r="CY454" s="64">
        <v>174435.7802</v>
      </c>
      <c r="CZ454" s="64">
        <v>0.0</v>
      </c>
      <c r="DA454" s="64">
        <v>0.0</v>
      </c>
      <c r="DB454" s="64">
        <v>174435.7802</v>
      </c>
      <c r="DC454" s="72">
        <v>0.0</v>
      </c>
      <c r="DD454" s="72">
        <v>0.0</v>
      </c>
      <c r="DE454" s="72">
        <v>158478.817</v>
      </c>
      <c r="DF454" s="72">
        <v>0.0</v>
      </c>
      <c r="DG454" s="72">
        <v>0.0</v>
      </c>
      <c r="DH454" s="72">
        <v>158478.817</v>
      </c>
      <c r="DI454" s="73">
        <v>2.0608820672E10</v>
      </c>
      <c r="DJ454" s="74" t="s">
        <v>1475</v>
      </c>
      <c r="DK454" s="74" t="s">
        <v>138</v>
      </c>
      <c r="DL454" s="75"/>
      <c r="DM454" s="75"/>
      <c r="DN454" s="75"/>
      <c r="DO454" s="75"/>
      <c r="DP454" s="75"/>
      <c r="DQ454" s="75"/>
      <c r="DR454" s="75"/>
      <c r="DS454" s="75"/>
      <c r="DT454" s="75"/>
      <c r="DU454" s="75"/>
      <c r="DV454" s="75"/>
      <c r="DW454" s="75"/>
      <c r="DX454" s="75"/>
      <c r="DY454" s="75"/>
      <c r="DZ454" s="75"/>
      <c r="EA454" s="75"/>
      <c r="EB454" s="75"/>
      <c r="EC454" s="75"/>
      <c r="ED454" s="75"/>
      <c r="EE454" s="75"/>
    </row>
    <row r="455" ht="47.25" hidden="1" customHeight="1">
      <c r="A455" s="55" t="s">
        <v>1476</v>
      </c>
      <c r="B455" s="55" t="s">
        <v>256</v>
      </c>
      <c r="C455" s="55" t="s">
        <v>272</v>
      </c>
      <c r="D455" s="55" t="s">
        <v>593</v>
      </c>
      <c r="E455" s="55" t="s">
        <v>1287</v>
      </c>
      <c r="F455" s="55" t="s">
        <v>593</v>
      </c>
      <c r="G455" s="55" t="s">
        <v>651</v>
      </c>
      <c r="H455" s="55" t="s">
        <v>1288</v>
      </c>
      <c r="I455" s="56"/>
      <c r="J455" s="56"/>
      <c r="K455" s="56"/>
      <c r="L455" s="56"/>
      <c r="M455" s="56"/>
      <c r="N455" s="56"/>
      <c r="O455" s="56">
        <v>1.0</v>
      </c>
      <c r="P455" s="56">
        <v>1.0</v>
      </c>
      <c r="Q455" s="56" t="s">
        <v>131</v>
      </c>
      <c r="R455" s="58" t="str">
        <f t="shared" si="1"/>
        <v>2024 - 2025</v>
      </c>
      <c r="S455" s="59" t="str">
        <f>SUM(Hoja1!$I455:$P455)</f>
        <v>2</v>
      </c>
      <c r="T455" s="59" t="str">
        <f>IF(OR(Hoja1!$J455=1,Hoja1!$K455=1,Hoja1!$L455=1,Hoja1!$M455=1,Hoja1!$N455=1,Hoja1!$O455=1,Hoja1!$P455=1),"SI","NO")</f>
        <v>SI</v>
      </c>
      <c r="U455" s="59" t="str">
        <f>IF(OR(Hoja1!$K455=1,Hoja1!$L455=1,Hoja1!$M455=1,Hoja1!$N455=1,Hoja1!$O455=1,Hoja1!$P455=1),"SI","NO")</f>
        <v>SI</v>
      </c>
      <c r="V455" s="60">
        <v>0.0</v>
      </c>
      <c r="W455" s="61">
        <v>0.0</v>
      </c>
      <c r="X455" s="61">
        <v>0.0</v>
      </c>
      <c r="Y455" s="60">
        <v>0.0</v>
      </c>
      <c r="Z455" s="61">
        <v>0.0</v>
      </c>
      <c r="AA455" s="61">
        <v>0.0</v>
      </c>
      <c r="AB455" s="60">
        <v>0.0</v>
      </c>
      <c r="AC455" s="61">
        <v>0.0</v>
      </c>
      <c r="AD455" s="61">
        <v>0.0</v>
      </c>
      <c r="AE455" s="60">
        <v>0.0</v>
      </c>
      <c r="AF455" s="61">
        <v>0.0</v>
      </c>
      <c r="AG455" s="61">
        <v>0.0</v>
      </c>
      <c r="AH455" s="60">
        <v>0.0</v>
      </c>
      <c r="AI455" s="61">
        <v>0.0</v>
      </c>
      <c r="AJ455" s="61">
        <v>0.0</v>
      </c>
      <c r="AK455" s="60">
        <v>0.0</v>
      </c>
      <c r="AL455" s="61">
        <v>15.0</v>
      </c>
      <c r="AM455" s="61">
        <v>12.0</v>
      </c>
      <c r="AN455" s="60">
        <v>27.0</v>
      </c>
      <c r="AO455" s="62">
        <v>15.0</v>
      </c>
      <c r="AP455" s="62">
        <v>12.0</v>
      </c>
      <c r="AQ455" s="60">
        <v>27.0</v>
      </c>
      <c r="AR455" s="60" t="str">
        <f>IF(Hoja1!$AQ455&gt;0,Hoja1!$AQ455,IF(Hoja1!$AN455&gt;0,Hoja1!$AN455,IF(Hoja1!$AK455&gt;0,Hoja1!$AK455,IF(Hoja1!$AH455&gt;0,Hoja1!$AH455,IF(Hoja1!$AE455&gt;0,Hoja1!$AE455,IF(Hoja1!$AB455&gt;0,Hoja1!$AB455,IF(Hoja1!$Y455&gt;0,Hoja1!$Y455,IF(Hoja1!$V455&gt;0,Hoja1!$V455," ---"))))))))</f>
        <v>27</v>
      </c>
      <c r="AS455" s="63">
        <v>0.0</v>
      </c>
      <c r="AT455" s="63">
        <v>0.0</v>
      </c>
      <c r="AU455" s="63">
        <v>0.0</v>
      </c>
      <c r="AV455" s="63">
        <v>0.0</v>
      </c>
      <c r="AW455" s="63">
        <v>0.0</v>
      </c>
      <c r="AX455" s="63">
        <v>0.0</v>
      </c>
      <c r="AY455" s="63">
        <v>0.0</v>
      </c>
      <c r="AZ455" s="63">
        <v>0.0</v>
      </c>
      <c r="BA455" s="63">
        <v>24.0</v>
      </c>
      <c r="BB455" s="63">
        <v>0.0</v>
      </c>
      <c r="BC455" s="63">
        <v>21.0</v>
      </c>
      <c r="BD455" s="63">
        <v>0.0</v>
      </c>
      <c r="BE455" s="64">
        <v>0.0</v>
      </c>
      <c r="BF455" s="69">
        <v>0.0</v>
      </c>
      <c r="BG455" s="69">
        <v>0.0</v>
      </c>
      <c r="BH455" s="64">
        <v>0.0</v>
      </c>
      <c r="BI455" s="67" t="str">
        <f t="shared" si="156"/>
        <v>#REF!</v>
      </c>
      <c r="BJ455" s="68" t="str">
        <f t="shared" si="157"/>
        <v>#REF!</v>
      </c>
      <c r="BK455" s="69">
        <v>0.0</v>
      </c>
      <c r="BL455" s="69">
        <v>0.0</v>
      </c>
      <c r="BM455" s="64">
        <v>0.0</v>
      </c>
      <c r="BN455" s="67" t="str">
        <f t="shared" si="158"/>
        <v>#REF!</v>
      </c>
      <c r="BO455" s="68" t="str">
        <f t="shared" si="159"/>
        <v>#REF!</v>
      </c>
      <c r="BP455" s="65">
        <v>0.0</v>
      </c>
      <c r="BQ455" s="65">
        <v>0.0</v>
      </c>
      <c r="BR455" s="66">
        <v>0.0</v>
      </c>
      <c r="BS455" s="67" t="str">
        <f t="shared" si="160"/>
        <v>#REF!</v>
      </c>
      <c r="BT455" s="68" t="str">
        <f>'[1]DATA CONSOLIDADA 2018-2025 '!$BR455-Hoja1!$BO455</f>
        <v>#REF!</v>
      </c>
      <c r="BU455" s="69">
        <v>0.0</v>
      </c>
      <c r="BV455" s="65">
        <v>0.0</v>
      </c>
      <c r="BW455" s="66">
        <v>0.0</v>
      </c>
      <c r="BX455" s="67" t="str">
        <f t="shared" si="161"/>
        <v>#REF!</v>
      </c>
      <c r="BY455" s="68" t="str">
        <f t="shared" si="162"/>
        <v>#REF!</v>
      </c>
      <c r="BZ455" s="65">
        <v>0.0</v>
      </c>
      <c r="CA455" s="65">
        <v>0.0</v>
      </c>
      <c r="CB455" s="66">
        <v>0.0</v>
      </c>
      <c r="CC455" s="67" t="str">
        <f t="shared" si="163"/>
        <v>#REF!</v>
      </c>
      <c r="CD455" s="68" t="str">
        <f>'[1]DATA CONSOLIDADA 2018-2025 '!$CB455-Hoja1!$BW455</f>
        <v>#REF!</v>
      </c>
      <c r="CE455" s="70">
        <v>47392.288</v>
      </c>
      <c r="CF455" s="70">
        <v>0.0</v>
      </c>
      <c r="CG455" s="71">
        <v>47392.288</v>
      </c>
      <c r="CH455" s="67" t="str">
        <f t="shared" si="164"/>
        <v>#REF!</v>
      </c>
      <c r="CI455" s="68" t="str">
        <f>'[1]DATA CONSOLIDADA 2018-2025 '!$CG455-Hoja1!$CB455</f>
        <v>#REF!</v>
      </c>
      <c r="CJ455" s="64" t="str">
        <f t="shared" si="146"/>
        <v>#REF!</v>
      </c>
      <c r="CK455" s="64">
        <v>170018.68899999998</v>
      </c>
      <c r="CL455" s="64">
        <v>0.0</v>
      </c>
      <c r="CM455" s="64">
        <v>170018.68899999998</v>
      </c>
      <c r="CN455" s="64" t="str">
        <f t="shared" si="12"/>
        <v>#REF!</v>
      </c>
      <c r="CO455" s="68" t="str">
        <f>'[1]DATA CONSOLIDADA 2018-2025 '!$CM455-Hoja1!$CG455</f>
        <v>#REF!</v>
      </c>
      <c r="CP455" s="70">
        <v>0.0</v>
      </c>
      <c r="CQ455" s="70">
        <v>0.0</v>
      </c>
      <c r="CR455" s="70">
        <v>0.0</v>
      </c>
      <c r="CS455" s="70">
        <v>0.0</v>
      </c>
      <c r="CT455" s="70">
        <v>0.0</v>
      </c>
      <c r="CU455" s="70">
        <v>0.0</v>
      </c>
      <c r="CV455" s="64">
        <v>0.0</v>
      </c>
      <c r="CW455" s="64">
        <v>0.0</v>
      </c>
      <c r="CX455" s="64">
        <v>0.0</v>
      </c>
      <c r="CY455" s="64">
        <v>47392.288</v>
      </c>
      <c r="CZ455" s="64">
        <v>0.0</v>
      </c>
      <c r="DA455" s="64">
        <v>0.0</v>
      </c>
      <c r="DB455" s="64">
        <v>47392.288</v>
      </c>
      <c r="DC455" s="72">
        <v>0.0</v>
      </c>
      <c r="DD455" s="72">
        <v>0.0</v>
      </c>
      <c r="DE455" s="72">
        <v>170018.68899999998</v>
      </c>
      <c r="DF455" s="72">
        <v>0.0</v>
      </c>
      <c r="DG455" s="72">
        <v>0.0</v>
      </c>
      <c r="DH455" s="72">
        <v>170018.68899999998</v>
      </c>
      <c r="DI455" s="73">
        <v>2.0608860771E10</v>
      </c>
      <c r="DJ455" s="74" t="s">
        <v>1476</v>
      </c>
      <c r="DK455" s="74" t="s">
        <v>138</v>
      </c>
      <c r="DL455" s="75"/>
      <c r="DM455" s="75"/>
      <c r="DN455" s="75"/>
      <c r="DO455" s="75"/>
      <c r="DP455" s="75"/>
      <c r="DQ455" s="75"/>
      <c r="DR455" s="75"/>
      <c r="DS455" s="75"/>
      <c r="DT455" s="75"/>
      <c r="DU455" s="75"/>
      <c r="DV455" s="75"/>
      <c r="DW455" s="75"/>
      <c r="DX455" s="75"/>
      <c r="DY455" s="75"/>
      <c r="DZ455" s="75"/>
      <c r="EA455" s="75"/>
      <c r="EB455" s="75"/>
      <c r="EC455" s="75"/>
      <c r="ED455" s="75"/>
      <c r="EE455" s="75"/>
    </row>
    <row r="456" ht="47.25" hidden="1" customHeight="1">
      <c r="A456" s="55" t="s">
        <v>1477</v>
      </c>
      <c r="B456" s="55" t="s">
        <v>256</v>
      </c>
      <c r="C456" s="55" t="s">
        <v>272</v>
      </c>
      <c r="D456" s="55" t="s">
        <v>593</v>
      </c>
      <c r="E456" s="55" t="s">
        <v>1287</v>
      </c>
      <c r="F456" s="55" t="s">
        <v>593</v>
      </c>
      <c r="G456" s="55" t="s">
        <v>651</v>
      </c>
      <c r="H456" s="55" t="s">
        <v>1288</v>
      </c>
      <c r="I456" s="56"/>
      <c r="J456" s="56"/>
      <c r="K456" s="56"/>
      <c r="L456" s="56"/>
      <c r="M456" s="56"/>
      <c r="N456" s="56"/>
      <c r="O456" s="56">
        <v>1.0</v>
      </c>
      <c r="P456" s="56">
        <v>1.0</v>
      </c>
      <c r="Q456" s="56" t="s">
        <v>131</v>
      </c>
      <c r="R456" s="58" t="str">
        <f t="shared" si="1"/>
        <v>2024 - 2025</v>
      </c>
      <c r="S456" s="59" t="str">
        <f>SUM(Hoja1!$I456:$P456)</f>
        <v>2</v>
      </c>
      <c r="T456" s="59" t="str">
        <f>IF(OR(Hoja1!$J456=1,Hoja1!$K456=1,Hoja1!$L456=1,Hoja1!$M456=1,Hoja1!$N456=1,Hoja1!$O456=1,Hoja1!$P456=1),"SI","NO")</f>
        <v>SI</v>
      </c>
      <c r="U456" s="59" t="str">
        <f>IF(OR(Hoja1!$K456=1,Hoja1!$L456=1,Hoja1!$M456=1,Hoja1!$N456=1,Hoja1!$O456=1,Hoja1!$P456=1),"SI","NO")</f>
        <v>SI</v>
      </c>
      <c r="V456" s="60">
        <v>0.0</v>
      </c>
      <c r="W456" s="61">
        <v>0.0</v>
      </c>
      <c r="X456" s="61">
        <v>0.0</v>
      </c>
      <c r="Y456" s="60">
        <v>0.0</v>
      </c>
      <c r="Z456" s="61">
        <v>0.0</v>
      </c>
      <c r="AA456" s="61">
        <v>0.0</v>
      </c>
      <c r="AB456" s="60">
        <v>0.0</v>
      </c>
      <c r="AC456" s="61">
        <v>0.0</v>
      </c>
      <c r="AD456" s="61">
        <v>0.0</v>
      </c>
      <c r="AE456" s="60">
        <v>0.0</v>
      </c>
      <c r="AF456" s="61">
        <v>0.0</v>
      </c>
      <c r="AG456" s="61">
        <v>0.0</v>
      </c>
      <c r="AH456" s="60">
        <v>0.0</v>
      </c>
      <c r="AI456" s="61">
        <v>0.0</v>
      </c>
      <c r="AJ456" s="61">
        <v>0.0</v>
      </c>
      <c r="AK456" s="60">
        <v>0.0</v>
      </c>
      <c r="AL456" s="61">
        <v>17.0</v>
      </c>
      <c r="AM456" s="61">
        <v>9.0</v>
      </c>
      <c r="AN456" s="60">
        <v>26.0</v>
      </c>
      <c r="AO456" s="62">
        <v>16.0</v>
      </c>
      <c r="AP456" s="62">
        <v>10.0</v>
      </c>
      <c r="AQ456" s="60">
        <v>26.0</v>
      </c>
      <c r="AR456" s="60" t="str">
        <f>IF(Hoja1!$AQ456&gt;0,Hoja1!$AQ456,IF(Hoja1!$AN456&gt;0,Hoja1!$AN456,IF(Hoja1!$AK456&gt;0,Hoja1!$AK456,IF(Hoja1!$AH456&gt;0,Hoja1!$AH456,IF(Hoja1!$AE456&gt;0,Hoja1!$AE456,IF(Hoja1!$AB456&gt;0,Hoja1!$AB456,IF(Hoja1!$Y456&gt;0,Hoja1!$Y456,IF(Hoja1!$V456&gt;0,Hoja1!$V456," ---"))))))))</f>
        <v>26</v>
      </c>
      <c r="AS456" s="63">
        <v>0.0</v>
      </c>
      <c r="AT456" s="63">
        <v>0.0</v>
      </c>
      <c r="AU456" s="63">
        <v>0.0</v>
      </c>
      <c r="AV456" s="63">
        <v>0.0</v>
      </c>
      <c r="AW456" s="63">
        <v>0.0</v>
      </c>
      <c r="AX456" s="63">
        <v>0.0</v>
      </c>
      <c r="AY456" s="63">
        <v>0.0</v>
      </c>
      <c r="AZ456" s="63">
        <v>0.0</v>
      </c>
      <c r="BA456" s="63">
        <v>24.0</v>
      </c>
      <c r="BB456" s="63">
        <v>0.0</v>
      </c>
      <c r="BC456" s="63">
        <v>21.0</v>
      </c>
      <c r="BD456" s="63">
        <v>0.0</v>
      </c>
      <c r="BE456" s="64">
        <v>0.0</v>
      </c>
      <c r="BF456" s="69">
        <v>0.0</v>
      </c>
      <c r="BG456" s="69">
        <v>0.0</v>
      </c>
      <c r="BH456" s="64">
        <v>0.0</v>
      </c>
      <c r="BI456" s="67" t="str">
        <f t="shared" si="156"/>
        <v>#REF!</v>
      </c>
      <c r="BJ456" s="68" t="str">
        <f t="shared" si="157"/>
        <v>#REF!</v>
      </c>
      <c r="BK456" s="69">
        <v>0.0</v>
      </c>
      <c r="BL456" s="69">
        <v>0.0</v>
      </c>
      <c r="BM456" s="64">
        <v>0.0</v>
      </c>
      <c r="BN456" s="67" t="str">
        <f t="shared" si="158"/>
        <v>#REF!</v>
      </c>
      <c r="BO456" s="68" t="str">
        <f t="shared" si="159"/>
        <v>#REF!</v>
      </c>
      <c r="BP456" s="65">
        <v>0.0</v>
      </c>
      <c r="BQ456" s="65">
        <v>0.0</v>
      </c>
      <c r="BR456" s="66">
        <v>0.0</v>
      </c>
      <c r="BS456" s="67" t="str">
        <f t="shared" si="160"/>
        <v>#REF!</v>
      </c>
      <c r="BT456" s="68" t="str">
        <f>'[1]DATA CONSOLIDADA 2018-2025 '!$BR456-Hoja1!$BO456</f>
        <v>#REF!</v>
      </c>
      <c r="BU456" s="69">
        <v>0.0</v>
      </c>
      <c r="BV456" s="65">
        <v>0.0</v>
      </c>
      <c r="BW456" s="66">
        <v>0.0</v>
      </c>
      <c r="BX456" s="67" t="str">
        <f t="shared" si="161"/>
        <v>#REF!</v>
      </c>
      <c r="BY456" s="68" t="str">
        <f t="shared" si="162"/>
        <v>#REF!</v>
      </c>
      <c r="BZ456" s="65">
        <v>0.0</v>
      </c>
      <c r="CA456" s="65">
        <v>0.0</v>
      </c>
      <c r="CB456" s="66">
        <v>0.0</v>
      </c>
      <c r="CC456" s="67" t="str">
        <f t="shared" si="163"/>
        <v>#REF!</v>
      </c>
      <c r="CD456" s="68" t="str">
        <f>'[1]DATA CONSOLIDADA 2018-2025 '!$CB456-Hoja1!$BW456</f>
        <v>#REF!</v>
      </c>
      <c r="CE456" s="70">
        <v>198906.4568</v>
      </c>
      <c r="CF456" s="70">
        <v>0.0</v>
      </c>
      <c r="CG456" s="71">
        <v>198906.4568</v>
      </c>
      <c r="CH456" s="67" t="str">
        <f t="shared" si="164"/>
        <v>#REF!</v>
      </c>
      <c r="CI456" s="68" t="str">
        <f>'[1]DATA CONSOLIDADA 2018-2025 '!$CG456-Hoja1!$CB456</f>
        <v>#REF!</v>
      </c>
      <c r="CJ456" s="64" t="str">
        <f t="shared" si="146"/>
        <v>#REF!</v>
      </c>
      <c r="CK456" s="64">
        <v>184912.925</v>
      </c>
      <c r="CL456" s="64">
        <v>0.0</v>
      </c>
      <c r="CM456" s="64">
        <v>184912.925</v>
      </c>
      <c r="CN456" s="64" t="str">
        <f t="shared" si="12"/>
        <v>#REF!</v>
      </c>
      <c r="CO456" s="68" t="str">
        <f>'[1]DATA CONSOLIDADA 2018-2025 '!$CM456-Hoja1!$CG456</f>
        <v>#REF!</v>
      </c>
      <c r="CP456" s="70">
        <v>0.0</v>
      </c>
      <c r="CQ456" s="70">
        <v>0.0</v>
      </c>
      <c r="CR456" s="70">
        <v>0.0</v>
      </c>
      <c r="CS456" s="70">
        <v>0.0</v>
      </c>
      <c r="CT456" s="70">
        <v>0.0</v>
      </c>
      <c r="CU456" s="70">
        <v>0.0</v>
      </c>
      <c r="CV456" s="64">
        <v>0.0</v>
      </c>
      <c r="CW456" s="64">
        <v>0.0</v>
      </c>
      <c r="CX456" s="64">
        <v>0.0</v>
      </c>
      <c r="CY456" s="64">
        <v>198906.4568</v>
      </c>
      <c r="CZ456" s="64">
        <v>0.0</v>
      </c>
      <c r="DA456" s="64">
        <v>0.0</v>
      </c>
      <c r="DB456" s="64">
        <v>198906.4568</v>
      </c>
      <c r="DC456" s="72">
        <v>0.0</v>
      </c>
      <c r="DD456" s="72">
        <v>0.0</v>
      </c>
      <c r="DE456" s="72">
        <v>184912.925</v>
      </c>
      <c r="DF456" s="72">
        <v>0.0</v>
      </c>
      <c r="DG456" s="72">
        <v>0.0</v>
      </c>
      <c r="DH456" s="72">
        <v>184912.925</v>
      </c>
      <c r="DI456" s="73">
        <v>2.0608389734E10</v>
      </c>
      <c r="DJ456" s="74" t="s">
        <v>1478</v>
      </c>
      <c r="DK456" s="74" t="s">
        <v>138</v>
      </c>
      <c r="DL456" s="75"/>
      <c r="DM456" s="75"/>
      <c r="DN456" s="75"/>
      <c r="DO456" s="75"/>
      <c r="DP456" s="75"/>
      <c r="DQ456" s="75"/>
      <c r="DR456" s="75"/>
      <c r="DS456" s="75"/>
      <c r="DT456" s="75"/>
      <c r="DU456" s="75"/>
      <c r="DV456" s="75"/>
      <c r="DW456" s="75"/>
      <c r="DX456" s="75"/>
      <c r="DY456" s="75"/>
      <c r="DZ456" s="75"/>
      <c r="EA456" s="75"/>
      <c r="EB456" s="75"/>
      <c r="EC456" s="75"/>
      <c r="ED456" s="75"/>
      <c r="EE456" s="75"/>
    </row>
    <row r="457" ht="47.25" hidden="1" customHeight="1">
      <c r="A457" s="55" t="s">
        <v>1479</v>
      </c>
      <c r="B457" s="55" t="s">
        <v>166</v>
      </c>
      <c r="C457" s="55" t="s">
        <v>166</v>
      </c>
      <c r="D457" s="55" t="s">
        <v>481</v>
      </c>
      <c r="E457" s="55" t="s">
        <v>1480</v>
      </c>
      <c r="F457" s="55" t="s">
        <v>481</v>
      </c>
      <c r="G457" s="55" t="s">
        <v>677</v>
      </c>
      <c r="H457" s="55" t="s">
        <v>1481</v>
      </c>
      <c r="I457" s="56"/>
      <c r="J457" s="56"/>
      <c r="K457" s="56"/>
      <c r="L457" s="56"/>
      <c r="M457" s="56"/>
      <c r="N457" s="56"/>
      <c r="O457" s="56">
        <v>1.0</v>
      </c>
      <c r="P457" s="56">
        <v>1.0</v>
      </c>
      <c r="Q457" s="56" t="s">
        <v>131</v>
      </c>
      <c r="R457" s="58" t="str">
        <f t="shared" si="1"/>
        <v>2024 - 2025</v>
      </c>
      <c r="S457" s="59" t="str">
        <f>SUM(Hoja1!$I457:$P457)</f>
        <v>2</v>
      </c>
      <c r="T457" s="59" t="str">
        <f>IF(OR(Hoja1!$J457=1,Hoja1!$K457=1,Hoja1!$L457=1,Hoja1!$M457=1,Hoja1!$N457=1,Hoja1!$O457=1,Hoja1!$P457=1),"SI","NO")</f>
        <v>SI</v>
      </c>
      <c r="U457" s="59" t="str">
        <f>IF(OR(Hoja1!$K457=1,Hoja1!$L457=1,Hoja1!$M457=1,Hoja1!$N457=1,Hoja1!$O457=1,Hoja1!$P457=1),"SI","NO")</f>
        <v>SI</v>
      </c>
      <c r="V457" s="60">
        <v>0.0</v>
      </c>
      <c r="W457" s="61">
        <v>0.0</v>
      </c>
      <c r="X457" s="61">
        <v>0.0</v>
      </c>
      <c r="Y457" s="60">
        <v>0.0</v>
      </c>
      <c r="Z457" s="61">
        <v>0.0</v>
      </c>
      <c r="AA457" s="61">
        <v>0.0</v>
      </c>
      <c r="AB457" s="60">
        <v>0.0</v>
      </c>
      <c r="AC457" s="61">
        <v>0.0</v>
      </c>
      <c r="AD457" s="61">
        <v>0.0</v>
      </c>
      <c r="AE457" s="60">
        <v>0.0</v>
      </c>
      <c r="AF457" s="61">
        <v>0.0</v>
      </c>
      <c r="AG457" s="61">
        <v>0.0</v>
      </c>
      <c r="AH457" s="60">
        <v>0.0</v>
      </c>
      <c r="AI457" s="61">
        <v>0.0</v>
      </c>
      <c r="AJ457" s="61">
        <v>0.0</v>
      </c>
      <c r="AK457" s="60">
        <v>0.0</v>
      </c>
      <c r="AL457" s="61">
        <v>35.0</v>
      </c>
      <c r="AM457" s="61">
        <v>9.0</v>
      </c>
      <c r="AN457" s="60">
        <v>44.0</v>
      </c>
      <c r="AO457" s="62">
        <v>25.0</v>
      </c>
      <c r="AP457" s="62">
        <v>19.0</v>
      </c>
      <c r="AQ457" s="60">
        <v>44.0</v>
      </c>
      <c r="AR457" s="60" t="str">
        <f>IF(Hoja1!$AQ457&gt;0,Hoja1!$AQ457,IF(Hoja1!$AN457&gt;0,Hoja1!$AN457,IF(Hoja1!$AK457&gt;0,Hoja1!$AK457,IF(Hoja1!$AH457&gt;0,Hoja1!$AH457,IF(Hoja1!$AE457&gt;0,Hoja1!$AE457,IF(Hoja1!$AB457&gt;0,Hoja1!$AB457,IF(Hoja1!$Y457&gt;0,Hoja1!$Y457,IF(Hoja1!$V457&gt;0,Hoja1!$V457," ---"))))))))</f>
        <v>44</v>
      </c>
      <c r="AS457" s="63">
        <v>0.0</v>
      </c>
      <c r="AT457" s="63">
        <v>0.0</v>
      </c>
      <c r="AU457" s="63">
        <v>0.0</v>
      </c>
      <c r="AV457" s="63">
        <v>0.0</v>
      </c>
      <c r="AW457" s="63">
        <v>0.0</v>
      </c>
      <c r="AX457" s="63">
        <v>0.0</v>
      </c>
      <c r="AY457" s="63">
        <v>0.0</v>
      </c>
      <c r="AZ457" s="63">
        <v>0.0</v>
      </c>
      <c r="BA457" s="63">
        <v>20.0</v>
      </c>
      <c r="BB457" s="63">
        <v>3.0</v>
      </c>
      <c r="BC457" s="63">
        <v>15.0</v>
      </c>
      <c r="BD457" s="63">
        <v>1.0</v>
      </c>
      <c r="BE457" s="64">
        <v>0.0</v>
      </c>
      <c r="BF457" s="69">
        <v>0.0</v>
      </c>
      <c r="BG457" s="69">
        <v>0.0</v>
      </c>
      <c r="BH457" s="64">
        <v>0.0</v>
      </c>
      <c r="BI457" s="67" t="str">
        <f t="shared" si="156"/>
        <v>#REF!</v>
      </c>
      <c r="BJ457" s="68" t="str">
        <f t="shared" si="157"/>
        <v>#REF!</v>
      </c>
      <c r="BK457" s="69">
        <v>0.0</v>
      </c>
      <c r="BL457" s="69">
        <v>0.0</v>
      </c>
      <c r="BM457" s="64">
        <v>0.0</v>
      </c>
      <c r="BN457" s="67" t="str">
        <f t="shared" si="158"/>
        <v>#REF!</v>
      </c>
      <c r="BO457" s="68" t="str">
        <f t="shared" si="159"/>
        <v>#REF!</v>
      </c>
      <c r="BP457" s="65">
        <v>0.0</v>
      </c>
      <c r="BQ457" s="65">
        <v>0.0</v>
      </c>
      <c r="BR457" s="66">
        <v>0.0</v>
      </c>
      <c r="BS457" s="67" t="str">
        <f t="shared" si="160"/>
        <v>#REF!</v>
      </c>
      <c r="BT457" s="68" t="str">
        <f>'[1]DATA CONSOLIDADA 2018-2025 '!$BR457-Hoja1!$BO457</f>
        <v>#REF!</v>
      </c>
      <c r="BU457" s="69">
        <v>0.0</v>
      </c>
      <c r="BV457" s="65">
        <v>0.0</v>
      </c>
      <c r="BW457" s="66">
        <v>0.0</v>
      </c>
      <c r="BX457" s="67" t="str">
        <f t="shared" si="161"/>
        <v>#REF!</v>
      </c>
      <c r="BY457" s="68" t="str">
        <f t="shared" si="162"/>
        <v>#REF!</v>
      </c>
      <c r="BZ457" s="65">
        <v>0.0</v>
      </c>
      <c r="CA457" s="65">
        <v>0.0</v>
      </c>
      <c r="CB457" s="66">
        <v>0.0</v>
      </c>
      <c r="CC457" s="67" t="str">
        <f t="shared" si="163"/>
        <v>#REF!</v>
      </c>
      <c r="CD457" s="68" t="str">
        <f>'[1]DATA CONSOLIDADA 2018-2025 '!$CB457-Hoja1!$BW457</f>
        <v>#REF!</v>
      </c>
      <c r="CE457" s="70">
        <v>3536550.0</v>
      </c>
      <c r="CF457" s="70">
        <v>0.0</v>
      </c>
      <c r="CG457" s="71">
        <v>3536550.0</v>
      </c>
      <c r="CH457" s="67" t="str">
        <f t="shared" si="164"/>
        <v>#REF!</v>
      </c>
      <c r="CI457" s="68" t="str">
        <f>'[1]DATA CONSOLIDADA 2018-2025 '!$CG457-Hoja1!$CB457</f>
        <v>#REF!</v>
      </c>
      <c r="CJ457" s="64" t="str">
        <f t="shared" si="146"/>
        <v>#REF!</v>
      </c>
      <c r="CK457" s="64">
        <v>2474500.0</v>
      </c>
      <c r="CL457" s="64">
        <v>0.0</v>
      </c>
      <c r="CM457" s="64">
        <v>2474500.0</v>
      </c>
      <c r="CN457" s="64" t="str">
        <f t="shared" si="12"/>
        <v>#REF!</v>
      </c>
      <c r="CO457" s="68" t="str">
        <f>'[1]DATA CONSOLIDADA 2018-2025 '!$CM457-Hoja1!$CG457</f>
        <v>#REF!</v>
      </c>
      <c r="CP457" s="70">
        <v>0.0</v>
      </c>
      <c r="CQ457" s="70">
        <v>0.0</v>
      </c>
      <c r="CR457" s="70">
        <v>0.0</v>
      </c>
      <c r="CS457" s="70">
        <v>0.0</v>
      </c>
      <c r="CT457" s="70">
        <v>0.0</v>
      </c>
      <c r="CU457" s="70">
        <v>0.0</v>
      </c>
      <c r="CV457" s="64">
        <v>0.0</v>
      </c>
      <c r="CW457" s="64">
        <v>0.0</v>
      </c>
      <c r="CX457" s="64">
        <v>3536550.0</v>
      </c>
      <c r="CY457" s="64">
        <v>0.0</v>
      </c>
      <c r="CZ457" s="64">
        <v>0.0</v>
      </c>
      <c r="DA457" s="64">
        <v>0.0</v>
      </c>
      <c r="DB457" s="64">
        <v>3536550.0</v>
      </c>
      <c r="DC457" s="72">
        <v>0.0</v>
      </c>
      <c r="DD457" s="72">
        <v>2474500.0</v>
      </c>
      <c r="DE457" s="72">
        <v>0.0</v>
      </c>
      <c r="DF457" s="72">
        <v>0.0</v>
      </c>
      <c r="DG457" s="72">
        <v>0.0</v>
      </c>
      <c r="DH457" s="72">
        <v>2474500.0</v>
      </c>
      <c r="DI457" s="73">
        <v>2.0610024085E10</v>
      </c>
      <c r="DJ457" s="74" t="s">
        <v>1482</v>
      </c>
      <c r="DK457" s="74" t="s">
        <v>132</v>
      </c>
      <c r="DL457" s="75"/>
      <c r="DM457" s="75"/>
      <c r="DN457" s="75"/>
      <c r="DO457" s="75"/>
      <c r="DP457" s="75"/>
      <c r="DQ457" s="75"/>
      <c r="DR457" s="75"/>
      <c r="DS457" s="75"/>
      <c r="DT457" s="75"/>
      <c r="DU457" s="75"/>
      <c r="DV457" s="75"/>
      <c r="DW457" s="75"/>
      <c r="DX457" s="75"/>
      <c r="DY457" s="75"/>
      <c r="DZ457" s="75"/>
      <c r="EA457" s="75"/>
      <c r="EB457" s="75"/>
      <c r="EC457" s="75"/>
      <c r="ED457" s="75"/>
      <c r="EE457" s="75"/>
    </row>
    <row r="458" ht="47.25" hidden="1" customHeight="1">
      <c r="A458" s="55" t="s">
        <v>1483</v>
      </c>
      <c r="B458" s="55" t="s">
        <v>455</v>
      </c>
      <c r="C458" s="55" t="s">
        <v>455</v>
      </c>
      <c r="D458" s="55" t="s">
        <v>481</v>
      </c>
      <c r="E458" s="55" t="s">
        <v>750</v>
      </c>
      <c r="F458" s="55" t="s">
        <v>481</v>
      </c>
      <c r="G458" s="55" t="s">
        <v>677</v>
      </c>
      <c r="H458" s="55" t="s">
        <v>751</v>
      </c>
      <c r="I458" s="56"/>
      <c r="J458" s="56"/>
      <c r="K458" s="56"/>
      <c r="L458" s="56"/>
      <c r="M458" s="56"/>
      <c r="N458" s="56"/>
      <c r="O458" s="56">
        <v>1.0</v>
      </c>
      <c r="P458" s="56">
        <v>1.0</v>
      </c>
      <c r="Q458" s="56" t="s">
        <v>131</v>
      </c>
      <c r="R458" s="58" t="str">
        <f t="shared" si="1"/>
        <v>2024 - 2025</v>
      </c>
      <c r="S458" s="59" t="str">
        <f>SUM(Hoja1!$I458:$P458)</f>
        <v>2</v>
      </c>
      <c r="T458" s="59" t="str">
        <f>IF(OR(Hoja1!$J458=1,Hoja1!$K458=1,Hoja1!$L458=1,Hoja1!$M458=1,Hoja1!$N458=1,Hoja1!$O458=1,Hoja1!$P458=1),"SI","NO")</f>
        <v>SI</v>
      </c>
      <c r="U458" s="59" t="str">
        <f>IF(OR(Hoja1!$K458=1,Hoja1!$L458=1,Hoja1!$M458=1,Hoja1!$N458=1,Hoja1!$O458=1,Hoja1!$P458=1),"SI","NO")</f>
        <v>SI</v>
      </c>
      <c r="V458" s="60">
        <v>0.0</v>
      </c>
      <c r="W458" s="61">
        <v>0.0</v>
      </c>
      <c r="X458" s="61">
        <v>0.0</v>
      </c>
      <c r="Y458" s="60">
        <v>0.0</v>
      </c>
      <c r="Z458" s="61">
        <v>0.0</v>
      </c>
      <c r="AA458" s="61">
        <v>0.0</v>
      </c>
      <c r="AB458" s="60">
        <v>0.0</v>
      </c>
      <c r="AC458" s="61">
        <v>0.0</v>
      </c>
      <c r="AD458" s="61">
        <v>0.0</v>
      </c>
      <c r="AE458" s="60">
        <v>0.0</v>
      </c>
      <c r="AF458" s="61">
        <v>0.0</v>
      </c>
      <c r="AG458" s="61">
        <v>0.0</v>
      </c>
      <c r="AH458" s="60">
        <v>0.0</v>
      </c>
      <c r="AI458" s="61">
        <v>0.0</v>
      </c>
      <c r="AJ458" s="61">
        <v>0.0</v>
      </c>
      <c r="AK458" s="60">
        <v>0.0</v>
      </c>
      <c r="AL458" s="61">
        <v>47.0</v>
      </c>
      <c r="AM458" s="61">
        <v>30.0</v>
      </c>
      <c r="AN458" s="60">
        <v>77.0</v>
      </c>
      <c r="AO458" s="62">
        <v>22.0</v>
      </c>
      <c r="AP458" s="62">
        <v>55.0</v>
      </c>
      <c r="AQ458" s="60">
        <v>77.0</v>
      </c>
      <c r="AR458" s="60" t="str">
        <f>IF(Hoja1!$AQ458&gt;0,Hoja1!$AQ458,IF(Hoja1!$AN458&gt;0,Hoja1!$AN458,IF(Hoja1!$AK458&gt;0,Hoja1!$AK458,IF(Hoja1!$AH458&gt;0,Hoja1!$AH458,IF(Hoja1!$AE458&gt;0,Hoja1!$AE458,IF(Hoja1!$AB458&gt;0,Hoja1!$AB458,IF(Hoja1!$Y458&gt;0,Hoja1!$Y458,IF(Hoja1!$V458&gt;0,Hoja1!$V458," ---"))))))))</f>
        <v>77</v>
      </c>
      <c r="AS458" s="63">
        <v>0.0</v>
      </c>
      <c r="AT458" s="63">
        <v>0.0</v>
      </c>
      <c r="AU458" s="63">
        <v>0.0</v>
      </c>
      <c r="AV458" s="63">
        <v>0.0</v>
      </c>
      <c r="AW458" s="63">
        <v>0.0</v>
      </c>
      <c r="AX458" s="63">
        <v>0.0</v>
      </c>
      <c r="AY458" s="63">
        <v>0.0</v>
      </c>
      <c r="AZ458" s="63">
        <v>0.0</v>
      </c>
      <c r="BA458" s="63">
        <v>23.0</v>
      </c>
      <c r="BB458" s="63">
        <v>0.0</v>
      </c>
      <c r="BC458" s="63">
        <v>9.0</v>
      </c>
      <c r="BD458" s="63">
        <v>0.0</v>
      </c>
      <c r="BE458" s="64">
        <v>0.0</v>
      </c>
      <c r="BF458" s="69">
        <v>0.0</v>
      </c>
      <c r="BG458" s="69">
        <v>0.0</v>
      </c>
      <c r="BH458" s="64">
        <v>0.0</v>
      </c>
      <c r="BI458" s="67" t="str">
        <f t="shared" si="156"/>
        <v>#REF!</v>
      </c>
      <c r="BJ458" s="68" t="str">
        <f t="shared" si="157"/>
        <v>#REF!</v>
      </c>
      <c r="BK458" s="69">
        <v>0.0</v>
      </c>
      <c r="BL458" s="69">
        <v>0.0</v>
      </c>
      <c r="BM458" s="64">
        <v>0.0</v>
      </c>
      <c r="BN458" s="67" t="str">
        <f t="shared" si="158"/>
        <v>#REF!</v>
      </c>
      <c r="BO458" s="68" t="str">
        <f t="shared" si="159"/>
        <v>#REF!</v>
      </c>
      <c r="BP458" s="65">
        <v>0.0</v>
      </c>
      <c r="BQ458" s="65">
        <v>0.0</v>
      </c>
      <c r="BR458" s="66">
        <v>0.0</v>
      </c>
      <c r="BS458" s="67" t="str">
        <f t="shared" si="160"/>
        <v>#REF!</v>
      </c>
      <c r="BT458" s="68" t="str">
        <f>'[1]DATA CONSOLIDADA 2018-2025 '!$BR556-Hoja1!$BO458</f>
        <v>#REF!</v>
      </c>
      <c r="BU458" s="69">
        <v>0.0</v>
      </c>
      <c r="BV458" s="65">
        <v>0.0</v>
      </c>
      <c r="BW458" s="66">
        <v>0.0</v>
      </c>
      <c r="BX458" s="67" t="str">
        <f t="shared" si="161"/>
        <v>#REF!</v>
      </c>
      <c r="BY458" s="68" t="str">
        <f t="shared" si="162"/>
        <v>#REF!</v>
      </c>
      <c r="BZ458" s="65">
        <v>0.0</v>
      </c>
      <c r="CA458" s="65">
        <v>0.0</v>
      </c>
      <c r="CB458" s="66">
        <v>0.0</v>
      </c>
      <c r="CC458" s="67" t="str">
        <f t="shared" si="163"/>
        <v>#REF!</v>
      </c>
      <c r="CD458" s="68" t="str">
        <f>'[1]DATA CONSOLIDADA 2018-2025 '!$CB556-Hoja1!$BW458</f>
        <v>#REF!</v>
      </c>
      <c r="CE458" s="70">
        <v>462837.6</v>
      </c>
      <c r="CF458" s="70">
        <v>0.0</v>
      </c>
      <c r="CG458" s="71">
        <v>462837.6</v>
      </c>
      <c r="CH458" s="67" t="str">
        <f t="shared" si="164"/>
        <v>#REF!</v>
      </c>
      <c r="CI458" s="68" t="str">
        <f>'[1]DATA CONSOLIDADA 2018-2025 '!$CG556-Hoja1!$CB458</f>
        <v>#REF!</v>
      </c>
      <c r="CJ458" s="64" t="str">
        <f>'[1]DATA CONSOLIDADA 2018-2025 '!$BE556+'[1]DATA CONSOLIDADA 2018-2025 '!$BH556+'[1]DATA CONSOLIDADA 2018-2025 '!$BM556+'[1]DATA CONSOLIDADA 2018-2025 '!$BR556+'[1]DATA CONSOLIDADA 2018-2025 '!$BW556+'[1]DATA CONSOLIDADA 2018-2025 '!$CB556+'[1]DATA CONSOLIDADA 2018-2025 '!$CG556</f>
        <v>#REF!</v>
      </c>
      <c r="CK458" s="64">
        <v>85765.5</v>
      </c>
      <c r="CL458" s="64">
        <v>0.0</v>
      </c>
      <c r="CM458" s="64">
        <v>85765.5</v>
      </c>
      <c r="CN458" s="64" t="str">
        <f t="shared" si="12"/>
        <v>#REF!</v>
      </c>
      <c r="CO458" s="68" t="str">
        <f>'[1]DATA CONSOLIDADA 2018-2025 '!$CM458-Hoja1!$CG458</f>
        <v>#REF!</v>
      </c>
      <c r="CP458" s="70">
        <v>0.0</v>
      </c>
      <c r="CQ458" s="70">
        <v>0.0</v>
      </c>
      <c r="CR458" s="70">
        <v>0.0</v>
      </c>
      <c r="CS458" s="70">
        <v>0.0</v>
      </c>
      <c r="CT458" s="70">
        <v>0.0</v>
      </c>
      <c r="CU458" s="70">
        <v>0.0</v>
      </c>
      <c r="CV458" s="64">
        <v>0.0</v>
      </c>
      <c r="CW458" s="64">
        <v>0.0</v>
      </c>
      <c r="CX458" s="64">
        <v>462837.6</v>
      </c>
      <c r="CY458" s="64">
        <v>0.0</v>
      </c>
      <c r="CZ458" s="64">
        <v>0.0</v>
      </c>
      <c r="DA458" s="64">
        <v>0.0</v>
      </c>
      <c r="DB458" s="64">
        <v>462837.6</v>
      </c>
      <c r="DC458" s="72">
        <v>0.0</v>
      </c>
      <c r="DD458" s="72">
        <v>84190.5</v>
      </c>
      <c r="DE458" s="72">
        <v>1575.0</v>
      </c>
      <c r="DF458" s="72">
        <v>0.0</v>
      </c>
      <c r="DG458" s="72">
        <v>0.0</v>
      </c>
      <c r="DH458" s="72">
        <v>85765.5</v>
      </c>
      <c r="DI458" s="73">
        <v>2.0611567449E10</v>
      </c>
      <c r="DJ458" s="74" t="s">
        <v>1484</v>
      </c>
      <c r="DK458" s="74" t="s">
        <v>132</v>
      </c>
      <c r="DL458" s="75"/>
      <c r="DM458" s="75"/>
      <c r="DN458" s="75"/>
      <c r="DO458" s="75"/>
      <c r="DP458" s="75"/>
      <c r="DQ458" s="75"/>
      <c r="DR458" s="75"/>
      <c r="DS458" s="75"/>
      <c r="DT458" s="75"/>
      <c r="DU458" s="75"/>
      <c r="DV458" s="75"/>
      <c r="DW458" s="75"/>
      <c r="DX458" s="75"/>
      <c r="DY458" s="75"/>
      <c r="DZ458" s="75"/>
      <c r="EA458" s="75"/>
      <c r="EB458" s="75"/>
      <c r="EC458" s="75"/>
      <c r="ED458" s="75"/>
      <c r="EE458" s="75"/>
    </row>
    <row r="459" ht="47.25" hidden="1" customHeight="1">
      <c r="A459" s="55" t="s">
        <v>1485</v>
      </c>
      <c r="B459" s="55" t="s">
        <v>126</v>
      </c>
      <c r="C459" s="55" t="s">
        <v>126</v>
      </c>
      <c r="D459" s="55" t="s">
        <v>481</v>
      </c>
      <c r="E459" s="55" t="s">
        <v>672</v>
      </c>
      <c r="F459" s="55" t="s">
        <v>481</v>
      </c>
      <c r="G459" s="55" t="s">
        <v>673</v>
      </c>
      <c r="H459" s="55" t="s">
        <v>674</v>
      </c>
      <c r="I459" s="56"/>
      <c r="J459" s="56"/>
      <c r="K459" s="56"/>
      <c r="L459" s="56"/>
      <c r="M459" s="56"/>
      <c r="N459" s="56"/>
      <c r="O459" s="56">
        <v>1.0</v>
      </c>
      <c r="P459" s="56">
        <v>1.0</v>
      </c>
      <c r="Q459" s="56" t="s">
        <v>131</v>
      </c>
      <c r="R459" s="58" t="str">
        <f t="shared" si="1"/>
        <v>2024 - 2025</v>
      </c>
      <c r="S459" s="59" t="str">
        <f>SUM(Hoja1!$I459:$P459)</f>
        <v>2</v>
      </c>
      <c r="T459" s="59" t="str">
        <f>IF(OR(Hoja1!$J459=1,Hoja1!$K459=1,Hoja1!$L459=1,Hoja1!$M459=1,Hoja1!$N459=1,Hoja1!$O459=1,Hoja1!$P459=1),"SI","NO")</f>
        <v>SI</v>
      </c>
      <c r="U459" s="59" t="str">
        <f>IF(OR(Hoja1!$K459=1,Hoja1!$L459=1,Hoja1!$M459=1,Hoja1!$N459=1,Hoja1!$O459=1,Hoja1!$P459=1),"SI","NO")</f>
        <v>SI</v>
      </c>
      <c r="V459" s="60">
        <v>0.0</v>
      </c>
      <c r="W459" s="61">
        <v>0.0</v>
      </c>
      <c r="X459" s="61">
        <v>0.0</v>
      </c>
      <c r="Y459" s="60">
        <v>0.0</v>
      </c>
      <c r="Z459" s="61">
        <v>0.0</v>
      </c>
      <c r="AA459" s="61">
        <v>0.0</v>
      </c>
      <c r="AB459" s="60">
        <v>0.0</v>
      </c>
      <c r="AC459" s="61">
        <v>0.0</v>
      </c>
      <c r="AD459" s="61">
        <v>0.0</v>
      </c>
      <c r="AE459" s="60">
        <v>0.0</v>
      </c>
      <c r="AF459" s="61">
        <v>0.0</v>
      </c>
      <c r="AG459" s="61">
        <v>0.0</v>
      </c>
      <c r="AH459" s="60">
        <v>0.0</v>
      </c>
      <c r="AI459" s="61">
        <v>0.0</v>
      </c>
      <c r="AJ459" s="61">
        <v>0.0</v>
      </c>
      <c r="AK459" s="60">
        <v>0.0</v>
      </c>
      <c r="AL459" s="61">
        <v>185.0</v>
      </c>
      <c r="AM459" s="61">
        <v>80.0</v>
      </c>
      <c r="AN459" s="60">
        <v>265.0</v>
      </c>
      <c r="AO459" s="62">
        <v>165.0</v>
      </c>
      <c r="AP459" s="62">
        <v>92.0</v>
      </c>
      <c r="AQ459" s="60">
        <v>257.0</v>
      </c>
      <c r="AR459" s="60" t="str">
        <f>IF(Hoja1!$AQ459&gt;0,Hoja1!$AQ459,IF(Hoja1!$AN459&gt;0,Hoja1!$AN459,IF(Hoja1!$AK459&gt;0,Hoja1!$AK459,IF(Hoja1!$AH459&gt;0,Hoja1!$AH459,IF(Hoja1!$AE459&gt;0,Hoja1!$AE459,IF(Hoja1!$AB459&gt;0,Hoja1!$AB459,IF(Hoja1!$Y459&gt;0,Hoja1!$Y459,IF(Hoja1!$V459&gt;0,Hoja1!$V459," ---"))))))))</f>
        <v>257</v>
      </c>
      <c r="AS459" s="63">
        <v>0.0</v>
      </c>
      <c r="AT459" s="63">
        <v>0.0</v>
      </c>
      <c r="AU459" s="63">
        <v>0.0</v>
      </c>
      <c r="AV459" s="63">
        <v>0.0</v>
      </c>
      <c r="AW459" s="63">
        <v>0.0</v>
      </c>
      <c r="AX459" s="63">
        <v>0.0</v>
      </c>
      <c r="AY459" s="63">
        <v>0.0</v>
      </c>
      <c r="AZ459" s="63">
        <v>0.0</v>
      </c>
      <c r="BA459" s="63">
        <v>25.0</v>
      </c>
      <c r="BB459" s="63">
        <v>0.0</v>
      </c>
      <c r="BC459" s="63">
        <v>12.0</v>
      </c>
      <c r="BD459" s="63">
        <v>0.0</v>
      </c>
      <c r="BE459" s="64">
        <v>0.0</v>
      </c>
      <c r="BF459" s="69">
        <v>0.0</v>
      </c>
      <c r="BG459" s="69">
        <v>0.0</v>
      </c>
      <c r="BH459" s="64">
        <v>0.0</v>
      </c>
      <c r="BI459" s="67" t="str">
        <f t="shared" si="156"/>
        <v>#REF!</v>
      </c>
      <c r="BJ459" s="68" t="str">
        <f t="shared" si="157"/>
        <v>#REF!</v>
      </c>
      <c r="BK459" s="69">
        <v>0.0</v>
      </c>
      <c r="BL459" s="69">
        <v>0.0</v>
      </c>
      <c r="BM459" s="64">
        <v>0.0</v>
      </c>
      <c r="BN459" s="67" t="str">
        <f t="shared" si="158"/>
        <v>#REF!</v>
      </c>
      <c r="BO459" s="68" t="str">
        <f t="shared" si="159"/>
        <v>#REF!</v>
      </c>
      <c r="BP459" s="65">
        <v>0.0</v>
      </c>
      <c r="BQ459" s="65">
        <v>0.0</v>
      </c>
      <c r="BR459" s="66">
        <v>0.0</v>
      </c>
      <c r="BS459" s="67" t="str">
        <f t="shared" si="160"/>
        <v>#REF!</v>
      </c>
      <c r="BT459" s="68" t="str">
        <f>'[1]DATA CONSOLIDADA 2018-2025 '!$BR459-Hoja1!$BO459</f>
        <v>#REF!</v>
      </c>
      <c r="BU459" s="69">
        <v>0.0</v>
      </c>
      <c r="BV459" s="65">
        <v>0.0</v>
      </c>
      <c r="BW459" s="66">
        <v>0.0</v>
      </c>
      <c r="BX459" s="67" t="str">
        <f t="shared" si="161"/>
        <v>#REF!</v>
      </c>
      <c r="BY459" s="68" t="str">
        <f t="shared" si="162"/>
        <v>#REF!</v>
      </c>
      <c r="BZ459" s="65">
        <v>0.0</v>
      </c>
      <c r="CA459" s="65">
        <v>0.0</v>
      </c>
      <c r="CB459" s="66">
        <v>0.0</v>
      </c>
      <c r="CC459" s="67" t="str">
        <f t="shared" si="163"/>
        <v>#REF!</v>
      </c>
      <c r="CD459" s="68" t="str">
        <f>'[1]DATA CONSOLIDADA 2018-2025 '!$CB459-Hoja1!$BW459</f>
        <v>#REF!</v>
      </c>
      <c r="CE459" s="70">
        <v>1422186.9965899999</v>
      </c>
      <c r="CF459" s="70">
        <v>0.0</v>
      </c>
      <c r="CG459" s="71">
        <v>1422186.9965899999</v>
      </c>
      <c r="CH459" s="67" t="str">
        <f t="shared" si="164"/>
        <v>#REF!</v>
      </c>
      <c r="CI459" s="68" t="str">
        <f>'[1]DATA CONSOLIDADA 2018-2025 '!$CG459-Hoja1!$CB459</f>
        <v>#REF!</v>
      </c>
      <c r="CJ459" s="64" t="str">
        <f t="shared" ref="CJ459:CJ512" si="165">'[1]DATA CONSOLIDADA 2018-2025 '!$BE459+'[1]DATA CONSOLIDADA 2018-2025 '!$BH459+'[1]DATA CONSOLIDADA 2018-2025 '!$BM459+'[1]DATA CONSOLIDADA 2018-2025 '!$BR459+'[1]DATA CONSOLIDADA 2018-2025 '!$BW459+'[1]DATA CONSOLIDADA 2018-2025 '!$CB459+'[1]DATA CONSOLIDADA 2018-2025 '!$CG459</f>
        <v>#REF!</v>
      </c>
      <c r="CK459" s="64">
        <v>3630266.82060391</v>
      </c>
      <c r="CL459" s="64">
        <v>609874.9541346</v>
      </c>
      <c r="CM459" s="64">
        <v>4240141.77473851</v>
      </c>
      <c r="CN459" s="64" t="str">
        <f t="shared" si="12"/>
        <v>#REF!</v>
      </c>
      <c r="CO459" s="68" t="str">
        <f>'[1]DATA CONSOLIDADA 2018-2025 '!$CM459-Hoja1!$CG459</f>
        <v>#REF!</v>
      </c>
      <c r="CP459" s="70">
        <v>0.0</v>
      </c>
      <c r="CQ459" s="70">
        <v>0.0</v>
      </c>
      <c r="CR459" s="70">
        <v>0.0</v>
      </c>
      <c r="CS459" s="70">
        <v>0.0</v>
      </c>
      <c r="CT459" s="70">
        <v>0.0</v>
      </c>
      <c r="CU459" s="70">
        <v>0.0</v>
      </c>
      <c r="CV459" s="64">
        <v>0.0</v>
      </c>
      <c r="CW459" s="64">
        <v>0.0</v>
      </c>
      <c r="CX459" s="64">
        <v>3977.0</v>
      </c>
      <c r="CY459" s="64">
        <v>1418209.9965899999</v>
      </c>
      <c r="CZ459" s="64">
        <v>0.0</v>
      </c>
      <c r="DA459" s="64">
        <v>0.0</v>
      </c>
      <c r="DB459" s="64">
        <v>1422186.9965899999</v>
      </c>
      <c r="DC459" s="72">
        <v>0.0</v>
      </c>
      <c r="DD459" s="72">
        <v>0.0</v>
      </c>
      <c r="DE459" s="72">
        <v>4240141.77473851</v>
      </c>
      <c r="DF459" s="72">
        <v>0.0</v>
      </c>
      <c r="DG459" s="72">
        <v>0.0</v>
      </c>
      <c r="DH459" s="72">
        <v>4240141.77473851</v>
      </c>
      <c r="DI459" s="73">
        <v>2.060550043E10</v>
      </c>
      <c r="DJ459" s="74" t="s">
        <v>1485</v>
      </c>
      <c r="DK459" s="74" t="s">
        <v>132</v>
      </c>
      <c r="DL459" s="75"/>
      <c r="DM459" s="75"/>
      <c r="DN459" s="75"/>
      <c r="DO459" s="75"/>
      <c r="DP459" s="75"/>
      <c r="DQ459" s="75"/>
      <c r="DR459" s="75"/>
      <c r="DS459" s="75"/>
      <c r="DT459" s="75"/>
      <c r="DU459" s="75"/>
      <c r="DV459" s="75"/>
      <c r="DW459" s="75"/>
      <c r="DX459" s="75"/>
      <c r="DY459" s="75"/>
      <c r="DZ459" s="75"/>
      <c r="EA459" s="75"/>
      <c r="EB459" s="75"/>
      <c r="EC459" s="75"/>
      <c r="ED459" s="75"/>
      <c r="EE459" s="75"/>
    </row>
    <row r="460" ht="47.25" hidden="1" customHeight="1">
      <c r="A460" s="55" t="s">
        <v>1486</v>
      </c>
      <c r="B460" s="55" t="s">
        <v>711</v>
      </c>
      <c r="C460" s="55" t="s">
        <v>735</v>
      </c>
      <c r="D460" s="55" t="s">
        <v>481</v>
      </c>
      <c r="E460" s="55" t="s">
        <v>672</v>
      </c>
      <c r="F460" s="55" t="s">
        <v>481</v>
      </c>
      <c r="G460" s="55" t="s">
        <v>673</v>
      </c>
      <c r="H460" s="55" t="s">
        <v>674</v>
      </c>
      <c r="I460" s="56"/>
      <c r="J460" s="56"/>
      <c r="K460" s="56"/>
      <c r="L460" s="56"/>
      <c r="M460" s="56"/>
      <c r="N460" s="56"/>
      <c r="O460" s="56">
        <v>1.0</v>
      </c>
      <c r="P460" s="56">
        <v>1.0</v>
      </c>
      <c r="Q460" s="56" t="s">
        <v>131</v>
      </c>
      <c r="R460" s="58" t="str">
        <f t="shared" si="1"/>
        <v>2024 - 2025</v>
      </c>
      <c r="S460" s="59" t="str">
        <f>SUM(Hoja1!$I460:$P460)</f>
        <v>2</v>
      </c>
      <c r="T460" s="59" t="str">
        <f>IF(OR(Hoja1!$J460=1,Hoja1!$K460=1,Hoja1!$L460=1,Hoja1!$M460=1,Hoja1!$N460=1,Hoja1!$O460=1,Hoja1!$P460=1),"SI","NO")</f>
        <v>SI</v>
      </c>
      <c r="U460" s="59" t="str">
        <f>IF(OR(Hoja1!$K460=1,Hoja1!$L460=1,Hoja1!$M460=1,Hoja1!$N460=1,Hoja1!$O460=1,Hoja1!$P460=1),"SI","NO")</f>
        <v>SI</v>
      </c>
      <c r="V460" s="60">
        <v>0.0</v>
      </c>
      <c r="W460" s="61">
        <v>0.0</v>
      </c>
      <c r="X460" s="61">
        <v>0.0</v>
      </c>
      <c r="Y460" s="60">
        <v>0.0</v>
      </c>
      <c r="Z460" s="61">
        <v>0.0</v>
      </c>
      <c r="AA460" s="61">
        <v>0.0</v>
      </c>
      <c r="AB460" s="60">
        <v>0.0</v>
      </c>
      <c r="AC460" s="61">
        <v>0.0</v>
      </c>
      <c r="AD460" s="61">
        <v>0.0</v>
      </c>
      <c r="AE460" s="60">
        <v>0.0</v>
      </c>
      <c r="AF460" s="61">
        <v>0.0</v>
      </c>
      <c r="AG460" s="61">
        <v>0.0</v>
      </c>
      <c r="AH460" s="60">
        <v>0.0</v>
      </c>
      <c r="AI460" s="61">
        <v>0.0</v>
      </c>
      <c r="AJ460" s="61">
        <v>0.0</v>
      </c>
      <c r="AK460" s="60">
        <v>0.0</v>
      </c>
      <c r="AL460" s="61">
        <v>15.0</v>
      </c>
      <c r="AM460" s="61">
        <v>13.0</v>
      </c>
      <c r="AN460" s="60">
        <v>28.0</v>
      </c>
      <c r="AO460" s="62">
        <v>16.0</v>
      </c>
      <c r="AP460" s="62">
        <v>12.0</v>
      </c>
      <c r="AQ460" s="60">
        <v>28.0</v>
      </c>
      <c r="AR460" s="60" t="str">
        <f>IF(Hoja1!$AQ460&gt;0,Hoja1!$AQ460,IF(Hoja1!$AN460&gt;0,Hoja1!$AN460,IF(Hoja1!$AK460&gt;0,Hoja1!$AK460,IF(Hoja1!$AH460&gt;0,Hoja1!$AH460,IF(Hoja1!$AE460&gt;0,Hoja1!$AE460,IF(Hoja1!$AB460&gt;0,Hoja1!$AB460,IF(Hoja1!$Y460&gt;0,Hoja1!$Y460,IF(Hoja1!$V460&gt;0,Hoja1!$V460," ---"))))))))</f>
        <v>28</v>
      </c>
      <c r="AS460" s="63">
        <v>0.0</v>
      </c>
      <c r="AT460" s="63">
        <v>0.0</v>
      </c>
      <c r="AU460" s="63">
        <v>0.0</v>
      </c>
      <c r="AV460" s="63">
        <v>0.0</v>
      </c>
      <c r="AW460" s="63">
        <v>0.0</v>
      </c>
      <c r="AX460" s="63">
        <v>0.0</v>
      </c>
      <c r="AY460" s="63">
        <v>0.0</v>
      </c>
      <c r="AZ460" s="63">
        <v>0.0</v>
      </c>
      <c r="BA460" s="63">
        <v>25.0</v>
      </c>
      <c r="BB460" s="63">
        <v>0.0</v>
      </c>
      <c r="BC460" s="63">
        <v>12.0</v>
      </c>
      <c r="BD460" s="63">
        <v>0.0</v>
      </c>
      <c r="BE460" s="64">
        <v>0.0</v>
      </c>
      <c r="BF460" s="69">
        <v>0.0</v>
      </c>
      <c r="BG460" s="69">
        <v>0.0</v>
      </c>
      <c r="BH460" s="64">
        <v>0.0</v>
      </c>
      <c r="BI460" s="67" t="str">
        <f t="shared" si="156"/>
        <v>#REF!</v>
      </c>
      <c r="BJ460" s="68" t="str">
        <f t="shared" si="157"/>
        <v>#REF!</v>
      </c>
      <c r="BK460" s="69">
        <v>0.0</v>
      </c>
      <c r="BL460" s="69">
        <v>0.0</v>
      </c>
      <c r="BM460" s="64">
        <v>0.0</v>
      </c>
      <c r="BN460" s="67" t="str">
        <f t="shared" si="158"/>
        <v>#REF!</v>
      </c>
      <c r="BO460" s="68" t="str">
        <f t="shared" si="159"/>
        <v>#REF!</v>
      </c>
      <c r="BP460" s="65">
        <v>0.0</v>
      </c>
      <c r="BQ460" s="65">
        <v>0.0</v>
      </c>
      <c r="BR460" s="66">
        <v>0.0</v>
      </c>
      <c r="BS460" s="67" t="str">
        <f t="shared" si="160"/>
        <v>#REF!</v>
      </c>
      <c r="BT460" s="68" t="str">
        <f>'[1]DATA CONSOLIDADA 2018-2025 '!$BR460-Hoja1!$BO460</f>
        <v>#REF!</v>
      </c>
      <c r="BU460" s="69">
        <v>0.0</v>
      </c>
      <c r="BV460" s="65">
        <v>0.0</v>
      </c>
      <c r="BW460" s="66">
        <v>0.0</v>
      </c>
      <c r="BX460" s="67" t="str">
        <f t="shared" si="161"/>
        <v>#REF!</v>
      </c>
      <c r="BY460" s="68" t="str">
        <f t="shared" si="162"/>
        <v>#REF!</v>
      </c>
      <c r="BZ460" s="65">
        <v>0.0</v>
      </c>
      <c r="CA460" s="65">
        <v>0.0</v>
      </c>
      <c r="CB460" s="66">
        <v>0.0</v>
      </c>
      <c r="CC460" s="67" t="str">
        <f t="shared" si="163"/>
        <v>#REF!</v>
      </c>
      <c r="CD460" s="68" t="str">
        <f>'[1]DATA CONSOLIDADA 2018-2025 '!$CB460-Hoja1!$BW460</f>
        <v>#REF!</v>
      </c>
      <c r="CE460" s="70">
        <v>406534.99637825</v>
      </c>
      <c r="CF460" s="70">
        <v>803878.44</v>
      </c>
      <c r="CG460" s="71">
        <v>1210413.43637825</v>
      </c>
      <c r="CH460" s="67" t="str">
        <f t="shared" si="164"/>
        <v>#REF!</v>
      </c>
      <c r="CI460" s="68" t="str">
        <f>'[1]DATA CONSOLIDADA 2018-2025 '!$CG460-Hoja1!$CB460</f>
        <v>#REF!</v>
      </c>
      <c r="CJ460" s="64" t="str">
        <f t="shared" si="165"/>
        <v>#REF!</v>
      </c>
      <c r="CK460" s="64">
        <v>66702.5928</v>
      </c>
      <c r="CL460" s="64">
        <v>240751.99983852002</v>
      </c>
      <c r="CM460" s="64">
        <v>307454.59263852</v>
      </c>
      <c r="CN460" s="64" t="str">
        <f t="shared" si="12"/>
        <v>#REF!</v>
      </c>
      <c r="CO460" s="68" t="str">
        <f>'[1]DATA CONSOLIDADA 2018-2025 '!$CM460-Hoja1!$CG460</f>
        <v>#REF!</v>
      </c>
      <c r="CP460" s="70">
        <v>0.0</v>
      </c>
      <c r="CQ460" s="70">
        <v>0.0</v>
      </c>
      <c r="CR460" s="70">
        <v>0.0</v>
      </c>
      <c r="CS460" s="70">
        <v>0.0</v>
      </c>
      <c r="CT460" s="70">
        <v>0.0</v>
      </c>
      <c r="CU460" s="70">
        <v>0.0</v>
      </c>
      <c r="CV460" s="64">
        <v>0.0</v>
      </c>
      <c r="CW460" s="64">
        <v>0.0</v>
      </c>
      <c r="CX460" s="64">
        <v>0.0</v>
      </c>
      <c r="CY460" s="64">
        <v>1210413.4363782501</v>
      </c>
      <c r="CZ460" s="64">
        <v>0.0</v>
      </c>
      <c r="DA460" s="64">
        <v>0.0</v>
      </c>
      <c r="DB460" s="64">
        <v>1210413.4363782501</v>
      </c>
      <c r="DC460" s="72">
        <v>0.0</v>
      </c>
      <c r="DD460" s="72">
        <v>0.0</v>
      </c>
      <c r="DE460" s="72">
        <v>307454.59263852</v>
      </c>
      <c r="DF460" s="72">
        <v>0.0</v>
      </c>
      <c r="DG460" s="72">
        <v>0.0</v>
      </c>
      <c r="DH460" s="72">
        <v>307454.59263852</v>
      </c>
      <c r="DI460" s="73">
        <v>2.0611198923E10</v>
      </c>
      <c r="DJ460" s="74" t="s">
        <v>1487</v>
      </c>
      <c r="DK460" s="74" t="s">
        <v>132</v>
      </c>
      <c r="DL460" s="75"/>
      <c r="DM460" s="75"/>
      <c r="DN460" s="75"/>
      <c r="DO460" s="75"/>
      <c r="DP460" s="75"/>
      <c r="DQ460" s="75"/>
      <c r="DR460" s="75"/>
      <c r="DS460" s="75"/>
      <c r="DT460" s="75"/>
      <c r="DU460" s="75"/>
      <c r="DV460" s="75"/>
      <c r="DW460" s="75"/>
      <c r="DX460" s="75"/>
      <c r="DY460" s="75"/>
      <c r="DZ460" s="75"/>
      <c r="EA460" s="75"/>
      <c r="EB460" s="75"/>
      <c r="EC460" s="75"/>
      <c r="ED460" s="75"/>
      <c r="EE460" s="75"/>
    </row>
    <row r="461" ht="47.25" customHeight="1">
      <c r="A461" s="55" t="s">
        <v>1488</v>
      </c>
      <c r="B461" s="55" t="s">
        <v>146</v>
      </c>
      <c r="C461" s="55" t="s">
        <v>146</v>
      </c>
      <c r="D461" s="55" t="s">
        <v>481</v>
      </c>
      <c r="E461" s="55" t="s">
        <v>709</v>
      </c>
      <c r="F461" s="55" t="s">
        <v>481</v>
      </c>
      <c r="G461" s="55" t="s">
        <v>483</v>
      </c>
      <c r="H461" s="55" t="s">
        <v>483</v>
      </c>
      <c r="I461" s="56"/>
      <c r="J461" s="56"/>
      <c r="K461" s="56"/>
      <c r="L461" s="56"/>
      <c r="M461" s="56"/>
      <c r="N461" s="56"/>
      <c r="O461" s="56">
        <v>1.0</v>
      </c>
      <c r="P461" s="56">
        <v>1.0</v>
      </c>
      <c r="Q461" s="56" t="s">
        <v>131</v>
      </c>
      <c r="R461" s="58" t="str">
        <f t="shared" si="1"/>
        <v>2024 - 2025</v>
      </c>
      <c r="S461" s="59" t="str">
        <f>SUM(Hoja1!$I461:$P461)</f>
        <v>2</v>
      </c>
      <c r="T461" s="59" t="str">
        <f>IF(OR(Hoja1!$J461=1,Hoja1!$K461=1,Hoja1!$L461=1,Hoja1!$M461=1,Hoja1!$N461=1,Hoja1!$O461=1,Hoja1!$P461=1),"SI","NO")</f>
        <v>SI</v>
      </c>
      <c r="U461" s="59" t="str">
        <f>IF(OR(Hoja1!$K461=1,Hoja1!$L461=1,Hoja1!$M461=1,Hoja1!$N461=1,Hoja1!$O461=1,Hoja1!$P461=1),"SI","NO")</f>
        <v>SI</v>
      </c>
      <c r="V461" s="60">
        <v>0.0</v>
      </c>
      <c r="W461" s="61">
        <v>0.0</v>
      </c>
      <c r="X461" s="61">
        <v>0.0</v>
      </c>
      <c r="Y461" s="60">
        <v>0.0</v>
      </c>
      <c r="Z461" s="61">
        <v>0.0</v>
      </c>
      <c r="AA461" s="61">
        <v>0.0</v>
      </c>
      <c r="AB461" s="60">
        <v>0.0</v>
      </c>
      <c r="AC461" s="61">
        <v>0.0</v>
      </c>
      <c r="AD461" s="61">
        <v>0.0</v>
      </c>
      <c r="AE461" s="60">
        <v>0.0</v>
      </c>
      <c r="AF461" s="61">
        <v>0.0</v>
      </c>
      <c r="AG461" s="61">
        <v>0.0</v>
      </c>
      <c r="AH461" s="60">
        <v>0.0</v>
      </c>
      <c r="AI461" s="61">
        <v>0.0</v>
      </c>
      <c r="AJ461" s="61">
        <v>0.0</v>
      </c>
      <c r="AK461" s="60">
        <v>0.0</v>
      </c>
      <c r="AL461" s="61">
        <v>247.0</v>
      </c>
      <c r="AM461" s="61">
        <v>66.0</v>
      </c>
      <c r="AN461" s="60">
        <v>313.0</v>
      </c>
      <c r="AO461" s="62">
        <v>246.0</v>
      </c>
      <c r="AP461" s="62">
        <v>67.0</v>
      </c>
      <c r="AQ461" s="60">
        <v>313.0</v>
      </c>
      <c r="AR461" s="60" t="str">
        <f>IF(Hoja1!$AQ461&gt;0,Hoja1!$AQ461,IF(Hoja1!$AN461&gt;0,Hoja1!$AN461,IF(Hoja1!$AK461&gt;0,Hoja1!$AK461,IF(Hoja1!$AH461&gt;0,Hoja1!$AH461,IF(Hoja1!$AE461&gt;0,Hoja1!$AE461,IF(Hoja1!$AB461&gt;0,Hoja1!$AB461,IF(Hoja1!$Y461&gt;0,Hoja1!$Y461,IF(Hoja1!$V461&gt;0,Hoja1!$V461," ---"))))))))</f>
        <v>313</v>
      </c>
      <c r="AS461" s="63">
        <v>0.0</v>
      </c>
      <c r="AT461" s="63">
        <v>0.0</v>
      </c>
      <c r="AU461" s="63">
        <v>0.0</v>
      </c>
      <c r="AV461" s="63">
        <v>0.0</v>
      </c>
      <c r="AW461" s="63">
        <v>0.0</v>
      </c>
      <c r="AX461" s="63">
        <v>0.0</v>
      </c>
      <c r="AY461" s="63">
        <v>0.0</v>
      </c>
      <c r="AZ461" s="63">
        <v>0.0</v>
      </c>
      <c r="BA461" s="63">
        <v>19.0</v>
      </c>
      <c r="BB461" s="63">
        <v>0.0</v>
      </c>
      <c r="BC461" s="63">
        <v>12.0</v>
      </c>
      <c r="BD461" s="63">
        <v>1.0</v>
      </c>
      <c r="BE461" s="64">
        <v>0.0</v>
      </c>
      <c r="BF461" s="69">
        <v>0.0</v>
      </c>
      <c r="BG461" s="69">
        <v>0.0</v>
      </c>
      <c r="BH461" s="64">
        <v>0.0</v>
      </c>
      <c r="BI461" s="67" t="str">
        <f t="shared" si="156"/>
        <v>#REF!</v>
      </c>
      <c r="BJ461" s="68" t="str">
        <f t="shared" si="157"/>
        <v>#REF!</v>
      </c>
      <c r="BK461" s="69">
        <v>0.0</v>
      </c>
      <c r="BL461" s="69">
        <v>0.0</v>
      </c>
      <c r="BM461" s="64">
        <v>0.0</v>
      </c>
      <c r="BN461" s="67" t="str">
        <f t="shared" si="158"/>
        <v>#REF!</v>
      </c>
      <c r="BO461" s="68" t="str">
        <f t="shared" si="159"/>
        <v>#REF!</v>
      </c>
      <c r="BP461" s="65">
        <v>0.0</v>
      </c>
      <c r="BQ461" s="65">
        <v>0.0</v>
      </c>
      <c r="BR461" s="66">
        <v>0.0</v>
      </c>
      <c r="BS461" s="67" t="str">
        <f t="shared" si="160"/>
        <v>#REF!</v>
      </c>
      <c r="BT461" s="68" t="str">
        <f>'[1]DATA CONSOLIDADA 2018-2025 '!$BR461-Hoja1!$BO461</f>
        <v>#REF!</v>
      </c>
      <c r="BU461" s="69">
        <v>0.0</v>
      </c>
      <c r="BV461" s="65">
        <v>0.0</v>
      </c>
      <c r="BW461" s="66">
        <v>0.0</v>
      </c>
      <c r="BX461" s="67" t="str">
        <f t="shared" si="161"/>
        <v>#REF!</v>
      </c>
      <c r="BY461" s="68" t="str">
        <f t="shared" si="162"/>
        <v>#REF!</v>
      </c>
      <c r="BZ461" s="65">
        <v>0.0</v>
      </c>
      <c r="CA461" s="65">
        <v>0.0</v>
      </c>
      <c r="CB461" s="66">
        <v>0.0</v>
      </c>
      <c r="CC461" s="67" t="str">
        <f t="shared" si="163"/>
        <v>#REF!</v>
      </c>
      <c r="CD461" s="68" t="str">
        <f>'[1]DATA CONSOLIDADA 2018-2025 '!$CB461-Hoja1!$BW461</f>
        <v>#REF!</v>
      </c>
      <c r="CE461" s="70">
        <v>760629.16364</v>
      </c>
      <c r="CF461" s="70">
        <v>0.0</v>
      </c>
      <c r="CG461" s="71">
        <v>760629.16364</v>
      </c>
      <c r="CH461" s="67" t="str">
        <f t="shared" si="164"/>
        <v>#REF!</v>
      </c>
      <c r="CI461" s="68" t="str">
        <f>'[1]DATA CONSOLIDADA 2018-2025 '!$CG461-Hoja1!$CB461</f>
        <v>#REF!</v>
      </c>
      <c r="CJ461" s="64" t="str">
        <f t="shared" si="165"/>
        <v>#REF!</v>
      </c>
      <c r="CK461" s="64">
        <v>616540.95724</v>
      </c>
      <c r="CL461" s="64">
        <v>0.0</v>
      </c>
      <c r="CM461" s="64">
        <v>616540.95724</v>
      </c>
      <c r="CN461" s="64" t="str">
        <f t="shared" si="12"/>
        <v>#REF!</v>
      </c>
      <c r="CO461" s="68" t="str">
        <f>'[1]DATA CONSOLIDADA 2018-2025 '!$CM461-Hoja1!$CG461</f>
        <v>#REF!</v>
      </c>
      <c r="CP461" s="70">
        <v>0.0</v>
      </c>
      <c r="CQ461" s="70">
        <v>0.0</v>
      </c>
      <c r="CR461" s="70">
        <v>0.0</v>
      </c>
      <c r="CS461" s="70">
        <v>0.0</v>
      </c>
      <c r="CT461" s="70">
        <v>0.0</v>
      </c>
      <c r="CU461" s="70">
        <v>0.0</v>
      </c>
      <c r="CV461" s="64">
        <v>0.0</v>
      </c>
      <c r="CW461" s="64">
        <v>0.0</v>
      </c>
      <c r="CX461" s="64">
        <v>0.0</v>
      </c>
      <c r="CY461" s="64">
        <v>760629.16364</v>
      </c>
      <c r="CZ461" s="64">
        <v>0.0</v>
      </c>
      <c r="DA461" s="64">
        <v>0.0</v>
      </c>
      <c r="DB461" s="64">
        <v>760629.16364</v>
      </c>
      <c r="DC461" s="72">
        <v>0.0</v>
      </c>
      <c r="DD461" s="72">
        <v>0.0</v>
      </c>
      <c r="DE461" s="72">
        <v>616540.95724</v>
      </c>
      <c r="DF461" s="72">
        <v>0.0</v>
      </c>
      <c r="DG461" s="72">
        <v>0.0</v>
      </c>
      <c r="DH461" s="72">
        <v>616540.95724</v>
      </c>
      <c r="DI461" s="73">
        <v>2.0601939402E10</v>
      </c>
      <c r="DJ461" s="74" t="s">
        <v>1489</v>
      </c>
      <c r="DK461" s="74" t="s">
        <v>132</v>
      </c>
      <c r="DL461" s="75"/>
      <c r="DM461" s="75"/>
      <c r="DN461" s="75"/>
      <c r="DO461" s="75"/>
      <c r="DP461" s="75"/>
      <c r="DQ461" s="75"/>
      <c r="DR461" s="75"/>
      <c r="DS461" s="75"/>
      <c r="DT461" s="75"/>
      <c r="DU461" s="75"/>
      <c r="DV461" s="75"/>
      <c r="DW461" s="75"/>
      <c r="DX461" s="75"/>
      <c r="DY461" s="75"/>
      <c r="DZ461" s="75"/>
      <c r="EA461" s="75"/>
      <c r="EB461" s="75"/>
      <c r="EC461" s="75"/>
      <c r="ED461" s="75"/>
      <c r="EE461" s="75"/>
    </row>
    <row r="462" ht="47.25" customHeight="1">
      <c r="A462" s="55" t="s">
        <v>1490</v>
      </c>
      <c r="B462" s="55" t="s">
        <v>146</v>
      </c>
      <c r="C462" s="55" t="s">
        <v>146</v>
      </c>
      <c r="D462" s="55" t="s">
        <v>481</v>
      </c>
      <c r="E462" s="55" t="s">
        <v>1491</v>
      </c>
      <c r="F462" s="55" t="s">
        <v>481</v>
      </c>
      <c r="G462" s="55" t="s">
        <v>483</v>
      </c>
      <c r="H462" s="55" t="s">
        <v>1492</v>
      </c>
      <c r="I462" s="56"/>
      <c r="J462" s="56"/>
      <c r="K462" s="56"/>
      <c r="L462" s="56"/>
      <c r="M462" s="56"/>
      <c r="N462" s="56"/>
      <c r="O462" s="56">
        <v>1.0</v>
      </c>
      <c r="P462" s="56"/>
      <c r="Q462" s="56" t="s">
        <v>131</v>
      </c>
      <c r="R462" s="58" t="str">
        <f t="shared" si="1"/>
        <v>2024</v>
      </c>
      <c r="S462" s="59" t="str">
        <f>SUM(Hoja1!$I462:$P462)</f>
        <v>1</v>
      </c>
      <c r="T462" s="59" t="str">
        <f>IF(OR(Hoja1!$J462=1,Hoja1!$K462=1,Hoja1!$L462=1,Hoja1!$M462=1,Hoja1!$N462=1,Hoja1!$O462=1,Hoja1!$P462=1),"SI","NO")</f>
        <v>SI</v>
      </c>
      <c r="U462" s="59" t="str">
        <f>IF(OR(Hoja1!$K462=1,Hoja1!$L462=1,Hoja1!$M462=1,Hoja1!$N462=1,Hoja1!$O462=1,Hoja1!$P462=1),"SI","NO")</f>
        <v>SI</v>
      </c>
      <c r="V462" s="60">
        <v>0.0</v>
      </c>
      <c r="W462" s="61">
        <v>0.0</v>
      </c>
      <c r="X462" s="61">
        <v>0.0</v>
      </c>
      <c r="Y462" s="60">
        <v>0.0</v>
      </c>
      <c r="Z462" s="61">
        <v>0.0</v>
      </c>
      <c r="AA462" s="61">
        <v>0.0</v>
      </c>
      <c r="AB462" s="60">
        <v>0.0</v>
      </c>
      <c r="AC462" s="61">
        <v>0.0</v>
      </c>
      <c r="AD462" s="61">
        <v>0.0</v>
      </c>
      <c r="AE462" s="60">
        <v>0.0</v>
      </c>
      <c r="AF462" s="61">
        <v>0.0</v>
      </c>
      <c r="AG462" s="61">
        <v>0.0</v>
      </c>
      <c r="AH462" s="60">
        <v>0.0</v>
      </c>
      <c r="AI462" s="61">
        <v>0.0</v>
      </c>
      <c r="AJ462" s="61">
        <v>0.0</v>
      </c>
      <c r="AK462" s="60">
        <v>0.0</v>
      </c>
      <c r="AL462" s="61">
        <v>115.0</v>
      </c>
      <c r="AM462" s="61">
        <v>27.0</v>
      </c>
      <c r="AN462" s="60">
        <v>142.0</v>
      </c>
      <c r="AO462" s="62">
        <v>0.0</v>
      </c>
      <c r="AP462" s="62">
        <v>0.0</v>
      </c>
      <c r="AQ462" s="60">
        <v>0.0</v>
      </c>
      <c r="AR462" s="60" t="str">
        <f>IF(Hoja1!$AQ462&gt;0,Hoja1!$AQ462,IF(Hoja1!$AN462&gt;0,Hoja1!$AN462,IF(Hoja1!$AK462&gt;0,Hoja1!$AK462,IF(Hoja1!$AH462&gt;0,Hoja1!$AH462,IF(Hoja1!$AE462&gt;0,Hoja1!$AE462,IF(Hoja1!$AB462&gt;0,Hoja1!$AB462,IF(Hoja1!$Y462&gt;0,Hoja1!$Y462,IF(Hoja1!$V462&gt;0,Hoja1!$V462," ---"))))))))</f>
        <v>142</v>
      </c>
      <c r="AS462" s="63">
        <v>0.0</v>
      </c>
      <c r="AT462" s="63">
        <v>0.0</v>
      </c>
      <c r="AU462" s="63">
        <v>0.0</v>
      </c>
      <c r="AV462" s="63">
        <v>0.0</v>
      </c>
      <c r="AW462" s="63">
        <v>0.0</v>
      </c>
      <c r="AX462" s="63">
        <v>0.0</v>
      </c>
      <c r="AY462" s="63">
        <v>0.0</v>
      </c>
      <c r="AZ462" s="63">
        <v>0.0</v>
      </c>
      <c r="BA462" s="63">
        <v>32.0</v>
      </c>
      <c r="BB462" s="63">
        <v>4.0</v>
      </c>
      <c r="BC462" s="63">
        <v>0.0</v>
      </c>
      <c r="BD462" s="63">
        <v>0.0</v>
      </c>
      <c r="BE462" s="64">
        <v>0.0</v>
      </c>
      <c r="BF462" s="69">
        <v>0.0</v>
      </c>
      <c r="BG462" s="69">
        <v>0.0</v>
      </c>
      <c r="BH462" s="64">
        <v>0.0</v>
      </c>
      <c r="BI462" s="67" t="str">
        <f t="shared" si="156"/>
        <v>#REF!</v>
      </c>
      <c r="BJ462" s="68" t="str">
        <f t="shared" si="157"/>
        <v>#REF!</v>
      </c>
      <c r="BK462" s="69">
        <v>0.0</v>
      </c>
      <c r="BL462" s="69">
        <v>0.0</v>
      </c>
      <c r="BM462" s="64">
        <v>0.0</v>
      </c>
      <c r="BN462" s="67" t="str">
        <f t="shared" si="158"/>
        <v>#REF!</v>
      </c>
      <c r="BO462" s="68" t="str">
        <f t="shared" si="159"/>
        <v>#REF!</v>
      </c>
      <c r="BP462" s="65">
        <v>0.0</v>
      </c>
      <c r="BQ462" s="65">
        <v>0.0</v>
      </c>
      <c r="BR462" s="66">
        <v>0.0</v>
      </c>
      <c r="BS462" s="67" t="str">
        <f t="shared" si="160"/>
        <v>#REF!</v>
      </c>
      <c r="BT462" s="68" t="str">
        <f>'[1]DATA CONSOLIDADA 2018-2025 '!$BR462-Hoja1!$BO462</f>
        <v>#REF!</v>
      </c>
      <c r="BU462" s="69">
        <v>0.0</v>
      </c>
      <c r="BV462" s="65">
        <v>0.0</v>
      </c>
      <c r="BW462" s="66">
        <v>0.0</v>
      </c>
      <c r="BX462" s="67" t="str">
        <f t="shared" si="161"/>
        <v>#REF!</v>
      </c>
      <c r="BY462" s="68" t="str">
        <f t="shared" si="162"/>
        <v>#REF!</v>
      </c>
      <c r="BZ462" s="65">
        <v>0.0</v>
      </c>
      <c r="CA462" s="65">
        <v>0.0</v>
      </c>
      <c r="CB462" s="66">
        <v>0.0</v>
      </c>
      <c r="CC462" s="67" t="str">
        <f t="shared" si="163"/>
        <v>#REF!</v>
      </c>
      <c r="CD462" s="68" t="str">
        <f>'[1]DATA CONSOLIDADA 2018-2025 '!$CB462-Hoja1!$BW462</f>
        <v>#REF!</v>
      </c>
      <c r="CE462" s="70">
        <v>0.0</v>
      </c>
      <c r="CF462" s="70">
        <v>0.0</v>
      </c>
      <c r="CG462" s="71">
        <v>0.0</v>
      </c>
      <c r="CH462" s="67" t="str">
        <f t="shared" si="164"/>
        <v>#REF!</v>
      </c>
      <c r="CI462" s="68" t="str">
        <f>'[1]DATA CONSOLIDADA 2018-2025 '!$CG462-Hoja1!$CB462</f>
        <v>#REF!</v>
      </c>
      <c r="CJ462" s="64" t="str">
        <f t="shared" si="165"/>
        <v>#REF!</v>
      </c>
      <c r="CK462" s="64">
        <v>0.0</v>
      </c>
      <c r="CL462" s="64">
        <v>0.0</v>
      </c>
      <c r="CM462" s="64">
        <v>0.0</v>
      </c>
      <c r="CN462" s="64" t="str">
        <f t="shared" si="12"/>
        <v>#REF!</v>
      </c>
      <c r="CO462" s="68" t="str">
        <f>'[1]DATA CONSOLIDADA 2018-2025 '!$CM462-Hoja1!$CG462</f>
        <v>#REF!</v>
      </c>
      <c r="CP462" s="70">
        <v>0.0</v>
      </c>
      <c r="CQ462" s="70">
        <v>0.0</v>
      </c>
      <c r="CR462" s="70">
        <v>0.0</v>
      </c>
      <c r="CS462" s="70">
        <v>0.0</v>
      </c>
      <c r="CT462" s="70">
        <v>0.0</v>
      </c>
      <c r="CU462" s="70">
        <v>0.0</v>
      </c>
      <c r="CV462" s="64">
        <v>0.0</v>
      </c>
      <c r="CW462" s="64">
        <v>0.0</v>
      </c>
      <c r="CX462" s="64">
        <v>0.0</v>
      </c>
      <c r="CY462" s="64">
        <v>0.0</v>
      </c>
      <c r="CZ462" s="64">
        <v>0.0</v>
      </c>
      <c r="DA462" s="64">
        <v>0.0</v>
      </c>
      <c r="DB462" s="64">
        <v>0.0</v>
      </c>
      <c r="DC462" s="72">
        <v>0.0</v>
      </c>
      <c r="DD462" s="72">
        <v>0.0</v>
      </c>
      <c r="DE462" s="72">
        <v>0.0</v>
      </c>
      <c r="DF462" s="72">
        <v>0.0</v>
      </c>
      <c r="DG462" s="72">
        <v>0.0</v>
      </c>
      <c r="DH462" s="72">
        <v>0.0</v>
      </c>
      <c r="DI462" s="73">
        <v>2.0601667526E10</v>
      </c>
      <c r="DJ462" s="74" t="s">
        <v>1493</v>
      </c>
      <c r="DK462" s="74" t="s">
        <v>132</v>
      </c>
      <c r="DL462" s="75"/>
      <c r="DM462" s="75"/>
      <c r="DN462" s="75"/>
      <c r="DO462" s="75"/>
      <c r="DP462" s="75"/>
      <c r="DQ462" s="75"/>
      <c r="DR462" s="75"/>
      <c r="DS462" s="75"/>
      <c r="DT462" s="75"/>
      <c r="DU462" s="75"/>
      <c r="DV462" s="75"/>
      <c r="DW462" s="75"/>
      <c r="DX462" s="75"/>
      <c r="DY462" s="75"/>
      <c r="DZ462" s="75"/>
      <c r="EA462" s="75"/>
      <c r="EB462" s="75"/>
      <c r="EC462" s="75"/>
      <c r="ED462" s="75"/>
      <c r="EE462" s="75"/>
    </row>
    <row r="463" ht="47.25" hidden="1" customHeight="1">
      <c r="A463" s="55" t="s">
        <v>1494</v>
      </c>
      <c r="B463" s="55" t="s">
        <v>126</v>
      </c>
      <c r="C463" s="55" t="s">
        <v>126</v>
      </c>
      <c r="D463" s="55" t="s">
        <v>481</v>
      </c>
      <c r="E463" s="55" t="s">
        <v>668</v>
      </c>
      <c r="F463" s="55" t="s">
        <v>481</v>
      </c>
      <c r="G463" s="55" t="s">
        <v>483</v>
      </c>
      <c r="H463" s="55" t="s">
        <v>669</v>
      </c>
      <c r="I463" s="56"/>
      <c r="J463" s="56"/>
      <c r="K463" s="56"/>
      <c r="L463" s="56"/>
      <c r="M463" s="56"/>
      <c r="N463" s="56"/>
      <c r="O463" s="56">
        <v>1.0</v>
      </c>
      <c r="P463" s="56">
        <v>1.0</v>
      </c>
      <c r="Q463" s="56" t="s">
        <v>131</v>
      </c>
      <c r="R463" s="58" t="str">
        <f t="shared" si="1"/>
        <v>2024 - 2025</v>
      </c>
      <c r="S463" s="59" t="str">
        <f>SUM(Hoja1!$I463:$P463)</f>
        <v>2</v>
      </c>
      <c r="T463" s="59" t="str">
        <f>IF(OR(Hoja1!$J463=1,Hoja1!$K463=1,Hoja1!$L463=1,Hoja1!$M463=1,Hoja1!$N463=1,Hoja1!$O463=1,Hoja1!$P463=1),"SI","NO")</f>
        <v>SI</v>
      </c>
      <c r="U463" s="59" t="str">
        <f>IF(OR(Hoja1!$K463=1,Hoja1!$L463=1,Hoja1!$M463=1,Hoja1!$N463=1,Hoja1!$O463=1,Hoja1!$P463=1),"SI","NO")</f>
        <v>SI</v>
      </c>
      <c r="V463" s="60">
        <v>0.0</v>
      </c>
      <c r="W463" s="61">
        <v>0.0</v>
      </c>
      <c r="X463" s="61">
        <v>0.0</v>
      </c>
      <c r="Y463" s="60">
        <v>0.0</v>
      </c>
      <c r="Z463" s="61">
        <v>0.0</v>
      </c>
      <c r="AA463" s="61">
        <v>0.0</v>
      </c>
      <c r="AB463" s="60">
        <v>0.0</v>
      </c>
      <c r="AC463" s="61">
        <v>0.0</v>
      </c>
      <c r="AD463" s="61">
        <v>0.0</v>
      </c>
      <c r="AE463" s="60">
        <v>0.0</v>
      </c>
      <c r="AF463" s="61">
        <v>0.0</v>
      </c>
      <c r="AG463" s="61">
        <v>0.0</v>
      </c>
      <c r="AH463" s="60">
        <v>0.0</v>
      </c>
      <c r="AI463" s="61">
        <v>0.0</v>
      </c>
      <c r="AJ463" s="61">
        <v>0.0</v>
      </c>
      <c r="AK463" s="60">
        <v>0.0</v>
      </c>
      <c r="AL463" s="61">
        <v>207.0</v>
      </c>
      <c r="AM463" s="61">
        <v>76.0</v>
      </c>
      <c r="AN463" s="60">
        <v>283.0</v>
      </c>
      <c r="AO463" s="62">
        <v>208.0</v>
      </c>
      <c r="AP463" s="62">
        <v>75.0</v>
      </c>
      <c r="AQ463" s="60">
        <v>283.0</v>
      </c>
      <c r="AR463" s="60" t="str">
        <f>IF(Hoja1!$AQ463&gt;0,Hoja1!$AQ463,IF(Hoja1!$AN463&gt;0,Hoja1!$AN463,IF(Hoja1!$AK463&gt;0,Hoja1!$AK463,IF(Hoja1!$AH463&gt;0,Hoja1!$AH463,IF(Hoja1!$AE463&gt;0,Hoja1!$AE463,IF(Hoja1!$AB463&gt;0,Hoja1!$AB463,IF(Hoja1!$Y463&gt;0,Hoja1!$Y463,IF(Hoja1!$V463&gt;0,Hoja1!$V463," ---"))))))))</f>
        <v>283</v>
      </c>
      <c r="AS463" s="63">
        <v>0.0</v>
      </c>
      <c r="AT463" s="63">
        <v>0.0</v>
      </c>
      <c r="AU463" s="63">
        <v>0.0</v>
      </c>
      <c r="AV463" s="63">
        <v>0.0</v>
      </c>
      <c r="AW463" s="63">
        <v>0.0</v>
      </c>
      <c r="AX463" s="63">
        <v>0.0</v>
      </c>
      <c r="AY463" s="63">
        <v>0.0</v>
      </c>
      <c r="AZ463" s="63">
        <v>0.0</v>
      </c>
      <c r="BA463" s="63">
        <v>19.0</v>
      </c>
      <c r="BB463" s="63">
        <v>2.0</v>
      </c>
      <c r="BC463" s="63">
        <v>9.0</v>
      </c>
      <c r="BD463" s="63">
        <v>0.0</v>
      </c>
      <c r="BE463" s="64">
        <v>0.0</v>
      </c>
      <c r="BF463" s="69">
        <v>0.0</v>
      </c>
      <c r="BG463" s="69">
        <v>0.0</v>
      </c>
      <c r="BH463" s="64">
        <v>0.0</v>
      </c>
      <c r="BI463" s="67" t="str">
        <f t="shared" si="156"/>
        <v>#REF!</v>
      </c>
      <c r="BJ463" s="68" t="str">
        <f t="shared" si="157"/>
        <v>#REF!</v>
      </c>
      <c r="BK463" s="69">
        <v>0.0</v>
      </c>
      <c r="BL463" s="69">
        <v>0.0</v>
      </c>
      <c r="BM463" s="64">
        <v>0.0</v>
      </c>
      <c r="BN463" s="67" t="str">
        <f t="shared" si="158"/>
        <v>#REF!</v>
      </c>
      <c r="BO463" s="68" t="str">
        <f t="shared" si="159"/>
        <v>#REF!</v>
      </c>
      <c r="BP463" s="65">
        <v>0.0</v>
      </c>
      <c r="BQ463" s="65">
        <v>0.0</v>
      </c>
      <c r="BR463" s="66">
        <v>0.0</v>
      </c>
      <c r="BS463" s="67" t="str">
        <f t="shared" si="160"/>
        <v>#REF!</v>
      </c>
      <c r="BT463" s="68" t="str">
        <f>'[1]DATA CONSOLIDADA 2018-2025 '!$BR463-Hoja1!$BO463</f>
        <v>#REF!</v>
      </c>
      <c r="BU463" s="69">
        <v>0.0</v>
      </c>
      <c r="BV463" s="65">
        <v>0.0</v>
      </c>
      <c r="BW463" s="66">
        <v>0.0</v>
      </c>
      <c r="BX463" s="67" t="str">
        <f t="shared" si="161"/>
        <v>#REF!</v>
      </c>
      <c r="BY463" s="68" t="str">
        <f t="shared" si="162"/>
        <v>#REF!</v>
      </c>
      <c r="BZ463" s="65">
        <v>0.0</v>
      </c>
      <c r="CA463" s="65">
        <v>0.0</v>
      </c>
      <c r="CB463" s="66">
        <v>0.0</v>
      </c>
      <c r="CC463" s="67" t="str">
        <f t="shared" si="163"/>
        <v>#REF!</v>
      </c>
      <c r="CD463" s="68" t="str">
        <f>'[1]DATA CONSOLIDADA 2018-2025 '!$CB463-Hoja1!$BW463</f>
        <v>#REF!</v>
      </c>
      <c r="CE463" s="70">
        <v>0.0</v>
      </c>
      <c r="CF463" s="70">
        <v>8202629.249985601</v>
      </c>
      <c r="CG463" s="71">
        <v>8202629.249985601</v>
      </c>
      <c r="CH463" s="67" t="str">
        <f t="shared" si="164"/>
        <v>#REF!</v>
      </c>
      <c r="CI463" s="68" t="str">
        <f>'[1]DATA CONSOLIDADA 2018-2025 '!$CG463-Hoja1!$CB463</f>
        <v>#REF!</v>
      </c>
      <c r="CJ463" s="64" t="str">
        <f t="shared" si="165"/>
        <v>#REF!</v>
      </c>
      <c r="CK463" s="64">
        <v>0.0</v>
      </c>
      <c r="CL463" s="64">
        <v>9860568.488207728</v>
      </c>
      <c r="CM463" s="64">
        <v>9860568.488207728</v>
      </c>
      <c r="CN463" s="64" t="str">
        <f t="shared" si="12"/>
        <v>#REF!</v>
      </c>
      <c r="CO463" s="68" t="str">
        <f>'[1]DATA CONSOLIDADA 2018-2025 '!$CM463-Hoja1!$CG463</f>
        <v>#REF!</v>
      </c>
      <c r="CP463" s="70">
        <v>0.0</v>
      </c>
      <c r="CQ463" s="70">
        <v>0.0</v>
      </c>
      <c r="CR463" s="70">
        <v>0.0</v>
      </c>
      <c r="CS463" s="70">
        <v>0.0</v>
      </c>
      <c r="CT463" s="70">
        <v>0.0</v>
      </c>
      <c r="CU463" s="70">
        <v>0.0</v>
      </c>
      <c r="CV463" s="64">
        <v>0.0</v>
      </c>
      <c r="CW463" s="64">
        <v>0.0</v>
      </c>
      <c r="CX463" s="64">
        <v>0.0</v>
      </c>
      <c r="CY463" s="64">
        <v>8202629.249985601</v>
      </c>
      <c r="CZ463" s="64">
        <v>0.0</v>
      </c>
      <c r="DA463" s="64">
        <v>0.0</v>
      </c>
      <c r="DB463" s="64">
        <v>8202629.249985601</v>
      </c>
      <c r="DC463" s="72">
        <v>0.0</v>
      </c>
      <c r="DD463" s="72">
        <v>0.0</v>
      </c>
      <c r="DE463" s="72">
        <v>9860568.488207728</v>
      </c>
      <c r="DF463" s="72">
        <v>0.0</v>
      </c>
      <c r="DG463" s="72">
        <v>0.0</v>
      </c>
      <c r="DH463" s="72">
        <v>9860568.488207728</v>
      </c>
      <c r="DI463" s="73">
        <v>2.048625509E10</v>
      </c>
      <c r="DJ463" s="74" t="s">
        <v>1494</v>
      </c>
      <c r="DK463" s="74" t="s">
        <v>132</v>
      </c>
      <c r="DL463" s="75"/>
      <c r="DM463" s="75"/>
      <c r="DN463" s="75"/>
      <c r="DO463" s="75"/>
      <c r="DP463" s="75"/>
      <c r="DQ463" s="75"/>
      <c r="DR463" s="75"/>
      <c r="DS463" s="75"/>
      <c r="DT463" s="75"/>
      <c r="DU463" s="75"/>
      <c r="DV463" s="75"/>
      <c r="DW463" s="75"/>
      <c r="DX463" s="75"/>
      <c r="DY463" s="75"/>
      <c r="DZ463" s="75"/>
      <c r="EA463" s="75"/>
      <c r="EB463" s="75"/>
      <c r="EC463" s="75"/>
      <c r="ED463" s="75"/>
      <c r="EE463" s="75"/>
    </row>
    <row r="464" ht="47.25" customHeight="1">
      <c r="A464" s="55" t="s">
        <v>733</v>
      </c>
      <c r="B464" s="55" t="s">
        <v>146</v>
      </c>
      <c r="C464" s="55" t="s">
        <v>146</v>
      </c>
      <c r="D464" s="55" t="s">
        <v>481</v>
      </c>
      <c r="E464" s="55" t="s">
        <v>668</v>
      </c>
      <c r="F464" s="55" t="s">
        <v>481</v>
      </c>
      <c r="G464" s="55" t="s">
        <v>483</v>
      </c>
      <c r="H464" s="55" t="s">
        <v>669</v>
      </c>
      <c r="I464" s="56"/>
      <c r="J464" s="56"/>
      <c r="K464" s="56"/>
      <c r="L464" s="56"/>
      <c r="M464" s="56"/>
      <c r="N464" s="56"/>
      <c r="O464" s="56">
        <v>1.0</v>
      </c>
      <c r="P464" s="56">
        <v>1.0</v>
      </c>
      <c r="Q464" s="56" t="s">
        <v>131</v>
      </c>
      <c r="R464" s="58" t="str">
        <f t="shared" si="1"/>
        <v>2024 - 2025</v>
      </c>
      <c r="S464" s="59" t="str">
        <f>SUM(Hoja1!$I464:$P464)</f>
        <v>2</v>
      </c>
      <c r="T464" s="59" t="str">
        <f>IF(OR(Hoja1!$J464=1,Hoja1!$K464=1,Hoja1!$L464=1,Hoja1!$M464=1,Hoja1!$N464=1,Hoja1!$O464=1,Hoja1!$P464=1),"SI","NO")</f>
        <v>SI</v>
      </c>
      <c r="U464" s="59" t="str">
        <f>IF(OR(Hoja1!$K464=1,Hoja1!$L464=1,Hoja1!$M464=1,Hoja1!$N464=1,Hoja1!$O464=1,Hoja1!$P464=1),"SI","NO")</f>
        <v>SI</v>
      </c>
      <c r="V464" s="60">
        <v>0.0</v>
      </c>
      <c r="W464" s="61">
        <v>0.0</v>
      </c>
      <c r="X464" s="61">
        <v>0.0</v>
      </c>
      <c r="Y464" s="60">
        <v>0.0</v>
      </c>
      <c r="Z464" s="61">
        <v>0.0</v>
      </c>
      <c r="AA464" s="61">
        <v>0.0</v>
      </c>
      <c r="AB464" s="60">
        <v>0.0</v>
      </c>
      <c r="AC464" s="61">
        <v>0.0</v>
      </c>
      <c r="AD464" s="61">
        <v>0.0</v>
      </c>
      <c r="AE464" s="60">
        <v>0.0</v>
      </c>
      <c r="AF464" s="61">
        <v>0.0</v>
      </c>
      <c r="AG464" s="61">
        <v>0.0</v>
      </c>
      <c r="AH464" s="60">
        <v>0.0</v>
      </c>
      <c r="AI464" s="61">
        <v>0.0</v>
      </c>
      <c r="AJ464" s="61">
        <v>0.0</v>
      </c>
      <c r="AK464" s="60">
        <v>0.0</v>
      </c>
      <c r="AL464" s="61">
        <v>237.0</v>
      </c>
      <c r="AM464" s="61">
        <v>84.0</v>
      </c>
      <c r="AN464" s="60">
        <v>321.0</v>
      </c>
      <c r="AO464" s="62">
        <v>247.0</v>
      </c>
      <c r="AP464" s="62">
        <v>105.0</v>
      </c>
      <c r="AQ464" s="60">
        <v>352.0</v>
      </c>
      <c r="AR464" s="60" t="str">
        <f>IF(Hoja1!$AQ464&gt;0,Hoja1!$AQ464,IF(Hoja1!$AN464&gt;0,Hoja1!$AN464,IF(Hoja1!$AK464&gt;0,Hoja1!$AK464,IF(Hoja1!$AH464&gt;0,Hoja1!$AH464,IF(Hoja1!$AE464&gt;0,Hoja1!$AE464,IF(Hoja1!$AB464&gt;0,Hoja1!$AB464,IF(Hoja1!$Y464&gt;0,Hoja1!$Y464,IF(Hoja1!$V464&gt;0,Hoja1!$V464," ---"))))))))</f>
        <v>352</v>
      </c>
      <c r="AS464" s="63">
        <v>0.0</v>
      </c>
      <c r="AT464" s="63">
        <v>0.0</v>
      </c>
      <c r="AU464" s="63">
        <v>0.0</v>
      </c>
      <c r="AV464" s="63">
        <v>0.0</v>
      </c>
      <c r="AW464" s="63">
        <v>0.0</v>
      </c>
      <c r="AX464" s="63">
        <v>0.0</v>
      </c>
      <c r="AY464" s="63">
        <v>0.0</v>
      </c>
      <c r="AZ464" s="63">
        <v>0.0</v>
      </c>
      <c r="BA464" s="63">
        <v>18.0</v>
      </c>
      <c r="BB464" s="63">
        <v>2.0</v>
      </c>
      <c r="BC464" s="63">
        <v>9.0</v>
      </c>
      <c r="BD464" s="63">
        <v>1.0</v>
      </c>
      <c r="BE464" s="64">
        <v>0.0</v>
      </c>
      <c r="BF464" s="69">
        <v>0.0</v>
      </c>
      <c r="BG464" s="69">
        <v>0.0</v>
      </c>
      <c r="BH464" s="64">
        <v>0.0</v>
      </c>
      <c r="BI464" s="67" t="str">
        <f t="shared" si="156"/>
        <v>#REF!</v>
      </c>
      <c r="BJ464" s="68" t="str">
        <f t="shared" si="157"/>
        <v>#REF!</v>
      </c>
      <c r="BK464" s="69">
        <v>0.0</v>
      </c>
      <c r="BL464" s="69">
        <v>0.0</v>
      </c>
      <c r="BM464" s="64">
        <v>0.0</v>
      </c>
      <c r="BN464" s="67" t="str">
        <f t="shared" si="158"/>
        <v>#REF!</v>
      </c>
      <c r="BO464" s="68" t="str">
        <f t="shared" si="159"/>
        <v>#REF!</v>
      </c>
      <c r="BP464" s="65">
        <v>0.0</v>
      </c>
      <c r="BQ464" s="65">
        <v>0.0</v>
      </c>
      <c r="BR464" s="66">
        <v>0.0</v>
      </c>
      <c r="BS464" s="67" t="str">
        <f t="shared" si="160"/>
        <v>#REF!</v>
      </c>
      <c r="BT464" s="68" t="str">
        <f>'[1]DATA CONSOLIDADA 2018-2025 '!$BR464-Hoja1!$BO464</f>
        <v>#REF!</v>
      </c>
      <c r="BU464" s="69">
        <v>0.0</v>
      </c>
      <c r="BV464" s="65">
        <v>0.0</v>
      </c>
      <c r="BW464" s="66">
        <v>0.0</v>
      </c>
      <c r="BX464" s="67" t="str">
        <f t="shared" si="161"/>
        <v>#REF!</v>
      </c>
      <c r="BY464" s="68" t="str">
        <f t="shared" si="162"/>
        <v>#REF!</v>
      </c>
      <c r="BZ464" s="65">
        <v>0.0</v>
      </c>
      <c r="CA464" s="65">
        <v>0.0</v>
      </c>
      <c r="CB464" s="66">
        <v>0.0</v>
      </c>
      <c r="CC464" s="67" t="str">
        <f t="shared" si="163"/>
        <v>#REF!</v>
      </c>
      <c r="CD464" s="68" t="str">
        <f>'[1]DATA CONSOLIDADA 2018-2025 '!$CB464-Hoja1!$BW464</f>
        <v>#REF!</v>
      </c>
      <c r="CE464" s="70">
        <v>3046716.54535131</v>
      </c>
      <c r="CF464" s="70">
        <v>871031.07</v>
      </c>
      <c r="CG464" s="71">
        <v>3917747.61535131</v>
      </c>
      <c r="CH464" s="67" t="str">
        <f t="shared" si="164"/>
        <v>#REF!</v>
      </c>
      <c r="CI464" s="68" t="str">
        <f>'[1]DATA CONSOLIDADA 2018-2025 '!$CG464-Hoja1!$CB464</f>
        <v>#REF!</v>
      </c>
      <c r="CJ464" s="64" t="str">
        <f t="shared" si="165"/>
        <v>#REF!</v>
      </c>
      <c r="CK464" s="64">
        <v>5883156.8334</v>
      </c>
      <c r="CL464" s="64">
        <v>2206901.4953</v>
      </c>
      <c r="CM464" s="64">
        <v>8090058.3287</v>
      </c>
      <c r="CN464" s="64" t="str">
        <f t="shared" si="12"/>
        <v>#REF!</v>
      </c>
      <c r="CO464" s="68" t="str">
        <f>'[1]DATA CONSOLIDADA 2018-2025 '!$CM464-Hoja1!$CG464</f>
        <v>#REF!</v>
      </c>
      <c r="CP464" s="70">
        <v>0.0</v>
      </c>
      <c r="CQ464" s="70">
        <v>0.0</v>
      </c>
      <c r="CR464" s="70">
        <v>0.0</v>
      </c>
      <c r="CS464" s="70">
        <v>0.0</v>
      </c>
      <c r="CT464" s="70">
        <v>0.0</v>
      </c>
      <c r="CU464" s="70">
        <v>0.0</v>
      </c>
      <c r="CV464" s="64">
        <v>0.0</v>
      </c>
      <c r="CW464" s="64">
        <v>0.0</v>
      </c>
      <c r="CX464" s="64">
        <v>0.0</v>
      </c>
      <c r="CY464" s="64">
        <v>3917747.61535131</v>
      </c>
      <c r="CZ464" s="64">
        <v>0.0</v>
      </c>
      <c r="DA464" s="64">
        <v>0.0</v>
      </c>
      <c r="DB464" s="64">
        <v>3917747.61535131</v>
      </c>
      <c r="DC464" s="72">
        <v>0.0</v>
      </c>
      <c r="DD464" s="72">
        <v>0.0</v>
      </c>
      <c r="DE464" s="72">
        <v>8090058.3286999995</v>
      </c>
      <c r="DF464" s="72">
        <v>0.0</v>
      </c>
      <c r="DG464" s="72">
        <v>0.0</v>
      </c>
      <c r="DH464" s="72">
        <v>8090058.3286999995</v>
      </c>
      <c r="DI464" s="73">
        <v>2.0568194951E10</v>
      </c>
      <c r="DJ464" s="74" t="s">
        <v>733</v>
      </c>
      <c r="DK464" s="74" t="s">
        <v>138</v>
      </c>
      <c r="DL464" s="75"/>
      <c r="DM464" s="75"/>
      <c r="DN464" s="75"/>
      <c r="DO464" s="75"/>
      <c r="DP464" s="75"/>
      <c r="DQ464" s="75"/>
      <c r="DR464" s="75"/>
      <c r="DS464" s="75"/>
      <c r="DT464" s="75"/>
      <c r="DU464" s="75"/>
      <c r="DV464" s="75"/>
      <c r="DW464" s="75"/>
      <c r="DX464" s="75"/>
      <c r="DY464" s="75"/>
      <c r="DZ464" s="75"/>
      <c r="EA464" s="75"/>
      <c r="EB464" s="75"/>
      <c r="EC464" s="75"/>
      <c r="ED464" s="75"/>
      <c r="EE464" s="75"/>
    </row>
    <row r="465" ht="47.25" hidden="1" customHeight="1">
      <c r="A465" s="55" t="s">
        <v>1495</v>
      </c>
      <c r="B465" s="55" t="s">
        <v>256</v>
      </c>
      <c r="C465" s="55" t="s">
        <v>272</v>
      </c>
      <c r="D465" s="55" t="s">
        <v>481</v>
      </c>
      <c r="E465" s="55" t="s">
        <v>1496</v>
      </c>
      <c r="F465" s="55" t="s">
        <v>481</v>
      </c>
      <c r="G465" s="55" t="s">
        <v>697</v>
      </c>
      <c r="H465" s="55" t="s">
        <v>1036</v>
      </c>
      <c r="I465" s="56"/>
      <c r="J465" s="56"/>
      <c r="K465" s="56"/>
      <c r="L465" s="56"/>
      <c r="M465" s="56"/>
      <c r="N465" s="56"/>
      <c r="O465" s="56">
        <v>1.0</v>
      </c>
      <c r="P465" s="56">
        <v>1.0</v>
      </c>
      <c r="Q465" s="56" t="s">
        <v>131</v>
      </c>
      <c r="R465" s="58" t="str">
        <f t="shared" si="1"/>
        <v>2024 - 2025</v>
      </c>
      <c r="S465" s="59" t="str">
        <f>SUM(Hoja1!$I465:$P465)</f>
        <v>2</v>
      </c>
      <c r="T465" s="59" t="str">
        <f>IF(OR(Hoja1!$J465=1,Hoja1!$K465=1,Hoja1!$L465=1,Hoja1!$M465=1,Hoja1!$N465=1,Hoja1!$O465=1,Hoja1!$P465=1),"SI","NO")</f>
        <v>SI</v>
      </c>
      <c r="U465" s="59" t="str">
        <f>IF(OR(Hoja1!$K465=1,Hoja1!$L465=1,Hoja1!$M465=1,Hoja1!$N465=1,Hoja1!$O465=1,Hoja1!$P465=1),"SI","NO")</f>
        <v>SI</v>
      </c>
      <c r="V465" s="60">
        <v>0.0</v>
      </c>
      <c r="W465" s="61">
        <v>0.0</v>
      </c>
      <c r="X465" s="61">
        <v>0.0</v>
      </c>
      <c r="Y465" s="60">
        <v>0.0</v>
      </c>
      <c r="Z465" s="61">
        <v>0.0</v>
      </c>
      <c r="AA465" s="61">
        <v>0.0</v>
      </c>
      <c r="AB465" s="60">
        <v>0.0</v>
      </c>
      <c r="AC465" s="61">
        <v>0.0</v>
      </c>
      <c r="AD465" s="61">
        <v>0.0</v>
      </c>
      <c r="AE465" s="60">
        <v>0.0</v>
      </c>
      <c r="AF465" s="61">
        <v>0.0</v>
      </c>
      <c r="AG465" s="61">
        <v>0.0</v>
      </c>
      <c r="AH465" s="60">
        <v>0.0</v>
      </c>
      <c r="AI465" s="61">
        <v>0.0</v>
      </c>
      <c r="AJ465" s="61">
        <v>0.0</v>
      </c>
      <c r="AK465" s="60">
        <v>0.0</v>
      </c>
      <c r="AL465" s="61">
        <v>15.0</v>
      </c>
      <c r="AM465" s="61">
        <v>10.0</v>
      </c>
      <c r="AN465" s="60">
        <v>25.0</v>
      </c>
      <c r="AO465" s="62">
        <v>8.0</v>
      </c>
      <c r="AP465" s="62">
        <v>17.0</v>
      </c>
      <c r="AQ465" s="60">
        <v>25.0</v>
      </c>
      <c r="AR465" s="60" t="str">
        <f>IF(Hoja1!$AQ465&gt;0,Hoja1!$AQ465,IF(Hoja1!$AN465&gt;0,Hoja1!$AN465,IF(Hoja1!$AK465&gt;0,Hoja1!$AK465,IF(Hoja1!$AH465&gt;0,Hoja1!$AH465,IF(Hoja1!$AE465&gt;0,Hoja1!$AE465,IF(Hoja1!$AB465&gt;0,Hoja1!$AB465,IF(Hoja1!$Y465&gt;0,Hoja1!$Y465,IF(Hoja1!$V465&gt;0,Hoja1!$V465," ---"))))))))</f>
        <v>25</v>
      </c>
      <c r="AS465" s="63">
        <v>0.0</v>
      </c>
      <c r="AT465" s="63">
        <v>0.0</v>
      </c>
      <c r="AU465" s="63">
        <v>0.0</v>
      </c>
      <c r="AV465" s="63">
        <v>0.0</v>
      </c>
      <c r="AW465" s="63">
        <v>0.0</v>
      </c>
      <c r="AX465" s="63">
        <v>0.0</v>
      </c>
      <c r="AY465" s="63">
        <v>0.0</v>
      </c>
      <c r="AZ465" s="63">
        <v>0.0</v>
      </c>
      <c r="BA465" s="63">
        <v>20.0</v>
      </c>
      <c r="BB465" s="63">
        <v>3.0</v>
      </c>
      <c r="BC465" s="63">
        <v>15.0</v>
      </c>
      <c r="BD465" s="63">
        <v>1.0</v>
      </c>
      <c r="BE465" s="64">
        <v>0.0</v>
      </c>
      <c r="BF465" s="69">
        <v>0.0</v>
      </c>
      <c r="BG465" s="69">
        <v>0.0</v>
      </c>
      <c r="BH465" s="64">
        <v>0.0</v>
      </c>
      <c r="BI465" s="67" t="str">
        <f t="shared" si="156"/>
        <v>#REF!</v>
      </c>
      <c r="BJ465" s="68" t="str">
        <f t="shared" si="157"/>
        <v>#REF!</v>
      </c>
      <c r="BK465" s="69">
        <v>0.0</v>
      </c>
      <c r="BL465" s="69">
        <v>0.0</v>
      </c>
      <c r="BM465" s="64">
        <v>0.0</v>
      </c>
      <c r="BN465" s="67" t="str">
        <f t="shared" si="158"/>
        <v>#REF!</v>
      </c>
      <c r="BO465" s="68" t="str">
        <f t="shared" si="159"/>
        <v>#REF!</v>
      </c>
      <c r="BP465" s="65">
        <v>0.0</v>
      </c>
      <c r="BQ465" s="65">
        <v>0.0</v>
      </c>
      <c r="BR465" s="66">
        <v>0.0</v>
      </c>
      <c r="BS465" s="67" t="str">
        <f t="shared" si="160"/>
        <v>#REF!</v>
      </c>
      <c r="BT465" s="68" t="str">
        <f>'[1]DATA CONSOLIDADA 2018-2025 '!$BR465-Hoja1!$BO465</f>
        <v>#REF!</v>
      </c>
      <c r="BU465" s="69">
        <v>0.0</v>
      </c>
      <c r="BV465" s="65">
        <v>0.0</v>
      </c>
      <c r="BW465" s="66">
        <v>0.0</v>
      </c>
      <c r="BX465" s="67" t="str">
        <f t="shared" si="161"/>
        <v>#REF!</v>
      </c>
      <c r="BY465" s="68" t="str">
        <f t="shared" si="162"/>
        <v>#REF!</v>
      </c>
      <c r="BZ465" s="65">
        <v>0.0</v>
      </c>
      <c r="CA465" s="65">
        <v>0.0</v>
      </c>
      <c r="CB465" s="66">
        <v>0.0</v>
      </c>
      <c r="CC465" s="67" t="str">
        <f t="shared" si="163"/>
        <v>#REF!</v>
      </c>
      <c r="CD465" s="68" t="str">
        <f>'[1]DATA CONSOLIDADA 2018-2025 '!$CB465-Hoja1!$BW465</f>
        <v>#REF!</v>
      </c>
      <c r="CE465" s="70">
        <v>417082.5</v>
      </c>
      <c r="CF465" s="70">
        <v>0.0</v>
      </c>
      <c r="CG465" s="71">
        <v>417082.5</v>
      </c>
      <c r="CH465" s="67" t="str">
        <f t="shared" si="164"/>
        <v>#REF!</v>
      </c>
      <c r="CI465" s="68" t="str">
        <f>'[1]DATA CONSOLIDADA 2018-2025 '!$CG465-Hoja1!$CB465</f>
        <v>#REF!</v>
      </c>
      <c r="CJ465" s="64" t="str">
        <f t="shared" si="165"/>
        <v>#REF!</v>
      </c>
      <c r="CK465" s="64">
        <v>481666.4</v>
      </c>
      <c r="CL465" s="64">
        <v>0.0</v>
      </c>
      <c r="CM465" s="64">
        <v>481666.4</v>
      </c>
      <c r="CN465" s="64" t="str">
        <f t="shared" si="12"/>
        <v>#REF!</v>
      </c>
      <c r="CO465" s="68" t="str">
        <f>'[1]DATA CONSOLIDADA 2018-2025 '!$CM465-Hoja1!$CG465</f>
        <v>#REF!</v>
      </c>
      <c r="CP465" s="70">
        <v>0.0</v>
      </c>
      <c r="CQ465" s="70">
        <v>0.0</v>
      </c>
      <c r="CR465" s="70">
        <v>0.0</v>
      </c>
      <c r="CS465" s="70">
        <v>0.0</v>
      </c>
      <c r="CT465" s="70">
        <v>0.0</v>
      </c>
      <c r="CU465" s="70">
        <v>0.0</v>
      </c>
      <c r="CV465" s="64">
        <v>0.0</v>
      </c>
      <c r="CW465" s="64">
        <v>0.0</v>
      </c>
      <c r="CX465" s="64">
        <v>279702.5</v>
      </c>
      <c r="CY465" s="64">
        <v>0.0</v>
      </c>
      <c r="CZ465" s="64">
        <v>137380.0</v>
      </c>
      <c r="DA465" s="64">
        <v>0.0</v>
      </c>
      <c r="DB465" s="64">
        <v>417082.5</v>
      </c>
      <c r="DC465" s="72">
        <v>0.0</v>
      </c>
      <c r="DD465" s="72">
        <v>481666.4</v>
      </c>
      <c r="DE465" s="72">
        <v>0.0</v>
      </c>
      <c r="DF465" s="72">
        <v>0.0</v>
      </c>
      <c r="DG465" s="72">
        <v>0.0</v>
      </c>
      <c r="DH465" s="72">
        <v>481666.4</v>
      </c>
      <c r="DI465" s="73">
        <v>2.0611967056E10</v>
      </c>
      <c r="DJ465" s="74" t="s">
        <v>1495</v>
      </c>
      <c r="DK465" s="74" t="s">
        <v>132</v>
      </c>
      <c r="DL465" s="75"/>
      <c r="DM465" s="75"/>
      <c r="DN465" s="75"/>
      <c r="DO465" s="75"/>
      <c r="DP465" s="75"/>
      <c r="DQ465" s="75"/>
      <c r="DR465" s="75"/>
      <c r="DS465" s="75"/>
      <c r="DT465" s="75"/>
      <c r="DU465" s="75"/>
      <c r="DV465" s="75"/>
      <c r="DW465" s="75"/>
      <c r="DX465" s="75"/>
      <c r="DY465" s="75"/>
      <c r="DZ465" s="75"/>
      <c r="EA465" s="75"/>
      <c r="EB465" s="75"/>
      <c r="EC465" s="75"/>
      <c r="ED465" s="75"/>
      <c r="EE465" s="75"/>
    </row>
    <row r="466" ht="47.25" hidden="1" customHeight="1">
      <c r="A466" s="55" t="s">
        <v>1497</v>
      </c>
      <c r="B466" s="55" t="s">
        <v>287</v>
      </c>
      <c r="C466" s="55" t="s">
        <v>1403</v>
      </c>
      <c r="D466" s="55" t="s">
        <v>785</v>
      </c>
      <c r="E466" s="55">
        <v>130904.0</v>
      </c>
      <c r="F466" s="55" t="s">
        <v>785</v>
      </c>
      <c r="G466" s="55" t="s">
        <v>787</v>
      </c>
      <c r="H466" s="55" t="s">
        <v>1498</v>
      </c>
      <c r="I466" s="56"/>
      <c r="J466" s="56"/>
      <c r="K466" s="56"/>
      <c r="L466" s="56"/>
      <c r="M466" s="56"/>
      <c r="N466" s="56"/>
      <c r="O466" s="56">
        <v>1.0</v>
      </c>
      <c r="P466" s="56">
        <v>1.0</v>
      </c>
      <c r="Q466" s="56" t="s">
        <v>131</v>
      </c>
      <c r="R466" s="58" t="str">
        <f t="shared" si="1"/>
        <v>2024 - 2025</v>
      </c>
      <c r="S466" s="59" t="str">
        <f>SUM(Hoja1!$I466:$P466)</f>
        <v>2</v>
      </c>
      <c r="T466" s="59" t="str">
        <f>IF(OR(Hoja1!$J466=1,Hoja1!$K466=1,Hoja1!$L466=1,Hoja1!$M466=1,Hoja1!$N466=1,Hoja1!$O466=1,Hoja1!$P466=1),"SI","NO")</f>
        <v>SI</v>
      </c>
      <c r="U466" s="59" t="str">
        <f>IF(OR(Hoja1!$K466=1,Hoja1!$L466=1,Hoja1!$M466=1,Hoja1!$N466=1,Hoja1!$O466=1,Hoja1!$P466=1),"SI","NO")</f>
        <v>SI</v>
      </c>
      <c r="V466" s="60">
        <v>0.0</v>
      </c>
      <c r="W466" s="61">
        <v>0.0</v>
      </c>
      <c r="X466" s="61">
        <v>0.0</v>
      </c>
      <c r="Y466" s="60">
        <v>0.0</v>
      </c>
      <c r="Z466" s="61">
        <v>0.0</v>
      </c>
      <c r="AA466" s="61">
        <v>0.0</v>
      </c>
      <c r="AB466" s="60">
        <v>0.0</v>
      </c>
      <c r="AC466" s="61">
        <v>0.0</v>
      </c>
      <c r="AD466" s="61">
        <v>0.0</v>
      </c>
      <c r="AE466" s="60">
        <v>0.0</v>
      </c>
      <c r="AF466" s="61">
        <v>0.0</v>
      </c>
      <c r="AG466" s="61">
        <v>0.0</v>
      </c>
      <c r="AH466" s="60">
        <v>0.0</v>
      </c>
      <c r="AI466" s="61">
        <v>0.0</v>
      </c>
      <c r="AJ466" s="61">
        <v>0.0</v>
      </c>
      <c r="AK466" s="60">
        <v>0.0</v>
      </c>
      <c r="AL466" s="61">
        <v>19.0</v>
      </c>
      <c r="AM466" s="61">
        <v>11.0</v>
      </c>
      <c r="AN466" s="60">
        <v>30.0</v>
      </c>
      <c r="AO466" s="62">
        <v>15.0</v>
      </c>
      <c r="AP466" s="62">
        <v>10.0</v>
      </c>
      <c r="AQ466" s="60">
        <v>25.0</v>
      </c>
      <c r="AR466" s="60" t="str">
        <f>IF(Hoja1!$AQ466&gt;0,Hoja1!$AQ466,IF(Hoja1!$AN466&gt;0,Hoja1!$AN466,IF(Hoja1!$AK466&gt;0,Hoja1!$AK466,IF(Hoja1!$AH466&gt;0,Hoja1!$AH466,IF(Hoja1!$AE466&gt;0,Hoja1!$AE466,IF(Hoja1!$AB466&gt;0,Hoja1!$AB466,IF(Hoja1!$Y466&gt;0,Hoja1!$Y466,IF(Hoja1!$V466&gt;0,Hoja1!$V466," ---"))))))))</f>
        <v>25</v>
      </c>
      <c r="AS466" s="63">
        <v>0.0</v>
      </c>
      <c r="AT466" s="63">
        <v>0.0</v>
      </c>
      <c r="AU466" s="63">
        <v>0.0</v>
      </c>
      <c r="AV466" s="63">
        <v>0.0</v>
      </c>
      <c r="AW466" s="63">
        <v>0.0</v>
      </c>
      <c r="AX466" s="63">
        <v>0.0</v>
      </c>
      <c r="AY466" s="63">
        <v>0.0</v>
      </c>
      <c r="AZ466" s="63">
        <v>0.0</v>
      </c>
      <c r="BA466" s="63">
        <v>2.0</v>
      </c>
      <c r="BB466" s="63">
        <v>0.0</v>
      </c>
      <c r="BC466" s="63">
        <v>11.0</v>
      </c>
      <c r="BD466" s="63">
        <v>1.0</v>
      </c>
      <c r="BE466" s="64">
        <v>0.0</v>
      </c>
      <c r="BF466" s="69">
        <v>0.0</v>
      </c>
      <c r="BG466" s="69">
        <v>0.0</v>
      </c>
      <c r="BH466" s="64">
        <v>0.0</v>
      </c>
      <c r="BI466" s="67" t="str">
        <f t="shared" si="156"/>
        <v>#REF!</v>
      </c>
      <c r="BJ466" s="68" t="str">
        <f t="shared" si="157"/>
        <v>#REF!</v>
      </c>
      <c r="BK466" s="69">
        <v>0.0</v>
      </c>
      <c r="BL466" s="69">
        <v>0.0</v>
      </c>
      <c r="BM466" s="64">
        <v>0.0</v>
      </c>
      <c r="BN466" s="67" t="str">
        <f t="shared" si="158"/>
        <v>#REF!</v>
      </c>
      <c r="BO466" s="68" t="str">
        <f t="shared" si="159"/>
        <v>#REF!</v>
      </c>
      <c r="BP466" s="65">
        <v>0.0</v>
      </c>
      <c r="BQ466" s="65">
        <v>0.0</v>
      </c>
      <c r="BR466" s="66">
        <v>0.0</v>
      </c>
      <c r="BS466" s="67" t="str">
        <f t="shared" si="160"/>
        <v>#REF!</v>
      </c>
      <c r="BT466" s="68" t="str">
        <f>'[1]DATA CONSOLIDADA 2018-2025 '!$BR466-Hoja1!$BO466</f>
        <v>#REF!</v>
      </c>
      <c r="BU466" s="69">
        <v>0.0</v>
      </c>
      <c r="BV466" s="65">
        <v>0.0</v>
      </c>
      <c r="BW466" s="66">
        <v>0.0</v>
      </c>
      <c r="BX466" s="67" t="str">
        <f t="shared" si="161"/>
        <v>#REF!</v>
      </c>
      <c r="BY466" s="68" t="str">
        <f t="shared" si="162"/>
        <v>#REF!</v>
      </c>
      <c r="BZ466" s="65">
        <v>0.0</v>
      </c>
      <c r="CA466" s="65">
        <v>0.0</v>
      </c>
      <c r="CB466" s="66">
        <v>0.0</v>
      </c>
      <c r="CC466" s="67" t="str">
        <f t="shared" si="163"/>
        <v>#REF!</v>
      </c>
      <c r="CD466" s="68" t="str">
        <f>'[1]DATA CONSOLIDADA 2018-2025 '!$CB466-Hoja1!$BW466</f>
        <v>#REF!</v>
      </c>
      <c r="CE466" s="70">
        <v>150185.0</v>
      </c>
      <c r="CF466" s="70">
        <v>0.0</v>
      </c>
      <c r="CG466" s="71">
        <v>150185.0</v>
      </c>
      <c r="CH466" s="67" t="str">
        <f t="shared" si="164"/>
        <v>#REF!</v>
      </c>
      <c r="CI466" s="68" t="str">
        <f>'[1]DATA CONSOLIDADA 2018-2025 '!$CG466-Hoja1!$CB466</f>
        <v>#REF!</v>
      </c>
      <c r="CJ466" s="64" t="str">
        <f t="shared" si="165"/>
        <v>#REF!</v>
      </c>
      <c r="CK466" s="64">
        <v>228860.0</v>
      </c>
      <c r="CL466" s="64">
        <v>0.0</v>
      </c>
      <c r="CM466" s="64">
        <v>228860.0</v>
      </c>
      <c r="CN466" s="64" t="str">
        <f t="shared" si="12"/>
        <v>#REF!</v>
      </c>
      <c r="CO466" s="68" t="str">
        <f>'[1]DATA CONSOLIDADA 2018-2025 '!$CM466-Hoja1!$CG466</f>
        <v>#REF!</v>
      </c>
      <c r="CP466" s="70">
        <v>0.0</v>
      </c>
      <c r="CQ466" s="70">
        <v>0.0</v>
      </c>
      <c r="CR466" s="70">
        <v>0.0</v>
      </c>
      <c r="CS466" s="70">
        <v>0.0</v>
      </c>
      <c r="CT466" s="70">
        <v>0.0</v>
      </c>
      <c r="CU466" s="70">
        <v>0.0</v>
      </c>
      <c r="CV466" s="64">
        <v>0.0</v>
      </c>
      <c r="CW466" s="64">
        <v>0.0</v>
      </c>
      <c r="CX466" s="64">
        <v>150185.0</v>
      </c>
      <c r="CY466" s="64">
        <v>0.0</v>
      </c>
      <c r="CZ466" s="64">
        <v>0.0</v>
      </c>
      <c r="DA466" s="64">
        <v>0.0</v>
      </c>
      <c r="DB466" s="64">
        <v>150185.0</v>
      </c>
      <c r="DC466" s="72">
        <v>0.0</v>
      </c>
      <c r="DD466" s="72">
        <v>228860.0</v>
      </c>
      <c r="DE466" s="72">
        <v>0.0</v>
      </c>
      <c r="DF466" s="72">
        <v>0.0</v>
      </c>
      <c r="DG466" s="72">
        <v>0.0</v>
      </c>
      <c r="DH466" s="72">
        <v>228860.0</v>
      </c>
      <c r="DI466" s="73">
        <v>2.0601306485E10</v>
      </c>
      <c r="DJ466" s="74" t="s">
        <v>1497</v>
      </c>
      <c r="DK466" s="74" t="s">
        <v>138</v>
      </c>
      <c r="DL466" s="75"/>
      <c r="DM466" s="75"/>
      <c r="DN466" s="75"/>
      <c r="DO466" s="75"/>
      <c r="DP466" s="75"/>
      <c r="DQ466" s="75"/>
      <c r="DR466" s="75"/>
      <c r="DS466" s="75"/>
      <c r="DT466" s="75"/>
      <c r="DU466" s="75"/>
      <c r="DV466" s="75"/>
      <c r="DW466" s="75"/>
      <c r="DX466" s="75"/>
      <c r="DY466" s="75"/>
      <c r="DZ466" s="75"/>
      <c r="EA466" s="75"/>
      <c r="EB466" s="75"/>
      <c r="EC466" s="75"/>
      <c r="ED466" s="75"/>
      <c r="EE466" s="75"/>
    </row>
    <row r="467" ht="47.25" hidden="1" customHeight="1">
      <c r="A467" s="55" t="s">
        <v>1499</v>
      </c>
      <c r="B467" s="55" t="s">
        <v>287</v>
      </c>
      <c r="C467" s="55" t="s">
        <v>1403</v>
      </c>
      <c r="D467" s="55" t="s">
        <v>785</v>
      </c>
      <c r="E467" s="55" t="s">
        <v>1500</v>
      </c>
      <c r="F467" s="55" t="s">
        <v>785</v>
      </c>
      <c r="G467" s="55" t="s">
        <v>787</v>
      </c>
      <c r="H467" s="55" t="s">
        <v>1501</v>
      </c>
      <c r="I467" s="56"/>
      <c r="J467" s="56"/>
      <c r="K467" s="56"/>
      <c r="L467" s="56"/>
      <c r="M467" s="56"/>
      <c r="N467" s="56"/>
      <c r="O467" s="56">
        <v>1.0</v>
      </c>
      <c r="P467" s="56">
        <v>1.0</v>
      </c>
      <c r="Q467" s="56" t="s">
        <v>131</v>
      </c>
      <c r="R467" s="58" t="str">
        <f t="shared" si="1"/>
        <v>2024 - 2025</v>
      </c>
      <c r="S467" s="59" t="str">
        <f>SUM(Hoja1!$I467:$P467)</f>
        <v>2</v>
      </c>
      <c r="T467" s="59" t="str">
        <f>IF(OR(Hoja1!$J467=1,Hoja1!$K467=1,Hoja1!$L467=1,Hoja1!$M467=1,Hoja1!$N467=1,Hoja1!$O467=1,Hoja1!$P467=1),"SI","NO")</f>
        <v>SI</v>
      </c>
      <c r="U467" s="59" t="str">
        <f>IF(OR(Hoja1!$K467=1,Hoja1!$L467=1,Hoja1!$M467=1,Hoja1!$N467=1,Hoja1!$O467=1,Hoja1!$P467=1),"SI","NO")</f>
        <v>SI</v>
      </c>
      <c r="V467" s="60">
        <v>0.0</v>
      </c>
      <c r="W467" s="61">
        <v>0.0</v>
      </c>
      <c r="X467" s="61">
        <v>0.0</v>
      </c>
      <c r="Y467" s="60">
        <v>0.0</v>
      </c>
      <c r="Z467" s="61">
        <v>0.0</v>
      </c>
      <c r="AA467" s="61">
        <v>0.0</v>
      </c>
      <c r="AB467" s="60">
        <v>0.0</v>
      </c>
      <c r="AC467" s="61">
        <v>0.0</v>
      </c>
      <c r="AD467" s="61">
        <v>0.0</v>
      </c>
      <c r="AE467" s="60">
        <v>0.0</v>
      </c>
      <c r="AF467" s="61">
        <v>0.0</v>
      </c>
      <c r="AG467" s="61">
        <v>0.0</v>
      </c>
      <c r="AH467" s="60">
        <v>0.0</v>
      </c>
      <c r="AI467" s="61">
        <v>0.0</v>
      </c>
      <c r="AJ467" s="61">
        <v>0.0</v>
      </c>
      <c r="AK467" s="60">
        <v>0.0</v>
      </c>
      <c r="AL467" s="61">
        <v>9.0</v>
      </c>
      <c r="AM467" s="61">
        <v>21.0</v>
      </c>
      <c r="AN467" s="60">
        <v>30.0</v>
      </c>
      <c r="AO467" s="62">
        <v>10.0</v>
      </c>
      <c r="AP467" s="62">
        <v>22.0</v>
      </c>
      <c r="AQ467" s="60">
        <v>32.0</v>
      </c>
      <c r="AR467" s="60" t="str">
        <f>IF(Hoja1!$AQ467&gt;0,Hoja1!$AQ467,IF(Hoja1!$AN467&gt;0,Hoja1!$AN467,IF(Hoja1!$AK467&gt;0,Hoja1!$AK467,IF(Hoja1!$AH467&gt;0,Hoja1!$AH467,IF(Hoja1!$AE467&gt;0,Hoja1!$AE467,IF(Hoja1!$AB467&gt;0,Hoja1!$AB467,IF(Hoja1!$Y467&gt;0,Hoja1!$Y467,IF(Hoja1!$V467&gt;0,Hoja1!$V467," ---"))))))))</f>
        <v>32</v>
      </c>
      <c r="AS467" s="63">
        <v>0.0</v>
      </c>
      <c r="AT467" s="63">
        <v>0.0</v>
      </c>
      <c r="AU467" s="63">
        <v>0.0</v>
      </c>
      <c r="AV467" s="63">
        <v>0.0</v>
      </c>
      <c r="AW467" s="63">
        <v>0.0</v>
      </c>
      <c r="AX467" s="63">
        <v>0.0</v>
      </c>
      <c r="AY467" s="63">
        <v>0.0</v>
      </c>
      <c r="AZ467" s="63">
        <v>0.0</v>
      </c>
      <c r="BA467" s="63">
        <v>7.0</v>
      </c>
      <c r="BB467" s="63">
        <v>2.0</v>
      </c>
      <c r="BC467" s="63">
        <v>10.0</v>
      </c>
      <c r="BD467" s="63">
        <v>1.0</v>
      </c>
      <c r="BE467" s="64">
        <v>0.0</v>
      </c>
      <c r="BF467" s="69">
        <v>0.0</v>
      </c>
      <c r="BG467" s="69">
        <v>0.0</v>
      </c>
      <c r="BH467" s="64">
        <v>0.0</v>
      </c>
      <c r="BI467" s="67" t="str">
        <f t="shared" si="156"/>
        <v>#REF!</v>
      </c>
      <c r="BJ467" s="68" t="str">
        <f t="shared" si="157"/>
        <v>#REF!</v>
      </c>
      <c r="BK467" s="69">
        <v>0.0</v>
      </c>
      <c r="BL467" s="69">
        <v>0.0</v>
      </c>
      <c r="BM467" s="64">
        <v>0.0</v>
      </c>
      <c r="BN467" s="67" t="str">
        <f t="shared" si="158"/>
        <v>#REF!</v>
      </c>
      <c r="BO467" s="68" t="str">
        <f t="shared" si="159"/>
        <v>#REF!</v>
      </c>
      <c r="BP467" s="65">
        <v>0.0</v>
      </c>
      <c r="BQ467" s="65">
        <v>0.0</v>
      </c>
      <c r="BR467" s="66">
        <v>0.0</v>
      </c>
      <c r="BS467" s="67" t="str">
        <f t="shared" si="160"/>
        <v>#REF!</v>
      </c>
      <c r="BT467" s="68" t="str">
        <f>'[1]DATA CONSOLIDADA 2018-2025 '!$BR467-Hoja1!$BO467</f>
        <v>#REF!</v>
      </c>
      <c r="BU467" s="69">
        <v>0.0</v>
      </c>
      <c r="BV467" s="65">
        <v>0.0</v>
      </c>
      <c r="BW467" s="66">
        <v>0.0</v>
      </c>
      <c r="BX467" s="67" t="str">
        <f t="shared" si="161"/>
        <v>#REF!</v>
      </c>
      <c r="BY467" s="68" t="str">
        <f t="shared" si="162"/>
        <v>#REF!</v>
      </c>
      <c r="BZ467" s="65">
        <v>0.0</v>
      </c>
      <c r="CA467" s="65">
        <v>0.0</v>
      </c>
      <c r="CB467" s="66">
        <v>0.0</v>
      </c>
      <c r="CC467" s="67" t="str">
        <f t="shared" si="163"/>
        <v>#REF!</v>
      </c>
      <c r="CD467" s="68" t="str">
        <f>'[1]DATA CONSOLIDADA 2018-2025 '!$CB467-Hoja1!$BW467</f>
        <v>#REF!</v>
      </c>
      <c r="CE467" s="70">
        <v>344279.0</v>
      </c>
      <c r="CF467" s="70">
        <v>0.0</v>
      </c>
      <c r="CG467" s="71">
        <v>344279.0</v>
      </c>
      <c r="CH467" s="67" t="str">
        <f t="shared" si="164"/>
        <v>#REF!</v>
      </c>
      <c r="CI467" s="68" t="str">
        <f>'[1]DATA CONSOLIDADA 2018-2025 '!$CG467-Hoja1!$CB467</f>
        <v>#REF!</v>
      </c>
      <c r="CJ467" s="64" t="str">
        <f t="shared" si="165"/>
        <v>#REF!</v>
      </c>
      <c r="CK467" s="64">
        <v>429806.0</v>
      </c>
      <c r="CL467" s="64">
        <v>0.0</v>
      </c>
      <c r="CM467" s="64">
        <v>429806.0</v>
      </c>
      <c r="CN467" s="64" t="str">
        <f t="shared" si="12"/>
        <v>#REF!</v>
      </c>
      <c r="CO467" s="68" t="str">
        <f>'[1]DATA CONSOLIDADA 2018-2025 '!$CM467-Hoja1!$CG467</f>
        <v>#REF!</v>
      </c>
      <c r="CP467" s="70">
        <v>0.0</v>
      </c>
      <c r="CQ467" s="70">
        <v>0.0</v>
      </c>
      <c r="CR467" s="70">
        <v>0.0</v>
      </c>
      <c r="CS467" s="70">
        <v>0.0</v>
      </c>
      <c r="CT467" s="70">
        <v>0.0</v>
      </c>
      <c r="CU467" s="70">
        <v>0.0</v>
      </c>
      <c r="CV467" s="64">
        <v>0.0</v>
      </c>
      <c r="CW467" s="64">
        <v>0.0</v>
      </c>
      <c r="CX467" s="64">
        <v>344279.0</v>
      </c>
      <c r="CY467" s="64">
        <v>0.0</v>
      </c>
      <c r="CZ467" s="64">
        <v>0.0</v>
      </c>
      <c r="DA467" s="64">
        <v>0.0</v>
      </c>
      <c r="DB467" s="64">
        <v>344279.0</v>
      </c>
      <c r="DC467" s="72">
        <v>0.0</v>
      </c>
      <c r="DD467" s="72">
        <v>429806.0</v>
      </c>
      <c r="DE467" s="72">
        <v>0.0</v>
      </c>
      <c r="DF467" s="72">
        <v>0.0</v>
      </c>
      <c r="DG467" s="72">
        <v>0.0</v>
      </c>
      <c r="DH467" s="72">
        <v>429806.0</v>
      </c>
      <c r="DI467" s="73">
        <v>2.0611321482E10</v>
      </c>
      <c r="DJ467" s="74" t="s">
        <v>1499</v>
      </c>
      <c r="DK467" s="74" t="s">
        <v>132</v>
      </c>
      <c r="DL467" s="75"/>
      <c r="DM467" s="75"/>
      <c r="DN467" s="75"/>
      <c r="DO467" s="75"/>
      <c r="DP467" s="75"/>
      <c r="DQ467" s="75"/>
      <c r="DR467" s="75"/>
      <c r="DS467" s="75"/>
      <c r="DT467" s="75"/>
      <c r="DU467" s="75"/>
      <c r="DV467" s="75"/>
      <c r="DW467" s="75"/>
      <c r="DX467" s="75"/>
      <c r="DY467" s="75"/>
      <c r="DZ467" s="75"/>
      <c r="EA467" s="75"/>
      <c r="EB467" s="75"/>
      <c r="EC467" s="75"/>
      <c r="ED467" s="75"/>
      <c r="EE467" s="75"/>
    </row>
    <row r="468" ht="47.25" hidden="1" customHeight="1">
      <c r="A468" s="55" t="s">
        <v>1502</v>
      </c>
      <c r="B468" s="55" t="s">
        <v>287</v>
      </c>
      <c r="C468" s="55" t="s">
        <v>1403</v>
      </c>
      <c r="D468" s="55" t="s">
        <v>785</v>
      </c>
      <c r="E468" s="55" t="s">
        <v>1503</v>
      </c>
      <c r="F468" s="55" t="s">
        <v>785</v>
      </c>
      <c r="G468" s="55" t="s">
        <v>1504</v>
      </c>
      <c r="H468" s="55" t="s">
        <v>1505</v>
      </c>
      <c r="I468" s="56"/>
      <c r="J468" s="56"/>
      <c r="K468" s="56"/>
      <c r="L468" s="56"/>
      <c r="M468" s="56"/>
      <c r="N468" s="56"/>
      <c r="O468" s="56">
        <v>1.0</v>
      </c>
      <c r="P468" s="56">
        <v>1.0</v>
      </c>
      <c r="Q468" s="56" t="s">
        <v>131</v>
      </c>
      <c r="R468" s="58" t="str">
        <f t="shared" si="1"/>
        <v>2024 - 2025</v>
      </c>
      <c r="S468" s="59" t="str">
        <f>SUM(Hoja1!$I468:$P468)</f>
        <v>2</v>
      </c>
      <c r="T468" s="59" t="str">
        <f>IF(OR(Hoja1!$J468=1,Hoja1!$K468=1,Hoja1!$L468=1,Hoja1!$M468=1,Hoja1!$N468=1,Hoja1!$O468=1,Hoja1!$P468=1),"SI","NO")</f>
        <v>SI</v>
      </c>
      <c r="U468" s="59" t="str">
        <f>IF(OR(Hoja1!$K468=1,Hoja1!$L468=1,Hoja1!$M468=1,Hoja1!$N468=1,Hoja1!$O468=1,Hoja1!$P468=1),"SI","NO")</f>
        <v>SI</v>
      </c>
      <c r="V468" s="60">
        <v>0.0</v>
      </c>
      <c r="W468" s="61">
        <v>0.0</v>
      </c>
      <c r="X468" s="61">
        <v>0.0</v>
      </c>
      <c r="Y468" s="60">
        <v>0.0</v>
      </c>
      <c r="Z468" s="61">
        <v>0.0</v>
      </c>
      <c r="AA468" s="61">
        <v>0.0</v>
      </c>
      <c r="AB468" s="60">
        <v>0.0</v>
      </c>
      <c r="AC468" s="61">
        <v>0.0</v>
      </c>
      <c r="AD468" s="61">
        <v>0.0</v>
      </c>
      <c r="AE468" s="60">
        <v>0.0</v>
      </c>
      <c r="AF468" s="61">
        <v>0.0</v>
      </c>
      <c r="AG468" s="61">
        <v>0.0</v>
      </c>
      <c r="AH468" s="60">
        <v>0.0</v>
      </c>
      <c r="AI468" s="61">
        <v>0.0</v>
      </c>
      <c r="AJ468" s="61">
        <v>0.0</v>
      </c>
      <c r="AK468" s="60">
        <v>0.0</v>
      </c>
      <c r="AL468" s="61">
        <v>16.0</v>
      </c>
      <c r="AM468" s="61">
        <v>9.0</v>
      </c>
      <c r="AN468" s="60">
        <v>25.0</v>
      </c>
      <c r="AO468" s="62">
        <v>12.0</v>
      </c>
      <c r="AP468" s="62">
        <v>13.0</v>
      </c>
      <c r="AQ468" s="60">
        <v>25.0</v>
      </c>
      <c r="AR468" s="60" t="str">
        <f>IF(Hoja1!$AQ468&gt;0,Hoja1!$AQ468,IF(Hoja1!$AN468&gt;0,Hoja1!$AN468,IF(Hoja1!$AK468&gt;0,Hoja1!$AK468,IF(Hoja1!$AH468&gt;0,Hoja1!$AH468,IF(Hoja1!$AE468&gt;0,Hoja1!$AE468,IF(Hoja1!$AB468&gt;0,Hoja1!$AB468,IF(Hoja1!$Y468&gt;0,Hoja1!$Y468,IF(Hoja1!$V468&gt;0,Hoja1!$V468," ---"))))))))</f>
        <v>25</v>
      </c>
      <c r="AS468" s="63">
        <v>0.0</v>
      </c>
      <c r="AT468" s="63">
        <v>0.0</v>
      </c>
      <c r="AU468" s="63">
        <v>0.0</v>
      </c>
      <c r="AV468" s="63">
        <v>0.0</v>
      </c>
      <c r="AW468" s="63">
        <v>0.0</v>
      </c>
      <c r="AX468" s="63">
        <v>0.0</v>
      </c>
      <c r="AY468" s="63">
        <v>0.0</v>
      </c>
      <c r="AZ468" s="63">
        <v>0.0</v>
      </c>
      <c r="BA468" s="63">
        <v>9.0</v>
      </c>
      <c r="BB468" s="63">
        <v>2.0</v>
      </c>
      <c r="BC468" s="63">
        <v>16.0</v>
      </c>
      <c r="BD468" s="63">
        <v>3.0</v>
      </c>
      <c r="BE468" s="64">
        <v>0.0</v>
      </c>
      <c r="BF468" s="69">
        <v>0.0</v>
      </c>
      <c r="BG468" s="69">
        <v>0.0</v>
      </c>
      <c r="BH468" s="64">
        <v>0.0</v>
      </c>
      <c r="BI468" s="67" t="str">
        <f t="shared" si="156"/>
        <v>#REF!</v>
      </c>
      <c r="BJ468" s="68" t="str">
        <f t="shared" si="157"/>
        <v>#REF!</v>
      </c>
      <c r="BK468" s="69">
        <v>0.0</v>
      </c>
      <c r="BL468" s="69">
        <v>0.0</v>
      </c>
      <c r="BM468" s="64">
        <v>0.0</v>
      </c>
      <c r="BN468" s="67" t="str">
        <f t="shared" si="158"/>
        <v>#REF!</v>
      </c>
      <c r="BO468" s="68" t="str">
        <f t="shared" si="159"/>
        <v>#REF!</v>
      </c>
      <c r="BP468" s="65">
        <v>0.0</v>
      </c>
      <c r="BQ468" s="65">
        <v>0.0</v>
      </c>
      <c r="BR468" s="66">
        <v>0.0</v>
      </c>
      <c r="BS468" s="67" t="str">
        <f t="shared" si="160"/>
        <v>#REF!</v>
      </c>
      <c r="BT468" s="68" t="str">
        <f>'[1]DATA CONSOLIDADA 2018-2025 '!$BR468-Hoja1!$BO468</f>
        <v>#REF!</v>
      </c>
      <c r="BU468" s="69">
        <v>0.0</v>
      </c>
      <c r="BV468" s="65">
        <v>0.0</v>
      </c>
      <c r="BW468" s="66">
        <v>0.0</v>
      </c>
      <c r="BX468" s="67" t="str">
        <f t="shared" si="161"/>
        <v>#REF!</v>
      </c>
      <c r="BY468" s="68" t="str">
        <f t="shared" si="162"/>
        <v>#REF!</v>
      </c>
      <c r="BZ468" s="65">
        <v>0.0</v>
      </c>
      <c r="CA468" s="65">
        <v>0.0</v>
      </c>
      <c r="CB468" s="66">
        <v>0.0</v>
      </c>
      <c r="CC468" s="67" t="str">
        <f t="shared" si="163"/>
        <v>#REF!</v>
      </c>
      <c r="CD468" s="68" t="str">
        <f>'[1]DATA CONSOLIDADA 2018-2025 '!$CB468-Hoja1!$BW468</f>
        <v>#REF!</v>
      </c>
      <c r="CE468" s="70">
        <v>184840.0</v>
      </c>
      <c r="CF468" s="70">
        <v>0.0</v>
      </c>
      <c r="CG468" s="71">
        <v>184840.0</v>
      </c>
      <c r="CH468" s="67" t="str">
        <f t="shared" si="164"/>
        <v>#REF!</v>
      </c>
      <c r="CI468" s="68" t="str">
        <f>'[1]DATA CONSOLIDADA 2018-2025 '!$CG468-Hoja1!$CB468</f>
        <v>#REF!</v>
      </c>
      <c r="CJ468" s="64" t="str">
        <f t="shared" si="165"/>
        <v>#REF!</v>
      </c>
      <c r="CK468" s="64">
        <v>216380.0</v>
      </c>
      <c r="CL468" s="64">
        <v>0.0</v>
      </c>
      <c r="CM468" s="64">
        <v>216380.0</v>
      </c>
      <c r="CN468" s="64" t="str">
        <f t="shared" si="12"/>
        <v>#REF!</v>
      </c>
      <c r="CO468" s="68" t="str">
        <f>'[1]DATA CONSOLIDADA 2018-2025 '!$CM468-Hoja1!$CG468</f>
        <v>#REF!</v>
      </c>
      <c r="CP468" s="70">
        <v>0.0</v>
      </c>
      <c r="CQ468" s="70">
        <v>0.0</v>
      </c>
      <c r="CR468" s="70">
        <v>0.0</v>
      </c>
      <c r="CS468" s="70">
        <v>0.0</v>
      </c>
      <c r="CT468" s="70">
        <v>0.0</v>
      </c>
      <c r="CU468" s="70">
        <v>0.0</v>
      </c>
      <c r="CV468" s="64">
        <v>0.0</v>
      </c>
      <c r="CW468" s="64">
        <v>0.0</v>
      </c>
      <c r="CX468" s="64">
        <v>184840.0</v>
      </c>
      <c r="CY468" s="64">
        <v>0.0</v>
      </c>
      <c r="CZ468" s="64">
        <v>0.0</v>
      </c>
      <c r="DA468" s="64">
        <v>0.0</v>
      </c>
      <c r="DB468" s="64">
        <v>184840.0</v>
      </c>
      <c r="DC468" s="72">
        <v>0.0</v>
      </c>
      <c r="DD468" s="72">
        <v>216380.0</v>
      </c>
      <c r="DE468" s="72">
        <v>0.0</v>
      </c>
      <c r="DF468" s="72">
        <v>0.0</v>
      </c>
      <c r="DG468" s="72">
        <v>0.0</v>
      </c>
      <c r="DH468" s="72">
        <v>216380.0</v>
      </c>
      <c r="DI468" s="73">
        <v>2.0482572163E10</v>
      </c>
      <c r="DJ468" s="74" t="s">
        <v>1502</v>
      </c>
      <c r="DK468" s="74" t="s">
        <v>132</v>
      </c>
      <c r="DL468" s="75"/>
      <c r="DM468" s="75"/>
      <c r="DN468" s="75"/>
      <c r="DO468" s="75"/>
      <c r="DP468" s="75"/>
      <c r="DQ468" s="75"/>
      <c r="DR468" s="75"/>
      <c r="DS468" s="75"/>
      <c r="DT468" s="75"/>
      <c r="DU468" s="75"/>
      <c r="DV468" s="75"/>
      <c r="DW468" s="75"/>
      <c r="DX468" s="75"/>
      <c r="DY468" s="75"/>
      <c r="DZ468" s="75"/>
      <c r="EA468" s="75"/>
      <c r="EB468" s="75"/>
      <c r="EC468" s="75"/>
      <c r="ED468" s="75"/>
      <c r="EE468" s="75"/>
    </row>
    <row r="469" ht="47.25" hidden="1" customHeight="1">
      <c r="A469" s="55" t="s">
        <v>1506</v>
      </c>
      <c r="B469" s="55" t="s">
        <v>236</v>
      </c>
      <c r="C469" s="55" t="s">
        <v>236</v>
      </c>
      <c r="D469" s="55" t="s">
        <v>785</v>
      </c>
      <c r="E469" s="55" t="s">
        <v>1507</v>
      </c>
      <c r="F469" s="55" t="s">
        <v>785</v>
      </c>
      <c r="G469" s="55" t="s">
        <v>1504</v>
      </c>
      <c r="H469" s="55" t="s">
        <v>1346</v>
      </c>
      <c r="I469" s="56"/>
      <c r="J469" s="56"/>
      <c r="K469" s="56"/>
      <c r="L469" s="56"/>
      <c r="M469" s="56"/>
      <c r="N469" s="56"/>
      <c r="O469" s="56">
        <v>1.0</v>
      </c>
      <c r="P469" s="56">
        <v>1.0</v>
      </c>
      <c r="Q469" s="56" t="s">
        <v>131</v>
      </c>
      <c r="R469" s="58" t="str">
        <f t="shared" si="1"/>
        <v>2024 - 2025</v>
      </c>
      <c r="S469" s="59" t="str">
        <f>SUM(Hoja1!$I469:$P469)</f>
        <v>2</v>
      </c>
      <c r="T469" s="59" t="str">
        <f>IF(OR(Hoja1!$J469=1,Hoja1!$K469=1,Hoja1!$L469=1,Hoja1!$M469=1,Hoja1!$N469=1,Hoja1!$O469=1,Hoja1!$P469=1),"SI","NO")</f>
        <v>SI</v>
      </c>
      <c r="U469" s="59" t="str">
        <f>IF(OR(Hoja1!$K469=1,Hoja1!$L469=1,Hoja1!$M469=1,Hoja1!$N469=1,Hoja1!$O469=1,Hoja1!$P469=1),"SI","NO")</f>
        <v>SI</v>
      </c>
      <c r="V469" s="60">
        <v>0.0</v>
      </c>
      <c r="W469" s="61">
        <v>0.0</v>
      </c>
      <c r="X469" s="61">
        <v>0.0</v>
      </c>
      <c r="Y469" s="60">
        <v>0.0</v>
      </c>
      <c r="Z469" s="61">
        <v>0.0</v>
      </c>
      <c r="AA469" s="61">
        <v>0.0</v>
      </c>
      <c r="AB469" s="60">
        <v>0.0</v>
      </c>
      <c r="AC469" s="61">
        <v>0.0</v>
      </c>
      <c r="AD469" s="61">
        <v>0.0</v>
      </c>
      <c r="AE469" s="60">
        <v>0.0</v>
      </c>
      <c r="AF469" s="61">
        <v>0.0</v>
      </c>
      <c r="AG469" s="61">
        <v>0.0</v>
      </c>
      <c r="AH469" s="60">
        <v>0.0</v>
      </c>
      <c r="AI469" s="61">
        <v>0.0</v>
      </c>
      <c r="AJ469" s="61">
        <v>0.0</v>
      </c>
      <c r="AK469" s="60">
        <v>0.0</v>
      </c>
      <c r="AL469" s="61">
        <v>67.0</v>
      </c>
      <c r="AM469" s="61">
        <v>18.0</v>
      </c>
      <c r="AN469" s="60">
        <v>85.0</v>
      </c>
      <c r="AO469" s="62">
        <v>0.0</v>
      </c>
      <c r="AP469" s="62">
        <v>0.0</v>
      </c>
      <c r="AQ469" s="60">
        <v>0.0</v>
      </c>
      <c r="AR469" s="60" t="str">
        <f>IF(Hoja1!$AQ469&gt;0,Hoja1!$AQ469,IF(Hoja1!$AN469&gt;0,Hoja1!$AN469,IF(Hoja1!$AK469&gt;0,Hoja1!$AK469,IF(Hoja1!$AH469&gt;0,Hoja1!$AH469,IF(Hoja1!$AE469&gt;0,Hoja1!$AE469,IF(Hoja1!$AB469&gt;0,Hoja1!$AB469,IF(Hoja1!$Y469&gt;0,Hoja1!$Y469,IF(Hoja1!$V469&gt;0,Hoja1!$V469," ---"))))))))</f>
        <v>85</v>
      </c>
      <c r="AS469" s="63">
        <v>0.0</v>
      </c>
      <c r="AT469" s="63">
        <v>0.0</v>
      </c>
      <c r="AU469" s="63">
        <v>0.0</v>
      </c>
      <c r="AV469" s="63">
        <v>0.0</v>
      </c>
      <c r="AW469" s="63">
        <v>0.0</v>
      </c>
      <c r="AX469" s="63">
        <v>0.0</v>
      </c>
      <c r="AY469" s="63">
        <v>0.0</v>
      </c>
      <c r="AZ469" s="63">
        <v>0.0</v>
      </c>
      <c r="BA469" s="63">
        <v>2.0</v>
      </c>
      <c r="BB469" s="63">
        <v>0.0</v>
      </c>
      <c r="BC469" s="63">
        <v>0.0</v>
      </c>
      <c r="BD469" s="63">
        <v>0.0</v>
      </c>
      <c r="BE469" s="64">
        <v>0.0</v>
      </c>
      <c r="BF469" s="69">
        <v>0.0</v>
      </c>
      <c r="BG469" s="69">
        <v>0.0</v>
      </c>
      <c r="BH469" s="64">
        <v>0.0</v>
      </c>
      <c r="BI469" s="67" t="str">
        <f t="shared" si="156"/>
        <v>#REF!</v>
      </c>
      <c r="BJ469" s="68" t="str">
        <f t="shared" si="157"/>
        <v>#REF!</v>
      </c>
      <c r="BK469" s="69">
        <v>0.0</v>
      </c>
      <c r="BL469" s="69">
        <v>0.0</v>
      </c>
      <c r="BM469" s="64">
        <v>0.0</v>
      </c>
      <c r="BN469" s="67" t="str">
        <f t="shared" si="158"/>
        <v>#REF!</v>
      </c>
      <c r="BO469" s="68" t="str">
        <f t="shared" si="159"/>
        <v>#REF!</v>
      </c>
      <c r="BP469" s="65">
        <v>0.0</v>
      </c>
      <c r="BQ469" s="65">
        <v>0.0</v>
      </c>
      <c r="BR469" s="66">
        <v>0.0</v>
      </c>
      <c r="BS469" s="67" t="str">
        <f t="shared" si="160"/>
        <v>#REF!</v>
      </c>
      <c r="BT469" s="68" t="str">
        <f>'[1]DATA CONSOLIDADA 2018-2025 '!$BR469-Hoja1!$BO469</f>
        <v>#REF!</v>
      </c>
      <c r="BU469" s="69">
        <v>0.0</v>
      </c>
      <c r="BV469" s="65">
        <v>0.0</v>
      </c>
      <c r="BW469" s="66">
        <v>0.0</v>
      </c>
      <c r="BX469" s="67" t="str">
        <f t="shared" si="161"/>
        <v>#REF!</v>
      </c>
      <c r="BY469" s="68" t="str">
        <f t="shared" si="162"/>
        <v>#REF!</v>
      </c>
      <c r="BZ469" s="65">
        <v>0.0</v>
      </c>
      <c r="CA469" s="65">
        <v>0.0</v>
      </c>
      <c r="CB469" s="66">
        <v>0.0</v>
      </c>
      <c r="CC469" s="67" t="str">
        <f t="shared" si="163"/>
        <v>#REF!</v>
      </c>
      <c r="CD469" s="68" t="str">
        <f>'[1]DATA CONSOLIDADA 2018-2025 '!$CB469-Hoja1!$BW469</f>
        <v>#REF!</v>
      </c>
      <c r="CE469" s="70">
        <v>47580.0</v>
      </c>
      <c r="CF469" s="70">
        <v>0.0</v>
      </c>
      <c r="CG469" s="71">
        <v>47580.0</v>
      </c>
      <c r="CH469" s="67" t="str">
        <f t="shared" si="164"/>
        <v>#REF!</v>
      </c>
      <c r="CI469" s="68" t="str">
        <f>'[1]DATA CONSOLIDADA 2018-2025 '!$CG469-Hoja1!$CB469</f>
        <v>#REF!</v>
      </c>
      <c r="CJ469" s="64" t="str">
        <f t="shared" si="165"/>
        <v>#REF!</v>
      </c>
      <c r="CK469" s="64">
        <v>48750.0</v>
      </c>
      <c r="CL469" s="64">
        <v>0.0</v>
      </c>
      <c r="CM469" s="64">
        <v>48750.0</v>
      </c>
      <c r="CN469" s="64" t="str">
        <f t="shared" si="12"/>
        <v>#REF!</v>
      </c>
      <c r="CO469" s="68" t="str">
        <f>'[1]DATA CONSOLIDADA 2018-2025 '!$CM469-Hoja1!$CG469</f>
        <v>#REF!</v>
      </c>
      <c r="CP469" s="70">
        <v>0.0</v>
      </c>
      <c r="CQ469" s="70">
        <v>0.0</v>
      </c>
      <c r="CR469" s="70">
        <v>0.0</v>
      </c>
      <c r="CS469" s="70">
        <v>0.0</v>
      </c>
      <c r="CT469" s="70">
        <v>0.0</v>
      </c>
      <c r="CU469" s="70">
        <v>0.0</v>
      </c>
      <c r="CV469" s="64">
        <v>0.0</v>
      </c>
      <c r="CW469" s="64">
        <v>0.0</v>
      </c>
      <c r="CX469" s="64">
        <v>47580.0</v>
      </c>
      <c r="CY469" s="64">
        <v>0.0</v>
      </c>
      <c r="CZ469" s="64">
        <v>0.0</v>
      </c>
      <c r="DA469" s="64">
        <v>0.0</v>
      </c>
      <c r="DB469" s="64">
        <v>47580.0</v>
      </c>
      <c r="DC469" s="72">
        <v>0.0</v>
      </c>
      <c r="DD469" s="72">
        <v>48750.0</v>
      </c>
      <c r="DE469" s="72">
        <v>0.0</v>
      </c>
      <c r="DF469" s="72">
        <v>0.0</v>
      </c>
      <c r="DG469" s="72">
        <v>0.0</v>
      </c>
      <c r="DH469" s="72">
        <v>48750.0</v>
      </c>
      <c r="DI469" s="73">
        <v>2.060991784E10</v>
      </c>
      <c r="DJ469" s="74" t="s">
        <v>1506</v>
      </c>
      <c r="DK469" s="74" t="s">
        <v>138</v>
      </c>
      <c r="DL469" s="75"/>
      <c r="DM469" s="75"/>
      <c r="DN469" s="75"/>
      <c r="DO469" s="75"/>
      <c r="DP469" s="75"/>
      <c r="DQ469" s="75"/>
      <c r="DR469" s="75"/>
      <c r="DS469" s="75"/>
      <c r="DT469" s="75"/>
      <c r="DU469" s="75"/>
      <c r="DV469" s="75"/>
      <c r="DW469" s="75"/>
      <c r="DX469" s="75"/>
      <c r="DY469" s="75"/>
      <c r="DZ469" s="75"/>
      <c r="EA469" s="75"/>
      <c r="EB469" s="75"/>
      <c r="EC469" s="75"/>
      <c r="ED469" s="75"/>
      <c r="EE469" s="75"/>
    </row>
    <row r="470" ht="47.25" hidden="1" customHeight="1">
      <c r="A470" s="55" t="s">
        <v>1508</v>
      </c>
      <c r="B470" s="55" t="s">
        <v>126</v>
      </c>
      <c r="C470" s="55" t="s">
        <v>126</v>
      </c>
      <c r="D470" s="55" t="s">
        <v>768</v>
      </c>
      <c r="E470" s="55" t="s">
        <v>773</v>
      </c>
      <c r="F470" s="55" t="s">
        <v>768</v>
      </c>
      <c r="G470" s="55" t="s">
        <v>774</v>
      </c>
      <c r="H470" s="55" t="s">
        <v>775</v>
      </c>
      <c r="I470" s="56"/>
      <c r="J470" s="56"/>
      <c r="K470" s="56"/>
      <c r="L470" s="56"/>
      <c r="M470" s="56"/>
      <c r="N470" s="56"/>
      <c r="O470" s="56">
        <v>1.0</v>
      </c>
      <c r="P470" s="56">
        <v>1.0</v>
      </c>
      <c r="Q470" s="56" t="s">
        <v>131</v>
      </c>
      <c r="R470" s="58" t="str">
        <f t="shared" si="1"/>
        <v>2024 - 2025</v>
      </c>
      <c r="S470" s="59" t="str">
        <f>SUM(Hoja1!$I470:$P470)</f>
        <v>2</v>
      </c>
      <c r="T470" s="59" t="str">
        <f>IF(OR(Hoja1!$J470=1,Hoja1!$K470=1,Hoja1!$L470=1,Hoja1!$M470=1,Hoja1!$N470=1,Hoja1!$O470=1,Hoja1!$P470=1),"SI","NO")</f>
        <v>SI</v>
      </c>
      <c r="U470" s="59" t="str">
        <f>IF(OR(Hoja1!$K470=1,Hoja1!$L470=1,Hoja1!$M470=1,Hoja1!$N470=1,Hoja1!$O470=1,Hoja1!$P470=1),"SI","NO")</f>
        <v>SI</v>
      </c>
      <c r="V470" s="60">
        <v>0.0</v>
      </c>
      <c r="W470" s="61">
        <v>0.0</v>
      </c>
      <c r="X470" s="61">
        <v>0.0</v>
      </c>
      <c r="Y470" s="60">
        <v>0.0</v>
      </c>
      <c r="Z470" s="61">
        <v>0.0</v>
      </c>
      <c r="AA470" s="61">
        <v>0.0</v>
      </c>
      <c r="AB470" s="60">
        <v>0.0</v>
      </c>
      <c r="AC470" s="61">
        <v>0.0</v>
      </c>
      <c r="AD470" s="61">
        <v>0.0</v>
      </c>
      <c r="AE470" s="60">
        <v>0.0</v>
      </c>
      <c r="AF470" s="61">
        <v>0.0</v>
      </c>
      <c r="AG470" s="61">
        <v>0.0</v>
      </c>
      <c r="AH470" s="60">
        <v>0.0</v>
      </c>
      <c r="AI470" s="61">
        <v>0.0</v>
      </c>
      <c r="AJ470" s="61">
        <v>0.0</v>
      </c>
      <c r="AK470" s="60">
        <v>0.0</v>
      </c>
      <c r="AL470" s="61">
        <v>55.0</v>
      </c>
      <c r="AM470" s="61">
        <v>35.0</v>
      </c>
      <c r="AN470" s="60">
        <v>90.0</v>
      </c>
      <c r="AO470" s="62">
        <v>48.0</v>
      </c>
      <c r="AP470" s="62">
        <v>31.0</v>
      </c>
      <c r="AQ470" s="60">
        <v>79.0</v>
      </c>
      <c r="AR470" s="60" t="str">
        <f>IF(Hoja1!$AQ470&gt;0,Hoja1!$AQ470,IF(Hoja1!$AN470&gt;0,Hoja1!$AN470,IF(Hoja1!$AK470&gt;0,Hoja1!$AK470,IF(Hoja1!$AH470&gt;0,Hoja1!$AH470,IF(Hoja1!$AE470&gt;0,Hoja1!$AE470,IF(Hoja1!$AB470&gt;0,Hoja1!$AB470,IF(Hoja1!$Y470&gt;0,Hoja1!$Y470,IF(Hoja1!$V470&gt;0,Hoja1!$V470," ---"))))))))</f>
        <v>79</v>
      </c>
      <c r="AS470" s="63">
        <v>0.0</v>
      </c>
      <c r="AT470" s="63">
        <v>0.0</v>
      </c>
      <c r="AU470" s="63">
        <v>0.0</v>
      </c>
      <c r="AV470" s="63">
        <v>0.0</v>
      </c>
      <c r="AW470" s="63">
        <v>0.0</v>
      </c>
      <c r="AX470" s="63">
        <v>0.0</v>
      </c>
      <c r="AY470" s="63">
        <v>0.0</v>
      </c>
      <c r="AZ470" s="63">
        <v>0.0</v>
      </c>
      <c r="BA470" s="63">
        <v>42.0</v>
      </c>
      <c r="BB470" s="63">
        <v>9.0</v>
      </c>
      <c r="BC470" s="63">
        <v>118.0</v>
      </c>
      <c r="BD470" s="63">
        <v>7.0</v>
      </c>
      <c r="BE470" s="64">
        <v>0.0</v>
      </c>
      <c r="BF470" s="69">
        <v>0.0</v>
      </c>
      <c r="BG470" s="69">
        <v>0.0</v>
      </c>
      <c r="BH470" s="64">
        <v>0.0</v>
      </c>
      <c r="BI470" s="67" t="str">
        <f t="shared" si="156"/>
        <v>#REF!</v>
      </c>
      <c r="BJ470" s="68" t="str">
        <f t="shared" si="157"/>
        <v>#REF!</v>
      </c>
      <c r="BK470" s="69">
        <v>0.0</v>
      </c>
      <c r="BL470" s="69">
        <v>0.0</v>
      </c>
      <c r="BM470" s="64">
        <v>0.0</v>
      </c>
      <c r="BN470" s="67" t="str">
        <f t="shared" si="158"/>
        <v>#REF!</v>
      </c>
      <c r="BO470" s="68" t="str">
        <f t="shared" si="159"/>
        <v>#REF!</v>
      </c>
      <c r="BP470" s="65">
        <v>0.0</v>
      </c>
      <c r="BQ470" s="65">
        <v>0.0</v>
      </c>
      <c r="BR470" s="66">
        <v>0.0</v>
      </c>
      <c r="BS470" s="67" t="str">
        <f t="shared" si="160"/>
        <v>#REF!</v>
      </c>
      <c r="BT470" s="68" t="str">
        <f>'[1]DATA CONSOLIDADA 2018-2025 '!$BR470-Hoja1!$BO470</f>
        <v>#REF!</v>
      </c>
      <c r="BU470" s="69">
        <v>0.0</v>
      </c>
      <c r="BV470" s="65">
        <v>0.0</v>
      </c>
      <c r="BW470" s="66">
        <v>0.0</v>
      </c>
      <c r="BX470" s="67" t="str">
        <f t="shared" si="161"/>
        <v>#REF!</v>
      </c>
      <c r="BY470" s="68" t="str">
        <f t="shared" si="162"/>
        <v>#REF!</v>
      </c>
      <c r="BZ470" s="65">
        <v>0.0</v>
      </c>
      <c r="CA470" s="65">
        <v>0.0</v>
      </c>
      <c r="CB470" s="66">
        <v>0.0</v>
      </c>
      <c r="CC470" s="67" t="str">
        <f t="shared" si="163"/>
        <v>#REF!</v>
      </c>
      <c r="CD470" s="68" t="str">
        <f>'[1]DATA CONSOLIDADA 2018-2025 '!$CB470-Hoja1!$BW470</f>
        <v>#REF!</v>
      </c>
      <c r="CE470" s="70">
        <v>0.0</v>
      </c>
      <c r="CF470" s="70">
        <v>0.0</v>
      </c>
      <c r="CG470" s="71">
        <v>0.0</v>
      </c>
      <c r="CH470" s="67" t="str">
        <f t="shared" si="164"/>
        <v>#REF!</v>
      </c>
      <c r="CI470" s="68" t="str">
        <f>'[1]DATA CONSOLIDADA 2018-2025 '!$CG470-Hoja1!$CB470</f>
        <v>#REF!</v>
      </c>
      <c r="CJ470" s="64" t="str">
        <f t="shared" si="165"/>
        <v>#REF!</v>
      </c>
      <c r="CK470" s="64">
        <v>306942.9980146</v>
      </c>
      <c r="CL470" s="64">
        <v>0.0</v>
      </c>
      <c r="CM470" s="64">
        <v>306942.9980146</v>
      </c>
      <c r="CN470" s="64" t="str">
        <f t="shared" si="12"/>
        <v>#REF!</v>
      </c>
      <c r="CO470" s="68" t="str">
        <f>'[1]DATA CONSOLIDADA 2018-2025 '!$CM470-Hoja1!$CG470</f>
        <v>#REF!</v>
      </c>
      <c r="CP470" s="70">
        <v>0.0</v>
      </c>
      <c r="CQ470" s="70">
        <v>0.0</v>
      </c>
      <c r="CR470" s="70">
        <v>0.0</v>
      </c>
      <c r="CS470" s="70">
        <v>0.0</v>
      </c>
      <c r="CT470" s="70">
        <v>0.0</v>
      </c>
      <c r="CU470" s="70">
        <v>0.0</v>
      </c>
      <c r="CV470" s="64">
        <v>0.0</v>
      </c>
      <c r="CW470" s="64">
        <v>0.0</v>
      </c>
      <c r="CX470" s="64">
        <v>0.0</v>
      </c>
      <c r="CY470" s="64">
        <v>0.0</v>
      </c>
      <c r="CZ470" s="64">
        <v>0.0</v>
      </c>
      <c r="DA470" s="64">
        <v>0.0</v>
      </c>
      <c r="DB470" s="64">
        <v>0.0</v>
      </c>
      <c r="DC470" s="72">
        <v>0.0</v>
      </c>
      <c r="DD470" s="72">
        <v>306942.9980146</v>
      </c>
      <c r="DE470" s="72">
        <v>0.0</v>
      </c>
      <c r="DF470" s="72">
        <v>0.0</v>
      </c>
      <c r="DG470" s="72">
        <v>0.0</v>
      </c>
      <c r="DH470" s="72">
        <v>306942.9980146</v>
      </c>
      <c r="DI470" s="73">
        <v>2.0607775185E10</v>
      </c>
      <c r="DJ470" s="74" t="s">
        <v>1509</v>
      </c>
      <c r="DK470" s="74" t="s">
        <v>138</v>
      </c>
      <c r="DL470" s="75"/>
      <c r="DM470" s="75"/>
      <c r="DN470" s="75"/>
      <c r="DO470" s="75"/>
      <c r="DP470" s="75"/>
      <c r="DQ470" s="75"/>
      <c r="DR470" s="75"/>
      <c r="DS470" s="75"/>
      <c r="DT470" s="75"/>
      <c r="DU470" s="75"/>
      <c r="DV470" s="75"/>
      <c r="DW470" s="75"/>
      <c r="DX470" s="75"/>
      <c r="DY470" s="75"/>
      <c r="DZ470" s="75"/>
      <c r="EA470" s="75"/>
      <c r="EB470" s="75"/>
      <c r="EC470" s="75"/>
      <c r="ED470" s="75"/>
      <c r="EE470" s="75"/>
    </row>
    <row r="471" ht="47.25" hidden="1" customHeight="1">
      <c r="A471" s="55" t="s">
        <v>1510</v>
      </c>
      <c r="B471" s="55" t="s">
        <v>126</v>
      </c>
      <c r="C471" s="55" t="s">
        <v>126</v>
      </c>
      <c r="D471" s="55" t="s">
        <v>768</v>
      </c>
      <c r="E471" s="55" t="s">
        <v>773</v>
      </c>
      <c r="F471" s="55" t="s">
        <v>768</v>
      </c>
      <c r="G471" s="55" t="s">
        <v>774</v>
      </c>
      <c r="H471" s="55" t="s">
        <v>775</v>
      </c>
      <c r="I471" s="56"/>
      <c r="J471" s="56"/>
      <c r="K471" s="56"/>
      <c r="L471" s="56"/>
      <c r="M471" s="56"/>
      <c r="N471" s="56"/>
      <c r="O471" s="56">
        <v>1.0</v>
      </c>
      <c r="P471" s="56">
        <v>1.0</v>
      </c>
      <c r="Q471" s="56" t="s">
        <v>131</v>
      </c>
      <c r="R471" s="58" t="str">
        <f t="shared" si="1"/>
        <v>2024 - 2025</v>
      </c>
      <c r="S471" s="59" t="str">
        <f>SUM(Hoja1!$I471:$P471)</f>
        <v>2</v>
      </c>
      <c r="T471" s="59" t="str">
        <f>IF(OR(Hoja1!$J471=1,Hoja1!$K471=1,Hoja1!$L471=1,Hoja1!$M471=1,Hoja1!$N471=1,Hoja1!$O471=1,Hoja1!$P471=1),"SI","NO")</f>
        <v>SI</v>
      </c>
      <c r="U471" s="59" t="str">
        <f>IF(OR(Hoja1!$K471=1,Hoja1!$L471=1,Hoja1!$M471=1,Hoja1!$N471=1,Hoja1!$O471=1,Hoja1!$P471=1),"SI","NO")</f>
        <v>SI</v>
      </c>
      <c r="V471" s="60">
        <v>0.0</v>
      </c>
      <c r="W471" s="61">
        <v>0.0</v>
      </c>
      <c r="X471" s="61">
        <v>0.0</v>
      </c>
      <c r="Y471" s="60">
        <v>0.0</v>
      </c>
      <c r="Z471" s="61">
        <v>0.0</v>
      </c>
      <c r="AA471" s="61">
        <v>0.0</v>
      </c>
      <c r="AB471" s="60">
        <v>0.0</v>
      </c>
      <c r="AC471" s="61">
        <v>0.0</v>
      </c>
      <c r="AD471" s="61">
        <v>0.0</v>
      </c>
      <c r="AE471" s="60">
        <v>0.0</v>
      </c>
      <c r="AF471" s="61">
        <v>0.0</v>
      </c>
      <c r="AG471" s="61">
        <v>0.0</v>
      </c>
      <c r="AH471" s="60">
        <v>0.0</v>
      </c>
      <c r="AI471" s="61">
        <v>0.0</v>
      </c>
      <c r="AJ471" s="61">
        <v>0.0</v>
      </c>
      <c r="AK471" s="60">
        <v>0.0</v>
      </c>
      <c r="AL471" s="61">
        <v>8.0</v>
      </c>
      <c r="AM471" s="61">
        <v>27.0</v>
      </c>
      <c r="AN471" s="60">
        <v>35.0</v>
      </c>
      <c r="AO471" s="62">
        <v>1.0</v>
      </c>
      <c r="AP471" s="62">
        <v>14.0</v>
      </c>
      <c r="AQ471" s="60">
        <v>15.0</v>
      </c>
      <c r="AR471" s="60" t="str">
        <f>IF(Hoja1!$AQ471&gt;0,Hoja1!$AQ471,IF(Hoja1!$AN471&gt;0,Hoja1!$AN471,IF(Hoja1!$AK471&gt;0,Hoja1!$AK471,IF(Hoja1!$AH471&gt;0,Hoja1!$AH471,IF(Hoja1!$AE471&gt;0,Hoja1!$AE471,IF(Hoja1!$AB471&gt;0,Hoja1!$AB471,IF(Hoja1!$Y471&gt;0,Hoja1!$Y471,IF(Hoja1!$V471&gt;0,Hoja1!$V471," ---"))))))))</f>
        <v>15</v>
      </c>
      <c r="AS471" s="63">
        <v>0.0</v>
      </c>
      <c r="AT471" s="63">
        <v>0.0</v>
      </c>
      <c r="AU471" s="63">
        <v>0.0</v>
      </c>
      <c r="AV471" s="63">
        <v>0.0</v>
      </c>
      <c r="AW471" s="63">
        <v>0.0</v>
      </c>
      <c r="AX471" s="63">
        <v>0.0</v>
      </c>
      <c r="AY471" s="63">
        <v>0.0</v>
      </c>
      <c r="AZ471" s="63">
        <v>0.0</v>
      </c>
      <c r="BA471" s="63">
        <v>50.0</v>
      </c>
      <c r="BB471" s="63">
        <v>7.0</v>
      </c>
      <c r="BC471" s="63">
        <v>166.0</v>
      </c>
      <c r="BD471" s="63">
        <v>3.0</v>
      </c>
      <c r="BE471" s="64">
        <v>0.0</v>
      </c>
      <c r="BF471" s="69">
        <v>0.0</v>
      </c>
      <c r="BG471" s="69">
        <v>0.0</v>
      </c>
      <c r="BH471" s="64">
        <v>0.0</v>
      </c>
      <c r="BI471" s="67" t="str">
        <f t="shared" si="156"/>
        <v>#REF!</v>
      </c>
      <c r="BJ471" s="68" t="str">
        <f t="shared" si="157"/>
        <v>#REF!</v>
      </c>
      <c r="BK471" s="69">
        <v>0.0</v>
      </c>
      <c r="BL471" s="69">
        <v>0.0</v>
      </c>
      <c r="BM471" s="64">
        <v>0.0</v>
      </c>
      <c r="BN471" s="67" t="str">
        <f t="shared" si="158"/>
        <v>#REF!</v>
      </c>
      <c r="BO471" s="68" t="str">
        <f t="shared" si="159"/>
        <v>#REF!</v>
      </c>
      <c r="BP471" s="65">
        <v>0.0</v>
      </c>
      <c r="BQ471" s="65">
        <v>0.0</v>
      </c>
      <c r="BR471" s="66">
        <v>0.0</v>
      </c>
      <c r="BS471" s="67" t="str">
        <f t="shared" si="160"/>
        <v>#REF!</v>
      </c>
      <c r="BT471" s="68" t="str">
        <f>'[1]DATA CONSOLIDADA 2018-2025 '!$BR471-Hoja1!$BO471</f>
        <v>#REF!</v>
      </c>
      <c r="BU471" s="69">
        <v>0.0</v>
      </c>
      <c r="BV471" s="65">
        <v>0.0</v>
      </c>
      <c r="BW471" s="66">
        <v>0.0</v>
      </c>
      <c r="BX471" s="67" t="str">
        <f t="shared" si="161"/>
        <v>#REF!</v>
      </c>
      <c r="BY471" s="68" t="str">
        <f t="shared" si="162"/>
        <v>#REF!</v>
      </c>
      <c r="BZ471" s="65">
        <v>0.0</v>
      </c>
      <c r="CA471" s="65">
        <v>0.0</v>
      </c>
      <c r="CB471" s="66">
        <v>0.0</v>
      </c>
      <c r="CC471" s="67" t="str">
        <f t="shared" si="163"/>
        <v>#REF!</v>
      </c>
      <c r="CD471" s="68" t="str">
        <f>'[1]DATA CONSOLIDADA 2018-2025 '!$CB471-Hoja1!$BW471</f>
        <v>#REF!</v>
      </c>
      <c r="CE471" s="70">
        <v>0.0</v>
      </c>
      <c r="CF471" s="70">
        <v>0.0</v>
      </c>
      <c r="CG471" s="71">
        <v>0.0</v>
      </c>
      <c r="CH471" s="67" t="str">
        <f t="shared" si="164"/>
        <v>#REF!</v>
      </c>
      <c r="CI471" s="68" t="str">
        <f>'[1]DATA CONSOLIDADA 2018-2025 '!$CG471-Hoja1!$CB471</f>
        <v>#REF!</v>
      </c>
      <c r="CJ471" s="64" t="str">
        <f t="shared" si="165"/>
        <v>#REF!</v>
      </c>
      <c r="CK471" s="64">
        <v>168424.62</v>
      </c>
      <c r="CL471" s="64">
        <v>0.0</v>
      </c>
      <c r="CM471" s="64">
        <v>168424.62</v>
      </c>
      <c r="CN471" s="64" t="str">
        <f t="shared" si="12"/>
        <v>#REF!</v>
      </c>
      <c r="CO471" s="68" t="str">
        <f>'[1]DATA CONSOLIDADA 2018-2025 '!$CM471-Hoja1!$CG471</f>
        <v>#REF!</v>
      </c>
      <c r="CP471" s="70">
        <v>0.0</v>
      </c>
      <c r="CQ471" s="70">
        <v>0.0</v>
      </c>
      <c r="CR471" s="70">
        <v>0.0</v>
      </c>
      <c r="CS471" s="70">
        <v>0.0</v>
      </c>
      <c r="CT471" s="70">
        <v>0.0</v>
      </c>
      <c r="CU471" s="70">
        <v>0.0</v>
      </c>
      <c r="CV471" s="64">
        <v>0.0</v>
      </c>
      <c r="CW471" s="64">
        <v>0.0</v>
      </c>
      <c r="CX471" s="64">
        <v>0.0</v>
      </c>
      <c r="CY471" s="64">
        <v>0.0</v>
      </c>
      <c r="CZ471" s="64">
        <v>0.0</v>
      </c>
      <c r="DA471" s="64">
        <v>0.0</v>
      </c>
      <c r="DB471" s="64">
        <v>0.0</v>
      </c>
      <c r="DC471" s="72">
        <v>0.0</v>
      </c>
      <c r="DD471" s="72">
        <v>168424.62</v>
      </c>
      <c r="DE471" s="72">
        <v>0.0</v>
      </c>
      <c r="DF471" s="72">
        <v>0.0</v>
      </c>
      <c r="DG471" s="72">
        <v>0.0</v>
      </c>
      <c r="DH471" s="72">
        <v>168424.62</v>
      </c>
      <c r="DI471" s="73">
        <v>2.0610772553E10</v>
      </c>
      <c r="DJ471" s="74" t="s">
        <v>1511</v>
      </c>
      <c r="DK471" s="74" t="s">
        <v>138</v>
      </c>
      <c r="DL471" s="75"/>
      <c r="DM471" s="75"/>
      <c r="DN471" s="75"/>
      <c r="DO471" s="75"/>
      <c r="DP471" s="75"/>
      <c r="DQ471" s="75"/>
      <c r="DR471" s="75"/>
      <c r="DS471" s="75"/>
      <c r="DT471" s="75"/>
      <c r="DU471" s="75"/>
      <c r="DV471" s="75"/>
      <c r="DW471" s="75"/>
      <c r="DX471" s="75"/>
      <c r="DY471" s="75"/>
      <c r="DZ471" s="75"/>
      <c r="EA471" s="75"/>
      <c r="EB471" s="75"/>
      <c r="EC471" s="75"/>
      <c r="ED471" s="75"/>
      <c r="EE471" s="75"/>
    </row>
    <row r="472" ht="47.25" hidden="1" customHeight="1">
      <c r="A472" s="55" t="s">
        <v>1512</v>
      </c>
      <c r="B472" s="55" t="s">
        <v>126</v>
      </c>
      <c r="C472" s="55" t="s">
        <v>126</v>
      </c>
      <c r="D472" s="55" t="s">
        <v>768</v>
      </c>
      <c r="E472" s="55" t="s">
        <v>769</v>
      </c>
      <c r="F472" s="55" t="s">
        <v>768</v>
      </c>
      <c r="G472" s="55" t="s">
        <v>768</v>
      </c>
      <c r="H472" s="55" t="s">
        <v>770</v>
      </c>
      <c r="I472" s="56"/>
      <c r="J472" s="56"/>
      <c r="K472" s="56"/>
      <c r="L472" s="56"/>
      <c r="M472" s="56"/>
      <c r="N472" s="56"/>
      <c r="O472" s="56">
        <v>1.0</v>
      </c>
      <c r="P472" s="56">
        <v>1.0</v>
      </c>
      <c r="Q472" s="56" t="s">
        <v>131</v>
      </c>
      <c r="R472" s="58" t="str">
        <f t="shared" si="1"/>
        <v>2024 - 2025</v>
      </c>
      <c r="S472" s="59" t="str">
        <f>SUM(Hoja1!$I472:$P472)</f>
        <v>2</v>
      </c>
      <c r="T472" s="59" t="str">
        <f>IF(OR(Hoja1!$J472=1,Hoja1!$K472=1,Hoja1!$L472=1,Hoja1!$M472=1,Hoja1!$N472=1,Hoja1!$O472=1,Hoja1!$P472=1),"SI","NO")</f>
        <v>SI</v>
      </c>
      <c r="U472" s="59" t="str">
        <f>IF(OR(Hoja1!$K472=1,Hoja1!$L472=1,Hoja1!$M472=1,Hoja1!$N472=1,Hoja1!$O472=1,Hoja1!$P472=1),"SI","NO")</f>
        <v>SI</v>
      </c>
      <c r="V472" s="60">
        <v>0.0</v>
      </c>
      <c r="W472" s="61">
        <v>0.0</v>
      </c>
      <c r="X472" s="61">
        <v>0.0</v>
      </c>
      <c r="Y472" s="60">
        <v>0.0</v>
      </c>
      <c r="Z472" s="61">
        <v>0.0</v>
      </c>
      <c r="AA472" s="61">
        <v>0.0</v>
      </c>
      <c r="AB472" s="60">
        <v>0.0</v>
      </c>
      <c r="AC472" s="61">
        <v>0.0</v>
      </c>
      <c r="AD472" s="61">
        <v>0.0</v>
      </c>
      <c r="AE472" s="60">
        <v>0.0</v>
      </c>
      <c r="AF472" s="61">
        <v>0.0</v>
      </c>
      <c r="AG472" s="61">
        <v>0.0</v>
      </c>
      <c r="AH472" s="60">
        <v>0.0</v>
      </c>
      <c r="AI472" s="61">
        <v>0.0</v>
      </c>
      <c r="AJ472" s="61">
        <v>0.0</v>
      </c>
      <c r="AK472" s="60">
        <v>0.0</v>
      </c>
      <c r="AL472" s="61">
        <v>30.0</v>
      </c>
      <c r="AM472" s="61">
        <v>19.0</v>
      </c>
      <c r="AN472" s="60">
        <v>49.0</v>
      </c>
      <c r="AO472" s="62">
        <v>29.0</v>
      </c>
      <c r="AP472" s="62">
        <v>13.0</v>
      </c>
      <c r="AQ472" s="60">
        <v>42.0</v>
      </c>
      <c r="AR472" s="60" t="str">
        <f>IF(Hoja1!$AQ472&gt;0,Hoja1!$AQ472,IF(Hoja1!$AN472&gt;0,Hoja1!$AN472,IF(Hoja1!$AK472&gt;0,Hoja1!$AK472,IF(Hoja1!$AH472&gt;0,Hoja1!$AH472,IF(Hoja1!$AE472&gt;0,Hoja1!$AE472,IF(Hoja1!$AB472&gt;0,Hoja1!$AB472,IF(Hoja1!$Y472&gt;0,Hoja1!$Y472,IF(Hoja1!$V472&gt;0,Hoja1!$V472," ---"))))))))</f>
        <v>42</v>
      </c>
      <c r="AS472" s="63">
        <v>0.0</v>
      </c>
      <c r="AT472" s="63">
        <v>0.0</v>
      </c>
      <c r="AU472" s="63">
        <v>0.0</v>
      </c>
      <c r="AV472" s="63">
        <v>0.0</v>
      </c>
      <c r="AW472" s="63">
        <v>0.0</v>
      </c>
      <c r="AX472" s="63">
        <v>0.0</v>
      </c>
      <c r="AY472" s="63">
        <v>0.0</v>
      </c>
      <c r="AZ472" s="63">
        <v>0.0</v>
      </c>
      <c r="BA472" s="63">
        <v>53.0</v>
      </c>
      <c r="BB472" s="63">
        <v>4.0</v>
      </c>
      <c r="BC472" s="63">
        <v>50.0</v>
      </c>
      <c r="BD472" s="63">
        <v>4.0</v>
      </c>
      <c r="BE472" s="64">
        <v>0.0</v>
      </c>
      <c r="BF472" s="69">
        <v>0.0</v>
      </c>
      <c r="BG472" s="69">
        <v>0.0</v>
      </c>
      <c r="BH472" s="64">
        <v>0.0</v>
      </c>
      <c r="BI472" s="67" t="str">
        <f t="shared" si="156"/>
        <v>#REF!</v>
      </c>
      <c r="BJ472" s="68" t="str">
        <f t="shared" si="157"/>
        <v>#REF!</v>
      </c>
      <c r="BK472" s="69">
        <v>0.0</v>
      </c>
      <c r="BL472" s="69">
        <v>0.0</v>
      </c>
      <c r="BM472" s="64">
        <v>0.0</v>
      </c>
      <c r="BN472" s="67" t="str">
        <f t="shared" si="158"/>
        <v>#REF!</v>
      </c>
      <c r="BO472" s="68" t="str">
        <f t="shared" si="159"/>
        <v>#REF!</v>
      </c>
      <c r="BP472" s="65">
        <v>0.0</v>
      </c>
      <c r="BQ472" s="65">
        <v>0.0</v>
      </c>
      <c r="BR472" s="66">
        <v>0.0</v>
      </c>
      <c r="BS472" s="67" t="str">
        <f t="shared" si="160"/>
        <v>#REF!</v>
      </c>
      <c r="BT472" s="68" t="str">
        <f>'[1]DATA CONSOLIDADA 2018-2025 '!$BR472-Hoja1!$BO472</f>
        <v>#REF!</v>
      </c>
      <c r="BU472" s="69">
        <v>0.0</v>
      </c>
      <c r="BV472" s="65">
        <v>0.0</v>
      </c>
      <c r="BW472" s="66">
        <v>0.0</v>
      </c>
      <c r="BX472" s="67" t="str">
        <f t="shared" si="161"/>
        <v>#REF!</v>
      </c>
      <c r="BY472" s="68" t="str">
        <f t="shared" si="162"/>
        <v>#REF!</v>
      </c>
      <c r="BZ472" s="65">
        <v>0.0</v>
      </c>
      <c r="CA472" s="65">
        <v>0.0</v>
      </c>
      <c r="CB472" s="66">
        <v>0.0</v>
      </c>
      <c r="CC472" s="67" t="str">
        <f t="shared" si="163"/>
        <v>#REF!</v>
      </c>
      <c r="CD472" s="68" t="str">
        <f>'[1]DATA CONSOLIDADA 2018-2025 '!$CB472-Hoja1!$BW472</f>
        <v>#REF!</v>
      </c>
      <c r="CE472" s="70">
        <v>0.0</v>
      </c>
      <c r="CF472" s="70">
        <v>0.0</v>
      </c>
      <c r="CG472" s="71">
        <v>0.0</v>
      </c>
      <c r="CH472" s="67" t="str">
        <f t="shared" si="164"/>
        <v>#REF!</v>
      </c>
      <c r="CI472" s="68" t="str">
        <f>'[1]DATA CONSOLIDADA 2018-2025 '!$CG472-Hoja1!$CB472</f>
        <v>#REF!</v>
      </c>
      <c r="CJ472" s="64" t="str">
        <f t="shared" si="165"/>
        <v>#REF!</v>
      </c>
      <c r="CK472" s="64">
        <v>82027.35890620001</v>
      </c>
      <c r="CL472" s="64">
        <v>0.0</v>
      </c>
      <c r="CM472" s="64">
        <v>82027.35890620001</v>
      </c>
      <c r="CN472" s="64" t="str">
        <f t="shared" si="12"/>
        <v>#REF!</v>
      </c>
      <c r="CO472" s="68" t="str">
        <f>'[1]DATA CONSOLIDADA 2018-2025 '!$CM472-Hoja1!$CG472</f>
        <v>#REF!</v>
      </c>
      <c r="CP472" s="70">
        <v>0.0</v>
      </c>
      <c r="CQ472" s="70">
        <v>0.0</v>
      </c>
      <c r="CR472" s="70">
        <v>0.0</v>
      </c>
      <c r="CS472" s="70">
        <v>0.0</v>
      </c>
      <c r="CT472" s="70">
        <v>0.0</v>
      </c>
      <c r="CU472" s="70">
        <v>0.0</v>
      </c>
      <c r="CV472" s="64">
        <v>0.0</v>
      </c>
      <c r="CW472" s="64">
        <v>0.0</v>
      </c>
      <c r="CX472" s="64">
        <v>0.0</v>
      </c>
      <c r="CY472" s="64">
        <v>0.0</v>
      </c>
      <c r="CZ472" s="64">
        <v>0.0</v>
      </c>
      <c r="DA472" s="64">
        <v>0.0</v>
      </c>
      <c r="DB472" s="64">
        <v>0.0</v>
      </c>
      <c r="DC472" s="72">
        <v>0.0</v>
      </c>
      <c r="DD472" s="72">
        <v>0.0</v>
      </c>
      <c r="DE472" s="72">
        <v>82027.35890620001</v>
      </c>
      <c r="DF472" s="72">
        <v>0.0</v>
      </c>
      <c r="DG472" s="72">
        <v>0.0</v>
      </c>
      <c r="DH472" s="72">
        <v>82027.35890620001</v>
      </c>
      <c r="DI472" s="73">
        <v>2.0604705411E10</v>
      </c>
      <c r="DJ472" s="74" t="s">
        <v>1512</v>
      </c>
      <c r="DK472" s="74" t="s">
        <v>132</v>
      </c>
      <c r="DL472" s="75"/>
      <c r="DM472" s="75"/>
      <c r="DN472" s="75"/>
      <c r="DO472" s="75"/>
      <c r="DP472" s="75"/>
      <c r="DQ472" s="75"/>
      <c r="DR472" s="75"/>
      <c r="DS472" s="75"/>
      <c r="DT472" s="75"/>
      <c r="DU472" s="75"/>
      <c r="DV472" s="75"/>
      <c r="DW472" s="75"/>
      <c r="DX472" s="75"/>
      <c r="DY472" s="75"/>
      <c r="DZ472" s="75"/>
      <c r="EA472" s="75"/>
      <c r="EB472" s="75"/>
      <c r="EC472" s="75"/>
      <c r="ED472" s="75"/>
      <c r="EE472" s="75"/>
    </row>
    <row r="473" ht="47.25" hidden="1" customHeight="1">
      <c r="A473" s="55" t="s">
        <v>1513</v>
      </c>
      <c r="B473" s="55" t="s">
        <v>126</v>
      </c>
      <c r="C473" s="55" t="s">
        <v>126</v>
      </c>
      <c r="D473" s="55" t="s">
        <v>768</v>
      </c>
      <c r="E473" s="55" t="s">
        <v>769</v>
      </c>
      <c r="F473" s="55" t="s">
        <v>768</v>
      </c>
      <c r="G473" s="55" t="s">
        <v>768</v>
      </c>
      <c r="H473" s="55" t="s">
        <v>770</v>
      </c>
      <c r="I473" s="56"/>
      <c r="J473" s="56"/>
      <c r="K473" s="56"/>
      <c r="L473" s="56"/>
      <c r="M473" s="56"/>
      <c r="N473" s="56"/>
      <c r="O473" s="56">
        <v>1.0</v>
      </c>
      <c r="P473" s="56">
        <v>1.0</v>
      </c>
      <c r="Q473" s="56" t="s">
        <v>131</v>
      </c>
      <c r="R473" s="58" t="str">
        <f t="shared" si="1"/>
        <v>2024 - 2025</v>
      </c>
      <c r="S473" s="59" t="str">
        <f>SUM(Hoja1!$I473:$P473)</f>
        <v>2</v>
      </c>
      <c r="T473" s="59" t="str">
        <f>IF(OR(Hoja1!$J473=1,Hoja1!$K473=1,Hoja1!$L473=1,Hoja1!$M473=1,Hoja1!$N473=1,Hoja1!$O473=1,Hoja1!$P473=1),"SI","NO")</f>
        <v>SI</v>
      </c>
      <c r="U473" s="59" t="str">
        <f>IF(OR(Hoja1!$K473=1,Hoja1!$L473=1,Hoja1!$M473=1,Hoja1!$N473=1,Hoja1!$O473=1,Hoja1!$P473=1),"SI","NO")</f>
        <v>SI</v>
      </c>
      <c r="V473" s="60">
        <v>0.0</v>
      </c>
      <c r="W473" s="61">
        <v>0.0</v>
      </c>
      <c r="X473" s="61">
        <v>0.0</v>
      </c>
      <c r="Y473" s="60">
        <v>0.0</v>
      </c>
      <c r="Z473" s="61">
        <v>0.0</v>
      </c>
      <c r="AA473" s="61">
        <v>0.0</v>
      </c>
      <c r="AB473" s="60">
        <v>0.0</v>
      </c>
      <c r="AC473" s="61">
        <v>0.0</v>
      </c>
      <c r="AD473" s="61">
        <v>0.0</v>
      </c>
      <c r="AE473" s="60">
        <v>0.0</v>
      </c>
      <c r="AF473" s="61">
        <v>0.0</v>
      </c>
      <c r="AG473" s="61">
        <v>0.0</v>
      </c>
      <c r="AH473" s="60">
        <v>0.0</v>
      </c>
      <c r="AI473" s="61">
        <v>0.0</v>
      </c>
      <c r="AJ473" s="61">
        <v>0.0</v>
      </c>
      <c r="AK473" s="60">
        <v>0.0</v>
      </c>
      <c r="AL473" s="61">
        <v>32.0</v>
      </c>
      <c r="AM473" s="61">
        <v>18.0</v>
      </c>
      <c r="AN473" s="60">
        <v>50.0</v>
      </c>
      <c r="AO473" s="62">
        <v>33.0</v>
      </c>
      <c r="AP473" s="62">
        <v>17.0</v>
      </c>
      <c r="AQ473" s="60">
        <v>50.0</v>
      </c>
      <c r="AR473" s="60" t="str">
        <f>IF(Hoja1!$AQ473&gt;0,Hoja1!$AQ473,IF(Hoja1!$AN473&gt;0,Hoja1!$AN473,IF(Hoja1!$AK473&gt;0,Hoja1!$AK473,IF(Hoja1!$AH473&gt;0,Hoja1!$AH473,IF(Hoja1!$AE473&gt;0,Hoja1!$AE473,IF(Hoja1!$AB473&gt;0,Hoja1!$AB473,IF(Hoja1!$Y473&gt;0,Hoja1!$Y473,IF(Hoja1!$V473&gt;0,Hoja1!$V473," ---"))))))))</f>
        <v>50</v>
      </c>
      <c r="AS473" s="63">
        <v>0.0</v>
      </c>
      <c r="AT473" s="63">
        <v>0.0</v>
      </c>
      <c r="AU473" s="63">
        <v>0.0</v>
      </c>
      <c r="AV473" s="63">
        <v>0.0</v>
      </c>
      <c r="AW473" s="63">
        <v>0.0</v>
      </c>
      <c r="AX473" s="63">
        <v>0.0</v>
      </c>
      <c r="AY473" s="63">
        <v>0.0</v>
      </c>
      <c r="AZ473" s="63">
        <v>0.0</v>
      </c>
      <c r="BA473" s="63">
        <v>49.0</v>
      </c>
      <c r="BB473" s="63">
        <v>4.0</v>
      </c>
      <c r="BC473" s="63">
        <v>43.0</v>
      </c>
      <c r="BD473" s="63">
        <v>4.0</v>
      </c>
      <c r="BE473" s="64">
        <v>0.0</v>
      </c>
      <c r="BF473" s="69">
        <v>0.0</v>
      </c>
      <c r="BG473" s="69">
        <v>0.0</v>
      </c>
      <c r="BH473" s="64">
        <v>0.0</v>
      </c>
      <c r="BI473" s="67" t="str">
        <f t="shared" si="156"/>
        <v>#REF!</v>
      </c>
      <c r="BJ473" s="68" t="str">
        <f t="shared" si="157"/>
        <v>#REF!</v>
      </c>
      <c r="BK473" s="69">
        <v>0.0</v>
      </c>
      <c r="BL473" s="69">
        <v>0.0</v>
      </c>
      <c r="BM473" s="64">
        <v>0.0</v>
      </c>
      <c r="BN473" s="67" t="str">
        <f t="shared" si="158"/>
        <v>#REF!</v>
      </c>
      <c r="BO473" s="68" t="str">
        <f t="shared" si="159"/>
        <v>#REF!</v>
      </c>
      <c r="BP473" s="65">
        <v>0.0</v>
      </c>
      <c r="BQ473" s="65">
        <v>0.0</v>
      </c>
      <c r="BR473" s="66">
        <v>0.0</v>
      </c>
      <c r="BS473" s="67" t="str">
        <f t="shared" si="160"/>
        <v>#REF!</v>
      </c>
      <c r="BT473" s="68" t="str">
        <f>'[1]DATA CONSOLIDADA 2018-2025 '!$BR473-Hoja1!$BO473</f>
        <v>#REF!</v>
      </c>
      <c r="BU473" s="69">
        <v>0.0</v>
      </c>
      <c r="BV473" s="65">
        <v>0.0</v>
      </c>
      <c r="BW473" s="66">
        <v>0.0</v>
      </c>
      <c r="BX473" s="67" t="str">
        <f t="shared" si="161"/>
        <v>#REF!</v>
      </c>
      <c r="BY473" s="68" t="str">
        <f t="shared" si="162"/>
        <v>#REF!</v>
      </c>
      <c r="BZ473" s="65">
        <v>0.0</v>
      </c>
      <c r="CA473" s="65">
        <v>0.0</v>
      </c>
      <c r="CB473" s="66">
        <v>0.0</v>
      </c>
      <c r="CC473" s="67" t="str">
        <f t="shared" si="163"/>
        <v>#REF!</v>
      </c>
      <c r="CD473" s="68" t="str">
        <f>'[1]DATA CONSOLIDADA 2018-2025 '!$CB473-Hoja1!$BW473</f>
        <v>#REF!</v>
      </c>
      <c r="CE473" s="70">
        <v>0.0</v>
      </c>
      <c r="CF473" s="70">
        <v>0.0</v>
      </c>
      <c r="CG473" s="71">
        <v>0.0</v>
      </c>
      <c r="CH473" s="67" t="str">
        <f t="shared" si="164"/>
        <v>#REF!</v>
      </c>
      <c r="CI473" s="68" t="str">
        <f>'[1]DATA CONSOLIDADA 2018-2025 '!$CG473-Hoja1!$CB473</f>
        <v>#REF!</v>
      </c>
      <c r="CJ473" s="64" t="str">
        <f t="shared" si="165"/>
        <v>#REF!</v>
      </c>
      <c r="CK473" s="64">
        <v>258802.85999856</v>
      </c>
      <c r="CL473" s="64">
        <v>0.0</v>
      </c>
      <c r="CM473" s="64">
        <v>258802.85999856</v>
      </c>
      <c r="CN473" s="64" t="str">
        <f t="shared" si="12"/>
        <v>#REF!</v>
      </c>
      <c r="CO473" s="68" t="str">
        <f>'[1]DATA CONSOLIDADA 2018-2025 '!$CM473-Hoja1!$CG473</f>
        <v>#REF!</v>
      </c>
      <c r="CP473" s="70">
        <v>0.0</v>
      </c>
      <c r="CQ473" s="70">
        <v>0.0</v>
      </c>
      <c r="CR473" s="70">
        <v>0.0</v>
      </c>
      <c r="CS473" s="70">
        <v>0.0</v>
      </c>
      <c r="CT473" s="70">
        <v>0.0</v>
      </c>
      <c r="CU473" s="70">
        <v>0.0</v>
      </c>
      <c r="CV473" s="64">
        <v>0.0</v>
      </c>
      <c r="CW473" s="64">
        <v>0.0</v>
      </c>
      <c r="CX473" s="64">
        <v>0.0</v>
      </c>
      <c r="CY473" s="64">
        <v>0.0</v>
      </c>
      <c r="CZ473" s="64">
        <v>0.0</v>
      </c>
      <c r="DA473" s="64">
        <v>0.0</v>
      </c>
      <c r="DB473" s="64">
        <v>0.0</v>
      </c>
      <c r="DC473" s="72">
        <v>0.0</v>
      </c>
      <c r="DD473" s="72">
        <v>258802.85999856</v>
      </c>
      <c r="DE473" s="72">
        <v>0.0</v>
      </c>
      <c r="DF473" s="72">
        <v>0.0</v>
      </c>
      <c r="DG473" s="72">
        <v>0.0</v>
      </c>
      <c r="DH473" s="72">
        <v>258802.85999856</v>
      </c>
      <c r="DI473" s="73">
        <v>2.0607265624E10</v>
      </c>
      <c r="DJ473" s="74" t="s">
        <v>1514</v>
      </c>
      <c r="DK473" s="74" t="s">
        <v>138</v>
      </c>
      <c r="DL473" s="75"/>
      <c r="DM473" s="75"/>
      <c r="DN473" s="75"/>
      <c r="DO473" s="75"/>
      <c r="DP473" s="75"/>
      <c r="DQ473" s="75"/>
      <c r="DR473" s="75"/>
      <c r="DS473" s="75"/>
      <c r="DT473" s="75"/>
      <c r="DU473" s="75"/>
      <c r="DV473" s="75"/>
      <c r="DW473" s="75"/>
      <c r="DX473" s="75"/>
      <c r="DY473" s="75"/>
      <c r="DZ473" s="75"/>
      <c r="EA473" s="75"/>
      <c r="EB473" s="75"/>
      <c r="EC473" s="75"/>
      <c r="ED473" s="75"/>
      <c r="EE473" s="75"/>
    </row>
    <row r="474" ht="47.25" hidden="1" customHeight="1">
      <c r="A474" s="55" t="s">
        <v>1515</v>
      </c>
      <c r="B474" s="55" t="s">
        <v>126</v>
      </c>
      <c r="C474" s="55" t="s">
        <v>126</v>
      </c>
      <c r="D474" s="55" t="s">
        <v>768</v>
      </c>
      <c r="E474" s="55" t="s">
        <v>769</v>
      </c>
      <c r="F474" s="55" t="s">
        <v>768</v>
      </c>
      <c r="G474" s="55" t="s">
        <v>768</v>
      </c>
      <c r="H474" s="55" t="s">
        <v>770</v>
      </c>
      <c r="I474" s="56"/>
      <c r="J474" s="56"/>
      <c r="K474" s="56"/>
      <c r="L474" s="56"/>
      <c r="M474" s="56"/>
      <c r="N474" s="56"/>
      <c r="O474" s="56">
        <v>1.0</v>
      </c>
      <c r="P474" s="56">
        <v>1.0</v>
      </c>
      <c r="Q474" s="56" t="s">
        <v>131</v>
      </c>
      <c r="R474" s="58" t="str">
        <f t="shared" si="1"/>
        <v>2024 - 2025</v>
      </c>
      <c r="S474" s="59" t="str">
        <f>SUM(Hoja1!$I474:$P474)</f>
        <v>2</v>
      </c>
      <c r="T474" s="59" t="str">
        <f>IF(OR(Hoja1!$J474=1,Hoja1!$K474=1,Hoja1!$L474=1,Hoja1!$M474=1,Hoja1!$N474=1,Hoja1!$O474=1,Hoja1!$P474=1),"SI","NO")</f>
        <v>SI</v>
      </c>
      <c r="U474" s="59" t="str">
        <f>IF(OR(Hoja1!$K474=1,Hoja1!$L474=1,Hoja1!$M474=1,Hoja1!$N474=1,Hoja1!$O474=1,Hoja1!$P474=1),"SI","NO")</f>
        <v>SI</v>
      </c>
      <c r="V474" s="60">
        <v>0.0</v>
      </c>
      <c r="W474" s="61">
        <v>0.0</v>
      </c>
      <c r="X474" s="61">
        <v>0.0</v>
      </c>
      <c r="Y474" s="60">
        <v>0.0</v>
      </c>
      <c r="Z474" s="61">
        <v>0.0</v>
      </c>
      <c r="AA474" s="61">
        <v>0.0</v>
      </c>
      <c r="AB474" s="60">
        <v>0.0</v>
      </c>
      <c r="AC474" s="61">
        <v>0.0</v>
      </c>
      <c r="AD474" s="61">
        <v>0.0</v>
      </c>
      <c r="AE474" s="60">
        <v>0.0</v>
      </c>
      <c r="AF474" s="61">
        <v>0.0</v>
      </c>
      <c r="AG474" s="61">
        <v>0.0</v>
      </c>
      <c r="AH474" s="60">
        <v>0.0</v>
      </c>
      <c r="AI474" s="61">
        <v>0.0</v>
      </c>
      <c r="AJ474" s="61">
        <v>0.0</v>
      </c>
      <c r="AK474" s="60">
        <v>0.0</v>
      </c>
      <c r="AL474" s="61">
        <v>20.0</v>
      </c>
      <c r="AM474" s="61">
        <v>14.0</v>
      </c>
      <c r="AN474" s="60">
        <v>34.0</v>
      </c>
      <c r="AO474" s="62">
        <v>13.0</v>
      </c>
      <c r="AP474" s="62">
        <v>11.0</v>
      </c>
      <c r="AQ474" s="60">
        <v>24.0</v>
      </c>
      <c r="AR474" s="60" t="str">
        <f>IF(Hoja1!$AQ474&gt;0,Hoja1!$AQ474,IF(Hoja1!$AN474&gt;0,Hoja1!$AN474,IF(Hoja1!$AK474&gt;0,Hoja1!$AK474,IF(Hoja1!$AH474&gt;0,Hoja1!$AH474,IF(Hoja1!$AE474&gt;0,Hoja1!$AE474,IF(Hoja1!$AB474&gt;0,Hoja1!$AB474,IF(Hoja1!$Y474&gt;0,Hoja1!$Y474,IF(Hoja1!$V474&gt;0,Hoja1!$V474," ---"))))))))</f>
        <v>24</v>
      </c>
      <c r="AS474" s="63">
        <v>0.0</v>
      </c>
      <c r="AT474" s="63">
        <v>0.0</v>
      </c>
      <c r="AU474" s="63">
        <v>0.0</v>
      </c>
      <c r="AV474" s="63">
        <v>0.0</v>
      </c>
      <c r="AW474" s="63">
        <v>0.0</v>
      </c>
      <c r="AX474" s="63">
        <v>0.0</v>
      </c>
      <c r="AY474" s="63">
        <v>0.0</v>
      </c>
      <c r="AZ474" s="63">
        <v>0.0</v>
      </c>
      <c r="BA474" s="63">
        <v>48.0</v>
      </c>
      <c r="BB474" s="63">
        <v>4.0</v>
      </c>
      <c r="BC474" s="63">
        <v>45.0</v>
      </c>
      <c r="BD474" s="63">
        <v>4.0</v>
      </c>
      <c r="BE474" s="64">
        <v>0.0</v>
      </c>
      <c r="BF474" s="69">
        <v>0.0</v>
      </c>
      <c r="BG474" s="69">
        <v>0.0</v>
      </c>
      <c r="BH474" s="64">
        <v>0.0</v>
      </c>
      <c r="BI474" s="67" t="str">
        <f t="shared" si="156"/>
        <v>#REF!</v>
      </c>
      <c r="BJ474" s="68" t="str">
        <f t="shared" si="157"/>
        <v>#REF!</v>
      </c>
      <c r="BK474" s="69">
        <v>0.0</v>
      </c>
      <c r="BL474" s="69">
        <v>0.0</v>
      </c>
      <c r="BM474" s="64">
        <v>0.0</v>
      </c>
      <c r="BN474" s="67" t="str">
        <f t="shared" si="158"/>
        <v>#REF!</v>
      </c>
      <c r="BO474" s="68" t="str">
        <f t="shared" si="159"/>
        <v>#REF!</v>
      </c>
      <c r="BP474" s="65">
        <v>0.0</v>
      </c>
      <c r="BQ474" s="65">
        <v>0.0</v>
      </c>
      <c r="BR474" s="66">
        <v>0.0</v>
      </c>
      <c r="BS474" s="67" t="str">
        <f t="shared" si="160"/>
        <v>#REF!</v>
      </c>
      <c r="BT474" s="68" t="str">
        <f>'[1]DATA CONSOLIDADA 2018-2025 '!$BR474-Hoja1!$BO474</f>
        <v>#REF!</v>
      </c>
      <c r="BU474" s="69">
        <v>0.0</v>
      </c>
      <c r="BV474" s="65">
        <v>0.0</v>
      </c>
      <c r="BW474" s="66">
        <v>0.0</v>
      </c>
      <c r="BX474" s="67" t="str">
        <f t="shared" si="161"/>
        <v>#REF!</v>
      </c>
      <c r="BY474" s="68" t="str">
        <f t="shared" si="162"/>
        <v>#REF!</v>
      </c>
      <c r="BZ474" s="65">
        <v>0.0</v>
      </c>
      <c r="CA474" s="65">
        <v>0.0</v>
      </c>
      <c r="CB474" s="66">
        <v>0.0</v>
      </c>
      <c r="CC474" s="67" t="str">
        <f t="shared" si="163"/>
        <v>#REF!</v>
      </c>
      <c r="CD474" s="68" t="str">
        <f>'[1]DATA CONSOLIDADA 2018-2025 '!$CB474-Hoja1!$BW474</f>
        <v>#REF!</v>
      </c>
      <c r="CE474" s="70">
        <v>0.0</v>
      </c>
      <c r="CF474" s="70">
        <v>0.0</v>
      </c>
      <c r="CG474" s="71">
        <v>0.0</v>
      </c>
      <c r="CH474" s="67" t="str">
        <f t="shared" si="164"/>
        <v>#REF!</v>
      </c>
      <c r="CI474" s="68" t="str">
        <f>'[1]DATA CONSOLIDADA 2018-2025 '!$CG474-Hoja1!$CB474</f>
        <v>#REF!</v>
      </c>
      <c r="CJ474" s="64" t="str">
        <f t="shared" si="165"/>
        <v>#REF!</v>
      </c>
      <c r="CK474" s="64">
        <v>0.0</v>
      </c>
      <c r="CL474" s="64">
        <v>0.0</v>
      </c>
      <c r="CM474" s="64">
        <v>0.0</v>
      </c>
      <c r="CN474" s="64" t="str">
        <f t="shared" si="12"/>
        <v>#REF!</v>
      </c>
      <c r="CO474" s="68" t="str">
        <f>'[1]DATA CONSOLIDADA 2018-2025 '!$CM474-Hoja1!$CG474</f>
        <v>#REF!</v>
      </c>
      <c r="CP474" s="70">
        <v>0.0</v>
      </c>
      <c r="CQ474" s="70">
        <v>0.0</v>
      </c>
      <c r="CR474" s="70">
        <v>0.0</v>
      </c>
      <c r="CS474" s="70">
        <v>0.0</v>
      </c>
      <c r="CT474" s="70">
        <v>0.0</v>
      </c>
      <c r="CU474" s="70">
        <v>0.0</v>
      </c>
      <c r="CV474" s="64">
        <v>0.0</v>
      </c>
      <c r="CW474" s="64">
        <v>0.0</v>
      </c>
      <c r="CX474" s="64">
        <v>0.0</v>
      </c>
      <c r="CY474" s="64">
        <v>0.0</v>
      </c>
      <c r="CZ474" s="64">
        <v>0.0</v>
      </c>
      <c r="DA474" s="64">
        <v>0.0</v>
      </c>
      <c r="DB474" s="64">
        <v>0.0</v>
      </c>
      <c r="DC474" s="72">
        <v>0.0</v>
      </c>
      <c r="DD474" s="72">
        <v>0.0</v>
      </c>
      <c r="DE474" s="72">
        <v>0.0</v>
      </c>
      <c r="DF474" s="72">
        <v>0.0</v>
      </c>
      <c r="DG474" s="72">
        <v>0.0</v>
      </c>
      <c r="DH474" s="72">
        <v>0.0</v>
      </c>
      <c r="DI474" s="73">
        <v>2.0606041382E10</v>
      </c>
      <c r="DJ474" s="74" t="s">
        <v>1515</v>
      </c>
      <c r="DK474" s="74" t="s">
        <v>138</v>
      </c>
      <c r="DL474" s="75"/>
      <c r="DM474" s="75"/>
      <c r="DN474" s="75"/>
      <c r="DO474" s="75"/>
      <c r="DP474" s="75"/>
      <c r="DQ474" s="75"/>
      <c r="DR474" s="75"/>
      <c r="DS474" s="75"/>
      <c r="DT474" s="75"/>
      <c r="DU474" s="75"/>
      <c r="DV474" s="75"/>
      <c r="DW474" s="75"/>
      <c r="DX474" s="75"/>
      <c r="DY474" s="75"/>
      <c r="DZ474" s="75"/>
      <c r="EA474" s="75"/>
      <c r="EB474" s="75"/>
      <c r="EC474" s="75"/>
      <c r="ED474" s="75"/>
      <c r="EE474" s="75"/>
    </row>
    <row r="475" ht="47.25" hidden="1" customHeight="1">
      <c r="A475" s="55" t="s">
        <v>1516</v>
      </c>
      <c r="B475" s="55" t="s">
        <v>1329</v>
      </c>
      <c r="C475" s="55" t="s">
        <v>1329</v>
      </c>
      <c r="D475" s="55" t="s">
        <v>607</v>
      </c>
      <c r="E475" s="55" t="s">
        <v>836</v>
      </c>
      <c r="F475" s="55" t="s">
        <v>607</v>
      </c>
      <c r="G475" s="55" t="s">
        <v>609</v>
      </c>
      <c r="H475" s="55" t="s">
        <v>837</v>
      </c>
      <c r="I475" s="56"/>
      <c r="J475" s="56"/>
      <c r="K475" s="56"/>
      <c r="L475" s="56"/>
      <c r="M475" s="56"/>
      <c r="N475" s="56"/>
      <c r="O475" s="56">
        <v>1.0</v>
      </c>
      <c r="P475" s="56"/>
      <c r="Q475" s="56" t="s">
        <v>131</v>
      </c>
      <c r="R475" s="58" t="str">
        <f t="shared" si="1"/>
        <v>2024</v>
      </c>
      <c r="S475" s="59" t="str">
        <f>SUM(Hoja1!$I475:$P475)</f>
        <v>1</v>
      </c>
      <c r="T475" s="59" t="str">
        <f>IF(OR(Hoja1!$J475=1,Hoja1!$K475=1,Hoja1!$L475=1,Hoja1!$M475=1,Hoja1!$N475=1,Hoja1!$O475=1,Hoja1!$P475=1),"SI","NO")</f>
        <v>SI</v>
      </c>
      <c r="U475" s="59" t="str">
        <f>IF(OR(Hoja1!$K475=1,Hoja1!$L475=1,Hoja1!$M475=1,Hoja1!$N475=1,Hoja1!$O475=1,Hoja1!$P475=1),"SI","NO")</f>
        <v>SI</v>
      </c>
      <c r="V475" s="60">
        <v>0.0</v>
      </c>
      <c r="W475" s="61">
        <v>0.0</v>
      </c>
      <c r="X475" s="61">
        <v>0.0</v>
      </c>
      <c r="Y475" s="60">
        <v>0.0</v>
      </c>
      <c r="Z475" s="61">
        <v>0.0</v>
      </c>
      <c r="AA475" s="61">
        <v>0.0</v>
      </c>
      <c r="AB475" s="60">
        <v>0.0</v>
      </c>
      <c r="AC475" s="61">
        <v>0.0</v>
      </c>
      <c r="AD475" s="61">
        <v>0.0</v>
      </c>
      <c r="AE475" s="60">
        <v>0.0</v>
      </c>
      <c r="AF475" s="61">
        <v>0.0</v>
      </c>
      <c r="AG475" s="61">
        <v>0.0</v>
      </c>
      <c r="AH475" s="60">
        <v>0.0</v>
      </c>
      <c r="AI475" s="61">
        <v>0.0</v>
      </c>
      <c r="AJ475" s="61">
        <v>0.0</v>
      </c>
      <c r="AK475" s="60">
        <v>0.0</v>
      </c>
      <c r="AL475" s="61">
        <v>53.0</v>
      </c>
      <c r="AM475" s="61">
        <v>15.0</v>
      </c>
      <c r="AN475" s="60">
        <v>68.0</v>
      </c>
      <c r="AO475" s="62">
        <v>0.0</v>
      </c>
      <c r="AP475" s="62">
        <v>0.0</v>
      </c>
      <c r="AQ475" s="60">
        <v>0.0</v>
      </c>
      <c r="AR475" s="60" t="str">
        <f>IF(Hoja1!$AQ475&gt;0,Hoja1!$AQ475,IF(Hoja1!$AN475&gt;0,Hoja1!$AN475,IF(Hoja1!$AK475&gt;0,Hoja1!$AK475,IF(Hoja1!$AH475&gt;0,Hoja1!$AH475,IF(Hoja1!$AE475&gt;0,Hoja1!$AE475,IF(Hoja1!$AB475&gt;0,Hoja1!$AB475,IF(Hoja1!$Y475&gt;0,Hoja1!$Y475,IF(Hoja1!$V475&gt;0,Hoja1!$V475," ---"))))))))</f>
        <v>68</v>
      </c>
      <c r="AS475" s="63">
        <v>0.0</v>
      </c>
      <c r="AT475" s="63">
        <v>0.0</v>
      </c>
      <c r="AU475" s="63">
        <v>0.0</v>
      </c>
      <c r="AV475" s="63">
        <v>0.0</v>
      </c>
      <c r="AW475" s="63">
        <v>0.0</v>
      </c>
      <c r="AX475" s="63">
        <v>0.0</v>
      </c>
      <c r="AY475" s="63">
        <v>0.0</v>
      </c>
      <c r="AZ475" s="63">
        <v>0.0</v>
      </c>
      <c r="BA475" s="63">
        <v>24.0</v>
      </c>
      <c r="BB475" s="63">
        <v>0.0</v>
      </c>
      <c r="BC475" s="63">
        <v>0.0</v>
      </c>
      <c r="BD475" s="63">
        <v>0.0</v>
      </c>
      <c r="BE475" s="64">
        <v>0.0</v>
      </c>
      <c r="BF475" s="69">
        <v>0.0</v>
      </c>
      <c r="BG475" s="69">
        <v>0.0</v>
      </c>
      <c r="BH475" s="64">
        <v>0.0</v>
      </c>
      <c r="BI475" s="67" t="str">
        <f t="shared" si="156"/>
        <v>#REF!</v>
      </c>
      <c r="BJ475" s="68" t="str">
        <f t="shared" si="157"/>
        <v>#REF!</v>
      </c>
      <c r="BK475" s="69">
        <v>0.0</v>
      </c>
      <c r="BL475" s="69">
        <v>0.0</v>
      </c>
      <c r="BM475" s="64">
        <v>0.0</v>
      </c>
      <c r="BN475" s="67" t="str">
        <f t="shared" si="158"/>
        <v>#REF!</v>
      </c>
      <c r="BO475" s="68" t="str">
        <f t="shared" si="159"/>
        <v>#REF!</v>
      </c>
      <c r="BP475" s="65">
        <v>0.0</v>
      </c>
      <c r="BQ475" s="65">
        <v>0.0</v>
      </c>
      <c r="BR475" s="66">
        <v>0.0</v>
      </c>
      <c r="BS475" s="67" t="str">
        <f t="shared" si="160"/>
        <v>#REF!</v>
      </c>
      <c r="BT475" s="68" t="str">
        <f>'[1]DATA CONSOLIDADA 2018-2025 '!$BR475-Hoja1!$BO475</f>
        <v>#REF!</v>
      </c>
      <c r="BU475" s="69">
        <v>0.0</v>
      </c>
      <c r="BV475" s="65">
        <v>0.0</v>
      </c>
      <c r="BW475" s="66">
        <v>0.0</v>
      </c>
      <c r="BX475" s="67" t="str">
        <f t="shared" si="161"/>
        <v>#REF!</v>
      </c>
      <c r="BY475" s="68" t="str">
        <f t="shared" si="162"/>
        <v>#REF!</v>
      </c>
      <c r="BZ475" s="65">
        <v>0.0</v>
      </c>
      <c r="CA475" s="65">
        <v>0.0</v>
      </c>
      <c r="CB475" s="66">
        <v>0.0</v>
      </c>
      <c r="CC475" s="67" t="str">
        <f t="shared" si="163"/>
        <v>#REF!</v>
      </c>
      <c r="CD475" s="68" t="str">
        <f>'[1]DATA CONSOLIDADA 2018-2025 '!$CB475-Hoja1!$BW475</f>
        <v>#REF!</v>
      </c>
      <c r="CE475" s="70">
        <v>488679.99717</v>
      </c>
      <c r="CF475" s="70">
        <v>0.0</v>
      </c>
      <c r="CG475" s="71">
        <v>488679.99717</v>
      </c>
      <c r="CH475" s="67" t="str">
        <f t="shared" si="164"/>
        <v>#REF!</v>
      </c>
      <c r="CI475" s="68" t="str">
        <f>'[1]DATA CONSOLIDADA 2018-2025 '!$CG475-Hoja1!$CB475</f>
        <v>#REF!</v>
      </c>
      <c r="CJ475" s="64" t="str">
        <f t="shared" si="165"/>
        <v>#REF!</v>
      </c>
      <c r="CK475" s="64">
        <v>0.0</v>
      </c>
      <c r="CL475" s="64">
        <v>0.0</v>
      </c>
      <c r="CM475" s="64">
        <v>0.0</v>
      </c>
      <c r="CN475" s="64" t="str">
        <f t="shared" si="12"/>
        <v>#REF!</v>
      </c>
      <c r="CO475" s="68" t="str">
        <f>'[1]DATA CONSOLIDADA 2018-2025 '!$CM475-Hoja1!$CG475</f>
        <v>#REF!</v>
      </c>
      <c r="CP475" s="70">
        <v>0.0</v>
      </c>
      <c r="CQ475" s="70">
        <v>0.0</v>
      </c>
      <c r="CR475" s="70">
        <v>0.0</v>
      </c>
      <c r="CS475" s="70">
        <v>0.0</v>
      </c>
      <c r="CT475" s="70">
        <v>0.0</v>
      </c>
      <c r="CU475" s="70">
        <v>0.0</v>
      </c>
      <c r="CV475" s="64">
        <v>0.0</v>
      </c>
      <c r="CW475" s="64">
        <v>0.0</v>
      </c>
      <c r="CX475" s="64">
        <v>488679.99717</v>
      </c>
      <c r="CY475" s="64">
        <v>0.0</v>
      </c>
      <c r="CZ475" s="64">
        <v>0.0</v>
      </c>
      <c r="DA475" s="64">
        <v>0.0</v>
      </c>
      <c r="DB475" s="64">
        <v>488679.99717</v>
      </c>
      <c r="DC475" s="72">
        <v>0.0</v>
      </c>
      <c r="DD475" s="72">
        <v>0.0</v>
      </c>
      <c r="DE475" s="72">
        <v>0.0</v>
      </c>
      <c r="DF475" s="72">
        <v>0.0</v>
      </c>
      <c r="DG475" s="72">
        <v>0.0</v>
      </c>
      <c r="DH475" s="72">
        <v>0.0</v>
      </c>
      <c r="DI475" s="73">
        <v>2.060277086E10</v>
      </c>
      <c r="DJ475" s="74" t="s">
        <v>1517</v>
      </c>
      <c r="DK475" s="74" t="s">
        <v>138</v>
      </c>
      <c r="DL475" s="75"/>
      <c r="DM475" s="75"/>
      <c r="DN475" s="75"/>
      <c r="DO475" s="75"/>
      <c r="DP475" s="75"/>
      <c r="DQ475" s="75"/>
      <c r="DR475" s="75"/>
      <c r="DS475" s="75"/>
      <c r="DT475" s="75"/>
      <c r="DU475" s="75"/>
      <c r="DV475" s="75"/>
      <c r="DW475" s="75"/>
      <c r="DX475" s="75"/>
      <c r="DY475" s="75"/>
      <c r="DZ475" s="75"/>
      <c r="EA475" s="75"/>
      <c r="EB475" s="75"/>
      <c r="EC475" s="75"/>
      <c r="ED475" s="75"/>
      <c r="EE475" s="75"/>
    </row>
    <row r="476" ht="47.25" customHeight="1">
      <c r="A476" s="55" t="s">
        <v>1518</v>
      </c>
      <c r="B476" s="55" t="s">
        <v>146</v>
      </c>
      <c r="C476" s="55" t="s">
        <v>146</v>
      </c>
      <c r="D476" s="55" t="s">
        <v>607</v>
      </c>
      <c r="E476" s="55" t="s">
        <v>836</v>
      </c>
      <c r="F476" s="55" t="s">
        <v>607</v>
      </c>
      <c r="G476" s="55" t="s">
        <v>609</v>
      </c>
      <c r="H476" s="55" t="s">
        <v>837</v>
      </c>
      <c r="I476" s="56"/>
      <c r="J476" s="56"/>
      <c r="K476" s="56"/>
      <c r="L476" s="56"/>
      <c r="M476" s="56"/>
      <c r="N476" s="56"/>
      <c r="O476" s="56">
        <v>1.0</v>
      </c>
      <c r="P476" s="56"/>
      <c r="Q476" s="56" t="s">
        <v>131</v>
      </c>
      <c r="R476" s="58" t="str">
        <f t="shared" si="1"/>
        <v>2024</v>
      </c>
      <c r="S476" s="59" t="str">
        <f>SUM(Hoja1!$I476:$P476)</f>
        <v>1</v>
      </c>
      <c r="T476" s="59" t="str">
        <f>IF(OR(Hoja1!$J476=1,Hoja1!$K476=1,Hoja1!$L476=1,Hoja1!$M476=1,Hoja1!$N476=1,Hoja1!$O476=1,Hoja1!$P476=1),"SI","NO")</f>
        <v>SI</v>
      </c>
      <c r="U476" s="59" t="str">
        <f>IF(OR(Hoja1!$K476=1,Hoja1!$L476=1,Hoja1!$M476=1,Hoja1!$N476=1,Hoja1!$O476=1,Hoja1!$P476=1),"SI","NO")</f>
        <v>SI</v>
      </c>
      <c r="V476" s="60">
        <v>0.0</v>
      </c>
      <c r="W476" s="61">
        <v>0.0</v>
      </c>
      <c r="X476" s="61">
        <v>0.0</v>
      </c>
      <c r="Y476" s="60">
        <v>0.0</v>
      </c>
      <c r="Z476" s="61">
        <v>0.0</v>
      </c>
      <c r="AA476" s="61">
        <v>0.0</v>
      </c>
      <c r="AB476" s="60">
        <v>0.0</v>
      </c>
      <c r="AC476" s="61">
        <v>0.0</v>
      </c>
      <c r="AD476" s="61">
        <v>0.0</v>
      </c>
      <c r="AE476" s="60">
        <v>0.0</v>
      </c>
      <c r="AF476" s="61">
        <v>0.0</v>
      </c>
      <c r="AG476" s="61">
        <v>0.0</v>
      </c>
      <c r="AH476" s="60">
        <v>0.0</v>
      </c>
      <c r="AI476" s="61">
        <v>0.0</v>
      </c>
      <c r="AJ476" s="61">
        <v>0.0</v>
      </c>
      <c r="AK476" s="60">
        <v>0.0</v>
      </c>
      <c r="AL476" s="61">
        <v>12.0</v>
      </c>
      <c r="AM476" s="61">
        <v>4.0</v>
      </c>
      <c r="AN476" s="60">
        <v>16.0</v>
      </c>
      <c r="AO476" s="62">
        <v>0.0</v>
      </c>
      <c r="AP476" s="62">
        <v>0.0</v>
      </c>
      <c r="AQ476" s="60">
        <v>0.0</v>
      </c>
      <c r="AR476" s="60" t="str">
        <f>IF(Hoja1!$AQ476&gt;0,Hoja1!$AQ476,IF(Hoja1!$AN476&gt;0,Hoja1!$AN476,IF(Hoja1!$AK476&gt;0,Hoja1!$AK476,IF(Hoja1!$AH476&gt;0,Hoja1!$AH476,IF(Hoja1!$AE476&gt;0,Hoja1!$AE476,IF(Hoja1!$AB476&gt;0,Hoja1!$AB476,IF(Hoja1!$Y476&gt;0,Hoja1!$Y476,IF(Hoja1!$V476&gt;0,Hoja1!$V476," ---"))))))))</f>
        <v>16</v>
      </c>
      <c r="AS476" s="63">
        <v>0.0</v>
      </c>
      <c r="AT476" s="63">
        <v>0.0</v>
      </c>
      <c r="AU476" s="63">
        <v>0.0</v>
      </c>
      <c r="AV476" s="63">
        <v>0.0</v>
      </c>
      <c r="AW476" s="63">
        <v>0.0</v>
      </c>
      <c r="AX476" s="63">
        <v>0.0</v>
      </c>
      <c r="AY476" s="63">
        <v>0.0</v>
      </c>
      <c r="AZ476" s="63">
        <v>0.0</v>
      </c>
      <c r="BA476" s="63">
        <v>24.0</v>
      </c>
      <c r="BB476" s="63">
        <v>0.0</v>
      </c>
      <c r="BC476" s="63">
        <v>0.0</v>
      </c>
      <c r="BD476" s="63">
        <v>0.0</v>
      </c>
      <c r="BE476" s="64">
        <v>0.0</v>
      </c>
      <c r="BF476" s="69">
        <v>0.0</v>
      </c>
      <c r="BG476" s="69">
        <v>0.0</v>
      </c>
      <c r="BH476" s="64">
        <v>0.0</v>
      </c>
      <c r="BI476" s="67" t="str">
        <f t="shared" si="156"/>
        <v>#REF!</v>
      </c>
      <c r="BJ476" s="68" t="str">
        <f t="shared" si="157"/>
        <v>#REF!</v>
      </c>
      <c r="BK476" s="69">
        <v>0.0</v>
      </c>
      <c r="BL476" s="69">
        <v>0.0</v>
      </c>
      <c r="BM476" s="64">
        <v>0.0</v>
      </c>
      <c r="BN476" s="67" t="str">
        <f t="shared" si="158"/>
        <v>#REF!</v>
      </c>
      <c r="BO476" s="68" t="str">
        <f t="shared" si="159"/>
        <v>#REF!</v>
      </c>
      <c r="BP476" s="65">
        <v>0.0</v>
      </c>
      <c r="BQ476" s="65">
        <v>0.0</v>
      </c>
      <c r="BR476" s="66">
        <v>0.0</v>
      </c>
      <c r="BS476" s="67" t="str">
        <f t="shared" si="160"/>
        <v>#REF!</v>
      </c>
      <c r="BT476" s="68" t="str">
        <f>'[1]DATA CONSOLIDADA 2018-2025 '!$BR476-Hoja1!$BO476</f>
        <v>#REF!</v>
      </c>
      <c r="BU476" s="69">
        <v>0.0</v>
      </c>
      <c r="BV476" s="65">
        <v>0.0</v>
      </c>
      <c r="BW476" s="66">
        <v>0.0</v>
      </c>
      <c r="BX476" s="67" t="str">
        <f t="shared" si="161"/>
        <v>#REF!</v>
      </c>
      <c r="BY476" s="68" t="str">
        <f t="shared" si="162"/>
        <v>#REF!</v>
      </c>
      <c r="BZ476" s="65">
        <v>0.0</v>
      </c>
      <c r="CA476" s="65">
        <v>0.0</v>
      </c>
      <c r="CB476" s="66">
        <v>0.0</v>
      </c>
      <c r="CC476" s="67" t="str">
        <f t="shared" si="163"/>
        <v>#REF!</v>
      </c>
      <c r="CD476" s="68" t="str">
        <f>'[1]DATA CONSOLIDADA 2018-2025 '!$CB476-Hoja1!$BW476</f>
        <v>#REF!</v>
      </c>
      <c r="CE476" s="70">
        <v>148331.9952</v>
      </c>
      <c r="CF476" s="70">
        <v>0.0</v>
      </c>
      <c r="CG476" s="71">
        <v>148331.9952</v>
      </c>
      <c r="CH476" s="67" t="str">
        <f t="shared" si="164"/>
        <v>#REF!</v>
      </c>
      <c r="CI476" s="68" t="str">
        <f>'[1]DATA CONSOLIDADA 2018-2025 '!$CG476-Hoja1!$CB476</f>
        <v>#REF!</v>
      </c>
      <c r="CJ476" s="64" t="str">
        <f t="shared" si="165"/>
        <v>#REF!</v>
      </c>
      <c r="CK476" s="64">
        <v>0.0</v>
      </c>
      <c r="CL476" s="64">
        <v>0.0</v>
      </c>
      <c r="CM476" s="64">
        <v>0.0</v>
      </c>
      <c r="CN476" s="64" t="str">
        <f t="shared" si="12"/>
        <v>#REF!</v>
      </c>
      <c r="CO476" s="68" t="str">
        <f>'[1]DATA CONSOLIDADA 2018-2025 '!$CM476-Hoja1!$CG476</f>
        <v>#REF!</v>
      </c>
      <c r="CP476" s="70">
        <v>0.0</v>
      </c>
      <c r="CQ476" s="70">
        <v>0.0</v>
      </c>
      <c r="CR476" s="70">
        <v>0.0</v>
      </c>
      <c r="CS476" s="70">
        <v>0.0</v>
      </c>
      <c r="CT476" s="70">
        <v>0.0</v>
      </c>
      <c r="CU476" s="70">
        <v>0.0</v>
      </c>
      <c r="CV476" s="64">
        <v>0.0</v>
      </c>
      <c r="CW476" s="64">
        <v>0.0</v>
      </c>
      <c r="CX476" s="64">
        <v>148331.9952</v>
      </c>
      <c r="CY476" s="64">
        <v>0.0</v>
      </c>
      <c r="CZ476" s="64">
        <v>0.0</v>
      </c>
      <c r="DA476" s="64">
        <v>0.0</v>
      </c>
      <c r="DB476" s="64">
        <v>148331.9952</v>
      </c>
      <c r="DC476" s="72">
        <v>0.0</v>
      </c>
      <c r="DD476" s="72">
        <v>0.0</v>
      </c>
      <c r="DE476" s="72">
        <v>0.0</v>
      </c>
      <c r="DF476" s="72">
        <v>0.0</v>
      </c>
      <c r="DG476" s="72">
        <v>0.0</v>
      </c>
      <c r="DH476" s="72">
        <v>0.0</v>
      </c>
      <c r="DI476" s="73">
        <v>2.0603526423E10</v>
      </c>
      <c r="DJ476" s="74" t="s">
        <v>838</v>
      </c>
      <c r="DK476" s="74" t="s">
        <v>132</v>
      </c>
      <c r="DL476" s="75"/>
      <c r="DM476" s="75"/>
      <c r="DN476" s="75"/>
      <c r="DO476" s="75"/>
      <c r="DP476" s="75"/>
      <c r="DQ476" s="75"/>
      <c r="DR476" s="75"/>
      <c r="DS476" s="75"/>
      <c r="DT476" s="75"/>
      <c r="DU476" s="75"/>
      <c r="DV476" s="75"/>
      <c r="DW476" s="75"/>
      <c r="DX476" s="75"/>
      <c r="DY476" s="75"/>
      <c r="DZ476" s="75"/>
      <c r="EA476" s="75"/>
      <c r="EB476" s="75"/>
      <c r="EC476" s="75"/>
      <c r="ED476" s="75"/>
      <c r="EE476" s="75"/>
    </row>
    <row r="477" ht="47.25" hidden="1" customHeight="1">
      <c r="A477" s="55" t="s">
        <v>1519</v>
      </c>
      <c r="B477" s="55" t="s">
        <v>1305</v>
      </c>
      <c r="C477" s="55" t="s">
        <v>1305</v>
      </c>
      <c r="D477" s="55" t="s">
        <v>607</v>
      </c>
      <c r="E477" s="55" t="s">
        <v>1520</v>
      </c>
      <c r="F477" s="55" t="s">
        <v>607</v>
      </c>
      <c r="G477" s="55" t="s">
        <v>821</v>
      </c>
      <c r="H477" s="55" t="s">
        <v>1521</v>
      </c>
      <c r="I477" s="56"/>
      <c r="J477" s="56"/>
      <c r="K477" s="56"/>
      <c r="L477" s="56"/>
      <c r="M477" s="56"/>
      <c r="N477" s="56"/>
      <c r="O477" s="56">
        <v>1.0</v>
      </c>
      <c r="P477" s="56"/>
      <c r="Q477" s="56" t="s">
        <v>131</v>
      </c>
      <c r="R477" s="58" t="str">
        <f t="shared" si="1"/>
        <v>2024</v>
      </c>
      <c r="S477" s="59" t="str">
        <f>SUM(Hoja1!$I477:$P477)</f>
        <v>1</v>
      </c>
      <c r="T477" s="59" t="str">
        <f>IF(OR(Hoja1!$J477=1,Hoja1!$K477=1,Hoja1!$L477=1,Hoja1!$M477=1,Hoja1!$N477=1,Hoja1!$O477=1,Hoja1!$P477=1),"SI","NO")</f>
        <v>SI</v>
      </c>
      <c r="U477" s="59" t="str">
        <f>IF(OR(Hoja1!$K477=1,Hoja1!$L477=1,Hoja1!$M477=1,Hoja1!$N477=1,Hoja1!$O477=1,Hoja1!$P477=1),"SI","NO")</f>
        <v>SI</v>
      </c>
      <c r="V477" s="60">
        <v>0.0</v>
      </c>
      <c r="W477" s="61">
        <v>0.0</v>
      </c>
      <c r="X477" s="61">
        <v>0.0</v>
      </c>
      <c r="Y477" s="60">
        <v>0.0</v>
      </c>
      <c r="Z477" s="61">
        <v>0.0</v>
      </c>
      <c r="AA477" s="61">
        <v>0.0</v>
      </c>
      <c r="AB477" s="60">
        <v>0.0</v>
      </c>
      <c r="AC477" s="61">
        <v>0.0</v>
      </c>
      <c r="AD477" s="61">
        <v>0.0</v>
      </c>
      <c r="AE477" s="60">
        <v>0.0</v>
      </c>
      <c r="AF477" s="61">
        <v>0.0</v>
      </c>
      <c r="AG477" s="61">
        <v>0.0</v>
      </c>
      <c r="AH477" s="60">
        <v>0.0</v>
      </c>
      <c r="AI477" s="61">
        <v>0.0</v>
      </c>
      <c r="AJ477" s="61">
        <v>0.0</v>
      </c>
      <c r="AK477" s="60">
        <v>0.0</v>
      </c>
      <c r="AL477" s="61">
        <v>47.0</v>
      </c>
      <c r="AM477" s="61">
        <v>35.0</v>
      </c>
      <c r="AN477" s="60">
        <v>82.0</v>
      </c>
      <c r="AO477" s="62">
        <v>0.0</v>
      </c>
      <c r="AP477" s="62">
        <v>0.0</v>
      </c>
      <c r="AQ477" s="60">
        <v>0.0</v>
      </c>
      <c r="AR477" s="60" t="str">
        <f>IF(Hoja1!$AQ477&gt;0,Hoja1!$AQ477,IF(Hoja1!$AN477&gt;0,Hoja1!$AN477,IF(Hoja1!$AK477&gt;0,Hoja1!$AK477,IF(Hoja1!$AH477&gt;0,Hoja1!$AH477,IF(Hoja1!$AE477&gt;0,Hoja1!$AE477,IF(Hoja1!$AB477&gt;0,Hoja1!$AB477,IF(Hoja1!$Y477&gt;0,Hoja1!$Y477,IF(Hoja1!$V477&gt;0,Hoja1!$V477," ---"))))))))</f>
        <v>82</v>
      </c>
      <c r="AS477" s="63">
        <v>0.0</v>
      </c>
      <c r="AT477" s="63">
        <v>0.0</v>
      </c>
      <c r="AU477" s="63">
        <v>0.0</v>
      </c>
      <c r="AV477" s="63">
        <v>0.0</v>
      </c>
      <c r="AW477" s="63">
        <v>0.0</v>
      </c>
      <c r="AX477" s="63">
        <v>0.0</v>
      </c>
      <c r="AY477" s="63">
        <v>0.0</v>
      </c>
      <c r="AZ477" s="63">
        <v>0.0</v>
      </c>
      <c r="BA477" s="63">
        <v>19.0</v>
      </c>
      <c r="BB477" s="63">
        <v>5.0</v>
      </c>
      <c r="BC477" s="63">
        <v>0.0</v>
      </c>
      <c r="BD477" s="63">
        <v>0.0</v>
      </c>
      <c r="BE477" s="64">
        <v>0.0</v>
      </c>
      <c r="BF477" s="69">
        <v>0.0</v>
      </c>
      <c r="BG477" s="69">
        <v>0.0</v>
      </c>
      <c r="BH477" s="64">
        <v>0.0</v>
      </c>
      <c r="BI477" s="67" t="str">
        <f t="shared" si="156"/>
        <v>#REF!</v>
      </c>
      <c r="BJ477" s="68" t="str">
        <f t="shared" si="157"/>
        <v>#REF!</v>
      </c>
      <c r="BK477" s="69">
        <v>0.0</v>
      </c>
      <c r="BL477" s="69">
        <v>0.0</v>
      </c>
      <c r="BM477" s="64">
        <v>0.0</v>
      </c>
      <c r="BN477" s="67" t="str">
        <f t="shared" si="158"/>
        <v>#REF!</v>
      </c>
      <c r="BO477" s="68" t="str">
        <f t="shared" si="159"/>
        <v>#REF!</v>
      </c>
      <c r="BP477" s="65">
        <v>0.0</v>
      </c>
      <c r="BQ477" s="65">
        <v>0.0</v>
      </c>
      <c r="BR477" s="66">
        <v>0.0</v>
      </c>
      <c r="BS477" s="67" t="str">
        <f t="shared" si="160"/>
        <v>#REF!</v>
      </c>
      <c r="BT477" s="68" t="str">
        <f>'[1]DATA CONSOLIDADA 2018-2025 '!$BR477-Hoja1!$BO477</f>
        <v>#REF!</v>
      </c>
      <c r="BU477" s="69">
        <v>0.0</v>
      </c>
      <c r="BV477" s="65">
        <v>0.0</v>
      </c>
      <c r="BW477" s="66">
        <v>0.0</v>
      </c>
      <c r="BX477" s="67" t="str">
        <f t="shared" si="161"/>
        <v>#REF!</v>
      </c>
      <c r="BY477" s="68" t="str">
        <f t="shared" si="162"/>
        <v>#REF!</v>
      </c>
      <c r="BZ477" s="65">
        <v>0.0</v>
      </c>
      <c r="CA477" s="65">
        <v>0.0</v>
      </c>
      <c r="CB477" s="66">
        <v>0.0</v>
      </c>
      <c r="CC477" s="67" t="str">
        <f t="shared" si="163"/>
        <v>#REF!</v>
      </c>
      <c r="CD477" s="68" t="str">
        <f>'[1]DATA CONSOLIDADA 2018-2025 '!$CB477-Hoja1!$BW477</f>
        <v>#REF!</v>
      </c>
      <c r="CE477" s="70">
        <v>28940.0</v>
      </c>
      <c r="CF477" s="70">
        <v>0.0</v>
      </c>
      <c r="CG477" s="71">
        <v>28940.0</v>
      </c>
      <c r="CH477" s="67" t="str">
        <f t="shared" si="164"/>
        <v>#REF!</v>
      </c>
      <c r="CI477" s="68" t="str">
        <f>'[1]DATA CONSOLIDADA 2018-2025 '!$CG477-Hoja1!$CB477</f>
        <v>#REF!</v>
      </c>
      <c r="CJ477" s="64" t="str">
        <f t="shared" si="165"/>
        <v>#REF!</v>
      </c>
      <c r="CK477" s="64">
        <v>0.0</v>
      </c>
      <c r="CL477" s="64">
        <v>0.0</v>
      </c>
      <c r="CM477" s="64">
        <v>0.0</v>
      </c>
      <c r="CN477" s="64" t="str">
        <f t="shared" si="12"/>
        <v>#REF!</v>
      </c>
      <c r="CO477" s="68" t="str">
        <f>'[1]DATA CONSOLIDADA 2018-2025 '!$CM477-Hoja1!$CG477</f>
        <v>#REF!</v>
      </c>
      <c r="CP477" s="70">
        <v>0.0</v>
      </c>
      <c r="CQ477" s="70">
        <v>0.0</v>
      </c>
      <c r="CR477" s="70">
        <v>0.0</v>
      </c>
      <c r="CS477" s="70">
        <v>0.0</v>
      </c>
      <c r="CT477" s="70">
        <v>0.0</v>
      </c>
      <c r="CU477" s="70">
        <v>0.0</v>
      </c>
      <c r="CV477" s="64">
        <v>0.0</v>
      </c>
      <c r="CW477" s="64">
        <v>0.0</v>
      </c>
      <c r="CX477" s="64">
        <v>0.0</v>
      </c>
      <c r="CY477" s="64">
        <v>28940.0</v>
      </c>
      <c r="CZ477" s="64">
        <v>0.0</v>
      </c>
      <c r="DA477" s="64">
        <v>0.0</v>
      </c>
      <c r="DB477" s="64">
        <v>28940.0</v>
      </c>
      <c r="DC477" s="72">
        <v>0.0</v>
      </c>
      <c r="DD477" s="72">
        <v>0.0</v>
      </c>
      <c r="DE477" s="72">
        <v>0.0</v>
      </c>
      <c r="DF477" s="72">
        <v>0.0</v>
      </c>
      <c r="DG477" s="72">
        <v>0.0</v>
      </c>
      <c r="DH477" s="72">
        <v>0.0</v>
      </c>
      <c r="DI477" s="73">
        <v>2.0604583081E10</v>
      </c>
      <c r="DJ477" s="74" t="s">
        <v>1522</v>
      </c>
      <c r="DK477" s="74" t="s">
        <v>138</v>
      </c>
      <c r="DL477" s="75"/>
      <c r="DM477" s="75"/>
      <c r="DN477" s="75"/>
      <c r="DO477" s="75"/>
      <c r="DP477" s="75"/>
      <c r="DQ477" s="75"/>
      <c r="DR477" s="75"/>
      <c r="DS477" s="75"/>
      <c r="DT477" s="75"/>
      <c r="DU477" s="75"/>
      <c r="DV477" s="75"/>
      <c r="DW477" s="75"/>
      <c r="DX477" s="75"/>
      <c r="DY477" s="75"/>
      <c r="DZ477" s="75"/>
      <c r="EA477" s="75"/>
      <c r="EB477" s="75"/>
      <c r="EC477" s="75"/>
      <c r="ED477" s="75"/>
      <c r="EE477" s="75"/>
    </row>
    <row r="478" ht="47.25" hidden="1" customHeight="1">
      <c r="A478" s="55" t="s">
        <v>1523</v>
      </c>
      <c r="B478" s="55" t="s">
        <v>1524</v>
      </c>
      <c r="C478" s="55" t="s">
        <v>1524</v>
      </c>
      <c r="D478" s="55" t="s">
        <v>846</v>
      </c>
      <c r="E478" s="55" t="s">
        <v>1076</v>
      </c>
      <c r="F478" s="55" t="s">
        <v>846</v>
      </c>
      <c r="G478" s="55" t="s">
        <v>1077</v>
      </c>
      <c r="H478" s="55" t="s">
        <v>1077</v>
      </c>
      <c r="I478" s="56"/>
      <c r="J478" s="56"/>
      <c r="K478" s="56"/>
      <c r="L478" s="56"/>
      <c r="M478" s="56"/>
      <c r="N478" s="56"/>
      <c r="O478" s="56">
        <v>1.0</v>
      </c>
      <c r="P478" s="56">
        <v>1.0</v>
      </c>
      <c r="Q478" s="56" t="s">
        <v>131</v>
      </c>
      <c r="R478" s="58" t="str">
        <f t="shared" si="1"/>
        <v>2024 - 2025</v>
      </c>
      <c r="S478" s="59" t="str">
        <f>SUM(Hoja1!$I478:$P478)</f>
        <v>2</v>
      </c>
      <c r="T478" s="59" t="str">
        <f>IF(OR(Hoja1!$J478=1,Hoja1!$K478=1,Hoja1!$L478=1,Hoja1!$M478=1,Hoja1!$N478=1,Hoja1!$O478=1,Hoja1!$P478=1),"SI","NO")</f>
        <v>SI</v>
      </c>
      <c r="U478" s="59" t="str">
        <f>IF(OR(Hoja1!$K478=1,Hoja1!$L478=1,Hoja1!$M478=1,Hoja1!$N478=1,Hoja1!$O478=1,Hoja1!$P478=1),"SI","NO")</f>
        <v>SI</v>
      </c>
      <c r="V478" s="60">
        <v>0.0</v>
      </c>
      <c r="W478" s="61">
        <v>0.0</v>
      </c>
      <c r="X478" s="61">
        <v>0.0</v>
      </c>
      <c r="Y478" s="60">
        <v>0.0</v>
      </c>
      <c r="Z478" s="61">
        <v>0.0</v>
      </c>
      <c r="AA478" s="61">
        <v>0.0</v>
      </c>
      <c r="AB478" s="60">
        <v>0.0</v>
      </c>
      <c r="AC478" s="61">
        <v>0.0</v>
      </c>
      <c r="AD478" s="61">
        <v>0.0</v>
      </c>
      <c r="AE478" s="60">
        <v>0.0</v>
      </c>
      <c r="AF478" s="61">
        <v>0.0</v>
      </c>
      <c r="AG478" s="61">
        <v>0.0</v>
      </c>
      <c r="AH478" s="60">
        <v>0.0</v>
      </c>
      <c r="AI478" s="61">
        <v>0.0</v>
      </c>
      <c r="AJ478" s="61">
        <v>0.0</v>
      </c>
      <c r="AK478" s="60">
        <v>0.0</v>
      </c>
      <c r="AL478" s="61">
        <v>28.0</v>
      </c>
      <c r="AM478" s="61">
        <v>7.0</v>
      </c>
      <c r="AN478" s="60">
        <v>35.0</v>
      </c>
      <c r="AO478" s="62">
        <v>16.0</v>
      </c>
      <c r="AP478" s="62">
        <v>14.0</v>
      </c>
      <c r="AQ478" s="60">
        <v>30.0</v>
      </c>
      <c r="AR478" s="60" t="str">
        <f>IF(Hoja1!$AQ478&gt;0,Hoja1!$AQ478,IF(Hoja1!$AN478&gt;0,Hoja1!$AN478,IF(Hoja1!$AK478&gt;0,Hoja1!$AK478,IF(Hoja1!$AH478&gt;0,Hoja1!$AH478,IF(Hoja1!$AE478&gt;0,Hoja1!$AE478,IF(Hoja1!$AB478&gt;0,Hoja1!$AB478,IF(Hoja1!$Y478&gt;0,Hoja1!$Y478,IF(Hoja1!$V478&gt;0,Hoja1!$V478," ---"))))))))</f>
        <v>30</v>
      </c>
      <c r="AS478" s="63">
        <v>0.0</v>
      </c>
      <c r="AT478" s="63">
        <v>0.0</v>
      </c>
      <c r="AU478" s="63">
        <v>0.0</v>
      </c>
      <c r="AV478" s="63">
        <v>0.0</v>
      </c>
      <c r="AW478" s="63">
        <v>0.0</v>
      </c>
      <c r="AX478" s="63">
        <v>0.0</v>
      </c>
      <c r="AY478" s="63">
        <v>0.0</v>
      </c>
      <c r="AZ478" s="63">
        <v>0.0</v>
      </c>
      <c r="BA478" s="63">
        <v>39.0</v>
      </c>
      <c r="BB478" s="63">
        <v>0.0</v>
      </c>
      <c r="BC478" s="63">
        <v>14.0</v>
      </c>
      <c r="BD478" s="63">
        <v>0.0</v>
      </c>
      <c r="BE478" s="64">
        <v>0.0</v>
      </c>
      <c r="BF478" s="69">
        <v>0.0</v>
      </c>
      <c r="BG478" s="69">
        <v>0.0</v>
      </c>
      <c r="BH478" s="64">
        <v>0.0</v>
      </c>
      <c r="BI478" s="67" t="str">
        <f t="shared" si="156"/>
        <v>#REF!</v>
      </c>
      <c r="BJ478" s="68" t="str">
        <f t="shared" si="157"/>
        <v>#REF!</v>
      </c>
      <c r="BK478" s="69">
        <v>0.0</v>
      </c>
      <c r="BL478" s="69">
        <v>0.0</v>
      </c>
      <c r="BM478" s="64">
        <v>0.0</v>
      </c>
      <c r="BN478" s="67" t="str">
        <f t="shared" si="158"/>
        <v>#REF!</v>
      </c>
      <c r="BO478" s="68" t="str">
        <f t="shared" si="159"/>
        <v>#REF!</v>
      </c>
      <c r="BP478" s="65">
        <v>0.0</v>
      </c>
      <c r="BQ478" s="65">
        <v>0.0</v>
      </c>
      <c r="BR478" s="66">
        <v>0.0</v>
      </c>
      <c r="BS478" s="67" t="str">
        <f t="shared" si="160"/>
        <v>#REF!</v>
      </c>
      <c r="BT478" s="68" t="str">
        <f>'[1]DATA CONSOLIDADA 2018-2025 '!$BR478-Hoja1!$BO478</f>
        <v>#REF!</v>
      </c>
      <c r="BU478" s="69">
        <v>0.0</v>
      </c>
      <c r="BV478" s="65">
        <v>0.0</v>
      </c>
      <c r="BW478" s="66">
        <v>0.0</v>
      </c>
      <c r="BX478" s="67" t="str">
        <f t="shared" si="161"/>
        <v>#REF!</v>
      </c>
      <c r="BY478" s="68" t="str">
        <f t="shared" si="162"/>
        <v>#REF!</v>
      </c>
      <c r="BZ478" s="65">
        <v>0.0</v>
      </c>
      <c r="CA478" s="65">
        <v>0.0</v>
      </c>
      <c r="CB478" s="66">
        <v>0.0</v>
      </c>
      <c r="CC478" s="67" t="str">
        <f t="shared" si="163"/>
        <v>#REF!</v>
      </c>
      <c r="CD478" s="68" t="str">
        <f>'[1]DATA CONSOLIDADA 2018-2025 '!$CB478-Hoja1!$BW478</f>
        <v>#REF!</v>
      </c>
      <c r="CE478" s="70">
        <v>7596.0</v>
      </c>
      <c r="CF478" s="70">
        <v>0.0</v>
      </c>
      <c r="CG478" s="71">
        <v>7596.0</v>
      </c>
      <c r="CH478" s="67" t="str">
        <f t="shared" si="164"/>
        <v>#REF!</v>
      </c>
      <c r="CI478" s="68" t="str">
        <f>'[1]DATA CONSOLIDADA 2018-2025 '!$CG478-Hoja1!$CB478</f>
        <v>#REF!</v>
      </c>
      <c r="CJ478" s="64" t="str">
        <f t="shared" si="165"/>
        <v>#REF!</v>
      </c>
      <c r="CK478" s="64">
        <v>4030.0</v>
      </c>
      <c r="CL478" s="64">
        <v>0.0</v>
      </c>
      <c r="CM478" s="64">
        <v>4030.0</v>
      </c>
      <c r="CN478" s="64" t="str">
        <f t="shared" si="12"/>
        <v>#REF!</v>
      </c>
      <c r="CO478" s="68" t="str">
        <f>'[1]DATA CONSOLIDADA 2018-2025 '!$CM478-Hoja1!$CG478</f>
        <v>#REF!</v>
      </c>
      <c r="CP478" s="70">
        <v>0.0</v>
      </c>
      <c r="CQ478" s="70">
        <v>0.0</v>
      </c>
      <c r="CR478" s="70">
        <v>0.0</v>
      </c>
      <c r="CS478" s="70">
        <v>0.0</v>
      </c>
      <c r="CT478" s="70">
        <v>0.0</v>
      </c>
      <c r="CU478" s="70">
        <v>0.0</v>
      </c>
      <c r="CV478" s="64">
        <v>0.0</v>
      </c>
      <c r="CW478" s="64">
        <v>0.0</v>
      </c>
      <c r="CX478" s="64">
        <v>7596.0</v>
      </c>
      <c r="CY478" s="64">
        <v>0.0</v>
      </c>
      <c r="CZ478" s="64">
        <v>0.0</v>
      </c>
      <c r="DA478" s="64">
        <v>0.0</v>
      </c>
      <c r="DB478" s="64">
        <v>7596.0</v>
      </c>
      <c r="DC478" s="72">
        <v>3850.0</v>
      </c>
      <c r="DD478" s="72">
        <v>0.0</v>
      </c>
      <c r="DE478" s="72">
        <v>180.0</v>
      </c>
      <c r="DF478" s="72">
        <v>0.0</v>
      </c>
      <c r="DG478" s="72">
        <v>0.0</v>
      </c>
      <c r="DH478" s="72">
        <v>4030.0</v>
      </c>
      <c r="DI478" s="73">
        <v>2.0527492638E10</v>
      </c>
      <c r="DJ478" s="74" t="s">
        <v>1523</v>
      </c>
      <c r="DK478" s="74" t="s">
        <v>523</v>
      </c>
      <c r="DL478" s="75"/>
      <c r="DM478" s="75"/>
      <c r="DN478" s="75"/>
      <c r="DO478" s="75"/>
      <c r="DP478" s="75"/>
      <c r="DQ478" s="75"/>
      <c r="DR478" s="75"/>
      <c r="DS478" s="75"/>
      <c r="DT478" s="75"/>
      <c r="DU478" s="75"/>
      <c r="DV478" s="75"/>
      <c r="DW478" s="75"/>
      <c r="DX478" s="75"/>
      <c r="DY478" s="75"/>
      <c r="DZ478" s="75"/>
      <c r="EA478" s="75"/>
      <c r="EB478" s="75"/>
      <c r="EC478" s="75"/>
      <c r="ED478" s="75"/>
      <c r="EE478" s="75"/>
    </row>
    <row r="479" ht="47.25" hidden="1" customHeight="1">
      <c r="A479" s="55" t="s">
        <v>1525</v>
      </c>
      <c r="B479" s="55" t="s">
        <v>491</v>
      </c>
      <c r="C479" s="55" t="s">
        <v>491</v>
      </c>
      <c r="D479" s="55" t="s">
        <v>846</v>
      </c>
      <c r="E479" s="55" t="s">
        <v>1526</v>
      </c>
      <c r="F479" s="55" t="s">
        <v>846</v>
      </c>
      <c r="G479" s="55" t="s">
        <v>848</v>
      </c>
      <c r="H479" s="55" t="s">
        <v>1527</v>
      </c>
      <c r="I479" s="56"/>
      <c r="J479" s="56"/>
      <c r="K479" s="56"/>
      <c r="L479" s="56"/>
      <c r="M479" s="56"/>
      <c r="N479" s="56"/>
      <c r="O479" s="56">
        <v>1.0</v>
      </c>
      <c r="P479" s="56">
        <v>1.0</v>
      </c>
      <c r="Q479" s="56" t="s">
        <v>131</v>
      </c>
      <c r="R479" s="58" t="str">
        <f t="shared" si="1"/>
        <v>2024 - 2025</v>
      </c>
      <c r="S479" s="59" t="str">
        <f>SUM(Hoja1!$I479:$P479)</f>
        <v>2</v>
      </c>
      <c r="T479" s="59" t="str">
        <f>IF(OR(Hoja1!$J479=1,Hoja1!$K479=1,Hoja1!$L479=1,Hoja1!$M479=1,Hoja1!$N479=1,Hoja1!$O479=1,Hoja1!$P479=1),"SI","NO")</f>
        <v>SI</v>
      </c>
      <c r="U479" s="59" t="str">
        <f>IF(OR(Hoja1!$K479=1,Hoja1!$L479=1,Hoja1!$M479=1,Hoja1!$N479=1,Hoja1!$O479=1,Hoja1!$P479=1),"SI","NO")</f>
        <v>SI</v>
      </c>
      <c r="V479" s="60">
        <v>0.0</v>
      </c>
      <c r="W479" s="61">
        <v>0.0</v>
      </c>
      <c r="X479" s="61">
        <v>0.0</v>
      </c>
      <c r="Y479" s="60">
        <v>0.0</v>
      </c>
      <c r="Z479" s="61">
        <v>0.0</v>
      </c>
      <c r="AA479" s="61">
        <v>0.0</v>
      </c>
      <c r="AB479" s="60">
        <v>0.0</v>
      </c>
      <c r="AC479" s="61">
        <v>0.0</v>
      </c>
      <c r="AD479" s="61">
        <v>0.0</v>
      </c>
      <c r="AE479" s="60">
        <v>0.0</v>
      </c>
      <c r="AF479" s="61">
        <v>0.0</v>
      </c>
      <c r="AG479" s="61">
        <v>0.0</v>
      </c>
      <c r="AH479" s="60">
        <v>0.0</v>
      </c>
      <c r="AI479" s="61">
        <v>0.0</v>
      </c>
      <c r="AJ479" s="61">
        <v>0.0</v>
      </c>
      <c r="AK479" s="60">
        <v>0.0</v>
      </c>
      <c r="AL479" s="61">
        <v>8.0</v>
      </c>
      <c r="AM479" s="61">
        <v>6.0</v>
      </c>
      <c r="AN479" s="60">
        <v>14.0</v>
      </c>
      <c r="AO479" s="62">
        <v>5.0</v>
      </c>
      <c r="AP479" s="62">
        <v>6.0</v>
      </c>
      <c r="AQ479" s="60">
        <v>11.0</v>
      </c>
      <c r="AR479" s="60" t="str">
        <f>IF(Hoja1!$AQ479&gt;0,Hoja1!$AQ479,IF(Hoja1!$AN479&gt;0,Hoja1!$AN479,IF(Hoja1!$AK479&gt;0,Hoja1!$AK479,IF(Hoja1!$AH479&gt;0,Hoja1!$AH479,IF(Hoja1!$AE479&gt;0,Hoja1!$AE479,IF(Hoja1!$AB479&gt;0,Hoja1!$AB479,IF(Hoja1!$Y479&gt;0,Hoja1!$Y479,IF(Hoja1!$V479&gt;0,Hoja1!$V479," ---"))))))))</f>
        <v>11</v>
      </c>
      <c r="AS479" s="63">
        <v>0.0</v>
      </c>
      <c r="AT479" s="63">
        <v>0.0</v>
      </c>
      <c r="AU479" s="63">
        <v>0.0</v>
      </c>
      <c r="AV479" s="63">
        <v>0.0</v>
      </c>
      <c r="AW479" s="63">
        <v>0.0</v>
      </c>
      <c r="AX479" s="63">
        <v>0.0</v>
      </c>
      <c r="AY479" s="63">
        <v>0.0</v>
      </c>
      <c r="AZ479" s="63">
        <v>0.0</v>
      </c>
      <c r="BA479" s="63">
        <v>46.0</v>
      </c>
      <c r="BB479" s="63">
        <v>0.0</v>
      </c>
      <c r="BC479" s="63">
        <v>18.0</v>
      </c>
      <c r="BD479" s="63">
        <v>0.0</v>
      </c>
      <c r="BE479" s="64">
        <v>0.0</v>
      </c>
      <c r="BF479" s="69">
        <v>0.0</v>
      </c>
      <c r="BG479" s="69">
        <v>0.0</v>
      </c>
      <c r="BH479" s="64">
        <v>0.0</v>
      </c>
      <c r="BI479" s="67" t="str">
        <f t="shared" si="156"/>
        <v>#REF!</v>
      </c>
      <c r="BJ479" s="68" t="str">
        <f t="shared" si="157"/>
        <v>#REF!</v>
      </c>
      <c r="BK479" s="69">
        <v>0.0</v>
      </c>
      <c r="BL479" s="69">
        <v>0.0</v>
      </c>
      <c r="BM479" s="64">
        <v>0.0</v>
      </c>
      <c r="BN479" s="67" t="str">
        <f t="shared" si="158"/>
        <v>#REF!</v>
      </c>
      <c r="BO479" s="68" t="str">
        <f t="shared" si="159"/>
        <v>#REF!</v>
      </c>
      <c r="BP479" s="65">
        <v>0.0</v>
      </c>
      <c r="BQ479" s="65">
        <v>0.0</v>
      </c>
      <c r="BR479" s="66">
        <v>0.0</v>
      </c>
      <c r="BS479" s="67" t="str">
        <f t="shared" si="160"/>
        <v>#REF!</v>
      </c>
      <c r="BT479" s="68" t="str">
        <f>'[1]DATA CONSOLIDADA 2018-2025 '!$BR479-Hoja1!$BO479</f>
        <v>#REF!</v>
      </c>
      <c r="BU479" s="69">
        <v>0.0</v>
      </c>
      <c r="BV479" s="65">
        <v>0.0</v>
      </c>
      <c r="BW479" s="66">
        <v>0.0</v>
      </c>
      <c r="BX479" s="67" t="str">
        <f t="shared" si="161"/>
        <v>#REF!</v>
      </c>
      <c r="BY479" s="68" t="str">
        <f t="shared" si="162"/>
        <v>#REF!</v>
      </c>
      <c r="BZ479" s="65">
        <v>0.0</v>
      </c>
      <c r="CA479" s="65">
        <v>0.0</v>
      </c>
      <c r="CB479" s="66">
        <v>0.0</v>
      </c>
      <c r="CC479" s="67" t="str">
        <f t="shared" si="163"/>
        <v>#REF!</v>
      </c>
      <c r="CD479" s="68" t="str">
        <f>'[1]DATA CONSOLIDADA 2018-2025 '!$CB479-Hoja1!$BW479</f>
        <v>#REF!</v>
      </c>
      <c r="CE479" s="70">
        <v>30592.0</v>
      </c>
      <c r="CF479" s="70">
        <v>0.0</v>
      </c>
      <c r="CG479" s="71">
        <v>30592.0</v>
      </c>
      <c r="CH479" s="67" t="str">
        <f t="shared" si="164"/>
        <v>#REF!</v>
      </c>
      <c r="CI479" s="68" t="str">
        <f>'[1]DATA CONSOLIDADA 2018-2025 '!$CG479-Hoja1!$CB479</f>
        <v>#REF!</v>
      </c>
      <c r="CJ479" s="64" t="str">
        <f t="shared" si="165"/>
        <v>#REF!</v>
      </c>
      <c r="CK479" s="64">
        <v>3004.0</v>
      </c>
      <c r="CL479" s="64">
        <v>0.0</v>
      </c>
      <c r="CM479" s="64">
        <v>3004.0</v>
      </c>
      <c r="CN479" s="64" t="str">
        <f t="shared" si="12"/>
        <v>#REF!</v>
      </c>
      <c r="CO479" s="68" t="str">
        <f>'[1]DATA CONSOLIDADA 2018-2025 '!$CM479-Hoja1!$CG479</f>
        <v>#REF!</v>
      </c>
      <c r="CP479" s="70">
        <v>0.0</v>
      </c>
      <c r="CQ479" s="70">
        <v>0.0</v>
      </c>
      <c r="CR479" s="70">
        <v>0.0</v>
      </c>
      <c r="CS479" s="70">
        <v>0.0</v>
      </c>
      <c r="CT479" s="70">
        <v>0.0</v>
      </c>
      <c r="CU479" s="70">
        <v>0.0</v>
      </c>
      <c r="CV479" s="64">
        <v>0.0</v>
      </c>
      <c r="CW479" s="64">
        <v>3012.0</v>
      </c>
      <c r="CX479" s="64">
        <v>27580.0</v>
      </c>
      <c r="CY479" s="64">
        <v>0.0</v>
      </c>
      <c r="CZ479" s="64">
        <v>0.0</v>
      </c>
      <c r="DA479" s="64">
        <v>0.0</v>
      </c>
      <c r="DB479" s="64">
        <v>30592.0</v>
      </c>
      <c r="DC479" s="72">
        <v>3004.0</v>
      </c>
      <c r="DD479" s="72">
        <v>0.0</v>
      </c>
      <c r="DE479" s="72">
        <v>0.0</v>
      </c>
      <c r="DF479" s="72">
        <v>0.0</v>
      </c>
      <c r="DG479" s="72">
        <v>0.0</v>
      </c>
      <c r="DH479" s="72">
        <v>3004.0</v>
      </c>
      <c r="DI479" s="73">
        <v>2.0609787202E10</v>
      </c>
      <c r="DJ479" s="74" t="s">
        <v>1528</v>
      </c>
      <c r="DK479" s="74" t="s">
        <v>138</v>
      </c>
      <c r="DL479" s="75"/>
      <c r="DM479" s="75"/>
      <c r="DN479" s="75"/>
      <c r="DO479" s="75"/>
      <c r="DP479" s="75"/>
      <c r="DQ479" s="75"/>
      <c r="DR479" s="75"/>
      <c r="DS479" s="75"/>
      <c r="DT479" s="75"/>
      <c r="DU479" s="75"/>
      <c r="DV479" s="75"/>
      <c r="DW479" s="75"/>
      <c r="DX479" s="75"/>
      <c r="DY479" s="75"/>
      <c r="DZ479" s="75"/>
      <c r="EA479" s="75"/>
      <c r="EB479" s="75"/>
      <c r="EC479" s="75"/>
      <c r="ED479" s="75"/>
      <c r="EE479" s="75"/>
    </row>
    <row r="480" ht="47.25" hidden="1" customHeight="1">
      <c r="A480" s="55" t="s">
        <v>1529</v>
      </c>
      <c r="B480" s="55" t="s">
        <v>845</v>
      </c>
      <c r="C480" s="55" t="s">
        <v>845</v>
      </c>
      <c r="D480" s="55" t="s">
        <v>846</v>
      </c>
      <c r="E480" s="55" t="s">
        <v>1076</v>
      </c>
      <c r="F480" s="55" t="s">
        <v>846</v>
      </c>
      <c r="G480" s="55" t="s">
        <v>1077</v>
      </c>
      <c r="H480" s="55" t="s">
        <v>1077</v>
      </c>
      <c r="I480" s="56"/>
      <c r="J480" s="56"/>
      <c r="K480" s="56"/>
      <c r="L480" s="56"/>
      <c r="M480" s="56"/>
      <c r="N480" s="56"/>
      <c r="O480" s="56">
        <v>1.0</v>
      </c>
      <c r="P480" s="56">
        <v>1.0</v>
      </c>
      <c r="Q480" s="56" t="s">
        <v>131</v>
      </c>
      <c r="R480" s="58" t="str">
        <f t="shared" si="1"/>
        <v>2024 - 2025</v>
      </c>
      <c r="S480" s="59" t="str">
        <f>SUM(Hoja1!$I480:$P480)</f>
        <v>2</v>
      </c>
      <c r="T480" s="59" t="str">
        <f>IF(OR(Hoja1!$J480=1,Hoja1!$K480=1,Hoja1!$L480=1,Hoja1!$M480=1,Hoja1!$N480=1,Hoja1!$O480=1,Hoja1!$P480=1),"SI","NO")</f>
        <v>SI</v>
      </c>
      <c r="U480" s="59" t="str">
        <f>IF(OR(Hoja1!$K480=1,Hoja1!$L480=1,Hoja1!$M480=1,Hoja1!$N480=1,Hoja1!$O480=1,Hoja1!$P480=1),"SI","NO")</f>
        <v>SI</v>
      </c>
      <c r="V480" s="60">
        <v>0.0</v>
      </c>
      <c r="W480" s="61">
        <v>0.0</v>
      </c>
      <c r="X480" s="61">
        <v>0.0</v>
      </c>
      <c r="Y480" s="60">
        <v>0.0</v>
      </c>
      <c r="Z480" s="61">
        <v>0.0</v>
      </c>
      <c r="AA480" s="61">
        <v>0.0</v>
      </c>
      <c r="AB480" s="60">
        <v>0.0</v>
      </c>
      <c r="AC480" s="61">
        <v>0.0</v>
      </c>
      <c r="AD480" s="61">
        <v>0.0</v>
      </c>
      <c r="AE480" s="60">
        <v>0.0</v>
      </c>
      <c r="AF480" s="61">
        <v>0.0</v>
      </c>
      <c r="AG480" s="61">
        <v>0.0</v>
      </c>
      <c r="AH480" s="60">
        <v>0.0</v>
      </c>
      <c r="AI480" s="61">
        <v>0.0</v>
      </c>
      <c r="AJ480" s="61">
        <v>0.0</v>
      </c>
      <c r="AK480" s="60">
        <v>0.0</v>
      </c>
      <c r="AL480" s="61">
        <v>13.0</v>
      </c>
      <c r="AM480" s="61">
        <v>5.0</v>
      </c>
      <c r="AN480" s="60">
        <v>18.0</v>
      </c>
      <c r="AO480" s="62">
        <v>12.0</v>
      </c>
      <c r="AP480" s="62">
        <v>5.0</v>
      </c>
      <c r="AQ480" s="60">
        <v>17.0</v>
      </c>
      <c r="AR480" s="60" t="str">
        <f>IF(Hoja1!$AQ480&gt;0,Hoja1!$AQ480,IF(Hoja1!$AN480&gt;0,Hoja1!$AN480,IF(Hoja1!$AK480&gt;0,Hoja1!$AK480,IF(Hoja1!$AH480&gt;0,Hoja1!$AH480,IF(Hoja1!$AE480&gt;0,Hoja1!$AE480,IF(Hoja1!$AB480&gt;0,Hoja1!$AB480,IF(Hoja1!$Y480&gt;0,Hoja1!$Y480,IF(Hoja1!$V480&gt;0,Hoja1!$V480," ---"))))))))</f>
        <v>17</v>
      </c>
      <c r="AS480" s="63">
        <v>0.0</v>
      </c>
      <c r="AT480" s="63">
        <v>0.0</v>
      </c>
      <c r="AU480" s="63">
        <v>0.0</v>
      </c>
      <c r="AV480" s="63">
        <v>0.0</v>
      </c>
      <c r="AW480" s="63">
        <v>0.0</v>
      </c>
      <c r="AX480" s="63">
        <v>0.0</v>
      </c>
      <c r="AY480" s="63">
        <v>0.0</v>
      </c>
      <c r="AZ480" s="63">
        <v>0.0</v>
      </c>
      <c r="BA480" s="63">
        <v>35.0</v>
      </c>
      <c r="BB480" s="63">
        <v>0.0</v>
      </c>
      <c r="BC480" s="63">
        <v>14.0</v>
      </c>
      <c r="BD480" s="63">
        <v>0.0</v>
      </c>
      <c r="BE480" s="64">
        <v>0.0</v>
      </c>
      <c r="BF480" s="69">
        <v>0.0</v>
      </c>
      <c r="BG480" s="69">
        <v>0.0</v>
      </c>
      <c r="BH480" s="64">
        <v>0.0</v>
      </c>
      <c r="BI480" s="67" t="str">
        <f t="shared" si="156"/>
        <v>#REF!</v>
      </c>
      <c r="BJ480" s="68" t="str">
        <f t="shared" si="157"/>
        <v>#REF!</v>
      </c>
      <c r="BK480" s="69">
        <v>0.0</v>
      </c>
      <c r="BL480" s="69">
        <v>0.0</v>
      </c>
      <c r="BM480" s="64">
        <v>0.0</v>
      </c>
      <c r="BN480" s="67" t="str">
        <f t="shared" si="158"/>
        <v>#REF!</v>
      </c>
      <c r="BO480" s="68" t="str">
        <f t="shared" si="159"/>
        <v>#REF!</v>
      </c>
      <c r="BP480" s="65">
        <v>0.0</v>
      </c>
      <c r="BQ480" s="65">
        <v>0.0</v>
      </c>
      <c r="BR480" s="66">
        <v>0.0</v>
      </c>
      <c r="BS480" s="67" t="str">
        <f t="shared" si="160"/>
        <v>#REF!</v>
      </c>
      <c r="BT480" s="68" t="str">
        <f>'[1]DATA CONSOLIDADA 2018-2025 '!$BR480-Hoja1!$BO480</f>
        <v>#REF!</v>
      </c>
      <c r="BU480" s="69">
        <v>0.0</v>
      </c>
      <c r="BV480" s="65">
        <v>0.0</v>
      </c>
      <c r="BW480" s="66">
        <v>0.0</v>
      </c>
      <c r="BX480" s="67" t="str">
        <f t="shared" si="161"/>
        <v>#REF!</v>
      </c>
      <c r="BY480" s="68" t="str">
        <f t="shared" si="162"/>
        <v>#REF!</v>
      </c>
      <c r="BZ480" s="65">
        <v>0.0</v>
      </c>
      <c r="CA480" s="65">
        <v>0.0</v>
      </c>
      <c r="CB480" s="66">
        <v>0.0</v>
      </c>
      <c r="CC480" s="67" t="str">
        <f t="shared" si="163"/>
        <v>#REF!</v>
      </c>
      <c r="CD480" s="68" t="str">
        <f>'[1]DATA CONSOLIDADA 2018-2025 '!$CB480-Hoja1!$BW480</f>
        <v>#REF!</v>
      </c>
      <c r="CE480" s="70">
        <v>50600.0</v>
      </c>
      <c r="CF480" s="70">
        <v>0.0</v>
      </c>
      <c r="CG480" s="71">
        <v>50600.0</v>
      </c>
      <c r="CH480" s="67" t="str">
        <f t="shared" si="164"/>
        <v>#REF!</v>
      </c>
      <c r="CI480" s="68" t="str">
        <f>'[1]DATA CONSOLIDADA 2018-2025 '!$CG480-Hoja1!$CB480</f>
        <v>#REF!</v>
      </c>
      <c r="CJ480" s="64" t="str">
        <f t="shared" si="165"/>
        <v>#REF!</v>
      </c>
      <c r="CK480" s="64">
        <v>31470.25</v>
      </c>
      <c r="CL480" s="64">
        <v>0.0</v>
      </c>
      <c r="CM480" s="64">
        <v>31470.25</v>
      </c>
      <c r="CN480" s="64" t="str">
        <f t="shared" si="12"/>
        <v>#REF!</v>
      </c>
      <c r="CO480" s="68" t="str">
        <f>'[1]DATA CONSOLIDADA 2018-2025 '!$CM480-Hoja1!$CG480</f>
        <v>#REF!</v>
      </c>
      <c r="CP480" s="70">
        <v>0.0</v>
      </c>
      <c r="CQ480" s="70">
        <v>0.0</v>
      </c>
      <c r="CR480" s="70">
        <v>0.0</v>
      </c>
      <c r="CS480" s="70">
        <v>0.0</v>
      </c>
      <c r="CT480" s="70">
        <v>0.0</v>
      </c>
      <c r="CU480" s="70">
        <v>0.0</v>
      </c>
      <c r="CV480" s="64">
        <v>0.0</v>
      </c>
      <c r="CW480" s="64">
        <v>0.0</v>
      </c>
      <c r="CX480" s="64">
        <v>50600.0</v>
      </c>
      <c r="CY480" s="64">
        <v>0.0</v>
      </c>
      <c r="CZ480" s="64">
        <v>0.0</v>
      </c>
      <c r="DA480" s="64">
        <v>0.0</v>
      </c>
      <c r="DB480" s="64">
        <v>50600.0</v>
      </c>
      <c r="DC480" s="72">
        <v>0.0</v>
      </c>
      <c r="DD480" s="72">
        <v>31470.25</v>
      </c>
      <c r="DE480" s="72">
        <v>0.0</v>
      </c>
      <c r="DF480" s="72">
        <v>0.0</v>
      </c>
      <c r="DG480" s="72">
        <v>0.0</v>
      </c>
      <c r="DH480" s="72">
        <v>31470.25</v>
      </c>
      <c r="DI480" s="73">
        <v>2.0491086727E10</v>
      </c>
      <c r="DJ480" s="74" t="s">
        <v>1530</v>
      </c>
      <c r="DK480" s="74" t="s">
        <v>138</v>
      </c>
      <c r="DL480" s="75"/>
      <c r="DM480" s="75"/>
      <c r="DN480" s="75"/>
      <c r="DO480" s="75"/>
      <c r="DP480" s="75"/>
      <c r="DQ480" s="75"/>
      <c r="DR480" s="75"/>
      <c r="DS480" s="75"/>
      <c r="DT480" s="75"/>
      <c r="DU480" s="75"/>
      <c r="DV480" s="75"/>
      <c r="DW480" s="75"/>
      <c r="DX480" s="75"/>
      <c r="DY480" s="75"/>
      <c r="DZ480" s="75"/>
      <c r="EA480" s="75"/>
      <c r="EB480" s="75"/>
      <c r="EC480" s="75"/>
      <c r="ED480" s="75"/>
      <c r="EE480" s="75"/>
    </row>
    <row r="481" ht="47.25" hidden="1" customHeight="1">
      <c r="A481" s="55" t="s">
        <v>1531</v>
      </c>
      <c r="B481" s="55" t="s">
        <v>621</v>
      </c>
      <c r="C481" s="55" t="s">
        <v>621</v>
      </c>
      <c r="D481" s="55" t="s">
        <v>846</v>
      </c>
      <c r="E481" s="55" t="s">
        <v>847</v>
      </c>
      <c r="F481" s="55" t="s">
        <v>846</v>
      </c>
      <c r="G481" s="55" t="s">
        <v>848</v>
      </c>
      <c r="H481" s="55" t="s">
        <v>849</v>
      </c>
      <c r="I481" s="56"/>
      <c r="J481" s="56"/>
      <c r="K481" s="56"/>
      <c r="L481" s="56"/>
      <c r="M481" s="56"/>
      <c r="N481" s="56"/>
      <c r="O481" s="56">
        <v>1.0</v>
      </c>
      <c r="P481" s="56">
        <v>1.0</v>
      </c>
      <c r="Q481" s="56" t="s">
        <v>131</v>
      </c>
      <c r="R481" s="58" t="str">
        <f t="shared" si="1"/>
        <v>2024 - 2025</v>
      </c>
      <c r="S481" s="59" t="str">
        <f>SUM(Hoja1!$I481:$P481)</f>
        <v>2</v>
      </c>
      <c r="T481" s="59" t="str">
        <f>IF(OR(Hoja1!$J481=1,Hoja1!$K481=1,Hoja1!$L481=1,Hoja1!$M481=1,Hoja1!$N481=1,Hoja1!$O481=1,Hoja1!$P481=1),"SI","NO")</f>
        <v>SI</v>
      </c>
      <c r="U481" s="59" t="str">
        <f>IF(OR(Hoja1!$K481=1,Hoja1!$L481=1,Hoja1!$M481=1,Hoja1!$N481=1,Hoja1!$O481=1,Hoja1!$P481=1),"SI","NO")</f>
        <v>SI</v>
      </c>
      <c r="V481" s="60">
        <v>0.0</v>
      </c>
      <c r="W481" s="61">
        <v>0.0</v>
      </c>
      <c r="X481" s="61">
        <v>0.0</v>
      </c>
      <c r="Y481" s="60">
        <v>0.0</v>
      </c>
      <c r="Z481" s="61">
        <v>0.0</v>
      </c>
      <c r="AA481" s="61">
        <v>0.0</v>
      </c>
      <c r="AB481" s="60">
        <v>0.0</v>
      </c>
      <c r="AC481" s="61">
        <v>0.0</v>
      </c>
      <c r="AD481" s="61">
        <v>0.0</v>
      </c>
      <c r="AE481" s="60">
        <v>0.0</v>
      </c>
      <c r="AF481" s="61">
        <v>0.0</v>
      </c>
      <c r="AG481" s="61">
        <v>0.0</v>
      </c>
      <c r="AH481" s="60">
        <v>0.0</v>
      </c>
      <c r="AI481" s="61">
        <v>0.0</v>
      </c>
      <c r="AJ481" s="61">
        <v>0.0</v>
      </c>
      <c r="AK481" s="60">
        <v>0.0</v>
      </c>
      <c r="AL481" s="61">
        <v>8.0</v>
      </c>
      <c r="AM481" s="61">
        <v>15.0</v>
      </c>
      <c r="AN481" s="60">
        <v>23.0</v>
      </c>
      <c r="AO481" s="62">
        <v>7.0</v>
      </c>
      <c r="AP481" s="62">
        <v>18.0</v>
      </c>
      <c r="AQ481" s="60">
        <v>25.0</v>
      </c>
      <c r="AR481" s="60" t="str">
        <f>IF(Hoja1!$AQ481&gt;0,Hoja1!$AQ481,IF(Hoja1!$AN481&gt;0,Hoja1!$AN481,IF(Hoja1!$AK481&gt;0,Hoja1!$AK481,IF(Hoja1!$AH481&gt;0,Hoja1!$AH481,IF(Hoja1!$AE481&gt;0,Hoja1!$AE481,IF(Hoja1!$AB481&gt;0,Hoja1!$AB481,IF(Hoja1!$Y481&gt;0,Hoja1!$Y481,IF(Hoja1!$V481&gt;0,Hoja1!$V481," ---"))))))))</f>
        <v>25</v>
      </c>
      <c r="AS481" s="63">
        <v>0.0</v>
      </c>
      <c r="AT481" s="63">
        <v>0.0</v>
      </c>
      <c r="AU481" s="63">
        <v>0.0</v>
      </c>
      <c r="AV481" s="63">
        <v>0.0</v>
      </c>
      <c r="AW481" s="63">
        <v>0.0</v>
      </c>
      <c r="AX481" s="63">
        <v>0.0</v>
      </c>
      <c r="AY481" s="63">
        <v>0.0</v>
      </c>
      <c r="AZ481" s="63">
        <v>0.0</v>
      </c>
      <c r="BA481" s="63">
        <v>41.0</v>
      </c>
      <c r="BB481" s="63">
        <v>0.0</v>
      </c>
      <c r="BC481" s="63">
        <v>2.0</v>
      </c>
      <c r="BD481" s="63">
        <v>0.0</v>
      </c>
      <c r="BE481" s="64">
        <v>0.0</v>
      </c>
      <c r="BF481" s="69">
        <v>0.0</v>
      </c>
      <c r="BG481" s="69">
        <v>0.0</v>
      </c>
      <c r="BH481" s="64">
        <v>0.0</v>
      </c>
      <c r="BI481" s="67" t="str">
        <f t="shared" si="156"/>
        <v>#REF!</v>
      </c>
      <c r="BJ481" s="68" t="str">
        <f t="shared" si="157"/>
        <v>#REF!</v>
      </c>
      <c r="BK481" s="69">
        <v>0.0</v>
      </c>
      <c r="BL481" s="69">
        <v>0.0</v>
      </c>
      <c r="BM481" s="64">
        <v>0.0</v>
      </c>
      <c r="BN481" s="67" t="str">
        <f t="shared" si="158"/>
        <v>#REF!</v>
      </c>
      <c r="BO481" s="68" t="str">
        <f t="shared" si="159"/>
        <v>#REF!</v>
      </c>
      <c r="BP481" s="65">
        <v>0.0</v>
      </c>
      <c r="BQ481" s="65">
        <v>0.0</v>
      </c>
      <c r="BR481" s="66">
        <v>0.0</v>
      </c>
      <c r="BS481" s="67" t="str">
        <f t="shared" si="160"/>
        <v>#REF!</v>
      </c>
      <c r="BT481" s="68" t="str">
        <f>'[1]DATA CONSOLIDADA 2018-2025 '!$BR481-Hoja1!$BO481</f>
        <v>#REF!</v>
      </c>
      <c r="BU481" s="69">
        <v>0.0</v>
      </c>
      <c r="BV481" s="65">
        <v>0.0</v>
      </c>
      <c r="BW481" s="66">
        <v>0.0</v>
      </c>
      <c r="BX481" s="67" t="str">
        <f t="shared" si="161"/>
        <v>#REF!</v>
      </c>
      <c r="BY481" s="68" t="str">
        <f t="shared" si="162"/>
        <v>#REF!</v>
      </c>
      <c r="BZ481" s="65">
        <v>0.0</v>
      </c>
      <c r="CA481" s="65">
        <v>0.0</v>
      </c>
      <c r="CB481" s="66">
        <v>0.0</v>
      </c>
      <c r="CC481" s="67" t="str">
        <f t="shared" si="163"/>
        <v>#REF!</v>
      </c>
      <c r="CD481" s="68" t="str">
        <f>'[1]DATA CONSOLIDADA 2018-2025 '!$CB481-Hoja1!$BW481</f>
        <v>#REF!</v>
      </c>
      <c r="CE481" s="70">
        <v>8200.0</v>
      </c>
      <c r="CF481" s="70">
        <v>0.0</v>
      </c>
      <c r="CG481" s="71">
        <v>8200.0</v>
      </c>
      <c r="CH481" s="67" t="str">
        <f t="shared" si="164"/>
        <v>#REF!</v>
      </c>
      <c r="CI481" s="68" t="str">
        <f>'[1]DATA CONSOLIDADA 2018-2025 '!$CG481-Hoja1!$CB481</f>
        <v>#REF!</v>
      </c>
      <c r="CJ481" s="64" t="str">
        <f t="shared" si="165"/>
        <v>#REF!</v>
      </c>
      <c r="CK481" s="64">
        <v>0.0</v>
      </c>
      <c r="CL481" s="64">
        <v>0.0</v>
      </c>
      <c r="CM481" s="64">
        <v>0.0</v>
      </c>
      <c r="CN481" s="64" t="str">
        <f t="shared" si="12"/>
        <v>#REF!</v>
      </c>
      <c r="CO481" s="68" t="str">
        <f>'[1]DATA CONSOLIDADA 2018-2025 '!$CM481-Hoja1!$CG481</f>
        <v>#REF!</v>
      </c>
      <c r="CP481" s="70">
        <v>0.0</v>
      </c>
      <c r="CQ481" s="70">
        <v>0.0</v>
      </c>
      <c r="CR481" s="70">
        <v>0.0</v>
      </c>
      <c r="CS481" s="70">
        <v>0.0</v>
      </c>
      <c r="CT481" s="70">
        <v>0.0</v>
      </c>
      <c r="CU481" s="70">
        <v>0.0</v>
      </c>
      <c r="CV481" s="64">
        <v>0.0</v>
      </c>
      <c r="CW481" s="64">
        <v>0.0</v>
      </c>
      <c r="CX481" s="64">
        <v>8200.0</v>
      </c>
      <c r="CY481" s="64">
        <v>0.0</v>
      </c>
      <c r="CZ481" s="64">
        <v>0.0</v>
      </c>
      <c r="DA481" s="64">
        <v>0.0</v>
      </c>
      <c r="DB481" s="64">
        <v>8200.0</v>
      </c>
      <c r="DC481" s="72">
        <v>0.0</v>
      </c>
      <c r="DD481" s="72">
        <v>0.0</v>
      </c>
      <c r="DE481" s="72">
        <v>0.0</v>
      </c>
      <c r="DF481" s="72">
        <v>0.0</v>
      </c>
      <c r="DG481" s="72">
        <v>0.0</v>
      </c>
      <c r="DH481" s="72">
        <v>0.0</v>
      </c>
      <c r="DI481" s="73">
        <v>2.0608017501E10</v>
      </c>
      <c r="DJ481" s="74" t="s">
        <v>1532</v>
      </c>
      <c r="DK481" s="74" t="s">
        <v>138</v>
      </c>
      <c r="DL481" s="75"/>
      <c r="DM481" s="75"/>
      <c r="DN481" s="75"/>
      <c r="DO481" s="75"/>
      <c r="DP481" s="75"/>
      <c r="DQ481" s="75"/>
      <c r="DR481" s="75"/>
      <c r="DS481" s="75"/>
      <c r="DT481" s="75"/>
      <c r="DU481" s="75"/>
      <c r="DV481" s="75"/>
      <c r="DW481" s="75"/>
      <c r="DX481" s="75"/>
      <c r="DY481" s="75"/>
      <c r="DZ481" s="75"/>
      <c r="EA481" s="75"/>
      <c r="EB481" s="75"/>
      <c r="EC481" s="75"/>
      <c r="ED481" s="75"/>
      <c r="EE481" s="75"/>
    </row>
    <row r="482" ht="47.25" hidden="1" customHeight="1">
      <c r="A482" s="55" t="s">
        <v>1533</v>
      </c>
      <c r="B482" s="55" t="s">
        <v>855</v>
      </c>
      <c r="C482" s="55" t="s">
        <v>855</v>
      </c>
      <c r="D482" s="55" t="s">
        <v>846</v>
      </c>
      <c r="E482" s="55" t="s">
        <v>856</v>
      </c>
      <c r="F482" s="55" t="s">
        <v>846</v>
      </c>
      <c r="G482" s="55" t="s">
        <v>848</v>
      </c>
      <c r="H482" s="55" t="s">
        <v>848</v>
      </c>
      <c r="I482" s="56"/>
      <c r="J482" s="56"/>
      <c r="K482" s="56"/>
      <c r="L482" s="56"/>
      <c r="M482" s="56"/>
      <c r="N482" s="56"/>
      <c r="O482" s="56">
        <v>1.0</v>
      </c>
      <c r="P482" s="56">
        <v>1.0</v>
      </c>
      <c r="Q482" s="56" t="s">
        <v>131</v>
      </c>
      <c r="R482" s="58" t="str">
        <f t="shared" si="1"/>
        <v>2024 - 2025</v>
      </c>
      <c r="S482" s="59" t="str">
        <f>SUM(Hoja1!$I482:$P482)</f>
        <v>2</v>
      </c>
      <c r="T482" s="59" t="str">
        <f>IF(OR(Hoja1!$J482=1,Hoja1!$K482=1,Hoja1!$L482=1,Hoja1!$M482=1,Hoja1!$N482=1,Hoja1!$O482=1,Hoja1!$P482=1),"SI","NO")</f>
        <v>SI</v>
      </c>
      <c r="U482" s="59" t="str">
        <f>IF(OR(Hoja1!$K482=1,Hoja1!$L482=1,Hoja1!$M482=1,Hoja1!$N482=1,Hoja1!$O482=1,Hoja1!$P482=1),"SI","NO")</f>
        <v>SI</v>
      </c>
      <c r="V482" s="60">
        <v>0.0</v>
      </c>
      <c r="W482" s="61">
        <v>0.0</v>
      </c>
      <c r="X482" s="61">
        <v>0.0</v>
      </c>
      <c r="Y482" s="60">
        <v>0.0</v>
      </c>
      <c r="Z482" s="61">
        <v>0.0</v>
      </c>
      <c r="AA482" s="61">
        <v>0.0</v>
      </c>
      <c r="AB482" s="60">
        <v>0.0</v>
      </c>
      <c r="AC482" s="61">
        <v>0.0</v>
      </c>
      <c r="AD482" s="61">
        <v>0.0</v>
      </c>
      <c r="AE482" s="60">
        <v>0.0</v>
      </c>
      <c r="AF482" s="61">
        <v>0.0</v>
      </c>
      <c r="AG482" s="61">
        <v>0.0</v>
      </c>
      <c r="AH482" s="60">
        <v>0.0</v>
      </c>
      <c r="AI482" s="61">
        <v>0.0</v>
      </c>
      <c r="AJ482" s="61">
        <v>0.0</v>
      </c>
      <c r="AK482" s="60">
        <v>0.0</v>
      </c>
      <c r="AL482" s="61">
        <v>3.0</v>
      </c>
      <c r="AM482" s="61">
        <v>4.0</v>
      </c>
      <c r="AN482" s="60">
        <v>7.0</v>
      </c>
      <c r="AO482" s="62">
        <v>10.0</v>
      </c>
      <c r="AP482" s="62">
        <v>8.0</v>
      </c>
      <c r="AQ482" s="60">
        <v>18.0</v>
      </c>
      <c r="AR482" s="60" t="str">
        <f>IF(Hoja1!$AQ482&gt;0,Hoja1!$AQ482,IF(Hoja1!$AN482&gt;0,Hoja1!$AN482,IF(Hoja1!$AK482&gt;0,Hoja1!$AK482,IF(Hoja1!$AH482&gt;0,Hoja1!$AH482,IF(Hoja1!$AE482&gt;0,Hoja1!$AE482,IF(Hoja1!$AB482&gt;0,Hoja1!$AB482,IF(Hoja1!$Y482&gt;0,Hoja1!$Y482,IF(Hoja1!$V482&gt;0,Hoja1!$V482," ---"))))))))</f>
        <v>18</v>
      </c>
      <c r="AS482" s="63">
        <v>0.0</v>
      </c>
      <c r="AT482" s="63">
        <v>0.0</v>
      </c>
      <c r="AU482" s="63">
        <v>0.0</v>
      </c>
      <c r="AV482" s="63">
        <v>0.0</v>
      </c>
      <c r="AW482" s="63">
        <v>0.0</v>
      </c>
      <c r="AX482" s="63">
        <v>0.0</v>
      </c>
      <c r="AY482" s="63">
        <v>0.0</v>
      </c>
      <c r="AZ482" s="63">
        <v>0.0</v>
      </c>
      <c r="BA482" s="63">
        <v>46.0</v>
      </c>
      <c r="BB482" s="63">
        <v>1.0</v>
      </c>
      <c r="BC482" s="63">
        <v>18.0</v>
      </c>
      <c r="BD482" s="63">
        <v>1.0</v>
      </c>
      <c r="BE482" s="64">
        <v>0.0</v>
      </c>
      <c r="BF482" s="69">
        <v>0.0</v>
      </c>
      <c r="BG482" s="69">
        <v>0.0</v>
      </c>
      <c r="BH482" s="64">
        <v>0.0</v>
      </c>
      <c r="BI482" s="67" t="str">
        <f t="shared" si="156"/>
        <v>#REF!</v>
      </c>
      <c r="BJ482" s="68" t="str">
        <f t="shared" si="157"/>
        <v>#REF!</v>
      </c>
      <c r="BK482" s="69">
        <v>0.0</v>
      </c>
      <c r="BL482" s="69">
        <v>0.0</v>
      </c>
      <c r="BM482" s="64">
        <v>0.0</v>
      </c>
      <c r="BN482" s="67" t="str">
        <f t="shared" si="158"/>
        <v>#REF!</v>
      </c>
      <c r="BO482" s="68" t="str">
        <f t="shared" si="159"/>
        <v>#REF!</v>
      </c>
      <c r="BP482" s="65">
        <v>0.0</v>
      </c>
      <c r="BQ482" s="65">
        <v>0.0</v>
      </c>
      <c r="BR482" s="66">
        <v>0.0</v>
      </c>
      <c r="BS482" s="67" t="str">
        <f t="shared" si="160"/>
        <v>#REF!</v>
      </c>
      <c r="BT482" s="68" t="str">
        <f>'[1]DATA CONSOLIDADA 2018-2025 '!$BR482-Hoja1!$BO482</f>
        <v>#REF!</v>
      </c>
      <c r="BU482" s="69">
        <v>0.0</v>
      </c>
      <c r="BV482" s="65">
        <v>0.0</v>
      </c>
      <c r="BW482" s="66">
        <v>0.0</v>
      </c>
      <c r="BX482" s="67" t="str">
        <f t="shared" si="161"/>
        <v>#REF!</v>
      </c>
      <c r="BY482" s="68" t="str">
        <f t="shared" si="162"/>
        <v>#REF!</v>
      </c>
      <c r="BZ482" s="65">
        <v>0.0</v>
      </c>
      <c r="CA482" s="65">
        <v>0.0</v>
      </c>
      <c r="CB482" s="66">
        <v>0.0</v>
      </c>
      <c r="CC482" s="67" t="str">
        <f t="shared" si="163"/>
        <v>#REF!</v>
      </c>
      <c r="CD482" s="68" t="str">
        <f>'[1]DATA CONSOLIDADA 2018-2025 '!$CB482-Hoja1!$BW482</f>
        <v>#REF!</v>
      </c>
      <c r="CE482" s="70">
        <v>357202.8</v>
      </c>
      <c r="CF482" s="70">
        <v>0.0</v>
      </c>
      <c r="CG482" s="71">
        <v>357202.8</v>
      </c>
      <c r="CH482" s="67" t="str">
        <f t="shared" si="164"/>
        <v>#REF!</v>
      </c>
      <c r="CI482" s="68" t="str">
        <f>'[1]DATA CONSOLIDADA 2018-2025 '!$CG482-Hoja1!$CB482</f>
        <v>#REF!</v>
      </c>
      <c r="CJ482" s="64" t="str">
        <f t="shared" si="165"/>
        <v>#REF!</v>
      </c>
      <c r="CK482" s="64">
        <v>694118.85598</v>
      </c>
      <c r="CL482" s="64">
        <v>0.0</v>
      </c>
      <c r="CM482" s="64">
        <v>694118.85598</v>
      </c>
      <c r="CN482" s="64" t="str">
        <f t="shared" si="12"/>
        <v>#REF!</v>
      </c>
      <c r="CO482" s="68" t="str">
        <f>'[1]DATA CONSOLIDADA 2018-2025 '!$CM482-Hoja1!$CG482</f>
        <v>#REF!</v>
      </c>
      <c r="CP482" s="70">
        <v>0.0</v>
      </c>
      <c r="CQ482" s="70">
        <v>0.0</v>
      </c>
      <c r="CR482" s="70">
        <v>0.0</v>
      </c>
      <c r="CS482" s="70">
        <v>0.0</v>
      </c>
      <c r="CT482" s="70">
        <v>0.0</v>
      </c>
      <c r="CU482" s="70">
        <v>0.0</v>
      </c>
      <c r="CV482" s="64">
        <v>0.0</v>
      </c>
      <c r="CW482" s="64">
        <v>600.0</v>
      </c>
      <c r="CX482" s="64">
        <v>0.0</v>
      </c>
      <c r="CY482" s="64">
        <v>356602.8</v>
      </c>
      <c r="CZ482" s="64">
        <v>0.0</v>
      </c>
      <c r="DA482" s="64">
        <v>0.0</v>
      </c>
      <c r="DB482" s="64">
        <v>357202.8</v>
      </c>
      <c r="DC482" s="72">
        <v>0.0</v>
      </c>
      <c r="DD482" s="72">
        <v>2459.99598</v>
      </c>
      <c r="DE482" s="72">
        <v>691658.86</v>
      </c>
      <c r="DF482" s="72">
        <v>0.0</v>
      </c>
      <c r="DG482" s="72">
        <v>0.0</v>
      </c>
      <c r="DH482" s="72">
        <v>694118.85598</v>
      </c>
      <c r="DI482" s="73">
        <v>2.0610507701E10</v>
      </c>
      <c r="DJ482" s="74" t="s">
        <v>1534</v>
      </c>
      <c r="DK482" s="74" t="s">
        <v>138</v>
      </c>
      <c r="DL482" s="75"/>
      <c r="DM482" s="75"/>
      <c r="DN482" s="75"/>
      <c r="DO482" s="75"/>
      <c r="DP482" s="75"/>
      <c r="DQ482" s="75"/>
      <c r="DR482" s="75"/>
      <c r="DS482" s="75"/>
      <c r="DT482" s="75"/>
      <c r="DU482" s="75"/>
      <c r="DV482" s="75"/>
      <c r="DW482" s="75"/>
      <c r="DX482" s="75"/>
      <c r="DY482" s="75"/>
      <c r="DZ482" s="75"/>
      <c r="EA482" s="75"/>
      <c r="EB482" s="75"/>
      <c r="EC482" s="75"/>
      <c r="ED482" s="75"/>
      <c r="EE482" s="75"/>
    </row>
    <row r="483" ht="47.25" customHeight="1">
      <c r="A483" s="55" t="s">
        <v>1535</v>
      </c>
      <c r="B483" s="55" t="s">
        <v>146</v>
      </c>
      <c r="C483" s="55" t="s">
        <v>146</v>
      </c>
      <c r="D483" s="55" t="s">
        <v>1060</v>
      </c>
      <c r="E483" s="55" t="s">
        <v>1536</v>
      </c>
      <c r="F483" s="55" t="s">
        <v>1060</v>
      </c>
      <c r="G483" s="55" t="s">
        <v>1537</v>
      </c>
      <c r="H483" s="55" t="s">
        <v>1538</v>
      </c>
      <c r="I483" s="56">
        <v>1.0</v>
      </c>
      <c r="J483" s="56">
        <v>1.0</v>
      </c>
      <c r="K483" s="56"/>
      <c r="L483" s="56"/>
      <c r="M483" s="56"/>
      <c r="N483" s="56"/>
      <c r="O483" s="56"/>
      <c r="P483" s="56"/>
      <c r="Q483" s="56" t="s">
        <v>131</v>
      </c>
      <c r="R483" s="58" t="str">
        <f t="shared" si="1"/>
        <v>2018-2019</v>
      </c>
      <c r="S483" s="59" t="str">
        <f>SUM(Hoja1!$I483:$P483)</f>
        <v>2</v>
      </c>
      <c r="T483" s="59" t="str">
        <f>IF(OR(Hoja1!$J483=1,Hoja1!$K483=1,Hoja1!$L483=1,Hoja1!$M483=1,Hoja1!$N483=1,Hoja1!$O483=1,Hoja1!$P483=1),"SI","NO")</f>
        <v>SI</v>
      </c>
      <c r="U483" s="59" t="str">
        <f>IF(OR(Hoja1!$K483=1,Hoja1!$L483=1,Hoja1!$M483=1,Hoja1!$N483=1,Hoja1!$O483=1,Hoja1!$P483=1),"SI","NO")</f>
        <v>NO</v>
      </c>
      <c r="V483" s="60">
        <v>65.0</v>
      </c>
      <c r="W483" s="61">
        <v>0.0</v>
      </c>
      <c r="X483" s="61">
        <v>0.0</v>
      </c>
      <c r="Y483" s="60">
        <v>0.0</v>
      </c>
      <c r="Z483" s="61">
        <v>0.0</v>
      </c>
      <c r="AA483" s="61">
        <v>0.0</v>
      </c>
      <c r="AB483" s="60">
        <v>0.0</v>
      </c>
      <c r="AC483" s="61">
        <v>0.0</v>
      </c>
      <c r="AD483" s="61">
        <v>0.0</v>
      </c>
      <c r="AE483" s="60">
        <v>0.0</v>
      </c>
      <c r="AF483" s="61">
        <v>0.0</v>
      </c>
      <c r="AG483" s="61">
        <v>0.0</v>
      </c>
      <c r="AH483" s="60">
        <v>0.0</v>
      </c>
      <c r="AI483" s="61">
        <v>0.0</v>
      </c>
      <c r="AJ483" s="61">
        <v>0.0</v>
      </c>
      <c r="AK483" s="60">
        <v>0.0</v>
      </c>
      <c r="AL483" s="61">
        <v>0.0</v>
      </c>
      <c r="AM483" s="61">
        <v>0.0</v>
      </c>
      <c r="AN483" s="60">
        <v>0.0</v>
      </c>
      <c r="AO483" s="62">
        <v>0.0</v>
      </c>
      <c r="AP483" s="62">
        <v>0.0</v>
      </c>
      <c r="AQ483" s="60">
        <v>0.0</v>
      </c>
      <c r="AR483" s="60" t="str">
        <f>IF(Hoja1!$AQ483&gt;0,Hoja1!$AQ483,IF(Hoja1!$AN483&gt;0,Hoja1!$AN483,IF(Hoja1!$AK483&gt;0,Hoja1!$AK483,IF(Hoja1!$AH483&gt;0,Hoja1!$AH483,IF(Hoja1!$AE483&gt;0,Hoja1!$AE483,IF(Hoja1!$AB483&gt;0,Hoja1!$AB483,IF(Hoja1!$Y483&gt;0,Hoja1!$Y483,IF(Hoja1!$V483&gt;0,Hoja1!$V483," ---"))))))))</f>
        <v>65</v>
      </c>
      <c r="AS483" s="63">
        <v>0.0</v>
      </c>
      <c r="AT483" s="63">
        <v>0.0</v>
      </c>
      <c r="AU483" s="63">
        <v>0.0</v>
      </c>
      <c r="AV483" s="63">
        <v>0.0</v>
      </c>
      <c r="AW483" s="63">
        <v>0.0</v>
      </c>
      <c r="AX483" s="63">
        <v>0.0</v>
      </c>
      <c r="AY483" s="63">
        <v>0.0</v>
      </c>
      <c r="AZ483" s="63">
        <v>0.0</v>
      </c>
      <c r="BA483" s="63">
        <v>0.0</v>
      </c>
      <c r="BB483" s="63">
        <v>0.0</v>
      </c>
      <c r="BC483" s="63">
        <v>0.0</v>
      </c>
      <c r="BD483" s="63">
        <v>0.0</v>
      </c>
      <c r="BE483" s="64">
        <v>0.0</v>
      </c>
      <c r="BF483" s="65">
        <v>0.0</v>
      </c>
      <c r="BG483" s="65">
        <v>0.0</v>
      </c>
      <c r="BH483" s="66">
        <v>0.0</v>
      </c>
      <c r="BI483" s="67" t="str">
        <f>IF('[1]DATA CONSOLIDADA 2018-2025 '!$BH295&gt;'[1]DATA CONSOLIDADA 2018-2025 '!$AN295,"Incremento",IF('[1]DATA CONSOLIDADA 2018-2025 '!$AN295='[1]DATA CONSOLIDADA 2018-2025 '!$BH295,"Sin incremento",IF('[1]DATA CONSOLIDADA 2018-2025 '!$BH295&lt;'[1]DATA CONSOLIDADA 2018-2025 '!$AN295,"Disminución"," ---")))</f>
        <v>#REF!</v>
      </c>
      <c r="BJ483" s="68" t="str">
        <f>'[1]DATA CONSOLIDADA 2018-2025 '!$BH295-'[1]DATA CONSOLIDADA 2018-2025 '!$BE295</f>
        <v>#REF!</v>
      </c>
      <c r="BK483" s="65">
        <v>0.0</v>
      </c>
      <c r="BL483" s="65">
        <v>0.0</v>
      </c>
      <c r="BM483" s="66">
        <v>0.0</v>
      </c>
      <c r="BN483" s="67" t="str">
        <f>IF('[1]DATA CONSOLIDADA 2018-2025 '!$BM295&gt;'[1]DATA CONSOLIDADA 2018-2025 '!$BH295,"Incremento",IF('[1]DATA CONSOLIDADA 2018-2025 '!$BH295='[1]DATA CONSOLIDADA 2018-2025 '!$BM295,"Sin incremento",IF('[1]DATA CONSOLIDADA 2018-2025 '!$BM295&lt;'[1]DATA CONSOLIDADA 2018-2025 '!$BH295,"Disminución"," ---")))</f>
        <v>#REF!</v>
      </c>
      <c r="BO483" s="68" t="str">
        <f>'[1]DATA CONSOLIDADA 2018-2025 '!$BM295-'[1]DATA CONSOLIDADA 2018-2025 '!$BH295</f>
        <v>#REF!</v>
      </c>
      <c r="BP483" s="65">
        <v>0.0</v>
      </c>
      <c r="BQ483" s="65">
        <v>0.0</v>
      </c>
      <c r="BR483" s="66">
        <v>0.0</v>
      </c>
      <c r="BS483" s="67" t="str">
        <f>IF('[1]DATA CONSOLIDADA 2018-2025 '!$BR295&gt;'[1]DATA CONSOLIDADA 2018-2025 '!$BM295,"Incremento",IF('[1]DATA CONSOLIDADA 2018-2025 '!$BM295='[1]DATA CONSOLIDADA 2018-2025 '!$BR295,"Sin incremento",IF('[1]DATA CONSOLIDADA 2018-2025 '!$BR295&lt;'[1]DATA CONSOLIDADA 2018-2025 '!$BM295,"Disminución"," ---")))</f>
        <v>#REF!</v>
      </c>
      <c r="BT483" s="68" t="str">
        <f>'[1]DATA CONSOLIDADA 2018-2025 '!$BR483-Hoja1!$BO483</f>
        <v>#REF!</v>
      </c>
      <c r="BU483" s="65">
        <v>0.0</v>
      </c>
      <c r="BV483" s="65">
        <v>0.0</v>
      </c>
      <c r="BW483" s="66">
        <v>0.0</v>
      </c>
      <c r="BX483" s="67" t="str">
        <f>IF('[1]DATA CONSOLIDADA 2018-2025 '!$BW295&gt;'[1]DATA CONSOLIDADA 2018-2025 '!$BR295,"Incremento",IF('[1]DATA CONSOLIDADA 2018-2025 '!$BR295='[1]DATA CONSOLIDADA 2018-2025 '!$BW295,"Sin incremento",IF('[1]DATA CONSOLIDADA 2018-2025 '!$BW295&lt;'[1]DATA CONSOLIDADA 2018-2025 '!$BR295,"Disminución"," ---")))</f>
        <v>#REF!</v>
      </c>
      <c r="BY483" s="68" t="str">
        <f>'[1]DATA CONSOLIDADA 2018-2025 '!$BW295-'[1]DATA CONSOLIDADA 2018-2025 '!$BR295</f>
        <v>#REF!</v>
      </c>
      <c r="BZ483" s="65">
        <v>0.0</v>
      </c>
      <c r="CA483" s="65">
        <v>0.0</v>
      </c>
      <c r="CB483" s="66">
        <v>0.0</v>
      </c>
      <c r="CC483" s="67" t="str">
        <f>IF('[1]DATA CONSOLIDADA 2018-2025 '!$CB295&gt;'[1]DATA CONSOLIDADA 2018-2025 '!$BW295,"Incremento",IF('[1]DATA CONSOLIDADA 2018-2025 '!$BW295='[1]DATA CONSOLIDADA 2018-2025 '!$CB295,"Sin incremento",IF('[1]DATA CONSOLIDADA 2018-2025 '!$CB295&lt;'[1]DATA CONSOLIDADA 2018-2025 '!$BW295,"Disminución"," ---")))</f>
        <v>#REF!</v>
      </c>
      <c r="CD483" s="68" t="str">
        <f>'[1]DATA CONSOLIDADA 2018-2025 '!$CB483-Hoja1!$BW483</f>
        <v>#REF!</v>
      </c>
      <c r="CE483" s="70">
        <v>0.0</v>
      </c>
      <c r="CF483" s="70">
        <v>0.0</v>
      </c>
      <c r="CG483" s="71">
        <v>0.0</v>
      </c>
      <c r="CH483" s="67" t="str">
        <f>IF('[1]DATA CONSOLIDADA 2018-2025 '!$CG295&gt;'[1]DATA CONSOLIDADA 2018-2025 '!$CB295,"Incremento",IF('[1]DATA CONSOLIDADA 2018-2025 '!$CB295='[1]DATA CONSOLIDADA 2018-2025 '!$CG295,"Sin incremento",IF('[1]DATA CONSOLIDADA 2018-2025 '!$CG295&lt;'[1]DATA CONSOLIDADA 2018-2025 '!$CB295,"Disminución"," ---")))</f>
        <v>#REF!</v>
      </c>
      <c r="CI483" s="68" t="str">
        <f>'[1]DATA CONSOLIDADA 2018-2025 '!$CG483-Hoja1!$CB483</f>
        <v>#REF!</v>
      </c>
      <c r="CJ483" s="64" t="str">
        <f t="shared" si="165"/>
        <v>#REF!</v>
      </c>
      <c r="CK483" s="64">
        <v>0.0</v>
      </c>
      <c r="CL483" s="64">
        <v>0.0</v>
      </c>
      <c r="CM483" s="64">
        <v>0.0</v>
      </c>
      <c r="CN483" s="64" t="str">
        <f t="shared" si="12"/>
        <v>#REF!</v>
      </c>
      <c r="CO483" s="68" t="str">
        <f>'[1]DATA CONSOLIDADA 2018-2025 '!$CM483-Hoja1!$CG483</f>
        <v>#REF!</v>
      </c>
      <c r="CP483" s="70">
        <v>0.0</v>
      </c>
      <c r="CQ483" s="70">
        <v>0.0</v>
      </c>
      <c r="CR483" s="70">
        <v>0.0</v>
      </c>
      <c r="CS483" s="70">
        <v>0.0</v>
      </c>
      <c r="CT483" s="70">
        <v>0.0</v>
      </c>
      <c r="CU483" s="70">
        <v>0.0</v>
      </c>
      <c r="CV483" s="64">
        <v>0.0</v>
      </c>
      <c r="CW483" s="64">
        <v>0.0</v>
      </c>
      <c r="CX483" s="64">
        <v>0.0</v>
      </c>
      <c r="CY483" s="64">
        <v>0.0</v>
      </c>
      <c r="CZ483" s="64">
        <v>0.0</v>
      </c>
      <c r="DA483" s="64">
        <v>0.0</v>
      </c>
      <c r="DB483" s="64">
        <v>0.0</v>
      </c>
      <c r="DC483" s="72">
        <v>0.0</v>
      </c>
      <c r="DD483" s="72">
        <v>0.0</v>
      </c>
      <c r="DE483" s="72">
        <v>0.0</v>
      </c>
      <c r="DF483" s="72">
        <v>0.0</v>
      </c>
      <c r="DG483" s="72">
        <v>0.0</v>
      </c>
      <c r="DH483" s="72">
        <v>0.0</v>
      </c>
      <c r="DI483" s="73">
        <v>2.0493959574E10</v>
      </c>
      <c r="DJ483" s="74" t="s">
        <v>1535</v>
      </c>
      <c r="DK483" s="74" t="s">
        <v>132</v>
      </c>
      <c r="DL483" s="75"/>
      <c r="DM483" s="75"/>
      <c r="DN483" s="75"/>
      <c r="DO483" s="75"/>
      <c r="DP483" s="75"/>
      <c r="DQ483" s="75"/>
      <c r="DR483" s="75"/>
      <c r="DS483" s="75"/>
      <c r="DT483" s="75"/>
      <c r="DU483" s="75"/>
      <c r="DV483" s="75"/>
      <c r="DW483" s="75"/>
      <c r="DX483" s="75"/>
      <c r="DY483" s="75"/>
      <c r="DZ483" s="75"/>
      <c r="EA483" s="75"/>
      <c r="EB483" s="75"/>
      <c r="EC483" s="75"/>
      <c r="ED483" s="75"/>
      <c r="EE483" s="75"/>
    </row>
    <row r="484" ht="47.25" hidden="1" customHeight="1">
      <c r="A484" s="55" t="s">
        <v>1539</v>
      </c>
      <c r="B484" s="55" t="s">
        <v>287</v>
      </c>
      <c r="C484" s="55" t="s">
        <v>1403</v>
      </c>
      <c r="D484" s="55" t="s">
        <v>911</v>
      </c>
      <c r="E484" s="55" t="s">
        <v>1540</v>
      </c>
      <c r="F484" s="55" t="s">
        <v>911</v>
      </c>
      <c r="G484" s="55" t="s">
        <v>940</v>
      </c>
      <c r="H484" s="55" t="s">
        <v>1541</v>
      </c>
      <c r="I484" s="56"/>
      <c r="J484" s="56"/>
      <c r="K484" s="56"/>
      <c r="L484" s="56"/>
      <c r="M484" s="56"/>
      <c r="N484" s="56"/>
      <c r="O484" s="56">
        <v>1.0</v>
      </c>
      <c r="P484" s="56">
        <v>1.0</v>
      </c>
      <c r="Q484" s="56" t="s">
        <v>131</v>
      </c>
      <c r="R484" s="58" t="str">
        <f t="shared" si="1"/>
        <v>2024 - 2025</v>
      </c>
      <c r="S484" s="59" t="str">
        <f>SUM(Hoja1!$I484:$P484)</f>
        <v>2</v>
      </c>
      <c r="T484" s="59" t="str">
        <f>IF(OR(Hoja1!$J484=1,Hoja1!$K484=1,Hoja1!$L484=1,Hoja1!$M484=1,Hoja1!$N484=1,Hoja1!$O484=1,Hoja1!$P484=1),"SI","NO")</f>
        <v>SI</v>
      </c>
      <c r="U484" s="59" t="str">
        <f>IF(OR(Hoja1!$K484=1,Hoja1!$L484=1,Hoja1!$M484=1,Hoja1!$N484=1,Hoja1!$O484=1,Hoja1!$P484=1),"SI","NO")</f>
        <v>SI</v>
      </c>
      <c r="V484" s="60">
        <v>0.0</v>
      </c>
      <c r="W484" s="61">
        <v>0.0</v>
      </c>
      <c r="X484" s="61">
        <v>0.0</v>
      </c>
      <c r="Y484" s="60">
        <v>0.0</v>
      </c>
      <c r="Z484" s="61">
        <v>0.0</v>
      </c>
      <c r="AA484" s="61">
        <v>0.0</v>
      </c>
      <c r="AB484" s="60">
        <v>0.0</v>
      </c>
      <c r="AC484" s="61">
        <v>0.0</v>
      </c>
      <c r="AD484" s="61">
        <v>0.0</v>
      </c>
      <c r="AE484" s="60">
        <v>0.0</v>
      </c>
      <c r="AF484" s="61">
        <v>0.0</v>
      </c>
      <c r="AG484" s="61">
        <v>0.0</v>
      </c>
      <c r="AH484" s="60">
        <v>0.0</v>
      </c>
      <c r="AI484" s="61">
        <v>0.0</v>
      </c>
      <c r="AJ484" s="61">
        <v>0.0</v>
      </c>
      <c r="AK484" s="60">
        <v>0.0</v>
      </c>
      <c r="AL484" s="61">
        <v>110.0</v>
      </c>
      <c r="AM484" s="61">
        <v>74.0</v>
      </c>
      <c r="AN484" s="60">
        <v>184.0</v>
      </c>
      <c r="AO484" s="62">
        <v>154.0</v>
      </c>
      <c r="AP484" s="62">
        <v>38.0</v>
      </c>
      <c r="AQ484" s="60">
        <v>192.0</v>
      </c>
      <c r="AR484" s="60" t="str">
        <f>IF(Hoja1!$AQ484&gt;0,Hoja1!$AQ484,IF(Hoja1!$AN484&gt;0,Hoja1!$AN484,IF(Hoja1!$AK484&gt;0,Hoja1!$AK484,IF(Hoja1!$AH484&gt;0,Hoja1!$AH484,IF(Hoja1!$AE484&gt;0,Hoja1!$AE484,IF(Hoja1!$AB484&gt;0,Hoja1!$AB484,IF(Hoja1!$Y484&gt;0,Hoja1!$Y484,IF(Hoja1!$V484&gt;0,Hoja1!$V484," ---"))))))))</f>
        <v>192</v>
      </c>
      <c r="AS484" s="63">
        <v>0.0</v>
      </c>
      <c r="AT484" s="63">
        <v>0.0</v>
      </c>
      <c r="AU484" s="63">
        <v>0.0</v>
      </c>
      <c r="AV484" s="63">
        <v>0.0</v>
      </c>
      <c r="AW484" s="63">
        <v>0.0</v>
      </c>
      <c r="AX484" s="63">
        <v>0.0</v>
      </c>
      <c r="AY484" s="63">
        <v>0.0</v>
      </c>
      <c r="AZ484" s="63">
        <v>0.0</v>
      </c>
      <c r="BA484" s="63">
        <v>20.0</v>
      </c>
      <c r="BB484" s="63">
        <v>0.0</v>
      </c>
      <c r="BC484" s="63">
        <v>20.0</v>
      </c>
      <c r="BD484" s="63">
        <v>4.0</v>
      </c>
      <c r="BE484" s="64">
        <v>0.0</v>
      </c>
      <c r="BF484" s="69">
        <v>0.0</v>
      </c>
      <c r="BG484" s="69">
        <v>0.0</v>
      </c>
      <c r="BH484" s="64">
        <v>0.0</v>
      </c>
      <c r="BI484" s="67" t="str">
        <f t="shared" ref="BI484:BI498" si="166">IF('[1]DATA CONSOLIDADA 2018-2025 '!$BH484&gt;'[1]DATA CONSOLIDADA 2018-2025 '!$AN484,"Incremento",IF('[1]DATA CONSOLIDADA 2018-2025 '!$AN484='[1]DATA CONSOLIDADA 2018-2025 '!$BH484,"Sin incremento",IF('[1]DATA CONSOLIDADA 2018-2025 '!$BH484&lt;'[1]DATA CONSOLIDADA 2018-2025 '!$AN484,"Disminución"," ---")))</f>
        <v>#REF!</v>
      </c>
      <c r="BJ484" s="68" t="str">
        <f t="shared" ref="BJ484:BJ498" si="167">'[1]DATA CONSOLIDADA 2018-2025 '!$BH484-'[1]DATA CONSOLIDADA 2018-2025 '!$BE484</f>
        <v>#REF!</v>
      </c>
      <c r="BK484" s="69">
        <v>0.0</v>
      </c>
      <c r="BL484" s="69">
        <v>0.0</v>
      </c>
      <c r="BM484" s="64">
        <v>0.0</v>
      </c>
      <c r="BN484" s="67" t="str">
        <f t="shared" ref="BN484:BN498" si="168">IF('[1]DATA CONSOLIDADA 2018-2025 '!$BM484&gt;'[1]DATA CONSOLIDADA 2018-2025 '!$BH484,"Incremento",IF('[1]DATA CONSOLIDADA 2018-2025 '!$BH484='[1]DATA CONSOLIDADA 2018-2025 '!$BM484,"Sin incremento",IF('[1]DATA CONSOLIDADA 2018-2025 '!$BM484&lt;'[1]DATA CONSOLIDADA 2018-2025 '!$BH484,"Disminución"," ---")))</f>
        <v>#REF!</v>
      </c>
      <c r="BO484" s="68" t="str">
        <f t="shared" ref="BO484:BO498" si="169">'[1]DATA CONSOLIDADA 2018-2025 '!$BM484-'[1]DATA CONSOLIDADA 2018-2025 '!$BH484</f>
        <v>#REF!</v>
      </c>
      <c r="BP484" s="65">
        <v>0.0</v>
      </c>
      <c r="BQ484" s="65">
        <v>0.0</v>
      </c>
      <c r="BR484" s="66">
        <v>0.0</v>
      </c>
      <c r="BS484" s="67" t="str">
        <f t="shared" ref="BS484:BS498" si="170">IF('[1]DATA CONSOLIDADA 2018-2025 '!$BR484&gt;'[1]DATA CONSOLIDADA 2018-2025 '!$BM484,"Incremento",IF('[1]DATA CONSOLIDADA 2018-2025 '!$BM484='[1]DATA CONSOLIDADA 2018-2025 '!$BR484,"Sin incremento",IF('[1]DATA CONSOLIDADA 2018-2025 '!$BR484&lt;'[1]DATA CONSOLIDADA 2018-2025 '!$BM484,"Disminución"," ---")))</f>
        <v>#REF!</v>
      </c>
      <c r="BT484" s="68" t="str">
        <f>'[1]DATA CONSOLIDADA 2018-2025 '!$BR484-Hoja1!$BO484</f>
        <v>#REF!</v>
      </c>
      <c r="BU484" s="69">
        <v>0.0</v>
      </c>
      <c r="BV484" s="65">
        <v>0.0</v>
      </c>
      <c r="BW484" s="66">
        <v>0.0</v>
      </c>
      <c r="BX484" s="67" t="str">
        <f t="shared" ref="BX484:BX498" si="171">IF('[1]DATA CONSOLIDADA 2018-2025 '!$BW484&gt;'[1]DATA CONSOLIDADA 2018-2025 '!$BR484,"Incremento",IF('[1]DATA CONSOLIDADA 2018-2025 '!$BR484='[1]DATA CONSOLIDADA 2018-2025 '!$BW484,"Sin incremento",IF('[1]DATA CONSOLIDADA 2018-2025 '!$BW484&lt;'[1]DATA CONSOLIDADA 2018-2025 '!$BR484,"Disminución"," ---")))</f>
        <v>#REF!</v>
      </c>
      <c r="BY484" s="68" t="str">
        <f t="shared" ref="BY484:BY498" si="172">'[1]DATA CONSOLIDADA 2018-2025 '!$BW484-'[1]DATA CONSOLIDADA 2018-2025 '!$BR484</f>
        <v>#REF!</v>
      </c>
      <c r="BZ484" s="65">
        <v>0.0</v>
      </c>
      <c r="CA484" s="65">
        <v>0.0</v>
      </c>
      <c r="CB484" s="66">
        <v>0.0</v>
      </c>
      <c r="CC484" s="67" t="str">
        <f t="shared" ref="CC484:CC498" si="173">IF('[1]DATA CONSOLIDADA 2018-2025 '!$CB484&gt;'[1]DATA CONSOLIDADA 2018-2025 '!$BW484,"Incremento",IF('[1]DATA CONSOLIDADA 2018-2025 '!$BW484='[1]DATA CONSOLIDADA 2018-2025 '!$CB484,"Sin incremento",IF('[1]DATA CONSOLIDADA 2018-2025 '!$CB484&lt;'[1]DATA CONSOLIDADA 2018-2025 '!$BW484,"Disminución"," ---")))</f>
        <v>#REF!</v>
      </c>
      <c r="CD484" s="68" t="str">
        <f>'[1]DATA CONSOLIDADA 2018-2025 '!$CB484-Hoja1!$BW484</f>
        <v>#REF!</v>
      </c>
      <c r="CE484" s="70">
        <v>0.0</v>
      </c>
      <c r="CF484" s="70">
        <v>0.0</v>
      </c>
      <c r="CG484" s="71">
        <v>0.0</v>
      </c>
      <c r="CH484" s="67" t="str">
        <f t="shared" ref="CH484:CH498" si="174">IF('[1]DATA CONSOLIDADA 2018-2025 '!$CG484&gt;'[1]DATA CONSOLIDADA 2018-2025 '!$CB484,"Incremento",IF('[1]DATA CONSOLIDADA 2018-2025 '!$CB484='[1]DATA CONSOLIDADA 2018-2025 '!$CG484,"Sin incremento",IF('[1]DATA CONSOLIDADA 2018-2025 '!$CG484&lt;'[1]DATA CONSOLIDADA 2018-2025 '!$CB484,"Disminución"," ---")))</f>
        <v>#REF!</v>
      </c>
      <c r="CI484" s="68" t="str">
        <f>'[1]DATA CONSOLIDADA 2018-2025 '!$CG484-Hoja1!$CB484</f>
        <v>#REF!</v>
      </c>
      <c r="CJ484" s="64" t="str">
        <f t="shared" si="165"/>
        <v>#REF!</v>
      </c>
      <c r="CK484" s="64">
        <v>165322.0</v>
      </c>
      <c r="CL484" s="64">
        <v>0.0</v>
      </c>
      <c r="CM484" s="64">
        <v>165322.0</v>
      </c>
      <c r="CN484" s="64" t="str">
        <f t="shared" si="12"/>
        <v>#REF!</v>
      </c>
      <c r="CO484" s="68" t="str">
        <f>'[1]DATA CONSOLIDADA 2018-2025 '!$CM484-Hoja1!$CG484</f>
        <v>#REF!</v>
      </c>
      <c r="CP484" s="70">
        <v>0.0</v>
      </c>
      <c r="CQ484" s="70">
        <v>0.0</v>
      </c>
      <c r="CR484" s="70">
        <v>0.0</v>
      </c>
      <c r="CS484" s="70">
        <v>0.0</v>
      </c>
      <c r="CT484" s="70">
        <v>0.0</v>
      </c>
      <c r="CU484" s="70">
        <v>0.0</v>
      </c>
      <c r="CV484" s="64">
        <v>0.0</v>
      </c>
      <c r="CW484" s="64">
        <v>0.0</v>
      </c>
      <c r="CX484" s="64">
        <v>0.0</v>
      </c>
      <c r="CY484" s="64">
        <v>0.0</v>
      </c>
      <c r="CZ484" s="64">
        <v>0.0</v>
      </c>
      <c r="DA484" s="64">
        <v>0.0</v>
      </c>
      <c r="DB484" s="64">
        <v>0.0</v>
      </c>
      <c r="DC484" s="72">
        <v>0.0</v>
      </c>
      <c r="DD484" s="72">
        <v>165322.0</v>
      </c>
      <c r="DE484" s="72">
        <v>0.0</v>
      </c>
      <c r="DF484" s="72">
        <v>0.0</v>
      </c>
      <c r="DG484" s="72">
        <v>0.0</v>
      </c>
      <c r="DH484" s="72">
        <v>165322.0</v>
      </c>
      <c r="DI484" s="73">
        <v>2.0489293898E10</v>
      </c>
      <c r="DJ484" s="74" t="s">
        <v>1539</v>
      </c>
      <c r="DK484" s="74" t="s">
        <v>523</v>
      </c>
      <c r="DL484" s="75"/>
      <c r="DM484" s="75"/>
      <c r="DN484" s="75"/>
      <c r="DO484" s="75"/>
      <c r="DP484" s="75"/>
      <c r="DQ484" s="75"/>
      <c r="DR484" s="75"/>
      <c r="DS484" s="75"/>
      <c r="DT484" s="75"/>
      <c r="DU484" s="75"/>
      <c r="DV484" s="75"/>
      <c r="DW484" s="75"/>
      <c r="DX484" s="75"/>
      <c r="DY484" s="75"/>
      <c r="DZ484" s="75"/>
      <c r="EA484" s="75"/>
      <c r="EB484" s="75"/>
      <c r="EC484" s="75"/>
      <c r="ED484" s="75"/>
      <c r="EE484" s="75"/>
    </row>
    <row r="485" ht="47.25" hidden="1" customHeight="1">
      <c r="A485" s="55" t="s">
        <v>1542</v>
      </c>
      <c r="B485" s="55" t="s">
        <v>287</v>
      </c>
      <c r="C485" s="55" t="s">
        <v>1403</v>
      </c>
      <c r="D485" s="55" t="s">
        <v>911</v>
      </c>
      <c r="E485" s="55" t="s">
        <v>920</v>
      </c>
      <c r="F485" s="55" t="s">
        <v>911</v>
      </c>
      <c r="G485" s="55" t="s">
        <v>911</v>
      </c>
      <c r="H485" s="55" t="s">
        <v>921</v>
      </c>
      <c r="I485" s="56"/>
      <c r="J485" s="56"/>
      <c r="K485" s="56"/>
      <c r="L485" s="56"/>
      <c r="M485" s="56"/>
      <c r="N485" s="56"/>
      <c r="O485" s="56">
        <v>1.0</v>
      </c>
      <c r="P485" s="56">
        <v>1.0</v>
      </c>
      <c r="Q485" s="56" t="s">
        <v>131</v>
      </c>
      <c r="R485" s="58" t="str">
        <f t="shared" si="1"/>
        <v>2024 - 2025</v>
      </c>
      <c r="S485" s="59" t="str">
        <f>SUM(Hoja1!$I485:$P485)</f>
        <v>2</v>
      </c>
      <c r="T485" s="59" t="str">
        <f>IF(OR(Hoja1!$J485=1,Hoja1!$K485=1,Hoja1!$L485=1,Hoja1!$M485=1,Hoja1!$N485=1,Hoja1!$O485=1,Hoja1!$P485=1),"SI","NO")</f>
        <v>SI</v>
      </c>
      <c r="U485" s="59" t="str">
        <f>IF(OR(Hoja1!$K485=1,Hoja1!$L485=1,Hoja1!$M485=1,Hoja1!$N485=1,Hoja1!$O485=1,Hoja1!$P485=1),"SI","NO")</f>
        <v>SI</v>
      </c>
      <c r="V485" s="60">
        <v>0.0</v>
      </c>
      <c r="W485" s="61">
        <v>0.0</v>
      </c>
      <c r="X485" s="61">
        <v>0.0</v>
      </c>
      <c r="Y485" s="60">
        <v>0.0</v>
      </c>
      <c r="Z485" s="61">
        <v>0.0</v>
      </c>
      <c r="AA485" s="61">
        <v>0.0</v>
      </c>
      <c r="AB485" s="60">
        <v>0.0</v>
      </c>
      <c r="AC485" s="61">
        <v>0.0</v>
      </c>
      <c r="AD485" s="61">
        <v>0.0</v>
      </c>
      <c r="AE485" s="60">
        <v>0.0</v>
      </c>
      <c r="AF485" s="61">
        <v>0.0</v>
      </c>
      <c r="AG485" s="61">
        <v>0.0</v>
      </c>
      <c r="AH485" s="60">
        <v>0.0</v>
      </c>
      <c r="AI485" s="61">
        <v>0.0</v>
      </c>
      <c r="AJ485" s="61">
        <v>0.0</v>
      </c>
      <c r="AK485" s="60">
        <v>0.0</v>
      </c>
      <c r="AL485" s="61">
        <v>570.0</v>
      </c>
      <c r="AM485" s="61">
        <v>230.0</v>
      </c>
      <c r="AN485" s="60">
        <v>800.0</v>
      </c>
      <c r="AO485" s="62">
        <v>447.0</v>
      </c>
      <c r="AP485" s="62">
        <v>246.0</v>
      </c>
      <c r="AQ485" s="60">
        <v>693.0</v>
      </c>
      <c r="AR485" s="60" t="str">
        <f>IF(Hoja1!$AQ485&gt;0,Hoja1!$AQ485,IF(Hoja1!$AN485&gt;0,Hoja1!$AN485,IF(Hoja1!$AK485&gt;0,Hoja1!$AK485,IF(Hoja1!$AH485&gt;0,Hoja1!$AH485,IF(Hoja1!$AE485&gt;0,Hoja1!$AE485,IF(Hoja1!$AB485&gt;0,Hoja1!$AB485,IF(Hoja1!$Y485&gt;0,Hoja1!$Y485,IF(Hoja1!$V485&gt;0,Hoja1!$V485," ---"))))))))</f>
        <v>693</v>
      </c>
      <c r="AS485" s="63">
        <v>0.0</v>
      </c>
      <c r="AT485" s="63">
        <v>0.0</v>
      </c>
      <c r="AU485" s="63">
        <v>0.0</v>
      </c>
      <c r="AV485" s="63">
        <v>0.0</v>
      </c>
      <c r="AW485" s="63">
        <v>0.0</v>
      </c>
      <c r="AX485" s="63">
        <v>0.0</v>
      </c>
      <c r="AY485" s="63">
        <v>0.0</v>
      </c>
      <c r="AZ485" s="63">
        <v>0.0</v>
      </c>
      <c r="BA485" s="63">
        <v>16.0</v>
      </c>
      <c r="BB485" s="63">
        <v>0.0</v>
      </c>
      <c r="BC485" s="63">
        <v>20.0</v>
      </c>
      <c r="BD485" s="63">
        <v>4.0</v>
      </c>
      <c r="BE485" s="64">
        <v>0.0</v>
      </c>
      <c r="BF485" s="69">
        <v>0.0</v>
      </c>
      <c r="BG485" s="69">
        <v>0.0</v>
      </c>
      <c r="BH485" s="64">
        <v>0.0</v>
      </c>
      <c r="BI485" s="67" t="str">
        <f t="shared" si="166"/>
        <v>#REF!</v>
      </c>
      <c r="BJ485" s="68" t="str">
        <f t="shared" si="167"/>
        <v>#REF!</v>
      </c>
      <c r="BK485" s="69">
        <v>0.0</v>
      </c>
      <c r="BL485" s="69">
        <v>0.0</v>
      </c>
      <c r="BM485" s="64">
        <v>0.0</v>
      </c>
      <c r="BN485" s="67" t="str">
        <f t="shared" si="168"/>
        <v>#REF!</v>
      </c>
      <c r="BO485" s="68" t="str">
        <f t="shared" si="169"/>
        <v>#REF!</v>
      </c>
      <c r="BP485" s="65">
        <v>0.0</v>
      </c>
      <c r="BQ485" s="65">
        <v>0.0</v>
      </c>
      <c r="BR485" s="66">
        <v>0.0</v>
      </c>
      <c r="BS485" s="67" t="str">
        <f t="shared" si="170"/>
        <v>#REF!</v>
      </c>
      <c r="BT485" s="68" t="str">
        <f>'[1]DATA CONSOLIDADA 2018-2025 '!$BR485-Hoja1!$BO485</f>
        <v>#REF!</v>
      </c>
      <c r="BU485" s="69">
        <v>0.0</v>
      </c>
      <c r="BV485" s="65">
        <v>0.0</v>
      </c>
      <c r="BW485" s="66">
        <v>0.0</v>
      </c>
      <c r="BX485" s="67" t="str">
        <f t="shared" si="171"/>
        <v>#REF!</v>
      </c>
      <c r="BY485" s="68" t="str">
        <f t="shared" si="172"/>
        <v>#REF!</v>
      </c>
      <c r="BZ485" s="65">
        <v>0.0</v>
      </c>
      <c r="CA485" s="65">
        <v>0.0</v>
      </c>
      <c r="CB485" s="66">
        <v>0.0</v>
      </c>
      <c r="CC485" s="67" t="str">
        <f t="shared" si="173"/>
        <v>#REF!</v>
      </c>
      <c r="CD485" s="68" t="str">
        <f>'[1]DATA CONSOLIDADA 2018-2025 '!$CB485-Hoja1!$BW485</f>
        <v>#REF!</v>
      </c>
      <c r="CE485" s="70">
        <v>156032.0</v>
      </c>
      <c r="CF485" s="70">
        <v>0.0</v>
      </c>
      <c r="CG485" s="71">
        <v>156032.0</v>
      </c>
      <c r="CH485" s="67" t="str">
        <f t="shared" si="174"/>
        <v>#REF!</v>
      </c>
      <c r="CI485" s="68" t="str">
        <f>'[1]DATA CONSOLIDADA 2018-2025 '!$CG485-Hoja1!$CB485</f>
        <v>#REF!</v>
      </c>
      <c r="CJ485" s="64" t="str">
        <f t="shared" si="165"/>
        <v>#REF!</v>
      </c>
      <c r="CK485" s="64">
        <v>291119.0800000001</v>
      </c>
      <c r="CL485" s="64">
        <v>0.0</v>
      </c>
      <c r="CM485" s="64">
        <v>291119.0800000001</v>
      </c>
      <c r="CN485" s="64" t="str">
        <f t="shared" si="12"/>
        <v>#REF!</v>
      </c>
      <c r="CO485" s="68" t="str">
        <f>'[1]DATA CONSOLIDADA 2018-2025 '!$CM485-Hoja1!$CG485</f>
        <v>#REF!</v>
      </c>
      <c r="CP485" s="70">
        <v>0.0</v>
      </c>
      <c r="CQ485" s="70">
        <v>0.0</v>
      </c>
      <c r="CR485" s="70">
        <v>0.0</v>
      </c>
      <c r="CS485" s="70">
        <v>0.0</v>
      </c>
      <c r="CT485" s="70">
        <v>0.0</v>
      </c>
      <c r="CU485" s="70">
        <v>0.0</v>
      </c>
      <c r="CV485" s="64">
        <v>0.0</v>
      </c>
      <c r="CW485" s="64">
        <v>0.0</v>
      </c>
      <c r="CX485" s="64">
        <v>156032.0</v>
      </c>
      <c r="CY485" s="64">
        <v>0.0</v>
      </c>
      <c r="CZ485" s="64">
        <v>0.0</v>
      </c>
      <c r="DA485" s="64">
        <v>0.0</v>
      </c>
      <c r="DB485" s="64">
        <v>156032.0</v>
      </c>
      <c r="DC485" s="72">
        <v>2155.0</v>
      </c>
      <c r="DD485" s="72">
        <v>285505.5</v>
      </c>
      <c r="DE485" s="72">
        <v>3458.58</v>
      </c>
      <c r="DF485" s="72">
        <v>0.0</v>
      </c>
      <c r="DG485" s="72">
        <v>0.0</v>
      </c>
      <c r="DH485" s="72">
        <v>291119.08</v>
      </c>
      <c r="DI485" s="73">
        <v>2.0365575674E10</v>
      </c>
      <c r="DJ485" s="74" t="s">
        <v>1542</v>
      </c>
      <c r="DK485" s="74" t="s">
        <v>523</v>
      </c>
      <c r="DL485" s="75"/>
      <c r="DM485" s="75"/>
      <c r="DN485" s="75"/>
      <c r="DO485" s="75"/>
      <c r="DP485" s="75"/>
      <c r="DQ485" s="75"/>
      <c r="DR485" s="75"/>
      <c r="DS485" s="75"/>
      <c r="DT485" s="75"/>
      <c r="DU485" s="75"/>
      <c r="DV485" s="75"/>
      <c r="DW485" s="75"/>
      <c r="DX485" s="75"/>
      <c r="DY485" s="75"/>
      <c r="DZ485" s="75"/>
      <c r="EA485" s="75"/>
      <c r="EB485" s="75"/>
      <c r="EC485" s="75"/>
      <c r="ED485" s="75"/>
      <c r="EE485" s="75"/>
    </row>
    <row r="486" ht="47.25" hidden="1" customHeight="1">
      <c r="A486" s="55" t="s">
        <v>1543</v>
      </c>
      <c r="B486" s="55" t="s">
        <v>287</v>
      </c>
      <c r="C486" s="55" t="s">
        <v>1403</v>
      </c>
      <c r="D486" s="55" t="s">
        <v>911</v>
      </c>
      <c r="E486" s="55" t="s">
        <v>1540</v>
      </c>
      <c r="F486" s="55" t="s">
        <v>911</v>
      </c>
      <c r="G486" s="55" t="s">
        <v>940</v>
      </c>
      <c r="H486" s="55" t="s">
        <v>1541</v>
      </c>
      <c r="I486" s="56"/>
      <c r="J486" s="56"/>
      <c r="K486" s="56"/>
      <c r="L486" s="56"/>
      <c r="M486" s="56"/>
      <c r="N486" s="56"/>
      <c r="O486" s="56">
        <v>1.0</v>
      </c>
      <c r="P486" s="56">
        <v>1.0</v>
      </c>
      <c r="Q486" s="56" t="s">
        <v>131</v>
      </c>
      <c r="R486" s="58" t="str">
        <f t="shared" si="1"/>
        <v>2024 - 2025</v>
      </c>
      <c r="S486" s="59" t="str">
        <f>SUM(Hoja1!$I486:$P486)</f>
        <v>2</v>
      </c>
      <c r="T486" s="59" t="str">
        <f>IF(OR(Hoja1!$J486=1,Hoja1!$K486=1,Hoja1!$L486=1,Hoja1!$M486=1,Hoja1!$N486=1,Hoja1!$O486=1,Hoja1!$P486=1),"SI","NO")</f>
        <v>SI</v>
      </c>
      <c r="U486" s="59" t="str">
        <f>IF(OR(Hoja1!$K486=1,Hoja1!$L486=1,Hoja1!$M486=1,Hoja1!$N486=1,Hoja1!$O486=1,Hoja1!$P486=1),"SI","NO")</f>
        <v>SI</v>
      </c>
      <c r="V486" s="60">
        <v>0.0</v>
      </c>
      <c r="W486" s="61">
        <v>0.0</v>
      </c>
      <c r="X486" s="61">
        <v>0.0</v>
      </c>
      <c r="Y486" s="60">
        <v>0.0</v>
      </c>
      <c r="Z486" s="61">
        <v>0.0</v>
      </c>
      <c r="AA486" s="61">
        <v>0.0</v>
      </c>
      <c r="AB486" s="60">
        <v>0.0</v>
      </c>
      <c r="AC486" s="61">
        <v>0.0</v>
      </c>
      <c r="AD486" s="61">
        <v>0.0</v>
      </c>
      <c r="AE486" s="60">
        <v>0.0</v>
      </c>
      <c r="AF486" s="61">
        <v>0.0</v>
      </c>
      <c r="AG486" s="61">
        <v>0.0</v>
      </c>
      <c r="AH486" s="60">
        <v>0.0</v>
      </c>
      <c r="AI486" s="61">
        <v>0.0</v>
      </c>
      <c r="AJ486" s="61">
        <v>0.0</v>
      </c>
      <c r="AK486" s="60">
        <v>0.0</v>
      </c>
      <c r="AL486" s="61">
        <v>21.0</v>
      </c>
      <c r="AM486" s="61">
        <v>15.0</v>
      </c>
      <c r="AN486" s="60">
        <v>36.0</v>
      </c>
      <c r="AO486" s="62">
        <v>30.0</v>
      </c>
      <c r="AP486" s="62">
        <v>11.0</v>
      </c>
      <c r="AQ486" s="60">
        <v>41.0</v>
      </c>
      <c r="AR486" s="60" t="str">
        <f>IF(Hoja1!$AQ486&gt;0,Hoja1!$AQ486,IF(Hoja1!$AN486&gt;0,Hoja1!$AN486,IF(Hoja1!$AK486&gt;0,Hoja1!$AK486,IF(Hoja1!$AH486&gt;0,Hoja1!$AH486,IF(Hoja1!$AE486&gt;0,Hoja1!$AE486,IF(Hoja1!$AB486&gt;0,Hoja1!$AB486,IF(Hoja1!$Y486&gt;0,Hoja1!$Y486,IF(Hoja1!$V486&gt;0,Hoja1!$V486," ---"))))))))</f>
        <v>41</v>
      </c>
      <c r="AS486" s="63">
        <v>0.0</v>
      </c>
      <c r="AT486" s="63">
        <v>0.0</v>
      </c>
      <c r="AU486" s="63">
        <v>0.0</v>
      </c>
      <c r="AV486" s="63">
        <v>0.0</v>
      </c>
      <c r="AW486" s="63">
        <v>0.0</v>
      </c>
      <c r="AX486" s="63">
        <v>0.0</v>
      </c>
      <c r="AY486" s="63">
        <v>0.0</v>
      </c>
      <c r="AZ486" s="63">
        <v>0.0</v>
      </c>
      <c r="BA486" s="63">
        <v>16.0</v>
      </c>
      <c r="BB486" s="63">
        <v>0.0</v>
      </c>
      <c r="BC486" s="63">
        <v>20.0</v>
      </c>
      <c r="BD486" s="63">
        <v>4.0</v>
      </c>
      <c r="BE486" s="64">
        <v>0.0</v>
      </c>
      <c r="BF486" s="69">
        <v>0.0</v>
      </c>
      <c r="BG486" s="69">
        <v>0.0</v>
      </c>
      <c r="BH486" s="64">
        <v>0.0</v>
      </c>
      <c r="BI486" s="67" t="str">
        <f t="shared" si="166"/>
        <v>#REF!</v>
      </c>
      <c r="BJ486" s="68" t="str">
        <f t="shared" si="167"/>
        <v>#REF!</v>
      </c>
      <c r="BK486" s="69">
        <v>0.0</v>
      </c>
      <c r="BL486" s="69">
        <v>0.0</v>
      </c>
      <c r="BM486" s="64">
        <v>0.0</v>
      </c>
      <c r="BN486" s="67" t="str">
        <f t="shared" si="168"/>
        <v>#REF!</v>
      </c>
      <c r="BO486" s="68" t="str">
        <f t="shared" si="169"/>
        <v>#REF!</v>
      </c>
      <c r="BP486" s="65">
        <v>0.0</v>
      </c>
      <c r="BQ486" s="65">
        <v>0.0</v>
      </c>
      <c r="BR486" s="66">
        <v>0.0</v>
      </c>
      <c r="BS486" s="67" t="str">
        <f t="shared" si="170"/>
        <v>#REF!</v>
      </c>
      <c r="BT486" s="68" t="str">
        <f>'[1]DATA CONSOLIDADA 2018-2025 '!$BR486-Hoja1!$BO486</f>
        <v>#REF!</v>
      </c>
      <c r="BU486" s="69">
        <v>0.0</v>
      </c>
      <c r="BV486" s="65">
        <v>0.0</v>
      </c>
      <c r="BW486" s="66">
        <v>0.0</v>
      </c>
      <c r="BX486" s="67" t="str">
        <f t="shared" si="171"/>
        <v>#REF!</v>
      </c>
      <c r="BY486" s="68" t="str">
        <f t="shared" si="172"/>
        <v>#REF!</v>
      </c>
      <c r="BZ486" s="65">
        <v>0.0</v>
      </c>
      <c r="CA486" s="65">
        <v>0.0</v>
      </c>
      <c r="CB486" s="66">
        <v>0.0</v>
      </c>
      <c r="CC486" s="67" t="str">
        <f t="shared" si="173"/>
        <v>#REF!</v>
      </c>
      <c r="CD486" s="68" t="str">
        <f>'[1]DATA CONSOLIDADA 2018-2025 '!$CB486-Hoja1!$BW486</f>
        <v>#REF!</v>
      </c>
      <c r="CE486" s="70">
        <v>109850.0</v>
      </c>
      <c r="CF486" s="70">
        <v>0.0</v>
      </c>
      <c r="CG486" s="71">
        <v>109850.0</v>
      </c>
      <c r="CH486" s="67" t="str">
        <f t="shared" si="174"/>
        <v>#REF!</v>
      </c>
      <c r="CI486" s="68" t="str">
        <f>'[1]DATA CONSOLIDADA 2018-2025 '!$CG486-Hoja1!$CB486</f>
        <v>#REF!</v>
      </c>
      <c r="CJ486" s="64" t="str">
        <f t="shared" si="165"/>
        <v>#REF!</v>
      </c>
      <c r="CK486" s="64">
        <v>785103.6000000001</v>
      </c>
      <c r="CL486" s="64">
        <v>0.0</v>
      </c>
      <c r="CM486" s="64">
        <v>785103.6000000001</v>
      </c>
      <c r="CN486" s="64" t="str">
        <f t="shared" si="12"/>
        <v>#REF!</v>
      </c>
      <c r="CO486" s="68" t="str">
        <f>'[1]DATA CONSOLIDADA 2018-2025 '!$CM486-Hoja1!$CG486</f>
        <v>#REF!</v>
      </c>
      <c r="CP486" s="70">
        <v>0.0</v>
      </c>
      <c r="CQ486" s="70">
        <v>0.0</v>
      </c>
      <c r="CR486" s="70">
        <v>0.0</v>
      </c>
      <c r="CS486" s="70">
        <v>0.0</v>
      </c>
      <c r="CT486" s="70">
        <v>0.0</v>
      </c>
      <c r="CU486" s="70">
        <v>0.0</v>
      </c>
      <c r="CV486" s="64">
        <v>0.0</v>
      </c>
      <c r="CW486" s="64">
        <v>0.0</v>
      </c>
      <c r="CX486" s="64">
        <v>109850.0</v>
      </c>
      <c r="CY486" s="64">
        <v>0.0</v>
      </c>
      <c r="CZ486" s="64">
        <v>0.0</v>
      </c>
      <c r="DA486" s="64">
        <v>0.0</v>
      </c>
      <c r="DB486" s="64">
        <v>109850.0</v>
      </c>
      <c r="DC486" s="72">
        <v>0.0</v>
      </c>
      <c r="DD486" s="72">
        <v>785103.6000000001</v>
      </c>
      <c r="DE486" s="72">
        <v>0.0</v>
      </c>
      <c r="DF486" s="72">
        <v>0.0</v>
      </c>
      <c r="DG486" s="72">
        <v>0.0</v>
      </c>
      <c r="DH486" s="72">
        <v>785103.6000000001</v>
      </c>
      <c r="DI486" s="73">
        <v>2.0529095971E10</v>
      </c>
      <c r="DJ486" s="74" t="s">
        <v>1543</v>
      </c>
      <c r="DK486" s="74" t="s">
        <v>138</v>
      </c>
      <c r="DL486" s="75"/>
      <c r="DM486" s="75"/>
      <c r="DN486" s="75"/>
      <c r="DO486" s="75"/>
      <c r="DP486" s="75"/>
      <c r="DQ486" s="75"/>
      <c r="DR486" s="75"/>
      <c r="DS486" s="75"/>
      <c r="DT486" s="75"/>
      <c r="DU486" s="75"/>
      <c r="DV486" s="75"/>
      <c r="DW486" s="75"/>
      <c r="DX486" s="75"/>
      <c r="DY486" s="75"/>
      <c r="DZ486" s="75"/>
      <c r="EA486" s="75"/>
      <c r="EB486" s="75"/>
      <c r="EC486" s="75"/>
      <c r="ED486" s="75"/>
      <c r="EE486" s="75"/>
    </row>
    <row r="487" ht="47.25" hidden="1" customHeight="1">
      <c r="A487" s="55" t="s">
        <v>1544</v>
      </c>
      <c r="B487" s="55" t="s">
        <v>1030</v>
      </c>
      <c r="C487" s="55" t="s">
        <v>1030</v>
      </c>
      <c r="D487" s="55" t="s">
        <v>1001</v>
      </c>
      <c r="E487" s="55" t="s">
        <v>1031</v>
      </c>
      <c r="F487" s="55" t="s">
        <v>1001</v>
      </c>
      <c r="G487" s="55" t="s">
        <v>1032</v>
      </c>
      <c r="H487" s="55" t="s">
        <v>1032</v>
      </c>
      <c r="I487" s="56"/>
      <c r="J487" s="56"/>
      <c r="K487" s="56"/>
      <c r="L487" s="56"/>
      <c r="M487" s="56"/>
      <c r="N487" s="56"/>
      <c r="O487" s="56">
        <v>1.0</v>
      </c>
      <c r="P487" s="56">
        <v>1.0</v>
      </c>
      <c r="Q487" s="56" t="s">
        <v>131</v>
      </c>
      <c r="R487" s="58" t="str">
        <f t="shared" si="1"/>
        <v>2024 - 2025</v>
      </c>
      <c r="S487" s="59" t="str">
        <f>SUM(Hoja1!$I487:$P487)</f>
        <v>2</v>
      </c>
      <c r="T487" s="59" t="str">
        <f>IF(OR(Hoja1!$J487=1,Hoja1!$K487=1,Hoja1!$L487=1,Hoja1!$M487=1,Hoja1!$N487=1,Hoja1!$O487=1,Hoja1!$P487=1),"SI","NO")</f>
        <v>SI</v>
      </c>
      <c r="U487" s="59" t="str">
        <f>IF(OR(Hoja1!$K487=1,Hoja1!$L487=1,Hoja1!$M487=1,Hoja1!$N487=1,Hoja1!$O487=1,Hoja1!$P487=1),"SI","NO")</f>
        <v>SI</v>
      </c>
      <c r="V487" s="60">
        <v>0.0</v>
      </c>
      <c r="W487" s="61">
        <v>0.0</v>
      </c>
      <c r="X487" s="61">
        <v>0.0</v>
      </c>
      <c r="Y487" s="60">
        <v>0.0</v>
      </c>
      <c r="Z487" s="61">
        <v>0.0</v>
      </c>
      <c r="AA487" s="61">
        <v>0.0</v>
      </c>
      <c r="AB487" s="60">
        <v>0.0</v>
      </c>
      <c r="AC487" s="61">
        <v>0.0</v>
      </c>
      <c r="AD487" s="61">
        <v>0.0</v>
      </c>
      <c r="AE487" s="60">
        <v>0.0</v>
      </c>
      <c r="AF487" s="61">
        <v>0.0</v>
      </c>
      <c r="AG487" s="61">
        <v>0.0</v>
      </c>
      <c r="AH487" s="60">
        <v>0.0</v>
      </c>
      <c r="AI487" s="61">
        <v>0.0</v>
      </c>
      <c r="AJ487" s="61">
        <v>0.0</v>
      </c>
      <c r="AK487" s="60">
        <v>0.0</v>
      </c>
      <c r="AL487" s="61">
        <v>268.0</v>
      </c>
      <c r="AM487" s="61">
        <v>398.0</v>
      </c>
      <c r="AN487" s="60">
        <v>666.0</v>
      </c>
      <c r="AO487" s="62">
        <v>98.0</v>
      </c>
      <c r="AP487" s="62">
        <v>347.0</v>
      </c>
      <c r="AQ487" s="60">
        <v>445.0</v>
      </c>
      <c r="AR487" s="60" t="str">
        <f>IF(Hoja1!$AQ487&gt;0,Hoja1!$AQ487,IF(Hoja1!$AN487&gt;0,Hoja1!$AN487,IF(Hoja1!$AK487&gt;0,Hoja1!$AK487,IF(Hoja1!$AH487&gt;0,Hoja1!$AH487,IF(Hoja1!$AE487&gt;0,Hoja1!$AE487,IF(Hoja1!$AB487&gt;0,Hoja1!$AB487,IF(Hoja1!$Y487&gt;0,Hoja1!$Y487,IF(Hoja1!$V487&gt;0,Hoja1!$V487," ---"))))))))</f>
        <v>445</v>
      </c>
      <c r="AS487" s="63">
        <v>0.0</v>
      </c>
      <c r="AT487" s="63">
        <v>0.0</v>
      </c>
      <c r="AU487" s="63">
        <v>0.0</v>
      </c>
      <c r="AV487" s="63">
        <v>0.0</v>
      </c>
      <c r="AW487" s="63">
        <v>0.0</v>
      </c>
      <c r="AX487" s="63">
        <v>0.0</v>
      </c>
      <c r="AY487" s="63">
        <v>0.0</v>
      </c>
      <c r="AZ487" s="63">
        <v>0.0</v>
      </c>
      <c r="BA487" s="63">
        <v>113.0</v>
      </c>
      <c r="BB487" s="63">
        <v>3.0</v>
      </c>
      <c r="BC487" s="63">
        <v>53.0</v>
      </c>
      <c r="BD487" s="63">
        <v>1.0</v>
      </c>
      <c r="BE487" s="64">
        <v>0.0</v>
      </c>
      <c r="BF487" s="69">
        <v>0.0</v>
      </c>
      <c r="BG487" s="69">
        <v>0.0</v>
      </c>
      <c r="BH487" s="64">
        <v>0.0</v>
      </c>
      <c r="BI487" s="67" t="str">
        <f t="shared" si="166"/>
        <v>#REF!</v>
      </c>
      <c r="BJ487" s="68" t="str">
        <f t="shared" si="167"/>
        <v>#REF!</v>
      </c>
      <c r="BK487" s="69">
        <v>0.0</v>
      </c>
      <c r="BL487" s="69">
        <v>0.0</v>
      </c>
      <c r="BM487" s="64">
        <v>0.0</v>
      </c>
      <c r="BN487" s="67" t="str">
        <f t="shared" si="168"/>
        <v>#REF!</v>
      </c>
      <c r="BO487" s="68" t="str">
        <f t="shared" si="169"/>
        <v>#REF!</v>
      </c>
      <c r="BP487" s="65">
        <v>0.0</v>
      </c>
      <c r="BQ487" s="65">
        <v>0.0</v>
      </c>
      <c r="BR487" s="66">
        <v>0.0</v>
      </c>
      <c r="BS487" s="67" t="str">
        <f t="shared" si="170"/>
        <v>#REF!</v>
      </c>
      <c r="BT487" s="68" t="str">
        <f>'[1]DATA CONSOLIDADA 2018-2025 '!$BR487-Hoja1!$BO487</f>
        <v>#REF!</v>
      </c>
      <c r="BU487" s="69">
        <v>0.0</v>
      </c>
      <c r="BV487" s="65">
        <v>0.0</v>
      </c>
      <c r="BW487" s="66">
        <v>0.0</v>
      </c>
      <c r="BX487" s="67" t="str">
        <f t="shared" si="171"/>
        <v>#REF!</v>
      </c>
      <c r="BY487" s="68" t="str">
        <f t="shared" si="172"/>
        <v>#REF!</v>
      </c>
      <c r="BZ487" s="65">
        <v>0.0</v>
      </c>
      <c r="CA487" s="65">
        <v>0.0</v>
      </c>
      <c r="CB487" s="66">
        <v>0.0</v>
      </c>
      <c r="CC487" s="67" t="str">
        <f t="shared" si="173"/>
        <v>#REF!</v>
      </c>
      <c r="CD487" s="68" t="str">
        <f>'[1]DATA CONSOLIDADA 2018-2025 '!$CB487-Hoja1!$BW487</f>
        <v>#REF!</v>
      </c>
      <c r="CE487" s="70">
        <v>73167.08052</v>
      </c>
      <c r="CF487" s="70">
        <v>0.0</v>
      </c>
      <c r="CG487" s="71">
        <v>73167.08052</v>
      </c>
      <c r="CH487" s="67" t="str">
        <f t="shared" si="174"/>
        <v>#REF!</v>
      </c>
      <c r="CI487" s="68" t="str">
        <f>'[1]DATA CONSOLIDADA 2018-2025 '!$CG487-Hoja1!$CB487</f>
        <v>#REF!</v>
      </c>
      <c r="CJ487" s="64" t="str">
        <f t="shared" si="165"/>
        <v>#REF!</v>
      </c>
      <c r="CK487" s="64">
        <v>0.0</v>
      </c>
      <c r="CL487" s="64">
        <v>0.0</v>
      </c>
      <c r="CM487" s="64">
        <v>0.0</v>
      </c>
      <c r="CN487" s="64" t="str">
        <f t="shared" si="12"/>
        <v>#REF!</v>
      </c>
      <c r="CO487" s="68" t="str">
        <f>'[1]DATA CONSOLIDADA 2018-2025 '!$CM487-Hoja1!$CG487</f>
        <v>#REF!</v>
      </c>
      <c r="CP487" s="70">
        <v>0.0</v>
      </c>
      <c r="CQ487" s="70">
        <v>0.0</v>
      </c>
      <c r="CR487" s="70">
        <v>0.0</v>
      </c>
      <c r="CS487" s="70">
        <v>0.0</v>
      </c>
      <c r="CT487" s="70">
        <v>0.0</v>
      </c>
      <c r="CU487" s="70">
        <v>0.0</v>
      </c>
      <c r="CV487" s="64">
        <v>0.0</v>
      </c>
      <c r="CW487" s="64">
        <v>289.83052</v>
      </c>
      <c r="CX487" s="64">
        <v>0.0</v>
      </c>
      <c r="CY487" s="64">
        <v>72877.25</v>
      </c>
      <c r="CZ487" s="64">
        <v>0.0</v>
      </c>
      <c r="DA487" s="64">
        <v>0.0</v>
      </c>
      <c r="DB487" s="64">
        <v>73167.08052</v>
      </c>
      <c r="DC487" s="72">
        <v>0.0</v>
      </c>
      <c r="DD487" s="72">
        <v>0.0</v>
      </c>
      <c r="DE487" s="72">
        <v>0.0</v>
      </c>
      <c r="DF487" s="72">
        <v>0.0</v>
      </c>
      <c r="DG487" s="72">
        <v>0.0</v>
      </c>
      <c r="DH487" s="72">
        <v>0.0</v>
      </c>
      <c r="DI487" s="73">
        <v>2.0609948044E10</v>
      </c>
      <c r="DJ487" s="74" t="s">
        <v>1544</v>
      </c>
      <c r="DK487" s="74" t="s">
        <v>132</v>
      </c>
      <c r="DL487" s="75"/>
      <c r="DM487" s="75"/>
      <c r="DN487" s="75"/>
      <c r="DO487" s="75"/>
      <c r="DP487" s="75"/>
      <c r="DQ487" s="75"/>
      <c r="DR487" s="75"/>
      <c r="DS487" s="75"/>
      <c r="DT487" s="75"/>
      <c r="DU487" s="75"/>
      <c r="DV487" s="75"/>
      <c r="DW487" s="75"/>
      <c r="DX487" s="75"/>
      <c r="DY487" s="75"/>
      <c r="DZ487" s="75"/>
      <c r="EA487" s="75"/>
      <c r="EB487" s="75"/>
      <c r="EC487" s="75"/>
      <c r="ED487" s="75"/>
      <c r="EE487" s="75"/>
    </row>
    <row r="488" ht="47.25" hidden="1" customHeight="1">
      <c r="A488" s="55" t="s">
        <v>1545</v>
      </c>
      <c r="B488" s="55" t="s">
        <v>250</v>
      </c>
      <c r="C488" s="55" t="s">
        <v>250</v>
      </c>
      <c r="D488" s="55" t="s">
        <v>1001</v>
      </c>
      <c r="E488" s="55" t="s">
        <v>1546</v>
      </c>
      <c r="F488" s="55" t="s">
        <v>1001</v>
      </c>
      <c r="G488" s="55" t="s">
        <v>1547</v>
      </c>
      <c r="H488" s="55" t="s">
        <v>1548</v>
      </c>
      <c r="I488" s="56"/>
      <c r="J488" s="56"/>
      <c r="K488" s="56"/>
      <c r="L488" s="56"/>
      <c r="M488" s="56"/>
      <c r="N488" s="56"/>
      <c r="O488" s="56">
        <v>1.0</v>
      </c>
      <c r="P488" s="56">
        <v>1.0</v>
      </c>
      <c r="Q488" s="56" t="s">
        <v>131</v>
      </c>
      <c r="R488" s="58" t="str">
        <f t="shared" si="1"/>
        <v>2024 - 2025</v>
      </c>
      <c r="S488" s="59" t="str">
        <f>SUM(Hoja1!$I488:$P488)</f>
        <v>2</v>
      </c>
      <c r="T488" s="59" t="str">
        <f>IF(OR(Hoja1!$J488=1,Hoja1!$K488=1,Hoja1!$L488=1,Hoja1!$M488=1,Hoja1!$N488=1,Hoja1!$O488=1,Hoja1!$P488=1),"SI","NO")</f>
        <v>SI</v>
      </c>
      <c r="U488" s="59" t="str">
        <f>IF(OR(Hoja1!$K488=1,Hoja1!$L488=1,Hoja1!$M488=1,Hoja1!$N488=1,Hoja1!$O488=1,Hoja1!$P488=1),"SI","NO")</f>
        <v>SI</v>
      </c>
      <c r="V488" s="60">
        <v>0.0</v>
      </c>
      <c r="W488" s="61">
        <v>0.0</v>
      </c>
      <c r="X488" s="61">
        <v>0.0</v>
      </c>
      <c r="Y488" s="60">
        <v>0.0</v>
      </c>
      <c r="Z488" s="61">
        <v>0.0</v>
      </c>
      <c r="AA488" s="61">
        <v>0.0</v>
      </c>
      <c r="AB488" s="60">
        <v>0.0</v>
      </c>
      <c r="AC488" s="61">
        <v>0.0</v>
      </c>
      <c r="AD488" s="61">
        <v>0.0</v>
      </c>
      <c r="AE488" s="60">
        <v>0.0</v>
      </c>
      <c r="AF488" s="61">
        <v>0.0</v>
      </c>
      <c r="AG488" s="61">
        <v>0.0</v>
      </c>
      <c r="AH488" s="60">
        <v>0.0</v>
      </c>
      <c r="AI488" s="61">
        <v>0.0</v>
      </c>
      <c r="AJ488" s="61">
        <v>0.0</v>
      </c>
      <c r="AK488" s="60">
        <v>0.0</v>
      </c>
      <c r="AL488" s="61">
        <v>70.0</v>
      </c>
      <c r="AM488" s="61">
        <v>80.0</v>
      </c>
      <c r="AN488" s="60">
        <v>150.0</v>
      </c>
      <c r="AO488" s="62">
        <v>59.0</v>
      </c>
      <c r="AP488" s="62">
        <v>44.0</v>
      </c>
      <c r="AQ488" s="60">
        <v>103.0</v>
      </c>
      <c r="AR488" s="60" t="str">
        <f>IF(Hoja1!$AQ488&gt;0,Hoja1!$AQ488,IF(Hoja1!$AN488&gt;0,Hoja1!$AN488,IF(Hoja1!$AK488&gt;0,Hoja1!$AK488,IF(Hoja1!$AH488&gt;0,Hoja1!$AH488,IF(Hoja1!$AE488&gt;0,Hoja1!$AE488,IF(Hoja1!$AB488&gt;0,Hoja1!$AB488,IF(Hoja1!$Y488&gt;0,Hoja1!$Y488,IF(Hoja1!$V488&gt;0,Hoja1!$V488," ---"))))))))</f>
        <v>103</v>
      </c>
      <c r="AS488" s="63">
        <v>0.0</v>
      </c>
      <c r="AT488" s="63">
        <v>0.0</v>
      </c>
      <c r="AU488" s="63">
        <v>0.0</v>
      </c>
      <c r="AV488" s="63">
        <v>0.0</v>
      </c>
      <c r="AW488" s="63">
        <v>0.0</v>
      </c>
      <c r="AX488" s="63">
        <v>0.0</v>
      </c>
      <c r="AY488" s="63">
        <v>0.0</v>
      </c>
      <c r="AZ488" s="63">
        <v>0.0</v>
      </c>
      <c r="BA488" s="63">
        <v>51.0</v>
      </c>
      <c r="BB488" s="63">
        <v>2.0</v>
      </c>
      <c r="BC488" s="63">
        <v>15.0</v>
      </c>
      <c r="BD488" s="63">
        <v>2.0</v>
      </c>
      <c r="BE488" s="64">
        <v>0.0</v>
      </c>
      <c r="BF488" s="69">
        <v>0.0</v>
      </c>
      <c r="BG488" s="69">
        <v>0.0</v>
      </c>
      <c r="BH488" s="64">
        <v>0.0</v>
      </c>
      <c r="BI488" s="67" t="str">
        <f t="shared" si="166"/>
        <v>#REF!</v>
      </c>
      <c r="BJ488" s="68" t="str">
        <f t="shared" si="167"/>
        <v>#REF!</v>
      </c>
      <c r="BK488" s="69">
        <v>0.0</v>
      </c>
      <c r="BL488" s="69">
        <v>0.0</v>
      </c>
      <c r="BM488" s="64">
        <v>0.0</v>
      </c>
      <c r="BN488" s="67" t="str">
        <f t="shared" si="168"/>
        <v>#REF!</v>
      </c>
      <c r="BO488" s="68" t="str">
        <f t="shared" si="169"/>
        <v>#REF!</v>
      </c>
      <c r="BP488" s="65">
        <v>0.0</v>
      </c>
      <c r="BQ488" s="65">
        <v>0.0</v>
      </c>
      <c r="BR488" s="66">
        <v>0.0</v>
      </c>
      <c r="BS488" s="67" t="str">
        <f t="shared" si="170"/>
        <v>#REF!</v>
      </c>
      <c r="BT488" s="68" t="str">
        <f>'[1]DATA CONSOLIDADA 2018-2025 '!$BR488-Hoja1!$BO488</f>
        <v>#REF!</v>
      </c>
      <c r="BU488" s="69">
        <v>0.0</v>
      </c>
      <c r="BV488" s="65">
        <v>0.0</v>
      </c>
      <c r="BW488" s="66">
        <v>0.0</v>
      </c>
      <c r="BX488" s="67" t="str">
        <f t="shared" si="171"/>
        <v>#REF!</v>
      </c>
      <c r="BY488" s="68" t="str">
        <f t="shared" si="172"/>
        <v>#REF!</v>
      </c>
      <c r="BZ488" s="65">
        <v>0.0</v>
      </c>
      <c r="CA488" s="65">
        <v>0.0</v>
      </c>
      <c r="CB488" s="66">
        <v>0.0</v>
      </c>
      <c r="CC488" s="67" t="str">
        <f t="shared" si="173"/>
        <v>#REF!</v>
      </c>
      <c r="CD488" s="68" t="str">
        <f>'[1]DATA CONSOLIDADA 2018-2025 '!$CB488-Hoja1!$BW488</f>
        <v>#REF!</v>
      </c>
      <c r="CE488" s="70">
        <v>1648969.2519999999</v>
      </c>
      <c r="CF488" s="70">
        <v>0.0</v>
      </c>
      <c r="CG488" s="71">
        <v>1648969.2519999999</v>
      </c>
      <c r="CH488" s="67" t="str">
        <f t="shared" si="174"/>
        <v>#REF!</v>
      </c>
      <c r="CI488" s="68" t="str">
        <f>'[1]DATA CONSOLIDADA 2018-2025 '!$CG488-Hoja1!$CB488</f>
        <v>#REF!</v>
      </c>
      <c r="CJ488" s="64" t="str">
        <f t="shared" si="165"/>
        <v>#REF!</v>
      </c>
      <c r="CK488" s="64">
        <v>846377.92</v>
      </c>
      <c r="CL488" s="64">
        <v>0.0</v>
      </c>
      <c r="CM488" s="64">
        <v>846377.92</v>
      </c>
      <c r="CN488" s="64" t="str">
        <f t="shared" si="12"/>
        <v>#REF!</v>
      </c>
      <c r="CO488" s="68" t="str">
        <f>'[1]DATA CONSOLIDADA 2018-2025 '!$CM488-Hoja1!$CG488</f>
        <v>#REF!</v>
      </c>
      <c r="CP488" s="70">
        <v>0.0</v>
      </c>
      <c r="CQ488" s="70">
        <v>0.0</v>
      </c>
      <c r="CR488" s="70">
        <v>0.0</v>
      </c>
      <c r="CS488" s="70">
        <v>0.0</v>
      </c>
      <c r="CT488" s="70">
        <v>0.0</v>
      </c>
      <c r="CU488" s="70">
        <v>0.0</v>
      </c>
      <c r="CV488" s="64">
        <v>0.0</v>
      </c>
      <c r="CW488" s="64">
        <v>0.0</v>
      </c>
      <c r="CX488" s="64">
        <v>1648969.2519999999</v>
      </c>
      <c r="CY488" s="64">
        <v>0.0</v>
      </c>
      <c r="CZ488" s="64">
        <v>0.0</v>
      </c>
      <c r="DA488" s="64">
        <v>0.0</v>
      </c>
      <c r="DB488" s="64">
        <v>1648969.2519999999</v>
      </c>
      <c r="DC488" s="72">
        <v>0.0</v>
      </c>
      <c r="DD488" s="72">
        <v>846377.92</v>
      </c>
      <c r="DE488" s="72">
        <v>0.0</v>
      </c>
      <c r="DF488" s="72">
        <v>0.0</v>
      </c>
      <c r="DG488" s="72">
        <v>0.0</v>
      </c>
      <c r="DH488" s="72">
        <v>846377.92</v>
      </c>
      <c r="DI488" s="73">
        <v>2.0608562886E10</v>
      </c>
      <c r="DJ488" s="74" t="s">
        <v>1545</v>
      </c>
      <c r="DK488" s="74" t="s">
        <v>138</v>
      </c>
      <c r="DL488" s="75"/>
      <c r="DM488" s="75"/>
      <c r="DN488" s="75"/>
      <c r="DO488" s="75"/>
      <c r="DP488" s="75"/>
      <c r="DQ488" s="75"/>
      <c r="DR488" s="75"/>
      <c r="DS488" s="75"/>
      <c r="DT488" s="75"/>
      <c r="DU488" s="75"/>
      <c r="DV488" s="75"/>
      <c r="DW488" s="75"/>
      <c r="DX488" s="75"/>
      <c r="DY488" s="75"/>
      <c r="DZ488" s="75"/>
      <c r="EA488" s="75"/>
      <c r="EB488" s="75"/>
      <c r="EC488" s="75"/>
      <c r="ED488" s="75"/>
      <c r="EE488" s="75"/>
    </row>
    <row r="489" ht="47.25" hidden="1" customHeight="1">
      <c r="A489" s="55" t="s">
        <v>1549</v>
      </c>
      <c r="B489" s="55" t="s">
        <v>287</v>
      </c>
      <c r="C489" s="55" t="s">
        <v>1403</v>
      </c>
      <c r="D489" s="55" t="s">
        <v>1001</v>
      </c>
      <c r="E489" s="55" t="s">
        <v>1550</v>
      </c>
      <c r="F489" s="55" t="s">
        <v>1001</v>
      </c>
      <c r="G489" s="55" t="s">
        <v>1001</v>
      </c>
      <c r="H489" s="55" t="s">
        <v>1551</v>
      </c>
      <c r="I489" s="56"/>
      <c r="J489" s="56"/>
      <c r="K489" s="56"/>
      <c r="L489" s="56"/>
      <c r="M489" s="56"/>
      <c r="N489" s="56"/>
      <c r="O489" s="56">
        <v>1.0</v>
      </c>
      <c r="P489" s="56">
        <v>1.0</v>
      </c>
      <c r="Q489" s="56" t="s">
        <v>131</v>
      </c>
      <c r="R489" s="58" t="str">
        <f t="shared" si="1"/>
        <v>2024 - 2025</v>
      </c>
      <c r="S489" s="59" t="str">
        <f>SUM(Hoja1!$I489:$P489)</f>
        <v>2</v>
      </c>
      <c r="T489" s="59" t="str">
        <f>IF(OR(Hoja1!$J489=1,Hoja1!$K489=1,Hoja1!$L489=1,Hoja1!$M489=1,Hoja1!$N489=1,Hoja1!$O489=1,Hoja1!$P489=1),"SI","NO")</f>
        <v>SI</v>
      </c>
      <c r="U489" s="59" t="str">
        <f>IF(OR(Hoja1!$K489=1,Hoja1!$L489=1,Hoja1!$M489=1,Hoja1!$N489=1,Hoja1!$O489=1,Hoja1!$P489=1),"SI","NO")</f>
        <v>SI</v>
      </c>
      <c r="V489" s="60">
        <v>0.0</v>
      </c>
      <c r="W489" s="61">
        <v>0.0</v>
      </c>
      <c r="X489" s="61">
        <v>0.0</v>
      </c>
      <c r="Y489" s="60">
        <v>0.0</v>
      </c>
      <c r="Z489" s="61">
        <v>0.0</v>
      </c>
      <c r="AA489" s="61">
        <v>0.0</v>
      </c>
      <c r="AB489" s="60">
        <v>0.0</v>
      </c>
      <c r="AC489" s="61">
        <v>0.0</v>
      </c>
      <c r="AD489" s="61">
        <v>0.0</v>
      </c>
      <c r="AE489" s="60">
        <v>0.0</v>
      </c>
      <c r="AF489" s="61">
        <v>0.0</v>
      </c>
      <c r="AG489" s="61">
        <v>0.0</v>
      </c>
      <c r="AH489" s="60">
        <v>0.0</v>
      </c>
      <c r="AI489" s="61">
        <v>0.0</v>
      </c>
      <c r="AJ489" s="61">
        <v>0.0</v>
      </c>
      <c r="AK489" s="60">
        <v>0.0</v>
      </c>
      <c r="AL489" s="61">
        <v>30.0</v>
      </c>
      <c r="AM489" s="61">
        <v>140.0</v>
      </c>
      <c r="AN489" s="60">
        <v>170.0</v>
      </c>
      <c r="AO489" s="62">
        <v>18.0</v>
      </c>
      <c r="AP489" s="62">
        <v>142.0</v>
      </c>
      <c r="AQ489" s="60">
        <v>160.0</v>
      </c>
      <c r="AR489" s="60" t="str">
        <f>IF(Hoja1!$AQ489&gt;0,Hoja1!$AQ489,IF(Hoja1!$AN489&gt;0,Hoja1!$AN489,IF(Hoja1!$AK489&gt;0,Hoja1!$AK489,IF(Hoja1!$AH489&gt;0,Hoja1!$AH489,IF(Hoja1!$AE489&gt;0,Hoja1!$AE489,IF(Hoja1!$AB489&gt;0,Hoja1!$AB489,IF(Hoja1!$Y489&gt;0,Hoja1!$Y489,IF(Hoja1!$V489&gt;0,Hoja1!$V489," ---"))))))))</f>
        <v>160</v>
      </c>
      <c r="AS489" s="63">
        <v>0.0</v>
      </c>
      <c r="AT489" s="63">
        <v>0.0</v>
      </c>
      <c r="AU489" s="63">
        <v>0.0</v>
      </c>
      <c r="AV489" s="63">
        <v>0.0</v>
      </c>
      <c r="AW489" s="63">
        <v>0.0</v>
      </c>
      <c r="AX489" s="63">
        <v>0.0</v>
      </c>
      <c r="AY489" s="63">
        <v>0.0</v>
      </c>
      <c r="AZ489" s="63">
        <v>0.0</v>
      </c>
      <c r="BA489" s="63">
        <v>36.0</v>
      </c>
      <c r="BB489" s="63">
        <v>1.0</v>
      </c>
      <c r="BC489" s="63">
        <v>19.0</v>
      </c>
      <c r="BD489" s="63">
        <v>2.0</v>
      </c>
      <c r="BE489" s="64">
        <v>0.0</v>
      </c>
      <c r="BF489" s="69">
        <v>0.0</v>
      </c>
      <c r="BG489" s="69">
        <v>0.0</v>
      </c>
      <c r="BH489" s="64">
        <v>0.0</v>
      </c>
      <c r="BI489" s="67" t="str">
        <f t="shared" si="166"/>
        <v>#REF!</v>
      </c>
      <c r="BJ489" s="68" t="str">
        <f t="shared" si="167"/>
        <v>#REF!</v>
      </c>
      <c r="BK489" s="69">
        <v>0.0</v>
      </c>
      <c r="BL489" s="69">
        <v>0.0</v>
      </c>
      <c r="BM489" s="64">
        <v>0.0</v>
      </c>
      <c r="BN489" s="67" t="str">
        <f t="shared" si="168"/>
        <v>#REF!</v>
      </c>
      <c r="BO489" s="68" t="str">
        <f t="shared" si="169"/>
        <v>#REF!</v>
      </c>
      <c r="BP489" s="65">
        <v>0.0</v>
      </c>
      <c r="BQ489" s="65">
        <v>0.0</v>
      </c>
      <c r="BR489" s="66">
        <v>0.0</v>
      </c>
      <c r="BS489" s="67" t="str">
        <f t="shared" si="170"/>
        <v>#REF!</v>
      </c>
      <c r="BT489" s="68" t="str">
        <f>'[1]DATA CONSOLIDADA 2018-2025 '!$BR489-Hoja1!$BO489</f>
        <v>#REF!</v>
      </c>
      <c r="BU489" s="69">
        <v>0.0</v>
      </c>
      <c r="BV489" s="65">
        <v>0.0</v>
      </c>
      <c r="BW489" s="66">
        <v>0.0</v>
      </c>
      <c r="BX489" s="67" t="str">
        <f t="shared" si="171"/>
        <v>#REF!</v>
      </c>
      <c r="BY489" s="68" t="str">
        <f t="shared" si="172"/>
        <v>#REF!</v>
      </c>
      <c r="BZ489" s="65">
        <v>0.0</v>
      </c>
      <c r="CA489" s="65">
        <v>0.0</v>
      </c>
      <c r="CB489" s="66">
        <v>0.0</v>
      </c>
      <c r="CC489" s="67" t="str">
        <f t="shared" si="173"/>
        <v>#REF!</v>
      </c>
      <c r="CD489" s="68" t="str">
        <f>'[1]DATA CONSOLIDADA 2018-2025 '!$CB489-Hoja1!$BW489</f>
        <v>#REF!</v>
      </c>
      <c r="CE489" s="70">
        <v>218140.0</v>
      </c>
      <c r="CF489" s="70">
        <v>0.0</v>
      </c>
      <c r="CG489" s="71">
        <v>218140.0</v>
      </c>
      <c r="CH489" s="67" t="str">
        <f t="shared" si="174"/>
        <v>#REF!</v>
      </c>
      <c r="CI489" s="68" t="str">
        <f>'[1]DATA CONSOLIDADA 2018-2025 '!$CG489-Hoja1!$CB489</f>
        <v>#REF!</v>
      </c>
      <c r="CJ489" s="64" t="str">
        <f t="shared" si="165"/>
        <v>#REF!</v>
      </c>
      <c r="CK489" s="64">
        <v>262408.0</v>
      </c>
      <c r="CL489" s="64">
        <v>0.0</v>
      </c>
      <c r="CM489" s="64">
        <v>262408.0</v>
      </c>
      <c r="CN489" s="64" t="str">
        <f t="shared" si="12"/>
        <v>#REF!</v>
      </c>
      <c r="CO489" s="68" t="str">
        <f>'[1]DATA CONSOLIDADA 2018-2025 '!$CM489-Hoja1!$CG489</f>
        <v>#REF!</v>
      </c>
      <c r="CP489" s="70">
        <v>0.0</v>
      </c>
      <c r="CQ489" s="70">
        <v>0.0</v>
      </c>
      <c r="CR489" s="70">
        <v>0.0</v>
      </c>
      <c r="CS489" s="70">
        <v>0.0</v>
      </c>
      <c r="CT489" s="70">
        <v>0.0</v>
      </c>
      <c r="CU489" s="70">
        <v>0.0</v>
      </c>
      <c r="CV489" s="64">
        <v>0.0</v>
      </c>
      <c r="CW489" s="64">
        <v>0.0</v>
      </c>
      <c r="CX489" s="64">
        <v>218140.0</v>
      </c>
      <c r="CY489" s="64">
        <v>0.0</v>
      </c>
      <c r="CZ489" s="64">
        <v>0.0</v>
      </c>
      <c r="DA489" s="64">
        <v>0.0</v>
      </c>
      <c r="DB489" s="64">
        <v>218140.0</v>
      </c>
      <c r="DC489" s="72">
        <v>0.0</v>
      </c>
      <c r="DD489" s="72">
        <v>262408.0</v>
      </c>
      <c r="DE489" s="72">
        <v>0.0</v>
      </c>
      <c r="DF489" s="72">
        <v>0.0</v>
      </c>
      <c r="DG489" s="72">
        <v>0.0</v>
      </c>
      <c r="DH489" s="72">
        <v>262408.0</v>
      </c>
      <c r="DI489" s="73">
        <v>2.0609057361E10</v>
      </c>
      <c r="DJ489" s="74" t="s">
        <v>1552</v>
      </c>
      <c r="DK489" s="74" t="s">
        <v>138</v>
      </c>
      <c r="DL489" s="75"/>
      <c r="DM489" s="75"/>
      <c r="DN489" s="75"/>
      <c r="DO489" s="75"/>
      <c r="DP489" s="75"/>
      <c r="DQ489" s="75"/>
      <c r="DR489" s="75"/>
      <c r="DS489" s="75"/>
      <c r="DT489" s="75"/>
      <c r="DU489" s="75"/>
      <c r="DV489" s="75"/>
      <c r="DW489" s="75"/>
      <c r="DX489" s="75"/>
      <c r="DY489" s="75"/>
      <c r="DZ489" s="75"/>
      <c r="EA489" s="75"/>
      <c r="EB489" s="75"/>
      <c r="EC489" s="75"/>
      <c r="ED489" s="75"/>
      <c r="EE489" s="75"/>
    </row>
    <row r="490" ht="47.25" hidden="1" customHeight="1">
      <c r="A490" s="55" t="s">
        <v>1553</v>
      </c>
      <c r="B490" s="55" t="s">
        <v>287</v>
      </c>
      <c r="C490" s="55" t="s">
        <v>1403</v>
      </c>
      <c r="D490" s="55" t="s">
        <v>1001</v>
      </c>
      <c r="E490" s="55" t="s">
        <v>1554</v>
      </c>
      <c r="F490" s="55" t="s">
        <v>1001</v>
      </c>
      <c r="G490" s="55" t="s">
        <v>1001</v>
      </c>
      <c r="H490" s="55" t="s">
        <v>1555</v>
      </c>
      <c r="I490" s="56"/>
      <c r="J490" s="56"/>
      <c r="K490" s="56"/>
      <c r="L490" s="56"/>
      <c r="M490" s="56"/>
      <c r="N490" s="56"/>
      <c r="O490" s="56">
        <v>1.0</v>
      </c>
      <c r="P490" s="56"/>
      <c r="Q490" s="56" t="s">
        <v>131</v>
      </c>
      <c r="R490" s="58" t="str">
        <f t="shared" si="1"/>
        <v>2024</v>
      </c>
      <c r="S490" s="59" t="str">
        <f>SUM(Hoja1!$I490:$P490)</f>
        <v>1</v>
      </c>
      <c r="T490" s="59" t="str">
        <f>IF(OR(Hoja1!$J490=1,Hoja1!$K490=1,Hoja1!$L490=1,Hoja1!$M490=1,Hoja1!$N490=1,Hoja1!$O490=1,Hoja1!$P490=1),"SI","NO")</f>
        <v>SI</v>
      </c>
      <c r="U490" s="59" t="str">
        <f>IF(OR(Hoja1!$K490=1,Hoja1!$L490=1,Hoja1!$M490=1,Hoja1!$N490=1,Hoja1!$O490=1,Hoja1!$P490=1),"SI","NO")</f>
        <v>SI</v>
      </c>
      <c r="V490" s="60">
        <v>0.0</v>
      </c>
      <c r="W490" s="61">
        <v>0.0</v>
      </c>
      <c r="X490" s="61">
        <v>0.0</v>
      </c>
      <c r="Y490" s="60">
        <v>0.0</v>
      </c>
      <c r="Z490" s="61">
        <v>0.0</v>
      </c>
      <c r="AA490" s="61">
        <v>0.0</v>
      </c>
      <c r="AB490" s="60">
        <v>0.0</v>
      </c>
      <c r="AC490" s="61">
        <v>0.0</v>
      </c>
      <c r="AD490" s="61">
        <v>0.0</v>
      </c>
      <c r="AE490" s="60">
        <v>0.0</v>
      </c>
      <c r="AF490" s="61">
        <v>0.0</v>
      </c>
      <c r="AG490" s="61">
        <v>0.0</v>
      </c>
      <c r="AH490" s="60">
        <v>0.0</v>
      </c>
      <c r="AI490" s="61">
        <v>0.0</v>
      </c>
      <c r="AJ490" s="61">
        <v>0.0</v>
      </c>
      <c r="AK490" s="60">
        <v>0.0</v>
      </c>
      <c r="AL490" s="61">
        <v>50.0</v>
      </c>
      <c r="AM490" s="61">
        <v>66.0</v>
      </c>
      <c r="AN490" s="60">
        <v>116.0</v>
      </c>
      <c r="AO490" s="62">
        <v>0.0</v>
      </c>
      <c r="AP490" s="62">
        <v>0.0</v>
      </c>
      <c r="AQ490" s="60">
        <v>0.0</v>
      </c>
      <c r="AR490" s="60" t="str">
        <f>IF(Hoja1!$AQ490&gt;0,Hoja1!$AQ490,IF(Hoja1!$AN490&gt;0,Hoja1!$AN490,IF(Hoja1!$AK490&gt;0,Hoja1!$AK490,IF(Hoja1!$AH490&gt;0,Hoja1!$AH490,IF(Hoja1!$AE490&gt;0,Hoja1!$AE490,IF(Hoja1!$AB490&gt;0,Hoja1!$AB490,IF(Hoja1!$Y490&gt;0,Hoja1!$Y490,IF(Hoja1!$V490&gt;0,Hoja1!$V490," ---"))))))))</f>
        <v>116</v>
      </c>
      <c r="AS490" s="63">
        <v>0.0</v>
      </c>
      <c r="AT490" s="63">
        <v>0.0</v>
      </c>
      <c r="AU490" s="63">
        <v>0.0</v>
      </c>
      <c r="AV490" s="63">
        <v>0.0</v>
      </c>
      <c r="AW490" s="63">
        <v>0.0</v>
      </c>
      <c r="AX490" s="63">
        <v>0.0</v>
      </c>
      <c r="AY490" s="63">
        <v>0.0</v>
      </c>
      <c r="AZ490" s="63">
        <v>0.0</v>
      </c>
      <c r="BA490" s="63">
        <v>36.0</v>
      </c>
      <c r="BB490" s="63">
        <v>1.0</v>
      </c>
      <c r="BC490" s="63">
        <v>0.0</v>
      </c>
      <c r="BD490" s="63">
        <v>0.0</v>
      </c>
      <c r="BE490" s="64">
        <v>0.0</v>
      </c>
      <c r="BF490" s="69">
        <v>0.0</v>
      </c>
      <c r="BG490" s="69">
        <v>0.0</v>
      </c>
      <c r="BH490" s="64">
        <v>0.0</v>
      </c>
      <c r="BI490" s="67" t="str">
        <f t="shared" si="166"/>
        <v>#REF!</v>
      </c>
      <c r="BJ490" s="68" t="str">
        <f t="shared" si="167"/>
        <v>#REF!</v>
      </c>
      <c r="BK490" s="69">
        <v>0.0</v>
      </c>
      <c r="BL490" s="69">
        <v>0.0</v>
      </c>
      <c r="BM490" s="64">
        <v>0.0</v>
      </c>
      <c r="BN490" s="67" t="str">
        <f t="shared" si="168"/>
        <v>#REF!</v>
      </c>
      <c r="BO490" s="68" t="str">
        <f t="shared" si="169"/>
        <v>#REF!</v>
      </c>
      <c r="BP490" s="65">
        <v>0.0</v>
      </c>
      <c r="BQ490" s="65">
        <v>0.0</v>
      </c>
      <c r="BR490" s="66">
        <v>0.0</v>
      </c>
      <c r="BS490" s="67" t="str">
        <f t="shared" si="170"/>
        <v>#REF!</v>
      </c>
      <c r="BT490" s="68" t="str">
        <f>'[1]DATA CONSOLIDADA 2018-2025 '!$BR490-Hoja1!$BO490</f>
        <v>#REF!</v>
      </c>
      <c r="BU490" s="69">
        <v>0.0</v>
      </c>
      <c r="BV490" s="65">
        <v>0.0</v>
      </c>
      <c r="BW490" s="66">
        <v>0.0</v>
      </c>
      <c r="BX490" s="67" t="str">
        <f t="shared" si="171"/>
        <v>#REF!</v>
      </c>
      <c r="BY490" s="68" t="str">
        <f t="shared" si="172"/>
        <v>#REF!</v>
      </c>
      <c r="BZ490" s="65">
        <v>0.0</v>
      </c>
      <c r="CA490" s="65">
        <v>0.0</v>
      </c>
      <c r="CB490" s="66">
        <v>0.0</v>
      </c>
      <c r="CC490" s="67" t="str">
        <f t="shared" si="173"/>
        <v>#REF!</v>
      </c>
      <c r="CD490" s="68" t="str">
        <f>'[1]DATA CONSOLIDADA 2018-2025 '!$CB490-Hoja1!$BW490</f>
        <v>#REF!</v>
      </c>
      <c r="CE490" s="70">
        <v>227430.0</v>
      </c>
      <c r="CF490" s="70">
        <v>0.0</v>
      </c>
      <c r="CG490" s="71">
        <v>227430.0</v>
      </c>
      <c r="CH490" s="67" t="str">
        <f t="shared" si="174"/>
        <v>#REF!</v>
      </c>
      <c r="CI490" s="68" t="str">
        <f>'[1]DATA CONSOLIDADA 2018-2025 '!$CG490-Hoja1!$CB490</f>
        <v>#REF!</v>
      </c>
      <c r="CJ490" s="64" t="str">
        <f t="shared" si="165"/>
        <v>#REF!</v>
      </c>
      <c r="CK490" s="64">
        <v>0.0</v>
      </c>
      <c r="CL490" s="64">
        <v>0.0</v>
      </c>
      <c r="CM490" s="64">
        <v>0.0</v>
      </c>
      <c r="CN490" s="64" t="str">
        <f t="shared" si="12"/>
        <v>#REF!</v>
      </c>
      <c r="CO490" s="68" t="str">
        <f>'[1]DATA CONSOLIDADA 2018-2025 '!$CM490-Hoja1!$CG490</f>
        <v>#REF!</v>
      </c>
      <c r="CP490" s="70">
        <v>0.0</v>
      </c>
      <c r="CQ490" s="70">
        <v>0.0</v>
      </c>
      <c r="CR490" s="70">
        <v>0.0</v>
      </c>
      <c r="CS490" s="70">
        <v>0.0</v>
      </c>
      <c r="CT490" s="70">
        <v>0.0</v>
      </c>
      <c r="CU490" s="70">
        <v>0.0</v>
      </c>
      <c r="CV490" s="64">
        <v>0.0</v>
      </c>
      <c r="CW490" s="64">
        <v>0.0</v>
      </c>
      <c r="CX490" s="64">
        <v>227430.0</v>
      </c>
      <c r="CY490" s="64">
        <v>0.0</v>
      </c>
      <c r="CZ490" s="64">
        <v>0.0</v>
      </c>
      <c r="DA490" s="64">
        <v>0.0</v>
      </c>
      <c r="DB490" s="64">
        <v>227430.0</v>
      </c>
      <c r="DC490" s="72">
        <v>0.0</v>
      </c>
      <c r="DD490" s="72">
        <v>0.0</v>
      </c>
      <c r="DE490" s="72">
        <v>0.0</v>
      </c>
      <c r="DF490" s="72">
        <v>0.0</v>
      </c>
      <c r="DG490" s="72">
        <v>0.0</v>
      </c>
      <c r="DH490" s="72">
        <v>0.0</v>
      </c>
      <c r="DI490" s="73">
        <v>2.060556473E10</v>
      </c>
      <c r="DJ490" s="74" t="s">
        <v>1556</v>
      </c>
      <c r="DK490" s="74" t="s">
        <v>132</v>
      </c>
      <c r="DL490" s="75"/>
      <c r="DM490" s="75"/>
      <c r="DN490" s="75"/>
      <c r="DO490" s="75"/>
      <c r="DP490" s="75"/>
      <c r="DQ490" s="75"/>
      <c r="DR490" s="75"/>
      <c r="DS490" s="75"/>
      <c r="DT490" s="75"/>
      <c r="DU490" s="75"/>
      <c r="DV490" s="75"/>
      <c r="DW490" s="75"/>
      <c r="DX490" s="75"/>
      <c r="DY490" s="75"/>
      <c r="DZ490" s="75"/>
      <c r="EA490" s="75"/>
      <c r="EB490" s="75"/>
      <c r="EC490" s="75"/>
      <c r="ED490" s="75"/>
      <c r="EE490" s="75"/>
    </row>
    <row r="491" ht="47.25" hidden="1" customHeight="1">
      <c r="A491" s="55" t="s">
        <v>1557</v>
      </c>
      <c r="B491" s="55" t="s">
        <v>287</v>
      </c>
      <c r="C491" s="55" t="s">
        <v>1403</v>
      </c>
      <c r="D491" s="55" t="s">
        <v>1001</v>
      </c>
      <c r="E491" s="55" t="s">
        <v>1558</v>
      </c>
      <c r="F491" s="55" t="s">
        <v>1001</v>
      </c>
      <c r="G491" s="55" t="s">
        <v>1559</v>
      </c>
      <c r="H491" s="55" t="s">
        <v>1560</v>
      </c>
      <c r="I491" s="56"/>
      <c r="J491" s="56"/>
      <c r="K491" s="56"/>
      <c r="L491" s="56"/>
      <c r="M491" s="56"/>
      <c r="N491" s="56"/>
      <c r="O491" s="56">
        <v>1.0</v>
      </c>
      <c r="P491" s="56">
        <v>1.0</v>
      </c>
      <c r="Q491" s="56" t="s">
        <v>131</v>
      </c>
      <c r="R491" s="58" t="str">
        <f t="shared" si="1"/>
        <v>2024 - 2025</v>
      </c>
      <c r="S491" s="59" t="str">
        <f>SUM(Hoja1!$I491:$P491)</f>
        <v>2</v>
      </c>
      <c r="T491" s="59" t="str">
        <f>IF(OR(Hoja1!$J491=1,Hoja1!$K491=1,Hoja1!$L491=1,Hoja1!$M491=1,Hoja1!$N491=1,Hoja1!$O491=1,Hoja1!$P491=1),"SI","NO")</f>
        <v>SI</v>
      </c>
      <c r="U491" s="59" t="str">
        <f>IF(OR(Hoja1!$K491=1,Hoja1!$L491=1,Hoja1!$M491=1,Hoja1!$N491=1,Hoja1!$O491=1,Hoja1!$P491=1),"SI","NO")</f>
        <v>SI</v>
      </c>
      <c r="V491" s="60">
        <v>0.0</v>
      </c>
      <c r="W491" s="61">
        <v>0.0</v>
      </c>
      <c r="X491" s="61">
        <v>0.0</v>
      </c>
      <c r="Y491" s="60">
        <v>0.0</v>
      </c>
      <c r="Z491" s="61">
        <v>0.0</v>
      </c>
      <c r="AA491" s="61">
        <v>0.0</v>
      </c>
      <c r="AB491" s="60">
        <v>0.0</v>
      </c>
      <c r="AC491" s="61">
        <v>0.0</v>
      </c>
      <c r="AD491" s="61">
        <v>0.0</v>
      </c>
      <c r="AE491" s="60">
        <v>0.0</v>
      </c>
      <c r="AF491" s="61">
        <v>0.0</v>
      </c>
      <c r="AG491" s="61">
        <v>0.0</v>
      </c>
      <c r="AH491" s="60">
        <v>0.0</v>
      </c>
      <c r="AI491" s="61">
        <v>0.0</v>
      </c>
      <c r="AJ491" s="61">
        <v>0.0</v>
      </c>
      <c r="AK491" s="60">
        <v>0.0</v>
      </c>
      <c r="AL491" s="61">
        <v>10.0</v>
      </c>
      <c r="AM491" s="61">
        <v>20.0</v>
      </c>
      <c r="AN491" s="60">
        <v>30.0</v>
      </c>
      <c r="AO491" s="62">
        <v>5.0</v>
      </c>
      <c r="AP491" s="62">
        <v>7.0</v>
      </c>
      <c r="AQ491" s="60">
        <v>12.0</v>
      </c>
      <c r="AR491" s="60" t="str">
        <f>IF(Hoja1!$AQ491&gt;0,Hoja1!$AQ491,IF(Hoja1!$AN491&gt;0,Hoja1!$AN491,IF(Hoja1!$AK491&gt;0,Hoja1!$AK491,IF(Hoja1!$AH491&gt;0,Hoja1!$AH491,IF(Hoja1!$AE491&gt;0,Hoja1!$AE491,IF(Hoja1!$AB491&gt;0,Hoja1!$AB491,IF(Hoja1!$Y491&gt;0,Hoja1!$Y491,IF(Hoja1!$V491&gt;0,Hoja1!$V491," ---"))))))))</f>
        <v>12</v>
      </c>
      <c r="AS491" s="63">
        <v>0.0</v>
      </c>
      <c r="AT491" s="63">
        <v>0.0</v>
      </c>
      <c r="AU491" s="63">
        <v>0.0</v>
      </c>
      <c r="AV491" s="63">
        <v>0.0</v>
      </c>
      <c r="AW491" s="63">
        <v>0.0</v>
      </c>
      <c r="AX491" s="63">
        <v>0.0</v>
      </c>
      <c r="AY491" s="63">
        <v>0.0</v>
      </c>
      <c r="AZ491" s="63">
        <v>0.0</v>
      </c>
      <c r="BA491" s="63">
        <v>37.0</v>
      </c>
      <c r="BB491" s="63">
        <v>1.0</v>
      </c>
      <c r="BC491" s="63">
        <v>19.0</v>
      </c>
      <c r="BD491" s="63">
        <v>2.0</v>
      </c>
      <c r="BE491" s="64">
        <v>0.0</v>
      </c>
      <c r="BF491" s="69">
        <v>0.0</v>
      </c>
      <c r="BG491" s="69">
        <v>0.0</v>
      </c>
      <c r="BH491" s="64">
        <v>0.0</v>
      </c>
      <c r="BI491" s="67" t="str">
        <f t="shared" si="166"/>
        <v>#REF!</v>
      </c>
      <c r="BJ491" s="68" t="str">
        <f t="shared" si="167"/>
        <v>#REF!</v>
      </c>
      <c r="BK491" s="69">
        <v>0.0</v>
      </c>
      <c r="BL491" s="69">
        <v>0.0</v>
      </c>
      <c r="BM491" s="64">
        <v>0.0</v>
      </c>
      <c r="BN491" s="67" t="str">
        <f t="shared" si="168"/>
        <v>#REF!</v>
      </c>
      <c r="BO491" s="68" t="str">
        <f t="shared" si="169"/>
        <v>#REF!</v>
      </c>
      <c r="BP491" s="65">
        <v>0.0</v>
      </c>
      <c r="BQ491" s="65">
        <v>0.0</v>
      </c>
      <c r="BR491" s="66">
        <v>0.0</v>
      </c>
      <c r="BS491" s="67" t="str">
        <f t="shared" si="170"/>
        <v>#REF!</v>
      </c>
      <c r="BT491" s="68" t="str">
        <f>'[1]DATA CONSOLIDADA 2018-2025 '!$BR491-Hoja1!$BO491</f>
        <v>#REF!</v>
      </c>
      <c r="BU491" s="69">
        <v>0.0</v>
      </c>
      <c r="BV491" s="65">
        <v>0.0</v>
      </c>
      <c r="BW491" s="66">
        <v>0.0</v>
      </c>
      <c r="BX491" s="67" t="str">
        <f t="shared" si="171"/>
        <v>#REF!</v>
      </c>
      <c r="BY491" s="68" t="str">
        <f t="shared" si="172"/>
        <v>#REF!</v>
      </c>
      <c r="BZ491" s="65">
        <v>0.0</v>
      </c>
      <c r="CA491" s="65">
        <v>0.0</v>
      </c>
      <c r="CB491" s="66">
        <v>0.0</v>
      </c>
      <c r="CC491" s="67" t="str">
        <f t="shared" si="173"/>
        <v>#REF!</v>
      </c>
      <c r="CD491" s="68" t="str">
        <f>'[1]DATA CONSOLIDADA 2018-2025 '!$CB491-Hoja1!$BW491</f>
        <v>#REF!</v>
      </c>
      <c r="CE491" s="70">
        <v>385200.0</v>
      </c>
      <c r="CF491" s="70">
        <v>0.0</v>
      </c>
      <c r="CG491" s="71">
        <v>385200.0</v>
      </c>
      <c r="CH491" s="67" t="str">
        <f t="shared" si="174"/>
        <v>#REF!</v>
      </c>
      <c r="CI491" s="68" t="str">
        <f>'[1]DATA CONSOLIDADA 2018-2025 '!$CG491-Hoja1!$CB491</f>
        <v>#REF!</v>
      </c>
      <c r="CJ491" s="64" t="str">
        <f t="shared" si="165"/>
        <v>#REF!</v>
      </c>
      <c r="CK491" s="64">
        <v>594080.0</v>
      </c>
      <c r="CL491" s="64">
        <v>0.0</v>
      </c>
      <c r="CM491" s="64">
        <v>594080.0</v>
      </c>
      <c r="CN491" s="64" t="str">
        <f t="shared" si="12"/>
        <v>#REF!</v>
      </c>
      <c r="CO491" s="68" t="str">
        <f>'[1]DATA CONSOLIDADA 2018-2025 '!$CM491-Hoja1!$CG491</f>
        <v>#REF!</v>
      </c>
      <c r="CP491" s="70">
        <v>0.0</v>
      </c>
      <c r="CQ491" s="70">
        <v>0.0</v>
      </c>
      <c r="CR491" s="70">
        <v>0.0</v>
      </c>
      <c r="CS491" s="70">
        <v>0.0</v>
      </c>
      <c r="CT491" s="70">
        <v>0.0</v>
      </c>
      <c r="CU491" s="70">
        <v>0.0</v>
      </c>
      <c r="CV491" s="64">
        <v>0.0</v>
      </c>
      <c r="CW491" s="64">
        <v>0.0</v>
      </c>
      <c r="CX491" s="64">
        <v>385200.0</v>
      </c>
      <c r="CY491" s="64">
        <v>0.0</v>
      </c>
      <c r="CZ491" s="64">
        <v>0.0</v>
      </c>
      <c r="DA491" s="64">
        <v>0.0</v>
      </c>
      <c r="DB491" s="64">
        <v>385200.0</v>
      </c>
      <c r="DC491" s="72">
        <v>0.0</v>
      </c>
      <c r="DD491" s="72">
        <v>594080.0</v>
      </c>
      <c r="DE491" s="72">
        <v>0.0</v>
      </c>
      <c r="DF491" s="72">
        <v>0.0</v>
      </c>
      <c r="DG491" s="72">
        <v>0.0</v>
      </c>
      <c r="DH491" s="72">
        <v>594080.0</v>
      </c>
      <c r="DI491" s="73">
        <v>2.0606101423E10</v>
      </c>
      <c r="DJ491" s="74" t="s">
        <v>1557</v>
      </c>
      <c r="DK491" s="74" t="s">
        <v>132</v>
      </c>
      <c r="DL491" s="75"/>
      <c r="DM491" s="75"/>
      <c r="DN491" s="75"/>
      <c r="DO491" s="75"/>
      <c r="DP491" s="75"/>
      <c r="DQ491" s="75"/>
      <c r="DR491" s="75"/>
      <c r="DS491" s="75"/>
      <c r="DT491" s="75"/>
      <c r="DU491" s="75"/>
      <c r="DV491" s="75"/>
      <c r="DW491" s="75"/>
      <c r="DX491" s="75"/>
      <c r="DY491" s="75"/>
      <c r="DZ491" s="75"/>
      <c r="EA491" s="75"/>
      <c r="EB491" s="75"/>
      <c r="EC491" s="75"/>
      <c r="ED491" s="75"/>
      <c r="EE491" s="75"/>
    </row>
    <row r="492" ht="47.25" hidden="1" customHeight="1">
      <c r="A492" s="55" t="s">
        <v>1020</v>
      </c>
      <c r="B492" s="55" t="s">
        <v>236</v>
      </c>
      <c r="C492" s="55" t="s">
        <v>236</v>
      </c>
      <c r="D492" s="55" t="s">
        <v>1001</v>
      </c>
      <c r="E492" s="55" t="s">
        <v>1015</v>
      </c>
      <c r="F492" s="55" t="s">
        <v>1001</v>
      </c>
      <c r="G492" s="55" t="s">
        <v>1007</v>
      </c>
      <c r="H492" s="55" t="s">
        <v>1016</v>
      </c>
      <c r="I492" s="56"/>
      <c r="J492" s="56"/>
      <c r="K492" s="56"/>
      <c r="L492" s="56"/>
      <c r="M492" s="56"/>
      <c r="N492" s="56"/>
      <c r="O492" s="56">
        <v>1.0</v>
      </c>
      <c r="P492" s="56">
        <v>1.0</v>
      </c>
      <c r="Q492" s="56" t="s">
        <v>131</v>
      </c>
      <c r="R492" s="58" t="str">
        <f t="shared" si="1"/>
        <v>2024 - 2025</v>
      </c>
      <c r="S492" s="59" t="str">
        <f>SUM(Hoja1!$I492:$P492)</f>
        <v>2</v>
      </c>
      <c r="T492" s="59" t="str">
        <f>IF(OR(Hoja1!$J492=1,Hoja1!$K492=1,Hoja1!$L492=1,Hoja1!$M492=1,Hoja1!$N492=1,Hoja1!$O492=1,Hoja1!$P492=1),"SI","NO")</f>
        <v>SI</v>
      </c>
      <c r="U492" s="59" t="str">
        <f>IF(OR(Hoja1!$K492=1,Hoja1!$L492=1,Hoja1!$M492=1,Hoja1!$N492=1,Hoja1!$O492=1,Hoja1!$P492=1),"SI","NO")</f>
        <v>SI</v>
      </c>
      <c r="V492" s="60">
        <v>0.0</v>
      </c>
      <c r="W492" s="61">
        <v>0.0</v>
      </c>
      <c r="X492" s="61">
        <v>0.0</v>
      </c>
      <c r="Y492" s="60">
        <v>0.0</v>
      </c>
      <c r="Z492" s="61">
        <v>0.0</v>
      </c>
      <c r="AA492" s="61">
        <v>0.0</v>
      </c>
      <c r="AB492" s="60">
        <v>0.0</v>
      </c>
      <c r="AC492" s="61">
        <v>0.0</v>
      </c>
      <c r="AD492" s="61">
        <v>0.0</v>
      </c>
      <c r="AE492" s="60">
        <v>0.0</v>
      </c>
      <c r="AF492" s="61">
        <v>0.0</v>
      </c>
      <c r="AG492" s="61">
        <v>0.0</v>
      </c>
      <c r="AH492" s="60">
        <v>0.0</v>
      </c>
      <c r="AI492" s="61">
        <v>0.0</v>
      </c>
      <c r="AJ492" s="61">
        <v>0.0</v>
      </c>
      <c r="AK492" s="60">
        <v>0.0</v>
      </c>
      <c r="AL492" s="61">
        <v>173.0</v>
      </c>
      <c r="AM492" s="61">
        <v>427.0</v>
      </c>
      <c r="AN492" s="60">
        <v>600.0</v>
      </c>
      <c r="AO492" s="62">
        <v>151.0</v>
      </c>
      <c r="AP492" s="62">
        <v>449.0</v>
      </c>
      <c r="AQ492" s="60">
        <v>600.0</v>
      </c>
      <c r="AR492" s="60" t="str">
        <f>IF(Hoja1!$AQ492&gt;0,Hoja1!$AQ492,IF(Hoja1!$AN492&gt;0,Hoja1!$AN492,IF(Hoja1!$AK492&gt;0,Hoja1!$AK492,IF(Hoja1!$AH492&gt;0,Hoja1!$AH492,IF(Hoja1!$AE492&gt;0,Hoja1!$AE492,IF(Hoja1!$AB492&gt;0,Hoja1!$AB492,IF(Hoja1!$Y492&gt;0,Hoja1!$Y492,IF(Hoja1!$V492&gt;0,Hoja1!$V492," ---"))))))))</f>
        <v>600</v>
      </c>
      <c r="AS492" s="63">
        <v>0.0</v>
      </c>
      <c r="AT492" s="63">
        <v>0.0</v>
      </c>
      <c r="AU492" s="63">
        <v>0.0</v>
      </c>
      <c r="AV492" s="63">
        <v>0.0</v>
      </c>
      <c r="AW492" s="63">
        <v>0.0</v>
      </c>
      <c r="AX492" s="63">
        <v>0.0</v>
      </c>
      <c r="AY492" s="63">
        <v>0.0</v>
      </c>
      <c r="AZ492" s="63">
        <v>0.0</v>
      </c>
      <c r="BA492" s="63">
        <v>239.0</v>
      </c>
      <c r="BB492" s="63">
        <v>7.0</v>
      </c>
      <c r="BC492" s="63">
        <v>136.0</v>
      </c>
      <c r="BD492" s="63">
        <v>4.0</v>
      </c>
      <c r="BE492" s="64">
        <v>0.0</v>
      </c>
      <c r="BF492" s="69">
        <v>0.0</v>
      </c>
      <c r="BG492" s="69">
        <v>0.0</v>
      </c>
      <c r="BH492" s="64">
        <v>0.0</v>
      </c>
      <c r="BI492" s="67" t="str">
        <f t="shared" si="166"/>
        <v>#REF!</v>
      </c>
      <c r="BJ492" s="68" t="str">
        <f t="shared" si="167"/>
        <v>#REF!</v>
      </c>
      <c r="BK492" s="69">
        <v>0.0</v>
      </c>
      <c r="BL492" s="69">
        <v>0.0</v>
      </c>
      <c r="BM492" s="64">
        <v>0.0</v>
      </c>
      <c r="BN492" s="67" t="str">
        <f t="shared" si="168"/>
        <v>#REF!</v>
      </c>
      <c r="BO492" s="68" t="str">
        <f t="shared" si="169"/>
        <v>#REF!</v>
      </c>
      <c r="BP492" s="65">
        <v>0.0</v>
      </c>
      <c r="BQ492" s="65">
        <v>0.0</v>
      </c>
      <c r="BR492" s="66">
        <v>0.0</v>
      </c>
      <c r="BS492" s="67" t="str">
        <f t="shared" si="170"/>
        <v>#REF!</v>
      </c>
      <c r="BT492" s="68" t="str">
        <f>'[1]DATA CONSOLIDADA 2018-2025 '!$BR492-Hoja1!$BO492</f>
        <v>#REF!</v>
      </c>
      <c r="BU492" s="69">
        <v>0.0</v>
      </c>
      <c r="BV492" s="65">
        <v>0.0</v>
      </c>
      <c r="BW492" s="66">
        <v>0.0</v>
      </c>
      <c r="BX492" s="67" t="str">
        <f t="shared" si="171"/>
        <v>#REF!</v>
      </c>
      <c r="BY492" s="68" t="str">
        <f t="shared" si="172"/>
        <v>#REF!</v>
      </c>
      <c r="BZ492" s="65">
        <v>0.0</v>
      </c>
      <c r="CA492" s="65">
        <v>0.0</v>
      </c>
      <c r="CB492" s="66">
        <v>0.0</v>
      </c>
      <c r="CC492" s="67" t="str">
        <f t="shared" si="173"/>
        <v>#REF!</v>
      </c>
      <c r="CD492" s="68" t="str">
        <f>'[1]DATA CONSOLIDADA 2018-2025 '!$CB492-Hoja1!$BW492</f>
        <v>#REF!</v>
      </c>
      <c r="CE492" s="70">
        <v>1122700.2692947</v>
      </c>
      <c r="CF492" s="70">
        <v>1112607.668</v>
      </c>
      <c r="CG492" s="71">
        <v>2235307.9372947</v>
      </c>
      <c r="CH492" s="67" t="str">
        <f t="shared" si="174"/>
        <v>#REF!</v>
      </c>
      <c r="CI492" s="68" t="str">
        <f>'[1]DATA CONSOLIDADA 2018-2025 '!$CG492-Hoja1!$CB492</f>
        <v>#REF!</v>
      </c>
      <c r="CJ492" s="64" t="str">
        <f t="shared" si="165"/>
        <v>#REF!</v>
      </c>
      <c r="CK492" s="64">
        <v>325029.84506295994</v>
      </c>
      <c r="CL492" s="64">
        <v>818676.4516112</v>
      </c>
      <c r="CM492" s="64">
        <v>1143706.2966741598</v>
      </c>
      <c r="CN492" s="64" t="str">
        <f t="shared" si="12"/>
        <v>#REF!</v>
      </c>
      <c r="CO492" s="68" t="str">
        <f>'[1]DATA CONSOLIDADA 2018-2025 '!$CM492-Hoja1!$CG492</f>
        <v>#REF!</v>
      </c>
      <c r="CP492" s="70">
        <v>0.0</v>
      </c>
      <c r="CQ492" s="70">
        <v>0.0</v>
      </c>
      <c r="CR492" s="70">
        <v>0.0</v>
      </c>
      <c r="CS492" s="70">
        <v>0.0</v>
      </c>
      <c r="CT492" s="70">
        <v>0.0</v>
      </c>
      <c r="CU492" s="70">
        <v>0.0</v>
      </c>
      <c r="CV492" s="64">
        <v>0.0</v>
      </c>
      <c r="CW492" s="64">
        <v>0.0</v>
      </c>
      <c r="CX492" s="64">
        <v>0.0</v>
      </c>
      <c r="CY492" s="64">
        <v>2235307.9372947</v>
      </c>
      <c r="CZ492" s="64">
        <v>0.0</v>
      </c>
      <c r="DA492" s="64">
        <v>0.0</v>
      </c>
      <c r="DB492" s="64">
        <v>2235307.9372947</v>
      </c>
      <c r="DC492" s="72">
        <v>8942.965591760001</v>
      </c>
      <c r="DD492" s="72">
        <v>0.0</v>
      </c>
      <c r="DE492" s="72">
        <v>1134763.3310824002</v>
      </c>
      <c r="DF492" s="72">
        <v>0.0</v>
      </c>
      <c r="DG492" s="72">
        <v>0.0</v>
      </c>
      <c r="DH492" s="72">
        <v>1143706.29667416</v>
      </c>
      <c r="DI492" s="73">
        <v>2.0448277781E10</v>
      </c>
      <c r="DJ492" s="74" t="s">
        <v>1020</v>
      </c>
      <c r="DK492" s="74" t="s">
        <v>132</v>
      </c>
      <c r="DL492" s="75"/>
      <c r="DM492" s="75"/>
      <c r="DN492" s="75"/>
      <c r="DO492" s="75"/>
      <c r="DP492" s="75"/>
      <c r="DQ492" s="75"/>
      <c r="DR492" s="75"/>
      <c r="DS492" s="75"/>
      <c r="DT492" s="75"/>
      <c r="DU492" s="75"/>
      <c r="DV492" s="75"/>
      <c r="DW492" s="75"/>
      <c r="DX492" s="75"/>
      <c r="DY492" s="75"/>
      <c r="DZ492" s="75"/>
      <c r="EA492" s="75"/>
      <c r="EB492" s="75"/>
      <c r="EC492" s="75"/>
      <c r="ED492" s="75"/>
      <c r="EE492" s="75"/>
    </row>
    <row r="493" ht="47.25" hidden="1" customHeight="1">
      <c r="A493" s="55" t="s">
        <v>1561</v>
      </c>
      <c r="B493" s="55" t="s">
        <v>542</v>
      </c>
      <c r="C493" s="55" t="s">
        <v>542</v>
      </c>
      <c r="D493" s="55" t="s">
        <v>1001</v>
      </c>
      <c r="E493" s="55" t="s">
        <v>1562</v>
      </c>
      <c r="F493" s="55" t="s">
        <v>1001</v>
      </c>
      <c r="G493" s="55" t="s">
        <v>1563</v>
      </c>
      <c r="H493" s="55" t="s">
        <v>1564</v>
      </c>
      <c r="I493" s="56"/>
      <c r="J493" s="56"/>
      <c r="K493" s="56"/>
      <c r="L493" s="56"/>
      <c r="M493" s="56"/>
      <c r="N493" s="56"/>
      <c r="O493" s="56">
        <v>1.0</v>
      </c>
      <c r="P493" s="56"/>
      <c r="Q493" s="56" t="s">
        <v>131</v>
      </c>
      <c r="R493" s="58" t="str">
        <f t="shared" si="1"/>
        <v>2024</v>
      </c>
      <c r="S493" s="59" t="str">
        <f>SUM(Hoja1!$I493:$P493)</f>
        <v>1</v>
      </c>
      <c r="T493" s="59" t="str">
        <f>IF(OR(Hoja1!$J493=1,Hoja1!$K493=1,Hoja1!$L493=1,Hoja1!$M493=1,Hoja1!$N493=1,Hoja1!$O493=1,Hoja1!$P493=1),"SI","NO")</f>
        <v>SI</v>
      </c>
      <c r="U493" s="59" t="str">
        <f>IF(OR(Hoja1!$K493=1,Hoja1!$L493=1,Hoja1!$M493=1,Hoja1!$N493=1,Hoja1!$O493=1,Hoja1!$P493=1),"SI","NO")</f>
        <v>SI</v>
      </c>
      <c r="V493" s="60">
        <v>0.0</v>
      </c>
      <c r="W493" s="61">
        <v>0.0</v>
      </c>
      <c r="X493" s="61">
        <v>0.0</v>
      </c>
      <c r="Y493" s="60">
        <v>0.0</v>
      </c>
      <c r="Z493" s="61">
        <v>0.0</v>
      </c>
      <c r="AA493" s="61">
        <v>0.0</v>
      </c>
      <c r="AB493" s="60">
        <v>0.0</v>
      </c>
      <c r="AC493" s="61">
        <v>0.0</v>
      </c>
      <c r="AD493" s="61">
        <v>0.0</v>
      </c>
      <c r="AE493" s="60">
        <v>0.0</v>
      </c>
      <c r="AF493" s="61">
        <v>0.0</v>
      </c>
      <c r="AG493" s="61">
        <v>0.0</v>
      </c>
      <c r="AH493" s="60">
        <v>0.0</v>
      </c>
      <c r="AI493" s="61">
        <v>0.0</v>
      </c>
      <c r="AJ493" s="61">
        <v>0.0</v>
      </c>
      <c r="AK493" s="60">
        <v>0.0</v>
      </c>
      <c r="AL493" s="61">
        <v>8.0</v>
      </c>
      <c r="AM493" s="61">
        <v>10.0</v>
      </c>
      <c r="AN493" s="60">
        <v>18.0</v>
      </c>
      <c r="AO493" s="62">
        <v>0.0</v>
      </c>
      <c r="AP493" s="62">
        <v>0.0</v>
      </c>
      <c r="AQ493" s="60">
        <v>0.0</v>
      </c>
      <c r="AR493" s="60" t="str">
        <f>IF(Hoja1!$AQ493&gt;0,Hoja1!$AQ493,IF(Hoja1!$AN493&gt;0,Hoja1!$AN493,IF(Hoja1!$AK493&gt;0,Hoja1!$AK493,IF(Hoja1!$AH493&gt;0,Hoja1!$AH493,IF(Hoja1!$AE493&gt;0,Hoja1!$AE493,IF(Hoja1!$AB493&gt;0,Hoja1!$AB493,IF(Hoja1!$Y493&gt;0,Hoja1!$Y493,IF(Hoja1!$V493&gt;0,Hoja1!$V493," ---"))))))))</f>
        <v>18</v>
      </c>
      <c r="AS493" s="63">
        <v>0.0</v>
      </c>
      <c r="AT493" s="63">
        <v>0.0</v>
      </c>
      <c r="AU493" s="63">
        <v>0.0</v>
      </c>
      <c r="AV493" s="63">
        <v>0.0</v>
      </c>
      <c r="AW493" s="63">
        <v>0.0</v>
      </c>
      <c r="AX493" s="63">
        <v>0.0</v>
      </c>
      <c r="AY493" s="63">
        <v>0.0</v>
      </c>
      <c r="AZ493" s="63">
        <v>0.0</v>
      </c>
      <c r="BA493" s="63">
        <v>54.0</v>
      </c>
      <c r="BB493" s="63">
        <v>2.0</v>
      </c>
      <c r="BC493" s="63">
        <v>0.0</v>
      </c>
      <c r="BD493" s="63">
        <v>0.0</v>
      </c>
      <c r="BE493" s="64">
        <v>0.0</v>
      </c>
      <c r="BF493" s="69">
        <v>0.0</v>
      </c>
      <c r="BG493" s="69">
        <v>0.0</v>
      </c>
      <c r="BH493" s="64">
        <v>0.0</v>
      </c>
      <c r="BI493" s="67" t="str">
        <f t="shared" si="166"/>
        <v>#REF!</v>
      </c>
      <c r="BJ493" s="68" t="str">
        <f t="shared" si="167"/>
        <v>#REF!</v>
      </c>
      <c r="BK493" s="69">
        <v>0.0</v>
      </c>
      <c r="BL493" s="69">
        <v>0.0</v>
      </c>
      <c r="BM493" s="64">
        <v>0.0</v>
      </c>
      <c r="BN493" s="67" t="str">
        <f t="shared" si="168"/>
        <v>#REF!</v>
      </c>
      <c r="BO493" s="68" t="str">
        <f t="shared" si="169"/>
        <v>#REF!</v>
      </c>
      <c r="BP493" s="65">
        <v>0.0</v>
      </c>
      <c r="BQ493" s="65">
        <v>0.0</v>
      </c>
      <c r="BR493" s="66">
        <v>0.0</v>
      </c>
      <c r="BS493" s="67" t="str">
        <f t="shared" si="170"/>
        <v>#REF!</v>
      </c>
      <c r="BT493" s="68" t="str">
        <f>'[1]DATA CONSOLIDADA 2018-2025 '!$BR493-Hoja1!$BO493</f>
        <v>#REF!</v>
      </c>
      <c r="BU493" s="69">
        <v>0.0</v>
      </c>
      <c r="BV493" s="65">
        <v>0.0</v>
      </c>
      <c r="BW493" s="66">
        <v>0.0</v>
      </c>
      <c r="BX493" s="67" t="str">
        <f t="shared" si="171"/>
        <v>#REF!</v>
      </c>
      <c r="BY493" s="68" t="str">
        <f t="shared" si="172"/>
        <v>#REF!</v>
      </c>
      <c r="BZ493" s="65">
        <v>0.0</v>
      </c>
      <c r="CA493" s="65">
        <v>0.0</v>
      </c>
      <c r="CB493" s="66">
        <v>0.0</v>
      </c>
      <c r="CC493" s="67" t="str">
        <f t="shared" si="173"/>
        <v>#REF!</v>
      </c>
      <c r="CD493" s="68" t="str">
        <f>'[1]DATA CONSOLIDADA 2018-2025 '!$CB493-Hoja1!$BW493</f>
        <v>#REF!</v>
      </c>
      <c r="CE493" s="70">
        <v>0.0</v>
      </c>
      <c r="CF493" s="70">
        <v>0.0</v>
      </c>
      <c r="CG493" s="71">
        <v>0.0</v>
      </c>
      <c r="CH493" s="67" t="str">
        <f t="shared" si="174"/>
        <v>#REF!</v>
      </c>
      <c r="CI493" s="68" t="str">
        <f>'[1]DATA CONSOLIDADA 2018-2025 '!$CG493-Hoja1!$CB493</f>
        <v>#REF!</v>
      </c>
      <c r="CJ493" s="64" t="str">
        <f t="shared" si="165"/>
        <v>#REF!</v>
      </c>
      <c r="CK493" s="64">
        <v>0.0</v>
      </c>
      <c r="CL493" s="64">
        <v>0.0</v>
      </c>
      <c r="CM493" s="64">
        <v>0.0</v>
      </c>
      <c r="CN493" s="64" t="str">
        <f t="shared" si="12"/>
        <v>#REF!</v>
      </c>
      <c r="CO493" s="68" t="str">
        <f>'[1]DATA CONSOLIDADA 2018-2025 '!$CM493-Hoja1!$CG493</f>
        <v>#REF!</v>
      </c>
      <c r="CP493" s="70">
        <v>0.0</v>
      </c>
      <c r="CQ493" s="70">
        <v>0.0</v>
      </c>
      <c r="CR493" s="70">
        <v>0.0</v>
      </c>
      <c r="CS493" s="70">
        <v>0.0</v>
      </c>
      <c r="CT493" s="70">
        <v>0.0</v>
      </c>
      <c r="CU493" s="70">
        <v>0.0</v>
      </c>
      <c r="CV493" s="64">
        <v>0.0</v>
      </c>
      <c r="CW493" s="64">
        <v>0.0</v>
      </c>
      <c r="CX493" s="64">
        <v>0.0</v>
      </c>
      <c r="CY493" s="64">
        <v>0.0</v>
      </c>
      <c r="CZ493" s="64">
        <v>0.0</v>
      </c>
      <c r="DA493" s="64">
        <v>0.0</v>
      </c>
      <c r="DB493" s="64">
        <v>0.0</v>
      </c>
      <c r="DC493" s="72">
        <v>0.0</v>
      </c>
      <c r="DD493" s="72">
        <v>0.0</v>
      </c>
      <c r="DE493" s="72">
        <v>0.0</v>
      </c>
      <c r="DF493" s="72">
        <v>0.0</v>
      </c>
      <c r="DG493" s="72">
        <v>0.0</v>
      </c>
      <c r="DH493" s="72">
        <v>0.0</v>
      </c>
      <c r="DI493" s="73">
        <v>2.0448843051E10</v>
      </c>
      <c r="DJ493" s="74" t="s">
        <v>1561</v>
      </c>
      <c r="DK493" s="74" t="s">
        <v>138</v>
      </c>
      <c r="DL493" s="75"/>
      <c r="DM493" s="75"/>
      <c r="DN493" s="75"/>
      <c r="DO493" s="75"/>
      <c r="DP493" s="75"/>
      <c r="DQ493" s="75"/>
      <c r="DR493" s="75"/>
      <c r="DS493" s="75"/>
      <c r="DT493" s="75"/>
      <c r="DU493" s="75"/>
      <c r="DV493" s="75"/>
      <c r="DW493" s="75"/>
      <c r="DX493" s="75"/>
      <c r="DY493" s="75"/>
      <c r="DZ493" s="75"/>
      <c r="EA493" s="75"/>
      <c r="EB493" s="75"/>
      <c r="EC493" s="75"/>
      <c r="ED493" s="75"/>
      <c r="EE493" s="75"/>
    </row>
    <row r="494" ht="47.25" hidden="1" customHeight="1">
      <c r="A494" s="55" t="s">
        <v>1565</v>
      </c>
      <c r="B494" s="55" t="s">
        <v>236</v>
      </c>
      <c r="C494" s="55" t="s">
        <v>236</v>
      </c>
      <c r="D494" s="55" t="s">
        <v>1001</v>
      </c>
      <c r="E494" s="55" t="s">
        <v>1566</v>
      </c>
      <c r="F494" s="55" t="s">
        <v>1001</v>
      </c>
      <c r="G494" s="55" t="s">
        <v>1007</v>
      </c>
      <c r="H494" s="55" t="s">
        <v>1567</v>
      </c>
      <c r="I494" s="56"/>
      <c r="J494" s="56"/>
      <c r="K494" s="56"/>
      <c r="L494" s="56"/>
      <c r="M494" s="56"/>
      <c r="N494" s="56"/>
      <c r="O494" s="56">
        <v>1.0</v>
      </c>
      <c r="P494" s="56">
        <v>1.0</v>
      </c>
      <c r="Q494" s="56" t="s">
        <v>131</v>
      </c>
      <c r="R494" s="58" t="str">
        <f t="shared" si="1"/>
        <v>2024 - 2025</v>
      </c>
      <c r="S494" s="59" t="str">
        <f>SUM(Hoja1!$I494:$P494)</f>
        <v>2</v>
      </c>
      <c r="T494" s="59" t="str">
        <f>IF(OR(Hoja1!$J494=1,Hoja1!$K494=1,Hoja1!$L494=1,Hoja1!$M494=1,Hoja1!$N494=1,Hoja1!$O494=1,Hoja1!$P494=1),"SI","NO")</f>
        <v>SI</v>
      </c>
      <c r="U494" s="59" t="str">
        <f>IF(OR(Hoja1!$K494=1,Hoja1!$L494=1,Hoja1!$M494=1,Hoja1!$N494=1,Hoja1!$O494=1,Hoja1!$P494=1),"SI","NO")</f>
        <v>SI</v>
      </c>
      <c r="V494" s="60">
        <v>0.0</v>
      </c>
      <c r="W494" s="61">
        <v>0.0</v>
      </c>
      <c r="X494" s="61">
        <v>0.0</v>
      </c>
      <c r="Y494" s="60">
        <v>0.0</v>
      </c>
      <c r="Z494" s="61">
        <v>0.0</v>
      </c>
      <c r="AA494" s="61">
        <v>0.0</v>
      </c>
      <c r="AB494" s="60">
        <v>0.0</v>
      </c>
      <c r="AC494" s="61">
        <v>0.0</v>
      </c>
      <c r="AD494" s="61">
        <v>0.0</v>
      </c>
      <c r="AE494" s="60">
        <v>0.0</v>
      </c>
      <c r="AF494" s="61">
        <v>0.0</v>
      </c>
      <c r="AG494" s="61">
        <v>0.0</v>
      </c>
      <c r="AH494" s="60">
        <v>0.0</v>
      </c>
      <c r="AI494" s="61">
        <v>0.0</v>
      </c>
      <c r="AJ494" s="61">
        <v>0.0</v>
      </c>
      <c r="AK494" s="60">
        <v>0.0</v>
      </c>
      <c r="AL494" s="61">
        <v>39.0</v>
      </c>
      <c r="AM494" s="61">
        <v>27.0</v>
      </c>
      <c r="AN494" s="60">
        <v>66.0</v>
      </c>
      <c r="AO494" s="62">
        <v>24.0</v>
      </c>
      <c r="AP494" s="62">
        <v>42.0</v>
      </c>
      <c r="AQ494" s="60">
        <v>66.0</v>
      </c>
      <c r="AR494" s="60" t="str">
        <f>IF(Hoja1!$AQ494&gt;0,Hoja1!$AQ494,IF(Hoja1!$AN494&gt;0,Hoja1!$AN494,IF(Hoja1!$AK494&gt;0,Hoja1!$AK494,IF(Hoja1!$AH494&gt;0,Hoja1!$AH494,IF(Hoja1!$AE494&gt;0,Hoja1!$AE494,IF(Hoja1!$AB494&gt;0,Hoja1!$AB494,IF(Hoja1!$Y494&gt;0,Hoja1!$Y494,IF(Hoja1!$V494&gt;0,Hoja1!$V494," ---"))))))))</f>
        <v>66</v>
      </c>
      <c r="AS494" s="63">
        <v>0.0</v>
      </c>
      <c r="AT494" s="63">
        <v>0.0</v>
      </c>
      <c r="AU494" s="63">
        <v>0.0</v>
      </c>
      <c r="AV494" s="63">
        <v>0.0</v>
      </c>
      <c r="AW494" s="63">
        <v>0.0</v>
      </c>
      <c r="AX494" s="63">
        <v>0.0</v>
      </c>
      <c r="AY494" s="63">
        <v>0.0</v>
      </c>
      <c r="AZ494" s="63">
        <v>0.0</v>
      </c>
      <c r="BA494" s="63">
        <v>111.0</v>
      </c>
      <c r="BB494" s="63">
        <v>3.0</v>
      </c>
      <c r="BC494" s="63">
        <v>73.0</v>
      </c>
      <c r="BD494" s="63">
        <v>2.0</v>
      </c>
      <c r="BE494" s="64">
        <v>0.0</v>
      </c>
      <c r="BF494" s="69">
        <v>0.0</v>
      </c>
      <c r="BG494" s="69">
        <v>0.0</v>
      </c>
      <c r="BH494" s="64">
        <v>0.0</v>
      </c>
      <c r="BI494" s="67" t="str">
        <f t="shared" si="166"/>
        <v>#REF!</v>
      </c>
      <c r="BJ494" s="68" t="str">
        <f t="shared" si="167"/>
        <v>#REF!</v>
      </c>
      <c r="BK494" s="69">
        <v>0.0</v>
      </c>
      <c r="BL494" s="69">
        <v>0.0</v>
      </c>
      <c r="BM494" s="64">
        <v>0.0</v>
      </c>
      <c r="BN494" s="67" t="str">
        <f t="shared" si="168"/>
        <v>#REF!</v>
      </c>
      <c r="BO494" s="68" t="str">
        <f t="shared" si="169"/>
        <v>#REF!</v>
      </c>
      <c r="BP494" s="65">
        <v>0.0</v>
      </c>
      <c r="BQ494" s="65">
        <v>0.0</v>
      </c>
      <c r="BR494" s="66">
        <v>0.0</v>
      </c>
      <c r="BS494" s="67" t="str">
        <f t="shared" si="170"/>
        <v>#REF!</v>
      </c>
      <c r="BT494" s="68" t="str">
        <f>'[1]DATA CONSOLIDADA 2018-2025 '!$BR494-Hoja1!$BO494</f>
        <v>#REF!</v>
      </c>
      <c r="BU494" s="69">
        <v>0.0</v>
      </c>
      <c r="BV494" s="65">
        <v>0.0</v>
      </c>
      <c r="BW494" s="66">
        <v>0.0</v>
      </c>
      <c r="BX494" s="67" t="str">
        <f t="shared" si="171"/>
        <v>#REF!</v>
      </c>
      <c r="BY494" s="68" t="str">
        <f t="shared" si="172"/>
        <v>#REF!</v>
      </c>
      <c r="BZ494" s="65">
        <v>0.0</v>
      </c>
      <c r="CA494" s="65">
        <v>0.0</v>
      </c>
      <c r="CB494" s="66">
        <v>0.0</v>
      </c>
      <c r="CC494" s="67" t="str">
        <f t="shared" si="173"/>
        <v>#REF!</v>
      </c>
      <c r="CD494" s="68" t="str">
        <f>'[1]DATA CONSOLIDADA 2018-2025 '!$CB494-Hoja1!$BW494</f>
        <v>#REF!</v>
      </c>
      <c r="CE494" s="70">
        <v>66470.4</v>
      </c>
      <c r="CF494" s="70">
        <v>0.0</v>
      </c>
      <c r="CG494" s="71">
        <v>66470.4</v>
      </c>
      <c r="CH494" s="67" t="str">
        <f t="shared" si="174"/>
        <v>#REF!</v>
      </c>
      <c r="CI494" s="68" t="str">
        <f>'[1]DATA CONSOLIDADA 2018-2025 '!$CG494-Hoja1!$CB494</f>
        <v>#REF!</v>
      </c>
      <c r="CJ494" s="64" t="str">
        <f t="shared" si="165"/>
        <v>#REF!</v>
      </c>
      <c r="CK494" s="64">
        <v>70003.4</v>
      </c>
      <c r="CL494" s="64">
        <v>0.0</v>
      </c>
      <c r="CM494" s="64">
        <v>70003.4</v>
      </c>
      <c r="CN494" s="64" t="str">
        <f t="shared" si="12"/>
        <v>#REF!</v>
      </c>
      <c r="CO494" s="68" t="str">
        <f>'[1]DATA CONSOLIDADA 2018-2025 '!$CM494-Hoja1!$CG494</f>
        <v>#REF!</v>
      </c>
      <c r="CP494" s="70">
        <v>0.0</v>
      </c>
      <c r="CQ494" s="70">
        <v>0.0</v>
      </c>
      <c r="CR494" s="70">
        <v>0.0</v>
      </c>
      <c r="CS494" s="70">
        <v>0.0</v>
      </c>
      <c r="CT494" s="70">
        <v>0.0</v>
      </c>
      <c r="CU494" s="70">
        <v>0.0</v>
      </c>
      <c r="CV494" s="64">
        <v>0.0</v>
      </c>
      <c r="CW494" s="64">
        <v>0.0</v>
      </c>
      <c r="CX494" s="64">
        <v>66470.4</v>
      </c>
      <c r="CY494" s="64">
        <v>0.0</v>
      </c>
      <c r="CZ494" s="64">
        <v>0.0</v>
      </c>
      <c r="DA494" s="64">
        <v>0.0</v>
      </c>
      <c r="DB494" s="64">
        <v>66470.4</v>
      </c>
      <c r="DC494" s="72">
        <v>0.0</v>
      </c>
      <c r="DD494" s="72">
        <v>70003.4</v>
      </c>
      <c r="DE494" s="72">
        <v>0.0</v>
      </c>
      <c r="DF494" s="72">
        <v>0.0</v>
      </c>
      <c r="DG494" s="72">
        <v>0.0</v>
      </c>
      <c r="DH494" s="72">
        <v>70003.4</v>
      </c>
      <c r="DI494" s="73">
        <v>2.0611480262E10</v>
      </c>
      <c r="DJ494" s="74" t="s">
        <v>1565</v>
      </c>
      <c r="DK494" s="74" t="s">
        <v>132</v>
      </c>
      <c r="DL494" s="75"/>
      <c r="DM494" s="75"/>
      <c r="DN494" s="75"/>
      <c r="DO494" s="75"/>
      <c r="DP494" s="75"/>
      <c r="DQ494" s="75"/>
      <c r="DR494" s="75"/>
      <c r="DS494" s="75"/>
      <c r="DT494" s="75"/>
      <c r="DU494" s="75"/>
      <c r="DV494" s="75"/>
      <c r="DW494" s="75"/>
      <c r="DX494" s="75"/>
      <c r="DY494" s="75"/>
      <c r="DZ494" s="75"/>
      <c r="EA494" s="75"/>
      <c r="EB494" s="75"/>
      <c r="EC494" s="75"/>
      <c r="ED494" s="75"/>
      <c r="EE494" s="75"/>
    </row>
    <row r="495" ht="47.25" hidden="1" customHeight="1">
      <c r="A495" s="55" t="s">
        <v>1568</v>
      </c>
      <c r="B495" s="55" t="s">
        <v>236</v>
      </c>
      <c r="C495" s="55" t="s">
        <v>236</v>
      </c>
      <c r="D495" s="55" t="s">
        <v>1001</v>
      </c>
      <c r="E495" s="55" t="s">
        <v>1569</v>
      </c>
      <c r="F495" s="55" t="s">
        <v>1001</v>
      </c>
      <c r="G495" s="55" t="s">
        <v>1570</v>
      </c>
      <c r="H495" s="55" t="s">
        <v>1571</v>
      </c>
      <c r="I495" s="56"/>
      <c r="J495" s="56"/>
      <c r="K495" s="56"/>
      <c r="L495" s="56"/>
      <c r="M495" s="56"/>
      <c r="N495" s="56"/>
      <c r="O495" s="56">
        <v>1.0</v>
      </c>
      <c r="P495" s="56">
        <v>1.0</v>
      </c>
      <c r="Q495" s="56" t="s">
        <v>131</v>
      </c>
      <c r="R495" s="58" t="str">
        <f t="shared" si="1"/>
        <v>2024 - 2025</v>
      </c>
      <c r="S495" s="59" t="str">
        <f>SUM(Hoja1!$I495:$P495)</f>
        <v>2</v>
      </c>
      <c r="T495" s="59" t="str">
        <f>IF(OR(Hoja1!$J495=1,Hoja1!$K495=1,Hoja1!$L495=1,Hoja1!$M495=1,Hoja1!$N495=1,Hoja1!$O495=1,Hoja1!$P495=1),"SI","NO")</f>
        <v>SI</v>
      </c>
      <c r="U495" s="59" t="str">
        <f>IF(OR(Hoja1!$K495=1,Hoja1!$L495=1,Hoja1!$M495=1,Hoja1!$N495=1,Hoja1!$O495=1,Hoja1!$P495=1),"SI","NO")</f>
        <v>SI</v>
      </c>
      <c r="V495" s="60">
        <v>0.0</v>
      </c>
      <c r="W495" s="61">
        <v>0.0</v>
      </c>
      <c r="X495" s="61">
        <v>0.0</v>
      </c>
      <c r="Y495" s="60">
        <v>0.0</v>
      </c>
      <c r="Z495" s="61">
        <v>0.0</v>
      </c>
      <c r="AA495" s="61">
        <v>0.0</v>
      </c>
      <c r="AB495" s="60">
        <v>0.0</v>
      </c>
      <c r="AC495" s="61">
        <v>0.0</v>
      </c>
      <c r="AD495" s="61">
        <v>0.0</v>
      </c>
      <c r="AE495" s="60">
        <v>0.0</v>
      </c>
      <c r="AF495" s="61">
        <v>0.0</v>
      </c>
      <c r="AG495" s="61">
        <v>0.0</v>
      </c>
      <c r="AH495" s="60">
        <v>0.0</v>
      </c>
      <c r="AI495" s="61">
        <v>0.0</v>
      </c>
      <c r="AJ495" s="61">
        <v>0.0</v>
      </c>
      <c r="AK495" s="60">
        <v>0.0</v>
      </c>
      <c r="AL495" s="61">
        <v>40.0</v>
      </c>
      <c r="AM495" s="61">
        <v>30.0</v>
      </c>
      <c r="AN495" s="60">
        <v>70.0</v>
      </c>
      <c r="AO495" s="62">
        <v>214.0</v>
      </c>
      <c r="AP495" s="62">
        <v>167.0</v>
      </c>
      <c r="AQ495" s="60">
        <v>381.0</v>
      </c>
      <c r="AR495" s="60" t="str">
        <f>IF(Hoja1!$AQ495&gt;0,Hoja1!$AQ495,IF(Hoja1!$AN495&gt;0,Hoja1!$AN495,IF(Hoja1!$AK495&gt;0,Hoja1!$AK495,IF(Hoja1!$AH495&gt;0,Hoja1!$AH495,IF(Hoja1!$AE495&gt;0,Hoja1!$AE495,IF(Hoja1!$AB495&gt;0,Hoja1!$AB495,IF(Hoja1!$Y495&gt;0,Hoja1!$Y495,IF(Hoja1!$V495&gt;0,Hoja1!$V495," ---"))))))))</f>
        <v>381</v>
      </c>
      <c r="AS495" s="63">
        <v>0.0</v>
      </c>
      <c r="AT495" s="63">
        <v>0.0</v>
      </c>
      <c r="AU495" s="63">
        <v>0.0</v>
      </c>
      <c r="AV495" s="63">
        <v>0.0</v>
      </c>
      <c r="AW495" s="63">
        <v>0.0</v>
      </c>
      <c r="AX495" s="63">
        <v>0.0</v>
      </c>
      <c r="AY495" s="63">
        <v>0.0</v>
      </c>
      <c r="AZ495" s="63">
        <v>0.0</v>
      </c>
      <c r="BA495" s="63">
        <v>67.0</v>
      </c>
      <c r="BB495" s="63">
        <v>5.0</v>
      </c>
      <c r="BC495" s="63">
        <v>133.0</v>
      </c>
      <c r="BD495" s="63">
        <v>4.0</v>
      </c>
      <c r="BE495" s="64">
        <v>0.0</v>
      </c>
      <c r="BF495" s="69">
        <v>0.0</v>
      </c>
      <c r="BG495" s="69">
        <v>0.0</v>
      </c>
      <c r="BH495" s="64">
        <v>0.0</v>
      </c>
      <c r="BI495" s="67" t="str">
        <f t="shared" si="166"/>
        <v>#REF!</v>
      </c>
      <c r="BJ495" s="68" t="str">
        <f t="shared" si="167"/>
        <v>#REF!</v>
      </c>
      <c r="BK495" s="69">
        <v>0.0</v>
      </c>
      <c r="BL495" s="69">
        <v>0.0</v>
      </c>
      <c r="BM495" s="64">
        <v>0.0</v>
      </c>
      <c r="BN495" s="67" t="str">
        <f t="shared" si="168"/>
        <v>#REF!</v>
      </c>
      <c r="BO495" s="68" t="str">
        <f t="shared" si="169"/>
        <v>#REF!</v>
      </c>
      <c r="BP495" s="65">
        <v>0.0</v>
      </c>
      <c r="BQ495" s="65">
        <v>0.0</v>
      </c>
      <c r="BR495" s="66">
        <v>0.0</v>
      </c>
      <c r="BS495" s="67" t="str">
        <f t="shared" si="170"/>
        <v>#REF!</v>
      </c>
      <c r="BT495" s="68" t="str">
        <f>'[1]DATA CONSOLIDADA 2018-2025 '!$BR495-Hoja1!$BO495</f>
        <v>#REF!</v>
      </c>
      <c r="BU495" s="69">
        <v>0.0</v>
      </c>
      <c r="BV495" s="65">
        <v>0.0</v>
      </c>
      <c r="BW495" s="66">
        <v>0.0</v>
      </c>
      <c r="BX495" s="67" t="str">
        <f t="shared" si="171"/>
        <v>#REF!</v>
      </c>
      <c r="BY495" s="68" t="str">
        <f t="shared" si="172"/>
        <v>#REF!</v>
      </c>
      <c r="BZ495" s="65">
        <v>0.0</v>
      </c>
      <c r="CA495" s="65">
        <v>0.0</v>
      </c>
      <c r="CB495" s="66">
        <v>0.0</v>
      </c>
      <c r="CC495" s="67" t="str">
        <f t="shared" si="173"/>
        <v>#REF!</v>
      </c>
      <c r="CD495" s="68" t="str">
        <f>'[1]DATA CONSOLIDADA 2018-2025 '!$CB495-Hoja1!$BW495</f>
        <v>#REF!</v>
      </c>
      <c r="CE495" s="70">
        <v>640885.14</v>
      </c>
      <c r="CF495" s="70">
        <v>0.0</v>
      </c>
      <c r="CG495" s="71">
        <v>640885.14</v>
      </c>
      <c r="CH495" s="67" t="str">
        <f t="shared" si="174"/>
        <v>#REF!</v>
      </c>
      <c r="CI495" s="68" t="str">
        <f>'[1]DATA CONSOLIDADA 2018-2025 '!$CG495-Hoja1!$CB495</f>
        <v>#REF!</v>
      </c>
      <c r="CJ495" s="64" t="str">
        <f t="shared" si="165"/>
        <v>#REF!</v>
      </c>
      <c r="CK495" s="64">
        <v>356891.06</v>
      </c>
      <c r="CL495" s="64">
        <v>0.0</v>
      </c>
      <c r="CM495" s="64">
        <v>356891.06</v>
      </c>
      <c r="CN495" s="64" t="str">
        <f t="shared" si="12"/>
        <v>#REF!</v>
      </c>
      <c r="CO495" s="68" t="str">
        <f>'[1]DATA CONSOLIDADA 2018-2025 '!$CM495-Hoja1!$CG495</f>
        <v>#REF!</v>
      </c>
      <c r="CP495" s="70">
        <v>0.0</v>
      </c>
      <c r="CQ495" s="70">
        <v>0.0</v>
      </c>
      <c r="CR495" s="70">
        <v>0.0</v>
      </c>
      <c r="CS495" s="70">
        <v>0.0</v>
      </c>
      <c r="CT495" s="70">
        <v>0.0</v>
      </c>
      <c r="CU495" s="70">
        <v>0.0</v>
      </c>
      <c r="CV495" s="64">
        <v>0.0</v>
      </c>
      <c r="CW495" s="64">
        <v>0.0</v>
      </c>
      <c r="CX495" s="64">
        <v>0.0</v>
      </c>
      <c r="CY495" s="64">
        <v>640885.14</v>
      </c>
      <c r="CZ495" s="64">
        <v>0.0</v>
      </c>
      <c r="DA495" s="64">
        <v>0.0</v>
      </c>
      <c r="DB495" s="64">
        <v>640885.14</v>
      </c>
      <c r="DC495" s="72">
        <v>0.0</v>
      </c>
      <c r="DD495" s="72">
        <v>356891.06</v>
      </c>
      <c r="DE495" s="72">
        <v>0.0</v>
      </c>
      <c r="DF495" s="72">
        <v>0.0</v>
      </c>
      <c r="DG495" s="72">
        <v>0.0</v>
      </c>
      <c r="DH495" s="72">
        <v>356891.06</v>
      </c>
      <c r="DI495" s="73">
        <v>2.0606214082E10</v>
      </c>
      <c r="DJ495" s="74" t="s">
        <v>1568</v>
      </c>
      <c r="DK495" s="74" t="s">
        <v>132</v>
      </c>
      <c r="DL495" s="75"/>
      <c r="DM495" s="75"/>
      <c r="DN495" s="75"/>
      <c r="DO495" s="75"/>
      <c r="DP495" s="75"/>
      <c r="DQ495" s="75"/>
      <c r="DR495" s="75"/>
      <c r="DS495" s="75"/>
      <c r="DT495" s="75"/>
      <c r="DU495" s="75"/>
      <c r="DV495" s="75"/>
      <c r="DW495" s="75"/>
      <c r="DX495" s="75"/>
      <c r="DY495" s="75"/>
      <c r="DZ495" s="75"/>
      <c r="EA495" s="75"/>
      <c r="EB495" s="75"/>
      <c r="EC495" s="75"/>
      <c r="ED495" s="75"/>
      <c r="EE495" s="75"/>
    </row>
    <row r="496" ht="47.25" customHeight="1">
      <c r="A496" s="55" t="s">
        <v>1572</v>
      </c>
      <c r="B496" s="55" t="s">
        <v>146</v>
      </c>
      <c r="C496" s="55" t="s">
        <v>146</v>
      </c>
      <c r="D496" s="55" t="s">
        <v>1060</v>
      </c>
      <c r="E496" s="55" t="s">
        <v>1109</v>
      </c>
      <c r="F496" s="55" t="s">
        <v>1060</v>
      </c>
      <c r="G496" s="55" t="s">
        <v>1110</v>
      </c>
      <c r="H496" s="55" t="s">
        <v>1111</v>
      </c>
      <c r="I496" s="56"/>
      <c r="J496" s="56"/>
      <c r="K496" s="56"/>
      <c r="L496" s="56"/>
      <c r="M496" s="56"/>
      <c r="N496" s="56"/>
      <c r="O496" s="56">
        <v>1.0</v>
      </c>
      <c r="P496" s="56">
        <v>1.0</v>
      </c>
      <c r="Q496" s="56" t="s">
        <v>131</v>
      </c>
      <c r="R496" s="58" t="str">
        <f t="shared" si="1"/>
        <v>2024 - 2025</v>
      </c>
      <c r="S496" s="59" t="str">
        <f>SUM(Hoja1!$I496:$P496)</f>
        <v>2</v>
      </c>
      <c r="T496" s="59" t="str">
        <f>IF(OR(Hoja1!$J496=1,Hoja1!$K496=1,Hoja1!$L496=1,Hoja1!$M496=1,Hoja1!$N496=1,Hoja1!$O496=1,Hoja1!$P496=1),"SI","NO")</f>
        <v>SI</v>
      </c>
      <c r="U496" s="59" t="str">
        <f>IF(OR(Hoja1!$K496=1,Hoja1!$L496=1,Hoja1!$M496=1,Hoja1!$N496=1,Hoja1!$O496=1,Hoja1!$P496=1),"SI","NO")</f>
        <v>SI</v>
      </c>
      <c r="V496" s="60">
        <v>0.0</v>
      </c>
      <c r="W496" s="61">
        <v>0.0</v>
      </c>
      <c r="X496" s="61">
        <v>0.0</v>
      </c>
      <c r="Y496" s="60">
        <v>0.0</v>
      </c>
      <c r="Z496" s="61">
        <v>0.0</v>
      </c>
      <c r="AA496" s="61">
        <v>0.0</v>
      </c>
      <c r="AB496" s="60">
        <v>0.0</v>
      </c>
      <c r="AC496" s="61">
        <v>0.0</v>
      </c>
      <c r="AD496" s="61">
        <v>0.0</v>
      </c>
      <c r="AE496" s="60">
        <v>0.0</v>
      </c>
      <c r="AF496" s="61">
        <v>0.0</v>
      </c>
      <c r="AG496" s="61">
        <v>0.0</v>
      </c>
      <c r="AH496" s="60">
        <v>0.0</v>
      </c>
      <c r="AI496" s="61">
        <v>0.0</v>
      </c>
      <c r="AJ496" s="61">
        <v>0.0</v>
      </c>
      <c r="AK496" s="60">
        <v>0.0</v>
      </c>
      <c r="AL496" s="61">
        <v>14.0</v>
      </c>
      <c r="AM496" s="61">
        <v>16.0</v>
      </c>
      <c r="AN496" s="60">
        <v>30.0</v>
      </c>
      <c r="AO496" s="62">
        <v>37.0</v>
      </c>
      <c r="AP496" s="62">
        <v>10.0</v>
      </c>
      <c r="AQ496" s="60">
        <v>47.0</v>
      </c>
      <c r="AR496" s="60" t="str">
        <f>IF(Hoja1!$AQ496&gt;0,Hoja1!$AQ496,IF(Hoja1!$AN496&gt;0,Hoja1!$AN496,IF(Hoja1!$AK496&gt;0,Hoja1!$AK496,IF(Hoja1!$AH496&gt;0,Hoja1!$AH496,IF(Hoja1!$AE496&gt;0,Hoja1!$AE496,IF(Hoja1!$AB496&gt;0,Hoja1!$AB496,IF(Hoja1!$Y496&gt;0,Hoja1!$Y496,IF(Hoja1!$V496&gt;0,Hoja1!$V496," ---"))))))))</f>
        <v>47</v>
      </c>
      <c r="AS496" s="63">
        <v>0.0</v>
      </c>
      <c r="AT496" s="63">
        <v>0.0</v>
      </c>
      <c r="AU496" s="63">
        <v>0.0</v>
      </c>
      <c r="AV496" s="63">
        <v>0.0</v>
      </c>
      <c r="AW496" s="63">
        <v>0.0</v>
      </c>
      <c r="AX496" s="63">
        <v>0.0</v>
      </c>
      <c r="AY496" s="63">
        <v>0.0</v>
      </c>
      <c r="AZ496" s="63">
        <v>0.0</v>
      </c>
      <c r="BA496" s="63">
        <v>23.0</v>
      </c>
      <c r="BB496" s="63">
        <v>0.0</v>
      </c>
      <c r="BC496" s="63">
        <v>12.0</v>
      </c>
      <c r="BD496" s="63">
        <v>0.0</v>
      </c>
      <c r="BE496" s="64">
        <v>0.0</v>
      </c>
      <c r="BF496" s="69">
        <v>0.0</v>
      </c>
      <c r="BG496" s="69">
        <v>0.0</v>
      </c>
      <c r="BH496" s="64">
        <v>0.0</v>
      </c>
      <c r="BI496" s="67" t="str">
        <f t="shared" si="166"/>
        <v>#REF!</v>
      </c>
      <c r="BJ496" s="68" t="str">
        <f t="shared" si="167"/>
        <v>#REF!</v>
      </c>
      <c r="BK496" s="69">
        <v>0.0</v>
      </c>
      <c r="BL496" s="69">
        <v>0.0</v>
      </c>
      <c r="BM496" s="64">
        <v>0.0</v>
      </c>
      <c r="BN496" s="67" t="str">
        <f t="shared" si="168"/>
        <v>#REF!</v>
      </c>
      <c r="BO496" s="68" t="str">
        <f t="shared" si="169"/>
        <v>#REF!</v>
      </c>
      <c r="BP496" s="65">
        <v>0.0</v>
      </c>
      <c r="BQ496" s="65">
        <v>0.0</v>
      </c>
      <c r="BR496" s="66">
        <v>0.0</v>
      </c>
      <c r="BS496" s="67" t="str">
        <f t="shared" si="170"/>
        <v>#REF!</v>
      </c>
      <c r="BT496" s="68" t="str">
        <f>'[1]DATA CONSOLIDADA 2018-2025 '!$BR496-Hoja1!$BO496</f>
        <v>#REF!</v>
      </c>
      <c r="BU496" s="69">
        <v>0.0</v>
      </c>
      <c r="BV496" s="65">
        <v>0.0</v>
      </c>
      <c r="BW496" s="66">
        <v>0.0</v>
      </c>
      <c r="BX496" s="67" t="str">
        <f t="shared" si="171"/>
        <v>#REF!</v>
      </c>
      <c r="BY496" s="68" t="str">
        <f t="shared" si="172"/>
        <v>#REF!</v>
      </c>
      <c r="BZ496" s="65">
        <v>0.0</v>
      </c>
      <c r="CA496" s="65">
        <v>0.0</v>
      </c>
      <c r="CB496" s="66">
        <v>0.0</v>
      </c>
      <c r="CC496" s="67" t="str">
        <f t="shared" si="173"/>
        <v>#REF!</v>
      </c>
      <c r="CD496" s="68" t="str">
        <f>'[1]DATA CONSOLIDADA 2018-2025 '!$CB496-Hoja1!$BW496</f>
        <v>#REF!</v>
      </c>
      <c r="CE496" s="70">
        <v>1663070.8899999997</v>
      </c>
      <c r="CF496" s="70">
        <v>0.0</v>
      </c>
      <c r="CG496" s="71">
        <v>1663070.8899999997</v>
      </c>
      <c r="CH496" s="67" t="str">
        <f t="shared" si="174"/>
        <v>#REF!</v>
      </c>
      <c r="CI496" s="68" t="str">
        <f>'[1]DATA CONSOLIDADA 2018-2025 '!$CG496-Hoja1!$CB496</f>
        <v>#REF!</v>
      </c>
      <c r="CJ496" s="64" t="str">
        <f t="shared" si="165"/>
        <v>#REF!</v>
      </c>
      <c r="CK496" s="64">
        <v>1305327.1290000002</v>
      </c>
      <c r="CL496" s="64">
        <v>0.0</v>
      </c>
      <c r="CM496" s="64">
        <v>1305327.1290000002</v>
      </c>
      <c r="CN496" s="64" t="str">
        <f t="shared" si="12"/>
        <v>#REF!</v>
      </c>
      <c r="CO496" s="68" t="str">
        <f>'[1]DATA CONSOLIDADA 2018-2025 '!$CM496-Hoja1!$CG496</f>
        <v>#REF!</v>
      </c>
      <c r="CP496" s="70">
        <v>0.0</v>
      </c>
      <c r="CQ496" s="70">
        <v>0.0</v>
      </c>
      <c r="CR496" s="70">
        <v>0.0</v>
      </c>
      <c r="CS496" s="70">
        <v>0.0</v>
      </c>
      <c r="CT496" s="70">
        <v>0.0</v>
      </c>
      <c r="CU496" s="70">
        <v>0.0</v>
      </c>
      <c r="CV496" s="64">
        <v>0.0</v>
      </c>
      <c r="CW496" s="64">
        <v>0.0</v>
      </c>
      <c r="CX496" s="64">
        <v>0.0</v>
      </c>
      <c r="CY496" s="64">
        <v>1663070.8899999997</v>
      </c>
      <c r="CZ496" s="64">
        <v>0.0</v>
      </c>
      <c r="DA496" s="64">
        <v>0.0</v>
      </c>
      <c r="DB496" s="64">
        <v>1663070.8899999997</v>
      </c>
      <c r="DC496" s="72">
        <v>0.0</v>
      </c>
      <c r="DD496" s="72">
        <v>0.0</v>
      </c>
      <c r="DE496" s="72">
        <v>1305327.1290000002</v>
      </c>
      <c r="DF496" s="72">
        <v>0.0</v>
      </c>
      <c r="DG496" s="72">
        <v>0.0</v>
      </c>
      <c r="DH496" s="72">
        <v>1305327.1290000002</v>
      </c>
      <c r="DI496" s="73">
        <v>2.0608294512E10</v>
      </c>
      <c r="DJ496" s="74" t="s">
        <v>1573</v>
      </c>
      <c r="DK496" s="74" t="s">
        <v>132</v>
      </c>
      <c r="DL496" s="75"/>
      <c r="DM496" s="75"/>
      <c r="DN496" s="75"/>
      <c r="DO496" s="75"/>
      <c r="DP496" s="75"/>
      <c r="DQ496" s="75"/>
      <c r="DR496" s="75"/>
      <c r="DS496" s="75"/>
      <c r="DT496" s="75"/>
      <c r="DU496" s="75"/>
      <c r="DV496" s="75"/>
      <c r="DW496" s="75"/>
      <c r="DX496" s="75"/>
      <c r="DY496" s="75"/>
      <c r="DZ496" s="75"/>
      <c r="EA496" s="75"/>
      <c r="EB496" s="75"/>
      <c r="EC496" s="75"/>
      <c r="ED496" s="75"/>
      <c r="EE496" s="75"/>
    </row>
    <row r="497" ht="47.25" hidden="1" customHeight="1">
      <c r="A497" s="55" t="s">
        <v>1574</v>
      </c>
      <c r="B497" s="55" t="s">
        <v>621</v>
      </c>
      <c r="C497" s="55" t="s">
        <v>621</v>
      </c>
      <c r="D497" s="55" t="s">
        <v>1149</v>
      </c>
      <c r="E497" s="55" t="s">
        <v>1575</v>
      </c>
      <c r="F497" s="55" t="s">
        <v>593</v>
      </c>
      <c r="G497" s="55" t="s">
        <v>1167</v>
      </c>
      <c r="H497" s="55" t="s">
        <v>1576</v>
      </c>
      <c r="I497" s="56"/>
      <c r="J497" s="56"/>
      <c r="K497" s="56"/>
      <c r="L497" s="56"/>
      <c r="M497" s="56"/>
      <c r="N497" s="56"/>
      <c r="O497" s="56">
        <v>1.0</v>
      </c>
      <c r="P497" s="56">
        <v>1.0</v>
      </c>
      <c r="Q497" s="56" t="s">
        <v>131</v>
      </c>
      <c r="R497" s="58" t="str">
        <f t="shared" si="1"/>
        <v>2024 - 2025</v>
      </c>
      <c r="S497" s="59" t="str">
        <f>SUM(Hoja1!$I497:$P497)</f>
        <v>2</v>
      </c>
      <c r="T497" s="59" t="str">
        <f>IF(OR(Hoja1!$J497=1,Hoja1!$K497=1,Hoja1!$L497=1,Hoja1!$M497=1,Hoja1!$N497=1,Hoja1!$O497=1,Hoja1!$P497=1),"SI","NO")</f>
        <v>SI</v>
      </c>
      <c r="U497" s="59" t="str">
        <f>IF(OR(Hoja1!$K497=1,Hoja1!$L497=1,Hoja1!$M497=1,Hoja1!$N497=1,Hoja1!$O497=1,Hoja1!$P497=1),"SI","NO")</f>
        <v>SI</v>
      </c>
      <c r="V497" s="60">
        <v>0.0</v>
      </c>
      <c r="W497" s="61">
        <v>0.0</v>
      </c>
      <c r="X497" s="61">
        <v>0.0</v>
      </c>
      <c r="Y497" s="60">
        <v>0.0</v>
      </c>
      <c r="Z497" s="61">
        <v>0.0</v>
      </c>
      <c r="AA497" s="61">
        <v>0.0</v>
      </c>
      <c r="AB497" s="60">
        <v>0.0</v>
      </c>
      <c r="AC497" s="61">
        <v>0.0</v>
      </c>
      <c r="AD497" s="61">
        <v>0.0</v>
      </c>
      <c r="AE497" s="60">
        <v>0.0</v>
      </c>
      <c r="AF497" s="61">
        <v>0.0</v>
      </c>
      <c r="AG497" s="61">
        <v>0.0</v>
      </c>
      <c r="AH497" s="60">
        <v>0.0</v>
      </c>
      <c r="AI497" s="61">
        <v>0.0</v>
      </c>
      <c r="AJ497" s="61">
        <v>0.0</v>
      </c>
      <c r="AK497" s="60">
        <v>0.0</v>
      </c>
      <c r="AL497" s="61">
        <v>27.0</v>
      </c>
      <c r="AM497" s="61">
        <v>13.0</v>
      </c>
      <c r="AN497" s="60">
        <v>40.0</v>
      </c>
      <c r="AO497" s="62">
        <v>27.0</v>
      </c>
      <c r="AP497" s="62">
        <v>13.0</v>
      </c>
      <c r="AQ497" s="60">
        <v>40.0</v>
      </c>
      <c r="AR497" s="60" t="str">
        <f>IF(Hoja1!$AQ497&gt;0,Hoja1!$AQ497,IF(Hoja1!$AN497&gt;0,Hoja1!$AN497,IF(Hoja1!$AK497&gt;0,Hoja1!$AK497,IF(Hoja1!$AH497&gt;0,Hoja1!$AH497,IF(Hoja1!$AE497&gt;0,Hoja1!$AE497,IF(Hoja1!$AB497&gt;0,Hoja1!$AB497,IF(Hoja1!$Y497&gt;0,Hoja1!$Y497,IF(Hoja1!$V497&gt;0,Hoja1!$V497," ---"))))))))</f>
        <v>40</v>
      </c>
      <c r="AS497" s="63">
        <v>0.0</v>
      </c>
      <c r="AT497" s="63">
        <v>0.0</v>
      </c>
      <c r="AU497" s="63">
        <v>0.0</v>
      </c>
      <c r="AV497" s="63">
        <v>0.0</v>
      </c>
      <c r="AW497" s="63">
        <v>0.0</v>
      </c>
      <c r="AX497" s="63">
        <v>0.0</v>
      </c>
      <c r="AY497" s="63">
        <v>0.0</v>
      </c>
      <c r="AZ497" s="63">
        <v>0.0</v>
      </c>
      <c r="BA497" s="63">
        <v>21.0</v>
      </c>
      <c r="BB497" s="63">
        <v>1.0</v>
      </c>
      <c r="BC497" s="63">
        <v>17.0</v>
      </c>
      <c r="BD497" s="63">
        <v>1.0</v>
      </c>
      <c r="BE497" s="64">
        <v>0.0</v>
      </c>
      <c r="BF497" s="69">
        <v>0.0</v>
      </c>
      <c r="BG497" s="69">
        <v>0.0</v>
      </c>
      <c r="BH497" s="64">
        <v>0.0</v>
      </c>
      <c r="BI497" s="67" t="str">
        <f t="shared" si="166"/>
        <v>#REF!</v>
      </c>
      <c r="BJ497" s="68" t="str">
        <f t="shared" si="167"/>
        <v>#REF!</v>
      </c>
      <c r="BK497" s="69">
        <v>0.0</v>
      </c>
      <c r="BL497" s="69">
        <v>0.0</v>
      </c>
      <c r="BM497" s="64">
        <v>0.0</v>
      </c>
      <c r="BN497" s="67" t="str">
        <f t="shared" si="168"/>
        <v>#REF!</v>
      </c>
      <c r="BO497" s="68" t="str">
        <f t="shared" si="169"/>
        <v>#REF!</v>
      </c>
      <c r="BP497" s="65">
        <v>0.0</v>
      </c>
      <c r="BQ497" s="65">
        <v>0.0</v>
      </c>
      <c r="BR497" s="66">
        <v>0.0</v>
      </c>
      <c r="BS497" s="67" t="str">
        <f t="shared" si="170"/>
        <v>#REF!</v>
      </c>
      <c r="BT497" s="68" t="str">
        <f>'[1]DATA CONSOLIDADA 2018-2025 '!$BR497-Hoja1!$BO497</f>
        <v>#REF!</v>
      </c>
      <c r="BU497" s="69">
        <v>0.0</v>
      </c>
      <c r="BV497" s="65">
        <v>0.0</v>
      </c>
      <c r="BW497" s="66">
        <v>0.0</v>
      </c>
      <c r="BX497" s="67" t="str">
        <f t="shared" si="171"/>
        <v>#REF!</v>
      </c>
      <c r="BY497" s="68" t="str">
        <f t="shared" si="172"/>
        <v>#REF!</v>
      </c>
      <c r="BZ497" s="65">
        <v>0.0</v>
      </c>
      <c r="CA497" s="65">
        <v>0.0</v>
      </c>
      <c r="CB497" s="66">
        <v>0.0</v>
      </c>
      <c r="CC497" s="67" t="str">
        <f t="shared" si="173"/>
        <v>#REF!</v>
      </c>
      <c r="CD497" s="68" t="str">
        <f>'[1]DATA CONSOLIDADA 2018-2025 '!$CB497-Hoja1!$BW497</f>
        <v>#REF!</v>
      </c>
      <c r="CE497" s="70">
        <v>530496.541</v>
      </c>
      <c r="CF497" s="70">
        <v>0.0</v>
      </c>
      <c r="CG497" s="71">
        <v>530496.541</v>
      </c>
      <c r="CH497" s="67" t="str">
        <f t="shared" si="174"/>
        <v>#REF!</v>
      </c>
      <c r="CI497" s="68" t="str">
        <f>'[1]DATA CONSOLIDADA 2018-2025 '!$CG497-Hoja1!$CB497</f>
        <v>#REF!</v>
      </c>
      <c r="CJ497" s="64" t="str">
        <f t="shared" si="165"/>
        <v>#REF!</v>
      </c>
      <c r="CK497" s="64">
        <v>127032.383</v>
      </c>
      <c r="CL497" s="64">
        <v>0.0</v>
      </c>
      <c r="CM497" s="64">
        <v>127032.383</v>
      </c>
      <c r="CN497" s="64" t="str">
        <f t="shared" si="12"/>
        <v>#REF!</v>
      </c>
      <c r="CO497" s="68" t="str">
        <f>'[1]DATA CONSOLIDADA 2018-2025 '!$CM497-Hoja1!$CG497</f>
        <v>#REF!</v>
      </c>
      <c r="CP497" s="70">
        <v>0.0</v>
      </c>
      <c r="CQ497" s="70">
        <v>0.0</v>
      </c>
      <c r="CR497" s="70">
        <v>0.0</v>
      </c>
      <c r="CS497" s="70">
        <v>0.0</v>
      </c>
      <c r="CT497" s="70">
        <v>0.0</v>
      </c>
      <c r="CU497" s="70">
        <v>0.0</v>
      </c>
      <c r="CV497" s="64">
        <v>0.0</v>
      </c>
      <c r="CW497" s="64">
        <v>0.0</v>
      </c>
      <c r="CX497" s="64">
        <v>0.0</v>
      </c>
      <c r="CY497" s="64">
        <v>530496.541</v>
      </c>
      <c r="CZ497" s="64">
        <v>0.0</v>
      </c>
      <c r="DA497" s="64">
        <v>0.0</v>
      </c>
      <c r="DB497" s="64">
        <v>530496.541</v>
      </c>
      <c r="DC497" s="72">
        <v>0.0</v>
      </c>
      <c r="DD497" s="72">
        <v>0.0</v>
      </c>
      <c r="DE497" s="72">
        <v>127032.383</v>
      </c>
      <c r="DF497" s="72">
        <v>0.0</v>
      </c>
      <c r="DG497" s="72">
        <v>0.0</v>
      </c>
      <c r="DH497" s="72">
        <v>127032.383</v>
      </c>
      <c r="DI497" s="73">
        <v>2.0605141456E10</v>
      </c>
      <c r="DJ497" s="74" t="s">
        <v>1577</v>
      </c>
      <c r="DK497" s="74" t="s">
        <v>138</v>
      </c>
      <c r="DL497" s="75"/>
      <c r="DM497" s="75"/>
      <c r="DN497" s="75"/>
      <c r="DO497" s="75"/>
      <c r="DP497" s="75"/>
      <c r="DQ497" s="75"/>
      <c r="DR497" s="75"/>
      <c r="DS497" s="75"/>
      <c r="DT497" s="75"/>
      <c r="DU497" s="75"/>
      <c r="DV497" s="75"/>
      <c r="DW497" s="75"/>
      <c r="DX497" s="75"/>
      <c r="DY497" s="75"/>
      <c r="DZ497" s="75"/>
      <c r="EA497" s="75"/>
      <c r="EB497" s="75"/>
      <c r="EC497" s="75"/>
      <c r="ED497" s="75"/>
      <c r="EE497" s="75"/>
    </row>
    <row r="498" ht="47.25" customHeight="1">
      <c r="A498" s="55" t="s">
        <v>1578</v>
      </c>
      <c r="B498" s="55" t="s">
        <v>146</v>
      </c>
      <c r="C498" s="55" t="s">
        <v>146</v>
      </c>
      <c r="D498" s="55" t="s">
        <v>1149</v>
      </c>
      <c r="E498" s="55" t="s">
        <v>1174</v>
      </c>
      <c r="F498" s="55" t="s">
        <v>1149</v>
      </c>
      <c r="G498" s="55" t="s">
        <v>1156</v>
      </c>
      <c r="H498" s="55" t="s">
        <v>1175</v>
      </c>
      <c r="I498" s="56"/>
      <c r="J498" s="56"/>
      <c r="K498" s="56"/>
      <c r="L498" s="56"/>
      <c r="M498" s="56"/>
      <c r="N498" s="56"/>
      <c r="O498" s="56">
        <v>1.0</v>
      </c>
      <c r="P498" s="56"/>
      <c r="Q498" s="56" t="s">
        <v>131</v>
      </c>
      <c r="R498" s="58" t="str">
        <f t="shared" si="1"/>
        <v>2024</v>
      </c>
      <c r="S498" s="59" t="str">
        <f>SUM(Hoja1!$I498:$P498)</f>
        <v>1</v>
      </c>
      <c r="T498" s="59" t="str">
        <f>IF(OR(Hoja1!$J498=1,Hoja1!$K498=1,Hoja1!$L498=1,Hoja1!$M498=1,Hoja1!$N498=1,Hoja1!$O498=1,Hoja1!$P498=1),"SI","NO")</f>
        <v>SI</v>
      </c>
      <c r="U498" s="59" t="str">
        <f>IF(OR(Hoja1!$K498=1,Hoja1!$L498=1,Hoja1!$M498=1,Hoja1!$N498=1,Hoja1!$O498=1,Hoja1!$P498=1),"SI","NO")</f>
        <v>SI</v>
      </c>
      <c r="V498" s="60">
        <v>0.0</v>
      </c>
      <c r="W498" s="61">
        <v>0.0</v>
      </c>
      <c r="X498" s="61">
        <v>0.0</v>
      </c>
      <c r="Y498" s="60">
        <v>0.0</v>
      </c>
      <c r="Z498" s="61">
        <v>0.0</v>
      </c>
      <c r="AA498" s="61">
        <v>0.0</v>
      </c>
      <c r="AB498" s="60">
        <v>0.0</v>
      </c>
      <c r="AC498" s="61">
        <v>0.0</v>
      </c>
      <c r="AD498" s="61">
        <v>0.0</v>
      </c>
      <c r="AE498" s="60">
        <v>0.0</v>
      </c>
      <c r="AF498" s="61">
        <v>0.0</v>
      </c>
      <c r="AG498" s="61">
        <v>0.0</v>
      </c>
      <c r="AH498" s="60">
        <v>0.0</v>
      </c>
      <c r="AI498" s="61">
        <v>0.0</v>
      </c>
      <c r="AJ498" s="61">
        <v>0.0</v>
      </c>
      <c r="AK498" s="60">
        <v>0.0</v>
      </c>
      <c r="AL498" s="61">
        <v>54.0</v>
      </c>
      <c r="AM498" s="61">
        <v>16.0</v>
      </c>
      <c r="AN498" s="60">
        <v>70.0</v>
      </c>
      <c r="AO498" s="62">
        <v>0.0</v>
      </c>
      <c r="AP498" s="62">
        <v>0.0</v>
      </c>
      <c r="AQ498" s="60">
        <v>0.0</v>
      </c>
      <c r="AR498" s="60" t="str">
        <f>IF(Hoja1!$AQ498&gt;0,Hoja1!$AQ498,IF(Hoja1!$AN498&gt;0,Hoja1!$AN498,IF(Hoja1!$AK498&gt;0,Hoja1!$AK498,IF(Hoja1!$AH498&gt;0,Hoja1!$AH498,IF(Hoja1!$AE498&gt;0,Hoja1!$AE498,IF(Hoja1!$AB498&gt;0,Hoja1!$AB498,IF(Hoja1!$Y498&gt;0,Hoja1!$Y498,IF(Hoja1!$V498&gt;0,Hoja1!$V498," ---"))))))))</f>
        <v>70</v>
      </c>
      <c r="AS498" s="63">
        <v>0.0</v>
      </c>
      <c r="AT498" s="63">
        <v>0.0</v>
      </c>
      <c r="AU498" s="63">
        <v>0.0</v>
      </c>
      <c r="AV498" s="63">
        <v>0.0</v>
      </c>
      <c r="AW498" s="63">
        <v>0.0</v>
      </c>
      <c r="AX498" s="63">
        <v>0.0</v>
      </c>
      <c r="AY498" s="63">
        <v>0.0</v>
      </c>
      <c r="AZ498" s="63">
        <v>0.0</v>
      </c>
      <c r="BA498" s="63">
        <v>33.0</v>
      </c>
      <c r="BB498" s="63">
        <v>0.0</v>
      </c>
      <c r="BC498" s="63">
        <v>0.0</v>
      </c>
      <c r="BD498" s="63">
        <v>0.0</v>
      </c>
      <c r="BE498" s="64">
        <v>0.0</v>
      </c>
      <c r="BF498" s="69">
        <v>0.0</v>
      </c>
      <c r="BG498" s="69">
        <v>0.0</v>
      </c>
      <c r="BH498" s="64">
        <v>0.0</v>
      </c>
      <c r="BI498" s="67" t="str">
        <f t="shared" si="166"/>
        <v>#REF!</v>
      </c>
      <c r="BJ498" s="68" t="str">
        <f t="shared" si="167"/>
        <v>#REF!</v>
      </c>
      <c r="BK498" s="69">
        <v>0.0</v>
      </c>
      <c r="BL498" s="69">
        <v>0.0</v>
      </c>
      <c r="BM498" s="64">
        <v>0.0</v>
      </c>
      <c r="BN498" s="67" t="str">
        <f t="shared" si="168"/>
        <v>#REF!</v>
      </c>
      <c r="BO498" s="68" t="str">
        <f t="shared" si="169"/>
        <v>#REF!</v>
      </c>
      <c r="BP498" s="65">
        <v>0.0</v>
      </c>
      <c r="BQ498" s="65">
        <v>0.0</v>
      </c>
      <c r="BR498" s="66">
        <v>0.0</v>
      </c>
      <c r="BS498" s="67" t="str">
        <f t="shared" si="170"/>
        <v>#REF!</v>
      </c>
      <c r="BT498" s="68" t="str">
        <f>'[1]DATA CONSOLIDADA 2018-2025 '!$BR498-Hoja1!$BO498</f>
        <v>#REF!</v>
      </c>
      <c r="BU498" s="69">
        <v>0.0</v>
      </c>
      <c r="BV498" s="65">
        <v>0.0</v>
      </c>
      <c r="BW498" s="66">
        <v>0.0</v>
      </c>
      <c r="BX498" s="67" t="str">
        <f t="shared" si="171"/>
        <v>#REF!</v>
      </c>
      <c r="BY498" s="68" t="str">
        <f t="shared" si="172"/>
        <v>#REF!</v>
      </c>
      <c r="BZ498" s="65">
        <v>0.0</v>
      </c>
      <c r="CA498" s="65">
        <v>0.0</v>
      </c>
      <c r="CB498" s="66">
        <v>0.0</v>
      </c>
      <c r="CC498" s="67" t="str">
        <f t="shared" si="173"/>
        <v>#REF!</v>
      </c>
      <c r="CD498" s="68" t="str">
        <f>'[1]DATA CONSOLIDADA 2018-2025 '!$CB498-Hoja1!$BW498</f>
        <v>#REF!</v>
      </c>
      <c r="CE498" s="70">
        <v>1453916.1305999998</v>
      </c>
      <c r="CF498" s="70">
        <v>3591026.27524</v>
      </c>
      <c r="CG498" s="71">
        <v>5044942.40584</v>
      </c>
      <c r="CH498" s="67" t="str">
        <f t="shared" si="174"/>
        <v>#REF!</v>
      </c>
      <c r="CI498" s="68" t="str">
        <f>'[1]DATA CONSOLIDADA 2018-2025 '!$CG498-Hoja1!$CB498</f>
        <v>#REF!</v>
      </c>
      <c r="CJ498" s="64" t="str">
        <f t="shared" si="165"/>
        <v>#REF!</v>
      </c>
      <c r="CK498" s="64">
        <v>0.0</v>
      </c>
      <c r="CL498" s="64">
        <v>0.0</v>
      </c>
      <c r="CM498" s="64">
        <v>0.0</v>
      </c>
      <c r="CN498" s="64" t="str">
        <f t="shared" si="12"/>
        <v>#REF!</v>
      </c>
      <c r="CO498" s="68" t="str">
        <f>'[1]DATA CONSOLIDADA 2018-2025 '!$CM498-Hoja1!$CG498</f>
        <v>#REF!</v>
      </c>
      <c r="CP498" s="70">
        <v>0.0</v>
      </c>
      <c r="CQ498" s="70">
        <v>0.0</v>
      </c>
      <c r="CR498" s="70">
        <v>0.0</v>
      </c>
      <c r="CS498" s="70">
        <v>0.0</v>
      </c>
      <c r="CT498" s="70">
        <v>0.0</v>
      </c>
      <c r="CU498" s="70">
        <v>0.0</v>
      </c>
      <c r="CV498" s="64">
        <v>0.0</v>
      </c>
      <c r="CW498" s="64">
        <v>0.0</v>
      </c>
      <c r="CX498" s="64">
        <v>0.0</v>
      </c>
      <c r="CY498" s="64">
        <v>5044942.40584</v>
      </c>
      <c r="CZ498" s="64">
        <v>0.0</v>
      </c>
      <c r="DA498" s="64">
        <v>0.0</v>
      </c>
      <c r="DB498" s="64">
        <v>5044942.40584</v>
      </c>
      <c r="DC498" s="72">
        <v>0.0</v>
      </c>
      <c r="DD498" s="72">
        <v>0.0</v>
      </c>
      <c r="DE498" s="72">
        <v>0.0</v>
      </c>
      <c r="DF498" s="72">
        <v>0.0</v>
      </c>
      <c r="DG498" s="72">
        <v>0.0</v>
      </c>
      <c r="DH498" s="72">
        <v>0.0</v>
      </c>
      <c r="DI498" s="73">
        <v>2.0609555395E10</v>
      </c>
      <c r="DJ498" s="74" t="s">
        <v>1578</v>
      </c>
      <c r="DK498" s="74" t="s">
        <v>132</v>
      </c>
      <c r="DL498" s="75"/>
      <c r="DM498" s="75"/>
      <c r="DN498" s="75"/>
      <c r="DO498" s="75"/>
      <c r="DP498" s="75"/>
      <c r="DQ498" s="75"/>
      <c r="DR498" s="75"/>
      <c r="DS498" s="75"/>
      <c r="DT498" s="75"/>
      <c r="DU498" s="75"/>
      <c r="DV498" s="75"/>
      <c r="DW498" s="75"/>
      <c r="DX498" s="75"/>
      <c r="DY498" s="75"/>
      <c r="DZ498" s="75"/>
      <c r="EA498" s="75"/>
      <c r="EB498" s="75"/>
      <c r="EC498" s="75"/>
      <c r="ED498" s="75"/>
      <c r="EE498" s="75"/>
    </row>
    <row r="499" ht="47.25" customHeight="1">
      <c r="A499" s="55" t="s">
        <v>1579</v>
      </c>
      <c r="B499" s="55" t="s">
        <v>146</v>
      </c>
      <c r="C499" s="55" t="s">
        <v>432</v>
      </c>
      <c r="D499" s="55" t="s">
        <v>340</v>
      </c>
      <c r="E499" s="55" t="s">
        <v>738</v>
      </c>
      <c r="F499" s="55" t="s">
        <v>481</v>
      </c>
      <c r="G499" s="55" t="s">
        <v>483</v>
      </c>
      <c r="H499" s="55" t="s">
        <v>739</v>
      </c>
      <c r="I499" s="56"/>
      <c r="J499" s="56"/>
      <c r="K499" s="56"/>
      <c r="L499" s="56"/>
      <c r="M499" s="56"/>
      <c r="N499" s="56"/>
      <c r="O499" s="56"/>
      <c r="P499" s="56">
        <v>1.0</v>
      </c>
      <c r="Q499" s="56" t="s">
        <v>131</v>
      </c>
      <c r="R499" s="58" t="str">
        <f t="shared" si="1"/>
        <v>2025</v>
      </c>
      <c r="S499" s="59" t="str">
        <f>SUM(Hoja1!$I499:$P499)</f>
        <v>1</v>
      </c>
      <c r="T499" s="59" t="str">
        <f>IF(OR(Hoja1!$J499=1,Hoja1!$K499=1,Hoja1!$L499=1,Hoja1!$M499=1,Hoja1!$N499=1,Hoja1!$O499=1,Hoja1!$P499=1),"SI","NO")</f>
        <v>SI</v>
      </c>
      <c r="U499" s="59" t="str">
        <f>IF(OR(Hoja1!$K499=1,Hoja1!$L499=1,Hoja1!$M499=1,Hoja1!$N499=1,Hoja1!$O499=1,Hoja1!$P499=1),"SI","NO")</f>
        <v>SI</v>
      </c>
      <c r="V499" s="60">
        <v>0.0</v>
      </c>
      <c r="W499" s="61">
        <v>0.0</v>
      </c>
      <c r="X499" s="61">
        <v>0.0</v>
      </c>
      <c r="Y499" s="60">
        <v>0.0</v>
      </c>
      <c r="Z499" s="61">
        <v>0.0</v>
      </c>
      <c r="AA499" s="61">
        <v>0.0</v>
      </c>
      <c r="AB499" s="60">
        <v>0.0</v>
      </c>
      <c r="AC499" s="61">
        <v>0.0</v>
      </c>
      <c r="AD499" s="61">
        <v>0.0</v>
      </c>
      <c r="AE499" s="60">
        <v>0.0</v>
      </c>
      <c r="AF499" s="61">
        <v>0.0</v>
      </c>
      <c r="AG499" s="61">
        <v>0.0</v>
      </c>
      <c r="AH499" s="60">
        <v>0.0</v>
      </c>
      <c r="AI499" s="61">
        <v>0.0</v>
      </c>
      <c r="AJ499" s="61">
        <v>0.0</v>
      </c>
      <c r="AK499" s="60">
        <v>0.0</v>
      </c>
      <c r="AL499" s="61">
        <v>0.0</v>
      </c>
      <c r="AM499" s="61">
        <v>0.0</v>
      </c>
      <c r="AN499" s="60">
        <v>0.0</v>
      </c>
      <c r="AO499" s="62">
        <v>178.0</v>
      </c>
      <c r="AP499" s="62">
        <v>30.0</v>
      </c>
      <c r="AQ499" s="60">
        <v>208.0</v>
      </c>
      <c r="AR499" s="60" t="str">
        <f>IF(Hoja1!$AQ499&gt;0,Hoja1!$AQ499,IF(Hoja1!$AN499&gt;0,Hoja1!$AN499,IF(Hoja1!$AK499&gt;0,Hoja1!$AK499,IF(Hoja1!$AH499&gt;0,Hoja1!$AH499,IF(Hoja1!$AE499&gt;0,Hoja1!$AE499,IF(Hoja1!$AB499&gt;0,Hoja1!$AB499,IF(Hoja1!$Y499&gt;0,Hoja1!$Y499,IF(Hoja1!$V499&gt;0,Hoja1!$V499," ---"))))))))</f>
        <v>208</v>
      </c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>
        <v>23.0</v>
      </c>
      <c r="BD499" s="63">
        <v>0.0</v>
      </c>
      <c r="BE499" s="64"/>
      <c r="BF499" s="69"/>
      <c r="BG499" s="69"/>
      <c r="BH499" s="64"/>
      <c r="BI499" s="67" t="str">
        <f>IF('[1]DATA CONSOLIDADA 2018-2025 '!$BH574&gt;'[1]DATA CONSOLIDADA 2018-2025 '!$AN574,"Incremento",IF('[1]DATA CONSOLIDADA 2018-2025 '!$AN574='[1]DATA CONSOLIDADA 2018-2025 '!$BH574,"Sin incremento",IF('[1]DATA CONSOLIDADA 2018-2025 '!$BH574&lt;'[1]DATA CONSOLIDADA 2018-2025 '!$AN574,"Disminución"," ---")))</f>
        <v>#REF!</v>
      </c>
      <c r="BJ499" s="68" t="str">
        <f>'[1]DATA CONSOLIDADA 2018-2025 '!$BH574-'[1]DATA CONSOLIDADA 2018-2025 '!$BE574</f>
        <v>#REF!</v>
      </c>
      <c r="BK499" s="69"/>
      <c r="BL499" s="69"/>
      <c r="BM499" s="64"/>
      <c r="BN499" s="67" t="str">
        <f>IF('[1]DATA CONSOLIDADA 2018-2025 '!$BM574&gt;'[1]DATA CONSOLIDADA 2018-2025 '!$BH574,"Incremento",IF('[1]DATA CONSOLIDADA 2018-2025 '!$BH574='[1]DATA CONSOLIDADA 2018-2025 '!$BM574,"Sin incremento",IF('[1]DATA CONSOLIDADA 2018-2025 '!$BM574&lt;'[1]DATA CONSOLIDADA 2018-2025 '!$BH574,"Disminución"," ---")))</f>
        <v>#REF!</v>
      </c>
      <c r="BO499" s="68" t="str">
        <f>'[1]DATA CONSOLIDADA 2018-2025 '!$BM574-'[1]DATA CONSOLIDADA 2018-2025 '!$BH574</f>
        <v>#REF!</v>
      </c>
      <c r="BP499" s="65"/>
      <c r="BQ499" s="65"/>
      <c r="BR499" s="66"/>
      <c r="BS499" s="67" t="str">
        <f>IF('[1]DATA CONSOLIDADA 2018-2025 '!$BR574&gt;'[1]DATA CONSOLIDADA 2018-2025 '!$BM574,"Incremento",IF('[1]DATA CONSOLIDADA 2018-2025 '!$BM574='[1]DATA CONSOLIDADA 2018-2025 '!$BR574,"Sin incremento",IF('[1]DATA CONSOLIDADA 2018-2025 '!$BR574&lt;'[1]DATA CONSOLIDADA 2018-2025 '!$BM574,"Disminución"," ---")))</f>
        <v>#REF!</v>
      </c>
      <c r="BT499" s="68" t="str">
        <f>'[1]DATA CONSOLIDADA 2018-2025 '!$BR499-Hoja1!$BO499</f>
        <v>#REF!</v>
      </c>
      <c r="BU499" s="69"/>
      <c r="BV499" s="65"/>
      <c r="BW499" s="66"/>
      <c r="BX499" s="67" t="str">
        <f>IF('[1]DATA CONSOLIDADA 2018-2025 '!$BW574&gt;'[1]DATA CONSOLIDADA 2018-2025 '!$BR574,"Incremento",IF('[1]DATA CONSOLIDADA 2018-2025 '!$BR574='[1]DATA CONSOLIDADA 2018-2025 '!$BW574,"Sin incremento",IF('[1]DATA CONSOLIDADA 2018-2025 '!$BW574&lt;'[1]DATA CONSOLIDADA 2018-2025 '!$BR574,"Disminución"," ---")))</f>
        <v>#REF!</v>
      </c>
      <c r="BY499" s="68" t="str">
        <f>'[1]DATA CONSOLIDADA 2018-2025 '!$BW574-'[1]DATA CONSOLIDADA 2018-2025 '!$BR574</f>
        <v>#REF!</v>
      </c>
      <c r="BZ499" s="65"/>
      <c r="CA499" s="65"/>
      <c r="CB499" s="66"/>
      <c r="CC499" s="67" t="str">
        <f>IF('[1]DATA CONSOLIDADA 2018-2025 '!$CB574&gt;'[1]DATA CONSOLIDADA 2018-2025 '!$BW574,"Incremento",IF('[1]DATA CONSOLIDADA 2018-2025 '!$BW574='[1]DATA CONSOLIDADA 2018-2025 '!$CB574,"Sin incremento",IF('[1]DATA CONSOLIDADA 2018-2025 '!$CB574&lt;'[1]DATA CONSOLIDADA 2018-2025 '!$BW574,"Disminución"," ---")))</f>
        <v>#REF!</v>
      </c>
      <c r="CD499" s="68" t="str">
        <f>'[1]DATA CONSOLIDADA 2018-2025 '!$CB499-Hoja1!$BW499</f>
        <v>#REF!</v>
      </c>
      <c r="CE499" s="70"/>
      <c r="CF499" s="70"/>
      <c r="CG499" s="71"/>
      <c r="CH499" s="67" t="str">
        <f>IF('[1]DATA CONSOLIDADA 2018-2025 '!$CG574&gt;'[1]DATA CONSOLIDADA 2018-2025 '!$CB574,"Incremento",IF('[1]DATA CONSOLIDADA 2018-2025 '!$CB574='[1]DATA CONSOLIDADA 2018-2025 '!$CG574,"Sin incremento",IF('[1]DATA CONSOLIDADA 2018-2025 '!$CG574&lt;'[1]DATA CONSOLIDADA 2018-2025 '!$CB574,"Disminución"," ---")))</f>
        <v>#REF!</v>
      </c>
      <c r="CI499" s="68" t="str">
        <f>'[1]DATA CONSOLIDADA 2018-2025 '!$CG499-Hoja1!$CB499</f>
        <v>#REF!</v>
      </c>
      <c r="CJ499" s="64" t="str">
        <f t="shared" si="165"/>
        <v>#REF!</v>
      </c>
      <c r="CK499" s="64">
        <v>813381.85</v>
      </c>
      <c r="CL499" s="64">
        <v>968974.0392</v>
      </c>
      <c r="CM499" s="64">
        <v>1782355.8892</v>
      </c>
      <c r="CN499" s="64" t="str">
        <f t="shared" si="12"/>
        <v>#REF!</v>
      </c>
      <c r="CO499" s="68" t="str">
        <f>'[1]DATA CONSOLIDADA 2018-2025 '!$CM499-Hoja1!$CG499</f>
        <v>#REF!</v>
      </c>
      <c r="CP499" s="70"/>
      <c r="CQ499" s="70"/>
      <c r="CR499" s="70"/>
      <c r="CS499" s="70"/>
      <c r="CT499" s="70"/>
      <c r="CU499" s="70"/>
      <c r="CV499" s="64"/>
      <c r="CW499" s="64"/>
      <c r="CX499" s="64"/>
      <c r="CY499" s="64"/>
      <c r="CZ499" s="64"/>
      <c r="DA499" s="64"/>
      <c r="DB499" s="64"/>
      <c r="DC499" s="72">
        <v>0.0</v>
      </c>
      <c r="DD499" s="72">
        <v>0.0</v>
      </c>
      <c r="DE499" s="72">
        <v>1782355.8891999999</v>
      </c>
      <c r="DF499" s="72">
        <v>0.0</v>
      </c>
      <c r="DG499" s="72">
        <v>0.0</v>
      </c>
      <c r="DH499" s="72">
        <v>1782355.8891999999</v>
      </c>
      <c r="DI499" s="73">
        <v>2.0487242994E10</v>
      </c>
      <c r="DJ499" s="74" t="s">
        <v>1580</v>
      </c>
      <c r="DK499" s="74" t="s">
        <v>132</v>
      </c>
      <c r="DL499" s="75"/>
      <c r="DM499" s="75"/>
      <c r="DN499" s="75"/>
      <c r="DO499" s="75"/>
      <c r="DP499" s="75"/>
      <c r="DQ499" s="75"/>
      <c r="DR499" s="75"/>
      <c r="DS499" s="75"/>
      <c r="DT499" s="75"/>
      <c r="DU499" s="75"/>
      <c r="DV499" s="75"/>
      <c r="DW499" s="75"/>
      <c r="DX499" s="75"/>
      <c r="DY499" s="75"/>
      <c r="DZ499" s="75"/>
      <c r="EA499" s="75"/>
      <c r="EB499" s="75"/>
      <c r="EC499" s="75"/>
      <c r="ED499" s="75"/>
      <c r="EE499" s="75"/>
    </row>
    <row r="500" ht="47.25" customHeight="1">
      <c r="A500" s="55" t="s">
        <v>1581</v>
      </c>
      <c r="B500" s="55" t="s">
        <v>146</v>
      </c>
      <c r="C500" s="55" t="s">
        <v>146</v>
      </c>
      <c r="D500" s="55" t="s">
        <v>1149</v>
      </c>
      <c r="E500" s="55" t="s">
        <v>1177</v>
      </c>
      <c r="F500" s="55" t="s">
        <v>1149</v>
      </c>
      <c r="G500" s="55" t="s">
        <v>1156</v>
      </c>
      <c r="H500" s="55" t="s">
        <v>1178</v>
      </c>
      <c r="I500" s="56"/>
      <c r="J500" s="56"/>
      <c r="K500" s="56"/>
      <c r="L500" s="56"/>
      <c r="M500" s="56"/>
      <c r="N500" s="56"/>
      <c r="O500" s="56">
        <v>1.0</v>
      </c>
      <c r="P500" s="56">
        <v>1.0</v>
      </c>
      <c r="Q500" s="56" t="s">
        <v>131</v>
      </c>
      <c r="R500" s="58" t="str">
        <f t="shared" si="1"/>
        <v>2024 - 2025</v>
      </c>
      <c r="S500" s="59" t="str">
        <f>SUM(Hoja1!$I500:$P500)</f>
        <v>2</v>
      </c>
      <c r="T500" s="59" t="str">
        <f>IF(OR(Hoja1!$J500=1,Hoja1!$K500=1,Hoja1!$L500=1,Hoja1!$M500=1,Hoja1!$N500=1,Hoja1!$O500=1,Hoja1!$P500=1),"SI","NO")</f>
        <v>SI</v>
      </c>
      <c r="U500" s="59" t="str">
        <f>IF(OR(Hoja1!$K500=1,Hoja1!$L500=1,Hoja1!$M500=1,Hoja1!$N500=1,Hoja1!$O500=1,Hoja1!$P500=1),"SI","NO")</f>
        <v>SI</v>
      </c>
      <c r="V500" s="60">
        <v>0.0</v>
      </c>
      <c r="W500" s="61">
        <v>0.0</v>
      </c>
      <c r="X500" s="61">
        <v>0.0</v>
      </c>
      <c r="Y500" s="60">
        <v>0.0</v>
      </c>
      <c r="Z500" s="61">
        <v>0.0</v>
      </c>
      <c r="AA500" s="61">
        <v>0.0</v>
      </c>
      <c r="AB500" s="60">
        <v>0.0</v>
      </c>
      <c r="AC500" s="61">
        <v>0.0</v>
      </c>
      <c r="AD500" s="61">
        <v>0.0</v>
      </c>
      <c r="AE500" s="60">
        <v>0.0</v>
      </c>
      <c r="AF500" s="61">
        <v>0.0</v>
      </c>
      <c r="AG500" s="61">
        <v>0.0</v>
      </c>
      <c r="AH500" s="60">
        <v>0.0</v>
      </c>
      <c r="AI500" s="61">
        <v>0.0</v>
      </c>
      <c r="AJ500" s="61">
        <v>0.0</v>
      </c>
      <c r="AK500" s="60">
        <v>0.0</v>
      </c>
      <c r="AL500" s="61">
        <v>56.0</v>
      </c>
      <c r="AM500" s="61">
        <v>17.0</v>
      </c>
      <c r="AN500" s="60">
        <v>73.0</v>
      </c>
      <c r="AO500" s="62">
        <v>39.0</v>
      </c>
      <c r="AP500" s="62">
        <v>17.0</v>
      </c>
      <c r="AQ500" s="60">
        <v>56.0</v>
      </c>
      <c r="AR500" s="60" t="str">
        <f>IF(Hoja1!$AQ500&gt;0,Hoja1!$AQ500,IF(Hoja1!$AN500&gt;0,Hoja1!$AN500,IF(Hoja1!$AK500&gt;0,Hoja1!$AK500,IF(Hoja1!$AH500&gt;0,Hoja1!$AH500,IF(Hoja1!$AE500&gt;0,Hoja1!$AE500,IF(Hoja1!$AB500&gt;0,Hoja1!$AB500,IF(Hoja1!$Y500&gt;0,Hoja1!$Y500,IF(Hoja1!$V500&gt;0,Hoja1!$V500," ---"))))))))</f>
        <v>56</v>
      </c>
      <c r="AS500" s="63">
        <v>0.0</v>
      </c>
      <c r="AT500" s="63">
        <v>0.0</v>
      </c>
      <c r="AU500" s="63">
        <v>0.0</v>
      </c>
      <c r="AV500" s="63">
        <v>0.0</v>
      </c>
      <c r="AW500" s="63">
        <v>0.0</v>
      </c>
      <c r="AX500" s="63">
        <v>0.0</v>
      </c>
      <c r="AY500" s="63">
        <v>0.0</v>
      </c>
      <c r="AZ500" s="63">
        <v>0.0</v>
      </c>
      <c r="BA500" s="63">
        <v>32.0</v>
      </c>
      <c r="BB500" s="63">
        <v>0.0</v>
      </c>
      <c r="BC500" s="63">
        <v>18.0</v>
      </c>
      <c r="BD500" s="63">
        <v>0.0</v>
      </c>
      <c r="BE500" s="64">
        <v>0.0</v>
      </c>
      <c r="BF500" s="69">
        <v>0.0</v>
      </c>
      <c r="BG500" s="69">
        <v>0.0</v>
      </c>
      <c r="BH500" s="64">
        <v>0.0</v>
      </c>
      <c r="BI500" s="67" t="str">
        <f t="shared" ref="BI500:BI525" si="175">IF('[1]DATA CONSOLIDADA 2018-2025 '!$BH500&gt;'[1]DATA CONSOLIDADA 2018-2025 '!$AN500,"Incremento",IF('[1]DATA CONSOLIDADA 2018-2025 '!$AN500='[1]DATA CONSOLIDADA 2018-2025 '!$BH500,"Sin incremento",IF('[1]DATA CONSOLIDADA 2018-2025 '!$BH500&lt;'[1]DATA CONSOLIDADA 2018-2025 '!$AN500,"Disminución"," ---")))</f>
        <v>#REF!</v>
      </c>
      <c r="BJ500" s="68" t="str">
        <f t="shared" ref="BJ500:BJ525" si="176">'[1]DATA CONSOLIDADA 2018-2025 '!$BH500-'[1]DATA CONSOLIDADA 2018-2025 '!$BE500</f>
        <v>#REF!</v>
      </c>
      <c r="BK500" s="69">
        <v>0.0</v>
      </c>
      <c r="BL500" s="69">
        <v>0.0</v>
      </c>
      <c r="BM500" s="64">
        <v>0.0</v>
      </c>
      <c r="BN500" s="67" t="str">
        <f t="shared" ref="BN500:BN525" si="177">IF('[1]DATA CONSOLIDADA 2018-2025 '!$BM500&gt;'[1]DATA CONSOLIDADA 2018-2025 '!$BH500,"Incremento",IF('[1]DATA CONSOLIDADA 2018-2025 '!$BH500='[1]DATA CONSOLIDADA 2018-2025 '!$BM500,"Sin incremento",IF('[1]DATA CONSOLIDADA 2018-2025 '!$BM500&lt;'[1]DATA CONSOLIDADA 2018-2025 '!$BH500,"Disminución"," ---")))</f>
        <v>#REF!</v>
      </c>
      <c r="BO500" s="68" t="str">
        <f t="shared" ref="BO500:BO525" si="178">'[1]DATA CONSOLIDADA 2018-2025 '!$BM500-'[1]DATA CONSOLIDADA 2018-2025 '!$BH500</f>
        <v>#REF!</v>
      </c>
      <c r="BP500" s="65">
        <v>0.0</v>
      </c>
      <c r="BQ500" s="65">
        <v>0.0</v>
      </c>
      <c r="BR500" s="66">
        <v>0.0</v>
      </c>
      <c r="BS500" s="67" t="str">
        <f t="shared" ref="BS500:BS525" si="179">IF('[1]DATA CONSOLIDADA 2018-2025 '!$BR500&gt;'[1]DATA CONSOLIDADA 2018-2025 '!$BM500,"Incremento",IF('[1]DATA CONSOLIDADA 2018-2025 '!$BM500='[1]DATA CONSOLIDADA 2018-2025 '!$BR500,"Sin incremento",IF('[1]DATA CONSOLIDADA 2018-2025 '!$BR500&lt;'[1]DATA CONSOLIDADA 2018-2025 '!$BM500,"Disminución"," ---")))</f>
        <v>#REF!</v>
      </c>
      <c r="BT500" s="68" t="str">
        <f>'[1]DATA CONSOLIDADA 2018-2025 '!$BR500-Hoja1!$BO500</f>
        <v>#REF!</v>
      </c>
      <c r="BU500" s="69">
        <v>0.0</v>
      </c>
      <c r="BV500" s="65">
        <v>0.0</v>
      </c>
      <c r="BW500" s="66">
        <v>0.0</v>
      </c>
      <c r="BX500" s="67" t="str">
        <f t="shared" ref="BX500:BX525" si="180">IF('[1]DATA CONSOLIDADA 2018-2025 '!$BW500&gt;'[1]DATA CONSOLIDADA 2018-2025 '!$BR500,"Incremento",IF('[1]DATA CONSOLIDADA 2018-2025 '!$BR500='[1]DATA CONSOLIDADA 2018-2025 '!$BW500,"Sin incremento",IF('[1]DATA CONSOLIDADA 2018-2025 '!$BW500&lt;'[1]DATA CONSOLIDADA 2018-2025 '!$BR500,"Disminución"," ---")))</f>
        <v>#REF!</v>
      </c>
      <c r="BY500" s="68" t="str">
        <f t="shared" ref="BY500:BY525" si="181">'[1]DATA CONSOLIDADA 2018-2025 '!$BW500-'[1]DATA CONSOLIDADA 2018-2025 '!$BR500</f>
        <v>#REF!</v>
      </c>
      <c r="BZ500" s="65">
        <v>0.0</v>
      </c>
      <c r="CA500" s="65">
        <v>0.0</v>
      </c>
      <c r="CB500" s="66">
        <v>0.0</v>
      </c>
      <c r="CC500" s="67" t="str">
        <f t="shared" ref="CC500:CC525" si="182">IF('[1]DATA CONSOLIDADA 2018-2025 '!$CB500&gt;'[1]DATA CONSOLIDADA 2018-2025 '!$BW500,"Incremento",IF('[1]DATA CONSOLIDADA 2018-2025 '!$BW500='[1]DATA CONSOLIDADA 2018-2025 '!$CB500,"Sin incremento",IF('[1]DATA CONSOLIDADA 2018-2025 '!$CB500&lt;'[1]DATA CONSOLIDADA 2018-2025 '!$BW500,"Disminución"," ---")))</f>
        <v>#REF!</v>
      </c>
      <c r="CD500" s="68" t="str">
        <f>'[1]DATA CONSOLIDADA 2018-2025 '!$CB500-Hoja1!$BW500</f>
        <v>#REF!</v>
      </c>
      <c r="CE500" s="70">
        <v>73430.4</v>
      </c>
      <c r="CF500" s="70">
        <v>0.0</v>
      </c>
      <c r="CG500" s="71">
        <v>73430.4</v>
      </c>
      <c r="CH500" s="67" t="str">
        <f t="shared" ref="CH500:CH525" si="183">IF('[1]DATA CONSOLIDADA 2018-2025 '!$CG500&gt;'[1]DATA CONSOLIDADA 2018-2025 '!$CB500,"Incremento",IF('[1]DATA CONSOLIDADA 2018-2025 '!$CB500='[1]DATA CONSOLIDADA 2018-2025 '!$CG500,"Sin incremento",IF('[1]DATA CONSOLIDADA 2018-2025 '!$CG500&lt;'[1]DATA CONSOLIDADA 2018-2025 '!$CB500,"Disminución"," ---")))</f>
        <v>#REF!</v>
      </c>
      <c r="CI500" s="68" t="str">
        <f>'[1]DATA CONSOLIDADA 2018-2025 '!$CG500-Hoja1!$CB500</f>
        <v>#REF!</v>
      </c>
      <c r="CJ500" s="64" t="str">
        <f t="shared" si="165"/>
        <v>#REF!</v>
      </c>
      <c r="CK500" s="64">
        <v>160363.5</v>
      </c>
      <c r="CL500" s="64">
        <v>0.0</v>
      </c>
      <c r="CM500" s="64">
        <v>160363.5</v>
      </c>
      <c r="CN500" s="64" t="str">
        <f t="shared" si="12"/>
        <v>#REF!</v>
      </c>
      <c r="CO500" s="68" t="str">
        <f>'[1]DATA CONSOLIDADA 2018-2025 '!$CM500-Hoja1!$CG500</f>
        <v>#REF!</v>
      </c>
      <c r="CP500" s="70">
        <v>0.0</v>
      </c>
      <c r="CQ500" s="70">
        <v>0.0</v>
      </c>
      <c r="CR500" s="70">
        <v>0.0</v>
      </c>
      <c r="CS500" s="70">
        <v>0.0</v>
      </c>
      <c r="CT500" s="70">
        <v>0.0</v>
      </c>
      <c r="CU500" s="70">
        <v>0.0</v>
      </c>
      <c r="CV500" s="64">
        <v>0.0</v>
      </c>
      <c r="CW500" s="64">
        <v>0.0</v>
      </c>
      <c r="CX500" s="64">
        <v>66683.7</v>
      </c>
      <c r="CY500" s="64">
        <v>6746.7</v>
      </c>
      <c r="CZ500" s="64">
        <v>0.0</v>
      </c>
      <c r="DA500" s="64">
        <v>0.0</v>
      </c>
      <c r="DB500" s="64">
        <v>73430.4</v>
      </c>
      <c r="DC500" s="72">
        <v>102833.0</v>
      </c>
      <c r="DD500" s="72">
        <v>55552.5</v>
      </c>
      <c r="DE500" s="72">
        <v>1978.0</v>
      </c>
      <c r="DF500" s="72">
        <v>0.0</v>
      </c>
      <c r="DG500" s="72">
        <v>0.0</v>
      </c>
      <c r="DH500" s="72">
        <v>160363.5</v>
      </c>
      <c r="DI500" s="73">
        <v>2.0393816211E10</v>
      </c>
      <c r="DJ500" s="74" t="s">
        <v>1581</v>
      </c>
      <c r="DK500" s="74" t="s">
        <v>132</v>
      </c>
      <c r="DL500" s="75"/>
      <c r="DM500" s="75"/>
      <c r="DN500" s="75"/>
      <c r="DO500" s="75"/>
      <c r="DP500" s="75"/>
      <c r="DQ500" s="75"/>
      <c r="DR500" s="75"/>
      <c r="DS500" s="75"/>
      <c r="DT500" s="75"/>
      <c r="DU500" s="75"/>
      <c r="DV500" s="75"/>
      <c r="DW500" s="75"/>
      <c r="DX500" s="75"/>
      <c r="DY500" s="75"/>
      <c r="DZ500" s="75"/>
      <c r="EA500" s="75"/>
      <c r="EB500" s="75"/>
      <c r="EC500" s="75"/>
      <c r="ED500" s="75"/>
      <c r="EE500" s="75"/>
    </row>
    <row r="501" ht="47.25" customHeight="1">
      <c r="A501" s="55" t="s">
        <v>1582</v>
      </c>
      <c r="B501" s="55" t="s">
        <v>146</v>
      </c>
      <c r="C501" s="55" t="s">
        <v>146</v>
      </c>
      <c r="D501" s="55" t="s">
        <v>1149</v>
      </c>
      <c r="E501" s="55" t="s">
        <v>1155</v>
      </c>
      <c r="F501" s="55" t="s">
        <v>1149</v>
      </c>
      <c r="G501" s="55" t="s">
        <v>1156</v>
      </c>
      <c r="H501" s="55" t="s">
        <v>1156</v>
      </c>
      <c r="I501" s="56"/>
      <c r="J501" s="56"/>
      <c r="K501" s="56"/>
      <c r="L501" s="56"/>
      <c r="M501" s="56"/>
      <c r="N501" s="56"/>
      <c r="O501" s="56">
        <v>1.0</v>
      </c>
      <c r="P501" s="56"/>
      <c r="Q501" s="56" t="s">
        <v>131</v>
      </c>
      <c r="R501" s="58" t="str">
        <f t="shared" si="1"/>
        <v>2024</v>
      </c>
      <c r="S501" s="59" t="str">
        <f>SUM(Hoja1!$I501:$P501)</f>
        <v>1</v>
      </c>
      <c r="T501" s="59" t="str">
        <f>IF(OR(Hoja1!$J501=1,Hoja1!$K501=1,Hoja1!$L501=1,Hoja1!$M501=1,Hoja1!$N501=1,Hoja1!$O501=1,Hoja1!$P501=1),"SI","NO")</f>
        <v>SI</v>
      </c>
      <c r="U501" s="59" t="str">
        <f>IF(OR(Hoja1!$K501=1,Hoja1!$L501=1,Hoja1!$M501=1,Hoja1!$N501=1,Hoja1!$O501=1,Hoja1!$P501=1),"SI","NO")</f>
        <v>SI</v>
      </c>
      <c r="V501" s="60">
        <v>0.0</v>
      </c>
      <c r="W501" s="61">
        <v>0.0</v>
      </c>
      <c r="X501" s="61">
        <v>0.0</v>
      </c>
      <c r="Y501" s="60">
        <v>0.0</v>
      </c>
      <c r="Z501" s="61">
        <v>0.0</v>
      </c>
      <c r="AA501" s="61">
        <v>0.0</v>
      </c>
      <c r="AB501" s="60">
        <v>0.0</v>
      </c>
      <c r="AC501" s="61">
        <v>0.0</v>
      </c>
      <c r="AD501" s="61">
        <v>0.0</v>
      </c>
      <c r="AE501" s="60">
        <v>0.0</v>
      </c>
      <c r="AF501" s="61">
        <v>0.0</v>
      </c>
      <c r="AG501" s="61">
        <v>0.0</v>
      </c>
      <c r="AH501" s="60">
        <v>0.0</v>
      </c>
      <c r="AI501" s="61">
        <v>0.0</v>
      </c>
      <c r="AJ501" s="61">
        <v>0.0</v>
      </c>
      <c r="AK501" s="60">
        <v>0.0</v>
      </c>
      <c r="AL501" s="61">
        <v>84.0</v>
      </c>
      <c r="AM501" s="61">
        <v>36.0</v>
      </c>
      <c r="AN501" s="60">
        <v>120.0</v>
      </c>
      <c r="AO501" s="62">
        <v>0.0</v>
      </c>
      <c r="AP501" s="62">
        <v>0.0</v>
      </c>
      <c r="AQ501" s="60">
        <v>0.0</v>
      </c>
      <c r="AR501" s="60" t="str">
        <f>IF(Hoja1!$AQ501&gt;0,Hoja1!$AQ501,IF(Hoja1!$AN501&gt;0,Hoja1!$AN501,IF(Hoja1!$AK501&gt;0,Hoja1!$AK501,IF(Hoja1!$AH501&gt;0,Hoja1!$AH501,IF(Hoja1!$AE501&gt;0,Hoja1!$AE501,IF(Hoja1!$AB501&gt;0,Hoja1!$AB501,IF(Hoja1!$Y501&gt;0,Hoja1!$Y501,IF(Hoja1!$V501&gt;0,Hoja1!$V501," ---"))))))))</f>
        <v>120</v>
      </c>
      <c r="AS501" s="63">
        <v>0.0</v>
      </c>
      <c r="AT501" s="63">
        <v>0.0</v>
      </c>
      <c r="AU501" s="63">
        <v>0.0</v>
      </c>
      <c r="AV501" s="63">
        <v>0.0</v>
      </c>
      <c r="AW501" s="63">
        <v>0.0</v>
      </c>
      <c r="AX501" s="63">
        <v>0.0</v>
      </c>
      <c r="AY501" s="63">
        <v>0.0</v>
      </c>
      <c r="AZ501" s="63">
        <v>0.0</v>
      </c>
      <c r="BA501" s="63">
        <v>31.0</v>
      </c>
      <c r="BB501" s="63">
        <v>0.0</v>
      </c>
      <c r="BC501" s="63">
        <v>0.0</v>
      </c>
      <c r="BD501" s="63">
        <v>0.0</v>
      </c>
      <c r="BE501" s="64">
        <v>0.0</v>
      </c>
      <c r="BF501" s="69">
        <v>0.0</v>
      </c>
      <c r="BG501" s="69">
        <v>0.0</v>
      </c>
      <c r="BH501" s="64">
        <v>0.0</v>
      </c>
      <c r="BI501" s="67" t="str">
        <f t="shared" si="175"/>
        <v>#REF!</v>
      </c>
      <c r="BJ501" s="68" t="str">
        <f t="shared" si="176"/>
        <v>#REF!</v>
      </c>
      <c r="BK501" s="69">
        <v>0.0</v>
      </c>
      <c r="BL501" s="69">
        <v>0.0</v>
      </c>
      <c r="BM501" s="64">
        <v>0.0</v>
      </c>
      <c r="BN501" s="67" t="str">
        <f t="shared" si="177"/>
        <v>#REF!</v>
      </c>
      <c r="BO501" s="68" t="str">
        <f t="shared" si="178"/>
        <v>#REF!</v>
      </c>
      <c r="BP501" s="65">
        <v>0.0</v>
      </c>
      <c r="BQ501" s="65">
        <v>0.0</v>
      </c>
      <c r="BR501" s="66">
        <v>0.0</v>
      </c>
      <c r="BS501" s="67" t="str">
        <f t="shared" si="179"/>
        <v>#REF!</v>
      </c>
      <c r="BT501" s="68" t="str">
        <f>'[1]DATA CONSOLIDADA 2018-2025 '!$BR501-Hoja1!$BO501</f>
        <v>#REF!</v>
      </c>
      <c r="BU501" s="69">
        <v>0.0</v>
      </c>
      <c r="BV501" s="65">
        <v>0.0</v>
      </c>
      <c r="BW501" s="66">
        <v>0.0</v>
      </c>
      <c r="BX501" s="67" t="str">
        <f t="shared" si="180"/>
        <v>#REF!</v>
      </c>
      <c r="BY501" s="68" t="str">
        <f t="shared" si="181"/>
        <v>#REF!</v>
      </c>
      <c r="BZ501" s="65">
        <v>0.0</v>
      </c>
      <c r="CA501" s="65">
        <v>0.0</v>
      </c>
      <c r="CB501" s="66">
        <v>0.0</v>
      </c>
      <c r="CC501" s="67" t="str">
        <f t="shared" si="182"/>
        <v>#REF!</v>
      </c>
      <c r="CD501" s="68" t="str">
        <f>'[1]DATA CONSOLIDADA 2018-2025 '!$CB501-Hoja1!$BW501</f>
        <v>#REF!</v>
      </c>
      <c r="CE501" s="70">
        <v>34611.16991175999</v>
      </c>
      <c r="CF501" s="70">
        <v>0.0</v>
      </c>
      <c r="CG501" s="71">
        <v>34611.16991175999</v>
      </c>
      <c r="CH501" s="67" t="str">
        <f t="shared" si="183"/>
        <v>#REF!</v>
      </c>
      <c r="CI501" s="68" t="str">
        <f>'[1]DATA CONSOLIDADA 2018-2025 '!$CG501-Hoja1!$CB501</f>
        <v>#REF!</v>
      </c>
      <c r="CJ501" s="64" t="str">
        <f t="shared" si="165"/>
        <v>#REF!</v>
      </c>
      <c r="CK501" s="64">
        <v>0.0</v>
      </c>
      <c r="CL501" s="64">
        <v>0.0</v>
      </c>
      <c r="CM501" s="64">
        <v>0.0</v>
      </c>
      <c r="CN501" s="64" t="str">
        <f t="shared" si="12"/>
        <v>#REF!</v>
      </c>
      <c r="CO501" s="68" t="str">
        <f>'[1]DATA CONSOLIDADA 2018-2025 '!$CM501-Hoja1!$CG501</f>
        <v>#REF!</v>
      </c>
      <c r="CP501" s="70">
        <v>0.0</v>
      </c>
      <c r="CQ501" s="70">
        <v>0.0</v>
      </c>
      <c r="CR501" s="70">
        <v>0.0</v>
      </c>
      <c r="CS501" s="70">
        <v>0.0</v>
      </c>
      <c r="CT501" s="70">
        <v>0.0</v>
      </c>
      <c r="CU501" s="70">
        <v>0.0</v>
      </c>
      <c r="CV501" s="64">
        <v>0.0</v>
      </c>
      <c r="CW501" s="64">
        <v>0.0</v>
      </c>
      <c r="CX501" s="64">
        <v>34611.16991175999</v>
      </c>
      <c r="CY501" s="64">
        <v>0.0</v>
      </c>
      <c r="CZ501" s="64">
        <v>0.0</v>
      </c>
      <c r="DA501" s="64">
        <v>0.0</v>
      </c>
      <c r="DB501" s="64">
        <v>34611.16991175999</v>
      </c>
      <c r="DC501" s="72">
        <v>0.0</v>
      </c>
      <c r="DD501" s="72">
        <v>0.0</v>
      </c>
      <c r="DE501" s="72">
        <v>0.0</v>
      </c>
      <c r="DF501" s="72">
        <v>0.0</v>
      </c>
      <c r="DG501" s="72">
        <v>0.0</v>
      </c>
      <c r="DH501" s="72">
        <v>0.0</v>
      </c>
      <c r="DI501" s="73">
        <v>2.0393152207E10</v>
      </c>
      <c r="DJ501" s="74" t="s">
        <v>1582</v>
      </c>
      <c r="DK501" s="74" t="s">
        <v>132</v>
      </c>
      <c r="DL501" s="75"/>
      <c r="DM501" s="75"/>
      <c r="DN501" s="75"/>
      <c r="DO501" s="75"/>
      <c r="DP501" s="75"/>
      <c r="DQ501" s="75"/>
      <c r="DR501" s="75"/>
      <c r="DS501" s="75"/>
      <c r="DT501" s="75"/>
      <c r="DU501" s="75"/>
      <c r="DV501" s="75"/>
      <c r="DW501" s="75"/>
      <c r="DX501" s="75"/>
      <c r="DY501" s="75"/>
      <c r="DZ501" s="75"/>
      <c r="EA501" s="75"/>
      <c r="EB501" s="75"/>
      <c r="EC501" s="75"/>
      <c r="ED501" s="75"/>
      <c r="EE501" s="75"/>
    </row>
    <row r="502" ht="47.25" hidden="1" customHeight="1">
      <c r="A502" s="55" t="s">
        <v>1583</v>
      </c>
      <c r="B502" s="55" t="s">
        <v>819</v>
      </c>
      <c r="C502" s="55" t="s">
        <v>819</v>
      </c>
      <c r="D502" s="55" t="s">
        <v>1149</v>
      </c>
      <c r="E502" s="55" t="s">
        <v>1159</v>
      </c>
      <c r="F502" s="55" t="s">
        <v>1149</v>
      </c>
      <c r="G502" s="55" t="s">
        <v>1151</v>
      </c>
      <c r="H502" s="55" t="s">
        <v>1160</v>
      </c>
      <c r="I502" s="56"/>
      <c r="J502" s="56"/>
      <c r="K502" s="56"/>
      <c r="L502" s="56"/>
      <c r="M502" s="56"/>
      <c r="N502" s="56"/>
      <c r="O502" s="56">
        <v>1.0</v>
      </c>
      <c r="P502" s="56">
        <v>1.0</v>
      </c>
      <c r="Q502" s="56" t="s">
        <v>131</v>
      </c>
      <c r="R502" s="58" t="str">
        <f t="shared" si="1"/>
        <v>2024 - 2025</v>
      </c>
      <c r="S502" s="59" t="str">
        <f>SUM(Hoja1!$I502:$P502)</f>
        <v>2</v>
      </c>
      <c r="T502" s="59" t="str">
        <f>IF(OR(Hoja1!$J502=1,Hoja1!$K502=1,Hoja1!$L502=1,Hoja1!$M502=1,Hoja1!$N502=1,Hoja1!$O502=1,Hoja1!$P502=1),"SI","NO")</f>
        <v>SI</v>
      </c>
      <c r="U502" s="59" t="str">
        <f>IF(OR(Hoja1!$K502=1,Hoja1!$L502=1,Hoja1!$M502=1,Hoja1!$N502=1,Hoja1!$O502=1,Hoja1!$P502=1),"SI","NO")</f>
        <v>SI</v>
      </c>
      <c r="V502" s="60">
        <v>0.0</v>
      </c>
      <c r="W502" s="61">
        <v>0.0</v>
      </c>
      <c r="X502" s="61">
        <v>0.0</v>
      </c>
      <c r="Y502" s="60">
        <v>0.0</v>
      </c>
      <c r="Z502" s="61">
        <v>0.0</v>
      </c>
      <c r="AA502" s="61">
        <v>0.0</v>
      </c>
      <c r="AB502" s="60">
        <v>0.0</v>
      </c>
      <c r="AC502" s="61">
        <v>0.0</v>
      </c>
      <c r="AD502" s="61">
        <v>0.0</v>
      </c>
      <c r="AE502" s="60">
        <v>0.0</v>
      </c>
      <c r="AF502" s="61">
        <v>0.0</v>
      </c>
      <c r="AG502" s="61">
        <v>0.0</v>
      </c>
      <c r="AH502" s="60">
        <v>0.0</v>
      </c>
      <c r="AI502" s="61">
        <v>0.0</v>
      </c>
      <c r="AJ502" s="61">
        <v>0.0</v>
      </c>
      <c r="AK502" s="60">
        <v>0.0</v>
      </c>
      <c r="AL502" s="61">
        <v>41.0</v>
      </c>
      <c r="AM502" s="61">
        <v>12.0</v>
      </c>
      <c r="AN502" s="60">
        <v>53.0</v>
      </c>
      <c r="AO502" s="62">
        <v>24.0</v>
      </c>
      <c r="AP502" s="62">
        <v>9.0</v>
      </c>
      <c r="AQ502" s="60">
        <v>33.0</v>
      </c>
      <c r="AR502" s="60" t="str">
        <f>IF(Hoja1!$AQ502&gt;0,Hoja1!$AQ502,IF(Hoja1!$AN502&gt;0,Hoja1!$AN502,IF(Hoja1!$AK502&gt;0,Hoja1!$AK502,IF(Hoja1!$AH502&gt;0,Hoja1!$AH502,IF(Hoja1!$AE502&gt;0,Hoja1!$AE502,IF(Hoja1!$AB502&gt;0,Hoja1!$AB502,IF(Hoja1!$Y502&gt;0,Hoja1!$Y502,IF(Hoja1!$V502&gt;0,Hoja1!$V502," ---"))))))))</f>
        <v>33</v>
      </c>
      <c r="AS502" s="63">
        <v>0.0</v>
      </c>
      <c r="AT502" s="63">
        <v>0.0</v>
      </c>
      <c r="AU502" s="63">
        <v>0.0</v>
      </c>
      <c r="AV502" s="63">
        <v>0.0</v>
      </c>
      <c r="AW502" s="63">
        <v>0.0</v>
      </c>
      <c r="AX502" s="63">
        <v>0.0</v>
      </c>
      <c r="AY502" s="63">
        <v>0.0</v>
      </c>
      <c r="AZ502" s="63">
        <v>0.0</v>
      </c>
      <c r="BA502" s="63">
        <v>28.0</v>
      </c>
      <c r="BB502" s="63">
        <v>2.0</v>
      </c>
      <c r="BC502" s="63">
        <v>16.0</v>
      </c>
      <c r="BD502" s="63">
        <v>2.0</v>
      </c>
      <c r="BE502" s="64">
        <v>0.0</v>
      </c>
      <c r="BF502" s="69">
        <v>0.0</v>
      </c>
      <c r="BG502" s="69">
        <v>0.0</v>
      </c>
      <c r="BH502" s="64">
        <v>0.0</v>
      </c>
      <c r="BI502" s="67" t="str">
        <f t="shared" si="175"/>
        <v>#REF!</v>
      </c>
      <c r="BJ502" s="68" t="str">
        <f t="shared" si="176"/>
        <v>#REF!</v>
      </c>
      <c r="BK502" s="69">
        <v>0.0</v>
      </c>
      <c r="BL502" s="69">
        <v>0.0</v>
      </c>
      <c r="BM502" s="64">
        <v>0.0</v>
      </c>
      <c r="BN502" s="67" t="str">
        <f t="shared" si="177"/>
        <v>#REF!</v>
      </c>
      <c r="BO502" s="68" t="str">
        <f t="shared" si="178"/>
        <v>#REF!</v>
      </c>
      <c r="BP502" s="65">
        <v>0.0</v>
      </c>
      <c r="BQ502" s="65">
        <v>0.0</v>
      </c>
      <c r="BR502" s="66">
        <v>0.0</v>
      </c>
      <c r="BS502" s="67" t="str">
        <f t="shared" si="179"/>
        <v>#REF!</v>
      </c>
      <c r="BT502" s="68" t="str">
        <f>'[1]DATA CONSOLIDADA 2018-2025 '!$BR502-Hoja1!$BO502</f>
        <v>#REF!</v>
      </c>
      <c r="BU502" s="69">
        <v>0.0</v>
      </c>
      <c r="BV502" s="65">
        <v>0.0</v>
      </c>
      <c r="BW502" s="66">
        <v>0.0</v>
      </c>
      <c r="BX502" s="67" t="str">
        <f t="shared" si="180"/>
        <v>#REF!</v>
      </c>
      <c r="BY502" s="68" t="str">
        <f t="shared" si="181"/>
        <v>#REF!</v>
      </c>
      <c r="BZ502" s="65">
        <v>0.0</v>
      </c>
      <c r="CA502" s="65">
        <v>0.0</v>
      </c>
      <c r="CB502" s="66">
        <v>0.0</v>
      </c>
      <c r="CC502" s="67" t="str">
        <f t="shared" si="182"/>
        <v>#REF!</v>
      </c>
      <c r="CD502" s="68" t="str">
        <f>'[1]DATA CONSOLIDADA 2018-2025 '!$CB502-Hoja1!$BW502</f>
        <v>#REF!</v>
      </c>
      <c r="CE502" s="70">
        <v>4175.9400000000005</v>
      </c>
      <c r="CF502" s="70">
        <v>0.0</v>
      </c>
      <c r="CG502" s="71">
        <v>4175.9400000000005</v>
      </c>
      <c r="CH502" s="67" t="str">
        <f t="shared" si="183"/>
        <v>#REF!</v>
      </c>
      <c r="CI502" s="68" t="str">
        <f>'[1]DATA CONSOLIDADA 2018-2025 '!$CG502-Hoja1!$CB502</f>
        <v>#REF!</v>
      </c>
      <c r="CJ502" s="64" t="str">
        <f t="shared" si="165"/>
        <v>#REF!</v>
      </c>
      <c r="CK502" s="64">
        <v>15912.100000000002</v>
      </c>
      <c r="CL502" s="64">
        <v>0.0</v>
      </c>
      <c r="CM502" s="64">
        <v>15912.100000000002</v>
      </c>
      <c r="CN502" s="64" t="str">
        <f t="shared" si="12"/>
        <v>#REF!</v>
      </c>
      <c r="CO502" s="68" t="str">
        <f>'[1]DATA CONSOLIDADA 2018-2025 '!$CM502-Hoja1!$CG502</f>
        <v>#REF!</v>
      </c>
      <c r="CP502" s="70">
        <v>0.0</v>
      </c>
      <c r="CQ502" s="70">
        <v>0.0</v>
      </c>
      <c r="CR502" s="70">
        <v>0.0</v>
      </c>
      <c r="CS502" s="70">
        <v>0.0</v>
      </c>
      <c r="CT502" s="70">
        <v>0.0</v>
      </c>
      <c r="CU502" s="70">
        <v>0.0</v>
      </c>
      <c r="CV502" s="64">
        <v>0.0</v>
      </c>
      <c r="CW502" s="64">
        <v>120.0</v>
      </c>
      <c r="CX502" s="64">
        <v>0.0</v>
      </c>
      <c r="CY502" s="64">
        <v>4055.94</v>
      </c>
      <c r="CZ502" s="64">
        <v>0.0</v>
      </c>
      <c r="DA502" s="64">
        <v>0.0</v>
      </c>
      <c r="DB502" s="64">
        <v>4175.9400000000005</v>
      </c>
      <c r="DC502" s="72">
        <v>5991.5</v>
      </c>
      <c r="DD502" s="72">
        <v>0.0</v>
      </c>
      <c r="DE502" s="72">
        <v>9920.599999999999</v>
      </c>
      <c r="DF502" s="72">
        <v>0.0</v>
      </c>
      <c r="DG502" s="72">
        <v>0.0</v>
      </c>
      <c r="DH502" s="72">
        <v>15912.099999999999</v>
      </c>
      <c r="DI502" s="73">
        <v>2.0600256808E10</v>
      </c>
      <c r="DJ502" s="74" t="s">
        <v>1583</v>
      </c>
      <c r="DK502" s="74" t="s">
        <v>132</v>
      </c>
      <c r="DL502" s="75"/>
      <c r="DM502" s="75"/>
      <c r="DN502" s="75"/>
      <c r="DO502" s="75"/>
      <c r="DP502" s="75"/>
      <c r="DQ502" s="75"/>
      <c r="DR502" s="75"/>
      <c r="DS502" s="75"/>
      <c r="DT502" s="75"/>
      <c r="DU502" s="75"/>
      <c r="DV502" s="75"/>
      <c r="DW502" s="75"/>
      <c r="DX502" s="75"/>
      <c r="DY502" s="75"/>
      <c r="DZ502" s="75"/>
      <c r="EA502" s="75"/>
      <c r="EB502" s="75"/>
      <c r="EC502" s="75"/>
      <c r="ED502" s="75"/>
      <c r="EE502" s="75"/>
    </row>
    <row r="503" ht="47.25" customHeight="1">
      <c r="A503" s="55" t="s">
        <v>1584</v>
      </c>
      <c r="B503" s="55" t="s">
        <v>146</v>
      </c>
      <c r="C503" s="55" t="s">
        <v>146</v>
      </c>
      <c r="D503" s="55" t="s">
        <v>1060</v>
      </c>
      <c r="E503" s="55">
        <v>220601.0</v>
      </c>
      <c r="F503" s="55" t="s">
        <v>1060</v>
      </c>
      <c r="G503" s="55" t="s">
        <v>1094</v>
      </c>
      <c r="H503" s="55" t="s">
        <v>1095</v>
      </c>
      <c r="I503" s="56"/>
      <c r="J503" s="56"/>
      <c r="K503" s="56"/>
      <c r="L503" s="56"/>
      <c r="M503" s="56"/>
      <c r="N503" s="56"/>
      <c r="O503" s="56">
        <v>1.0</v>
      </c>
      <c r="P503" s="56">
        <v>1.0</v>
      </c>
      <c r="Q503" s="56" t="s">
        <v>131</v>
      </c>
      <c r="R503" s="58" t="str">
        <f t="shared" si="1"/>
        <v>2024 - 2025</v>
      </c>
      <c r="S503" s="59" t="str">
        <f>SUM(Hoja1!$I503:$P503)</f>
        <v>2</v>
      </c>
      <c r="T503" s="59" t="str">
        <f>IF(OR(Hoja1!$J503=1,Hoja1!$K503=1,Hoja1!$L503=1,Hoja1!$M503=1,Hoja1!$N503=1,Hoja1!$O503=1,Hoja1!$P503=1),"SI","NO")</f>
        <v>SI</v>
      </c>
      <c r="U503" s="59" t="str">
        <f>IF(OR(Hoja1!$K503=1,Hoja1!$L503=1,Hoja1!$M503=1,Hoja1!$N503=1,Hoja1!$O503=1,Hoja1!$P503=1),"SI","NO")</f>
        <v>SI</v>
      </c>
      <c r="V503" s="60">
        <v>0.0</v>
      </c>
      <c r="W503" s="61">
        <v>0.0</v>
      </c>
      <c r="X503" s="61">
        <v>0.0</v>
      </c>
      <c r="Y503" s="60">
        <v>0.0</v>
      </c>
      <c r="Z503" s="61">
        <v>0.0</v>
      </c>
      <c r="AA503" s="61">
        <v>0.0</v>
      </c>
      <c r="AB503" s="60">
        <v>0.0</v>
      </c>
      <c r="AC503" s="61">
        <v>0.0</v>
      </c>
      <c r="AD503" s="61">
        <v>0.0</v>
      </c>
      <c r="AE503" s="60">
        <v>0.0</v>
      </c>
      <c r="AF503" s="61">
        <v>0.0</v>
      </c>
      <c r="AG503" s="61">
        <v>0.0</v>
      </c>
      <c r="AH503" s="60">
        <v>0.0</v>
      </c>
      <c r="AI503" s="61">
        <v>0.0</v>
      </c>
      <c r="AJ503" s="61">
        <v>0.0</v>
      </c>
      <c r="AK503" s="60">
        <v>0.0</v>
      </c>
      <c r="AL503" s="61">
        <v>450.0</v>
      </c>
      <c r="AM503" s="61">
        <v>110.0</v>
      </c>
      <c r="AN503" s="60">
        <v>560.0</v>
      </c>
      <c r="AO503" s="62">
        <v>491.0</v>
      </c>
      <c r="AP503" s="62">
        <v>159.0</v>
      </c>
      <c r="AQ503" s="60">
        <v>650.0</v>
      </c>
      <c r="AR503" s="60" t="str">
        <f>IF(Hoja1!$AQ503&gt;0,Hoja1!$AQ503,IF(Hoja1!$AN503&gt;0,Hoja1!$AN503,IF(Hoja1!$AK503&gt;0,Hoja1!$AK503,IF(Hoja1!$AH503&gt;0,Hoja1!$AH503,IF(Hoja1!$AE503&gt;0,Hoja1!$AE503,IF(Hoja1!$AB503&gt;0,Hoja1!$AB503,IF(Hoja1!$Y503&gt;0,Hoja1!$Y503,IF(Hoja1!$V503&gt;0,Hoja1!$V503," ---"))))))))</f>
        <v>650</v>
      </c>
      <c r="AS503" s="63">
        <v>0.0</v>
      </c>
      <c r="AT503" s="63">
        <v>0.0</v>
      </c>
      <c r="AU503" s="63">
        <v>0.0</v>
      </c>
      <c r="AV503" s="63">
        <v>0.0</v>
      </c>
      <c r="AW503" s="63">
        <v>0.0</v>
      </c>
      <c r="AX503" s="63">
        <v>0.0</v>
      </c>
      <c r="AY503" s="63">
        <v>0.0</v>
      </c>
      <c r="AZ503" s="63">
        <v>0.0</v>
      </c>
      <c r="BA503" s="63">
        <v>2.0</v>
      </c>
      <c r="BB503" s="63">
        <v>0.0</v>
      </c>
      <c r="BC503" s="63">
        <v>12.0</v>
      </c>
      <c r="BD503" s="63">
        <v>0.0</v>
      </c>
      <c r="BE503" s="64">
        <v>0.0</v>
      </c>
      <c r="BF503" s="69">
        <v>0.0</v>
      </c>
      <c r="BG503" s="69">
        <v>0.0</v>
      </c>
      <c r="BH503" s="64">
        <v>0.0</v>
      </c>
      <c r="BI503" s="67" t="str">
        <f t="shared" si="175"/>
        <v>#REF!</v>
      </c>
      <c r="BJ503" s="68" t="str">
        <f t="shared" si="176"/>
        <v>#REF!</v>
      </c>
      <c r="BK503" s="69">
        <v>0.0</v>
      </c>
      <c r="BL503" s="69">
        <v>0.0</v>
      </c>
      <c r="BM503" s="64">
        <v>0.0</v>
      </c>
      <c r="BN503" s="67" t="str">
        <f t="shared" si="177"/>
        <v>#REF!</v>
      </c>
      <c r="BO503" s="68" t="str">
        <f t="shared" si="178"/>
        <v>#REF!</v>
      </c>
      <c r="BP503" s="65">
        <v>0.0</v>
      </c>
      <c r="BQ503" s="65">
        <v>0.0</v>
      </c>
      <c r="BR503" s="66">
        <v>0.0</v>
      </c>
      <c r="BS503" s="67" t="str">
        <f t="shared" si="179"/>
        <v>#REF!</v>
      </c>
      <c r="BT503" s="68" t="str">
        <f>'[1]DATA CONSOLIDADA 2018-2025 '!$BR503-Hoja1!$BO503</f>
        <v>#REF!</v>
      </c>
      <c r="BU503" s="69">
        <v>0.0</v>
      </c>
      <c r="BV503" s="65">
        <v>0.0</v>
      </c>
      <c r="BW503" s="66">
        <v>0.0</v>
      </c>
      <c r="BX503" s="67" t="str">
        <f t="shared" si="180"/>
        <v>#REF!</v>
      </c>
      <c r="BY503" s="68" t="str">
        <f t="shared" si="181"/>
        <v>#REF!</v>
      </c>
      <c r="BZ503" s="65">
        <v>0.0</v>
      </c>
      <c r="CA503" s="65">
        <v>0.0</v>
      </c>
      <c r="CB503" s="66">
        <v>0.0</v>
      </c>
      <c r="CC503" s="67" t="str">
        <f t="shared" si="182"/>
        <v>#REF!</v>
      </c>
      <c r="CD503" s="68" t="str">
        <f>'[1]DATA CONSOLIDADA 2018-2025 '!$CB503-Hoja1!$BW503</f>
        <v>#REF!</v>
      </c>
      <c r="CE503" s="70">
        <v>157966.0123</v>
      </c>
      <c r="CF503" s="70">
        <v>4.628587041319404E7</v>
      </c>
      <c r="CG503" s="71">
        <v>4.644383642549404E7</v>
      </c>
      <c r="CH503" s="67" t="str">
        <f t="shared" si="183"/>
        <v>#REF!</v>
      </c>
      <c r="CI503" s="68" t="str">
        <f>'[1]DATA CONSOLIDADA 2018-2025 '!$CG503-Hoja1!$CB503</f>
        <v>#REF!</v>
      </c>
      <c r="CJ503" s="64" t="str">
        <f t="shared" si="165"/>
        <v>#REF!</v>
      </c>
      <c r="CK503" s="64">
        <v>2693393.9160599997</v>
      </c>
      <c r="CL503" s="64">
        <v>8.08102220210504E7</v>
      </c>
      <c r="CM503" s="64">
        <v>8.35036159371104E7</v>
      </c>
      <c r="CN503" s="64" t="str">
        <f t="shared" si="12"/>
        <v>#REF!</v>
      </c>
      <c r="CO503" s="68" t="str">
        <f>'[1]DATA CONSOLIDADA 2018-2025 '!$CM503-Hoja1!$CG503</f>
        <v>#REF!</v>
      </c>
      <c r="CP503" s="70">
        <v>0.0</v>
      </c>
      <c r="CQ503" s="70">
        <v>0.0</v>
      </c>
      <c r="CR503" s="70">
        <v>0.0</v>
      </c>
      <c r="CS503" s="70">
        <v>0.0</v>
      </c>
      <c r="CT503" s="70">
        <v>0.0</v>
      </c>
      <c r="CU503" s="70">
        <v>0.0</v>
      </c>
      <c r="CV503" s="64">
        <v>0.0</v>
      </c>
      <c r="CW503" s="64">
        <v>55316.0123</v>
      </c>
      <c r="CX503" s="64">
        <v>0.0</v>
      </c>
      <c r="CY503" s="64">
        <v>4.638852041319404E7</v>
      </c>
      <c r="CZ503" s="64">
        <v>0.0</v>
      </c>
      <c r="DA503" s="64">
        <v>0.0</v>
      </c>
      <c r="DB503" s="64">
        <v>4.644383642549404E7</v>
      </c>
      <c r="DC503" s="72">
        <v>0.0</v>
      </c>
      <c r="DD503" s="72">
        <v>0.0</v>
      </c>
      <c r="DE503" s="72">
        <v>8.350361593711042E7</v>
      </c>
      <c r="DF503" s="72">
        <v>0.0</v>
      </c>
      <c r="DG503" s="72">
        <v>0.0</v>
      </c>
      <c r="DH503" s="72">
        <v>8.350361593711042E7</v>
      </c>
      <c r="DI503" s="73">
        <v>2.0542289024E10</v>
      </c>
      <c r="DJ503" s="74" t="s">
        <v>1584</v>
      </c>
      <c r="DK503" s="74" t="s">
        <v>138</v>
      </c>
      <c r="DL503" s="75"/>
      <c r="DM503" s="75"/>
      <c r="DN503" s="75"/>
      <c r="DO503" s="75"/>
      <c r="DP503" s="75"/>
      <c r="DQ503" s="75"/>
      <c r="DR503" s="75"/>
      <c r="DS503" s="75"/>
      <c r="DT503" s="75"/>
      <c r="DU503" s="75"/>
      <c r="DV503" s="75"/>
      <c r="DW503" s="75"/>
      <c r="DX503" s="75"/>
      <c r="DY503" s="75"/>
      <c r="DZ503" s="75"/>
      <c r="EA503" s="75"/>
      <c r="EB503" s="75"/>
      <c r="EC503" s="75"/>
      <c r="ED503" s="75"/>
      <c r="EE503" s="75"/>
    </row>
    <row r="504" ht="47.25" customHeight="1">
      <c r="A504" s="55" t="s">
        <v>1585</v>
      </c>
      <c r="B504" s="55" t="s">
        <v>146</v>
      </c>
      <c r="C504" s="55" t="s">
        <v>146</v>
      </c>
      <c r="D504" s="55" t="s">
        <v>1060</v>
      </c>
      <c r="E504" s="55" t="s">
        <v>1326</v>
      </c>
      <c r="F504" s="55" t="s">
        <v>1060</v>
      </c>
      <c r="G504" s="55" t="s">
        <v>1073</v>
      </c>
      <c r="H504" s="55" t="s">
        <v>1073</v>
      </c>
      <c r="I504" s="56"/>
      <c r="J504" s="56"/>
      <c r="K504" s="56"/>
      <c r="L504" s="56"/>
      <c r="M504" s="56"/>
      <c r="N504" s="56"/>
      <c r="O504" s="56">
        <v>1.0</v>
      </c>
      <c r="P504" s="56">
        <v>1.0</v>
      </c>
      <c r="Q504" s="56" t="s">
        <v>131</v>
      </c>
      <c r="R504" s="58" t="str">
        <f t="shared" si="1"/>
        <v>2024 - 2025</v>
      </c>
      <c r="S504" s="59" t="str">
        <f>SUM(Hoja1!$I504:$P504)</f>
        <v>2</v>
      </c>
      <c r="T504" s="59" t="str">
        <f>IF(OR(Hoja1!$J504=1,Hoja1!$K504=1,Hoja1!$L504=1,Hoja1!$M504=1,Hoja1!$N504=1,Hoja1!$O504=1,Hoja1!$P504=1),"SI","NO")</f>
        <v>SI</v>
      </c>
      <c r="U504" s="59" t="str">
        <f>IF(OR(Hoja1!$K504=1,Hoja1!$L504=1,Hoja1!$M504=1,Hoja1!$N504=1,Hoja1!$O504=1,Hoja1!$P504=1),"SI","NO")</f>
        <v>SI</v>
      </c>
      <c r="V504" s="60">
        <v>0.0</v>
      </c>
      <c r="W504" s="61">
        <v>0.0</v>
      </c>
      <c r="X504" s="61">
        <v>0.0</v>
      </c>
      <c r="Y504" s="60">
        <v>0.0</v>
      </c>
      <c r="Z504" s="61">
        <v>0.0</v>
      </c>
      <c r="AA504" s="61">
        <v>0.0</v>
      </c>
      <c r="AB504" s="60">
        <v>0.0</v>
      </c>
      <c r="AC504" s="61">
        <v>0.0</v>
      </c>
      <c r="AD504" s="61">
        <v>0.0</v>
      </c>
      <c r="AE504" s="60">
        <v>0.0</v>
      </c>
      <c r="AF504" s="61">
        <v>0.0</v>
      </c>
      <c r="AG504" s="61">
        <v>0.0</v>
      </c>
      <c r="AH504" s="60">
        <v>0.0</v>
      </c>
      <c r="AI504" s="61">
        <v>0.0</v>
      </c>
      <c r="AJ504" s="61">
        <v>0.0</v>
      </c>
      <c r="AK504" s="60">
        <v>0.0</v>
      </c>
      <c r="AL504" s="61">
        <v>8.0</v>
      </c>
      <c r="AM504" s="61">
        <v>3.0</v>
      </c>
      <c r="AN504" s="60">
        <v>11.0</v>
      </c>
      <c r="AO504" s="62">
        <v>15.0</v>
      </c>
      <c r="AP504" s="62">
        <v>5.0</v>
      </c>
      <c r="AQ504" s="60">
        <v>20.0</v>
      </c>
      <c r="AR504" s="60" t="str">
        <f>IF(Hoja1!$AQ504&gt;0,Hoja1!$AQ504,IF(Hoja1!$AN504&gt;0,Hoja1!$AN504,IF(Hoja1!$AK504&gt;0,Hoja1!$AK504,IF(Hoja1!$AH504&gt;0,Hoja1!$AH504,IF(Hoja1!$AE504&gt;0,Hoja1!$AE504,IF(Hoja1!$AB504&gt;0,Hoja1!$AB504,IF(Hoja1!$Y504&gt;0,Hoja1!$Y504,IF(Hoja1!$V504&gt;0,Hoja1!$V504," ---"))))))))</f>
        <v>20</v>
      </c>
      <c r="AS504" s="63">
        <v>0.0</v>
      </c>
      <c r="AT504" s="63">
        <v>0.0</v>
      </c>
      <c r="AU504" s="63">
        <v>0.0</v>
      </c>
      <c r="AV504" s="63">
        <v>0.0</v>
      </c>
      <c r="AW504" s="63">
        <v>0.0</v>
      </c>
      <c r="AX504" s="63">
        <v>0.0</v>
      </c>
      <c r="AY504" s="63">
        <v>0.0</v>
      </c>
      <c r="AZ504" s="63">
        <v>0.0</v>
      </c>
      <c r="BA504" s="63">
        <v>2.0</v>
      </c>
      <c r="BB504" s="63">
        <v>0.0</v>
      </c>
      <c r="BC504" s="63">
        <v>12.0</v>
      </c>
      <c r="BD504" s="63">
        <v>0.0</v>
      </c>
      <c r="BE504" s="64">
        <v>0.0</v>
      </c>
      <c r="BF504" s="69">
        <v>0.0</v>
      </c>
      <c r="BG504" s="69">
        <v>0.0</v>
      </c>
      <c r="BH504" s="64">
        <v>0.0</v>
      </c>
      <c r="BI504" s="67" t="str">
        <f t="shared" si="175"/>
        <v>#REF!</v>
      </c>
      <c r="BJ504" s="68" t="str">
        <f t="shared" si="176"/>
        <v>#REF!</v>
      </c>
      <c r="BK504" s="69">
        <v>0.0</v>
      </c>
      <c r="BL504" s="69">
        <v>0.0</v>
      </c>
      <c r="BM504" s="64">
        <v>0.0</v>
      </c>
      <c r="BN504" s="67" t="str">
        <f t="shared" si="177"/>
        <v>#REF!</v>
      </c>
      <c r="BO504" s="68" t="str">
        <f t="shared" si="178"/>
        <v>#REF!</v>
      </c>
      <c r="BP504" s="65">
        <v>0.0</v>
      </c>
      <c r="BQ504" s="65">
        <v>0.0</v>
      </c>
      <c r="BR504" s="66">
        <v>0.0</v>
      </c>
      <c r="BS504" s="67" t="str">
        <f t="shared" si="179"/>
        <v>#REF!</v>
      </c>
      <c r="BT504" s="68" t="str">
        <f>'[1]DATA CONSOLIDADA 2018-2025 '!$BR504-Hoja1!$BO504</f>
        <v>#REF!</v>
      </c>
      <c r="BU504" s="69">
        <v>0.0</v>
      </c>
      <c r="BV504" s="65">
        <v>0.0</v>
      </c>
      <c r="BW504" s="66">
        <v>0.0</v>
      </c>
      <c r="BX504" s="67" t="str">
        <f t="shared" si="180"/>
        <v>#REF!</v>
      </c>
      <c r="BY504" s="68" t="str">
        <f t="shared" si="181"/>
        <v>#REF!</v>
      </c>
      <c r="BZ504" s="65">
        <v>0.0</v>
      </c>
      <c r="CA504" s="65">
        <v>0.0</v>
      </c>
      <c r="CB504" s="66">
        <v>0.0</v>
      </c>
      <c r="CC504" s="67" t="str">
        <f t="shared" si="182"/>
        <v>#REF!</v>
      </c>
      <c r="CD504" s="68" t="str">
        <f>'[1]DATA CONSOLIDADA 2018-2025 '!$CB504-Hoja1!$BW504</f>
        <v>#REF!</v>
      </c>
      <c r="CE504" s="70">
        <v>0.0</v>
      </c>
      <c r="CF504" s="70">
        <v>0.0</v>
      </c>
      <c r="CG504" s="71">
        <v>0.0</v>
      </c>
      <c r="CH504" s="67" t="str">
        <f t="shared" si="183"/>
        <v>#REF!</v>
      </c>
      <c r="CI504" s="68" t="str">
        <f>'[1]DATA CONSOLIDADA 2018-2025 '!$CG504-Hoja1!$CB504</f>
        <v>#REF!</v>
      </c>
      <c r="CJ504" s="64" t="str">
        <f t="shared" si="165"/>
        <v>#REF!</v>
      </c>
      <c r="CK504" s="64">
        <v>0.0</v>
      </c>
      <c r="CL504" s="64">
        <v>9762818.5</v>
      </c>
      <c r="CM504" s="64">
        <v>9762818.5</v>
      </c>
      <c r="CN504" s="64" t="str">
        <f t="shared" si="12"/>
        <v>#REF!</v>
      </c>
      <c r="CO504" s="68" t="str">
        <f>'[1]DATA CONSOLIDADA 2018-2025 '!$CM504-Hoja1!$CG504</f>
        <v>#REF!</v>
      </c>
      <c r="CP504" s="70">
        <v>0.0</v>
      </c>
      <c r="CQ504" s="70">
        <v>0.0</v>
      </c>
      <c r="CR504" s="70">
        <v>0.0</v>
      </c>
      <c r="CS504" s="70">
        <v>0.0</v>
      </c>
      <c r="CT504" s="70">
        <v>0.0</v>
      </c>
      <c r="CU504" s="70">
        <v>0.0</v>
      </c>
      <c r="CV504" s="64">
        <v>0.0</v>
      </c>
      <c r="CW504" s="64">
        <v>0.0</v>
      </c>
      <c r="CX504" s="64">
        <v>0.0</v>
      </c>
      <c r="CY504" s="64">
        <v>0.0</v>
      </c>
      <c r="CZ504" s="64">
        <v>0.0</v>
      </c>
      <c r="DA504" s="64">
        <v>0.0</v>
      </c>
      <c r="DB504" s="64">
        <v>0.0</v>
      </c>
      <c r="DC504" s="72">
        <v>0.0</v>
      </c>
      <c r="DD504" s="72">
        <v>0.0</v>
      </c>
      <c r="DE504" s="72">
        <v>9762818.5</v>
      </c>
      <c r="DF504" s="72">
        <v>0.0</v>
      </c>
      <c r="DG504" s="72">
        <v>0.0</v>
      </c>
      <c r="DH504" s="72">
        <v>9762818.5</v>
      </c>
      <c r="DI504" s="73">
        <v>2.0542257416E10</v>
      </c>
      <c r="DJ504" s="74" t="s">
        <v>1585</v>
      </c>
      <c r="DK504" s="74" t="s">
        <v>306</v>
      </c>
      <c r="DL504" s="75"/>
      <c r="DM504" s="75"/>
      <c r="DN504" s="75"/>
      <c r="DO504" s="75"/>
      <c r="DP504" s="75"/>
      <c r="DQ504" s="75"/>
      <c r="DR504" s="75"/>
      <c r="DS504" s="75"/>
      <c r="DT504" s="75"/>
      <c r="DU504" s="75"/>
      <c r="DV504" s="75"/>
      <c r="DW504" s="75"/>
      <c r="DX504" s="75"/>
      <c r="DY504" s="75"/>
      <c r="DZ504" s="75"/>
      <c r="EA504" s="75"/>
      <c r="EB504" s="75"/>
      <c r="EC504" s="75"/>
      <c r="ED504" s="75"/>
      <c r="EE504" s="75"/>
    </row>
    <row r="505" ht="47.25" customHeight="1">
      <c r="A505" s="55" t="s">
        <v>1586</v>
      </c>
      <c r="B505" s="55" t="s">
        <v>146</v>
      </c>
      <c r="C505" s="55" t="s">
        <v>146</v>
      </c>
      <c r="D505" s="55" t="s">
        <v>1060</v>
      </c>
      <c r="E505" s="55">
        <v>220601.0</v>
      </c>
      <c r="F505" s="55" t="s">
        <v>1060</v>
      </c>
      <c r="G505" s="55" t="s">
        <v>1094</v>
      </c>
      <c r="H505" s="55" t="s">
        <v>1095</v>
      </c>
      <c r="I505" s="56"/>
      <c r="J505" s="56"/>
      <c r="K505" s="56"/>
      <c r="L505" s="56"/>
      <c r="M505" s="56"/>
      <c r="N505" s="56"/>
      <c r="O505" s="56">
        <v>1.0</v>
      </c>
      <c r="P505" s="56">
        <v>1.0</v>
      </c>
      <c r="Q505" s="56" t="s">
        <v>131</v>
      </c>
      <c r="R505" s="58" t="str">
        <f t="shared" si="1"/>
        <v>2024 - 2025</v>
      </c>
      <c r="S505" s="59" t="str">
        <f>SUM(Hoja1!$I505:$P505)</f>
        <v>2</v>
      </c>
      <c r="T505" s="59" t="str">
        <f>IF(OR(Hoja1!$J505=1,Hoja1!$K505=1,Hoja1!$L505=1,Hoja1!$M505=1,Hoja1!$N505=1,Hoja1!$O505=1,Hoja1!$P505=1),"SI","NO")</f>
        <v>SI</v>
      </c>
      <c r="U505" s="59" t="str">
        <f>IF(OR(Hoja1!$K505=1,Hoja1!$L505=1,Hoja1!$M505=1,Hoja1!$N505=1,Hoja1!$O505=1,Hoja1!$P505=1),"SI","NO")</f>
        <v>SI</v>
      </c>
      <c r="V505" s="60">
        <v>0.0</v>
      </c>
      <c r="W505" s="61">
        <v>0.0</v>
      </c>
      <c r="X505" s="61">
        <v>0.0</v>
      </c>
      <c r="Y505" s="60">
        <v>0.0</v>
      </c>
      <c r="Z505" s="61">
        <v>0.0</v>
      </c>
      <c r="AA505" s="61">
        <v>0.0</v>
      </c>
      <c r="AB505" s="60">
        <v>0.0</v>
      </c>
      <c r="AC505" s="61">
        <v>0.0</v>
      </c>
      <c r="AD505" s="61">
        <v>0.0</v>
      </c>
      <c r="AE505" s="60">
        <v>0.0</v>
      </c>
      <c r="AF505" s="61">
        <v>0.0</v>
      </c>
      <c r="AG505" s="61">
        <v>0.0</v>
      </c>
      <c r="AH505" s="60">
        <v>0.0</v>
      </c>
      <c r="AI505" s="61">
        <v>0.0</v>
      </c>
      <c r="AJ505" s="61">
        <v>0.0</v>
      </c>
      <c r="AK505" s="60">
        <v>0.0</v>
      </c>
      <c r="AL505" s="61">
        <v>22.0</v>
      </c>
      <c r="AM505" s="61">
        <v>8.0</v>
      </c>
      <c r="AN505" s="60">
        <v>30.0</v>
      </c>
      <c r="AO505" s="62">
        <v>33.0</v>
      </c>
      <c r="AP505" s="62">
        <v>25.0</v>
      </c>
      <c r="AQ505" s="60">
        <v>58.0</v>
      </c>
      <c r="AR505" s="60" t="str">
        <f>IF(Hoja1!$AQ505&gt;0,Hoja1!$AQ505,IF(Hoja1!$AN505&gt;0,Hoja1!$AN505,IF(Hoja1!$AK505&gt;0,Hoja1!$AK505,IF(Hoja1!$AH505&gt;0,Hoja1!$AH505,IF(Hoja1!$AE505&gt;0,Hoja1!$AE505,IF(Hoja1!$AB505&gt;0,Hoja1!$AB505,IF(Hoja1!$Y505&gt;0,Hoja1!$Y505,IF(Hoja1!$V505&gt;0,Hoja1!$V505," ---"))))))))</f>
        <v>58</v>
      </c>
      <c r="AS505" s="63">
        <v>0.0</v>
      </c>
      <c r="AT505" s="63">
        <v>0.0</v>
      </c>
      <c r="AU505" s="63">
        <v>0.0</v>
      </c>
      <c r="AV505" s="63">
        <v>0.0</v>
      </c>
      <c r="AW505" s="63">
        <v>0.0</v>
      </c>
      <c r="AX505" s="63">
        <v>0.0</v>
      </c>
      <c r="AY505" s="63">
        <v>0.0</v>
      </c>
      <c r="AZ505" s="63">
        <v>0.0</v>
      </c>
      <c r="BA505" s="63">
        <v>3.0</v>
      </c>
      <c r="BB505" s="63">
        <v>0.0</v>
      </c>
      <c r="BC505" s="63">
        <v>12.0</v>
      </c>
      <c r="BD505" s="63">
        <v>0.0</v>
      </c>
      <c r="BE505" s="64">
        <v>0.0</v>
      </c>
      <c r="BF505" s="69">
        <v>0.0</v>
      </c>
      <c r="BG505" s="69">
        <v>0.0</v>
      </c>
      <c r="BH505" s="64">
        <v>0.0</v>
      </c>
      <c r="BI505" s="67" t="str">
        <f t="shared" si="175"/>
        <v>#REF!</v>
      </c>
      <c r="BJ505" s="68" t="str">
        <f t="shared" si="176"/>
        <v>#REF!</v>
      </c>
      <c r="BK505" s="69">
        <v>0.0</v>
      </c>
      <c r="BL505" s="69">
        <v>0.0</v>
      </c>
      <c r="BM505" s="64">
        <v>0.0</v>
      </c>
      <c r="BN505" s="67" t="str">
        <f t="shared" si="177"/>
        <v>#REF!</v>
      </c>
      <c r="BO505" s="68" t="str">
        <f t="shared" si="178"/>
        <v>#REF!</v>
      </c>
      <c r="BP505" s="65">
        <v>0.0</v>
      </c>
      <c r="BQ505" s="65">
        <v>0.0</v>
      </c>
      <c r="BR505" s="66">
        <v>0.0</v>
      </c>
      <c r="BS505" s="67" t="str">
        <f t="shared" si="179"/>
        <v>#REF!</v>
      </c>
      <c r="BT505" s="68" t="str">
        <f>'[1]DATA CONSOLIDADA 2018-2025 '!$BR505-Hoja1!$BO505</f>
        <v>#REF!</v>
      </c>
      <c r="BU505" s="69">
        <v>0.0</v>
      </c>
      <c r="BV505" s="65">
        <v>0.0</v>
      </c>
      <c r="BW505" s="66">
        <v>0.0</v>
      </c>
      <c r="BX505" s="67" t="str">
        <f t="shared" si="180"/>
        <v>#REF!</v>
      </c>
      <c r="BY505" s="68" t="str">
        <f t="shared" si="181"/>
        <v>#REF!</v>
      </c>
      <c r="BZ505" s="65">
        <v>0.0</v>
      </c>
      <c r="CA505" s="65">
        <v>0.0</v>
      </c>
      <c r="CB505" s="66">
        <v>0.0</v>
      </c>
      <c r="CC505" s="67" t="str">
        <f t="shared" si="182"/>
        <v>#REF!</v>
      </c>
      <c r="CD505" s="68" t="str">
        <f>'[1]DATA CONSOLIDADA 2018-2025 '!$CB505-Hoja1!$BW505</f>
        <v>#REF!</v>
      </c>
      <c r="CE505" s="70">
        <v>0.0</v>
      </c>
      <c r="CF505" s="70">
        <v>0.0</v>
      </c>
      <c r="CG505" s="71">
        <v>0.0</v>
      </c>
      <c r="CH505" s="67" t="str">
        <f t="shared" si="183"/>
        <v>#REF!</v>
      </c>
      <c r="CI505" s="68" t="str">
        <f>'[1]DATA CONSOLIDADA 2018-2025 '!$CG505-Hoja1!$CB505</f>
        <v>#REF!</v>
      </c>
      <c r="CJ505" s="64" t="str">
        <f t="shared" si="165"/>
        <v>#REF!</v>
      </c>
      <c r="CK505" s="64">
        <v>0.0</v>
      </c>
      <c r="CL505" s="64">
        <v>0.0</v>
      </c>
      <c r="CM505" s="64">
        <v>0.0</v>
      </c>
      <c r="CN505" s="64" t="str">
        <f t="shared" si="12"/>
        <v>#REF!</v>
      </c>
      <c r="CO505" s="68" t="str">
        <f>'[1]DATA CONSOLIDADA 2018-2025 '!$CM505-Hoja1!$CG505</f>
        <v>#REF!</v>
      </c>
      <c r="CP505" s="70">
        <v>0.0</v>
      </c>
      <c r="CQ505" s="70">
        <v>0.0</v>
      </c>
      <c r="CR505" s="70">
        <v>0.0</v>
      </c>
      <c r="CS505" s="70">
        <v>0.0</v>
      </c>
      <c r="CT505" s="70">
        <v>0.0</v>
      </c>
      <c r="CU505" s="70">
        <v>0.0</v>
      </c>
      <c r="CV505" s="64">
        <v>0.0</v>
      </c>
      <c r="CW505" s="64">
        <v>0.0</v>
      </c>
      <c r="CX505" s="64">
        <v>0.0</v>
      </c>
      <c r="CY505" s="64">
        <v>0.0</v>
      </c>
      <c r="CZ505" s="64">
        <v>0.0</v>
      </c>
      <c r="DA505" s="64">
        <v>0.0</v>
      </c>
      <c r="DB505" s="64">
        <v>0.0</v>
      </c>
      <c r="DC505" s="72">
        <v>0.0</v>
      </c>
      <c r="DD505" s="72">
        <v>0.0</v>
      </c>
      <c r="DE505" s="72">
        <v>0.0</v>
      </c>
      <c r="DF505" s="72">
        <v>0.0</v>
      </c>
      <c r="DG505" s="72">
        <v>0.0</v>
      </c>
      <c r="DH505" s="72">
        <v>0.0</v>
      </c>
      <c r="DI505" s="73">
        <v>2.0606556331E10</v>
      </c>
      <c r="DJ505" s="74" t="s">
        <v>1586</v>
      </c>
      <c r="DK505" s="74" t="s">
        <v>138</v>
      </c>
      <c r="DL505" s="75"/>
      <c r="DM505" s="75"/>
      <c r="DN505" s="75"/>
      <c r="DO505" s="75"/>
      <c r="DP505" s="75"/>
      <c r="DQ505" s="75"/>
      <c r="DR505" s="75"/>
      <c r="DS505" s="75"/>
      <c r="DT505" s="75"/>
      <c r="DU505" s="75"/>
      <c r="DV505" s="75"/>
      <c r="DW505" s="75"/>
      <c r="DX505" s="75"/>
      <c r="DY505" s="75"/>
      <c r="DZ505" s="75"/>
      <c r="EA505" s="75"/>
      <c r="EB505" s="75"/>
      <c r="EC505" s="75"/>
      <c r="ED505" s="75"/>
      <c r="EE505" s="75"/>
    </row>
    <row r="506" ht="47.25" hidden="1" customHeight="1">
      <c r="A506" s="55" t="s">
        <v>1587</v>
      </c>
      <c r="B506" s="55" t="s">
        <v>126</v>
      </c>
      <c r="C506" s="55" t="s">
        <v>1588</v>
      </c>
      <c r="D506" s="55" t="s">
        <v>127</v>
      </c>
      <c r="E506" s="55" t="s">
        <v>1589</v>
      </c>
      <c r="F506" s="55" t="s">
        <v>127</v>
      </c>
      <c r="G506" s="55" t="s">
        <v>1361</v>
      </c>
      <c r="H506" s="55" t="s">
        <v>1590</v>
      </c>
      <c r="I506" s="56"/>
      <c r="J506" s="56"/>
      <c r="K506" s="56"/>
      <c r="L506" s="56"/>
      <c r="M506" s="56"/>
      <c r="N506" s="56"/>
      <c r="O506" s="56"/>
      <c r="P506" s="56">
        <v>1.0</v>
      </c>
      <c r="Q506" s="56" t="s">
        <v>131</v>
      </c>
      <c r="R506" s="58" t="str">
        <f t="shared" si="1"/>
        <v>2025</v>
      </c>
      <c r="S506" s="59" t="str">
        <f>SUM(Hoja1!$I506:$P506)</f>
        <v>1</v>
      </c>
      <c r="T506" s="59" t="str">
        <f>IF(OR(Hoja1!$J506=1,Hoja1!$K506=1,Hoja1!$L506=1,Hoja1!$M506=1,Hoja1!$N506=1,Hoja1!$O506=1,Hoja1!$P506=1),"SI","NO")</f>
        <v>SI</v>
      </c>
      <c r="U506" s="59" t="str">
        <f>IF(OR(Hoja1!$K506=1,Hoja1!$L506=1,Hoja1!$M506=1,Hoja1!$N506=1,Hoja1!$O506=1,Hoja1!$P506=1),"SI","NO")</f>
        <v>SI</v>
      </c>
      <c r="V506" s="60">
        <v>0.0</v>
      </c>
      <c r="W506" s="61">
        <v>0.0</v>
      </c>
      <c r="X506" s="61">
        <v>0.0</v>
      </c>
      <c r="Y506" s="60">
        <v>0.0</v>
      </c>
      <c r="Z506" s="61">
        <v>0.0</v>
      </c>
      <c r="AA506" s="61">
        <v>0.0</v>
      </c>
      <c r="AB506" s="60">
        <v>0.0</v>
      </c>
      <c r="AC506" s="61">
        <v>0.0</v>
      </c>
      <c r="AD506" s="61">
        <v>0.0</v>
      </c>
      <c r="AE506" s="60">
        <v>0.0</v>
      </c>
      <c r="AF506" s="61">
        <v>0.0</v>
      </c>
      <c r="AG506" s="61">
        <v>0.0</v>
      </c>
      <c r="AH506" s="60">
        <v>0.0</v>
      </c>
      <c r="AI506" s="61">
        <v>0.0</v>
      </c>
      <c r="AJ506" s="61">
        <v>0.0</v>
      </c>
      <c r="AK506" s="60">
        <v>0.0</v>
      </c>
      <c r="AL506" s="61">
        <v>0.0</v>
      </c>
      <c r="AM506" s="61">
        <v>0.0</v>
      </c>
      <c r="AN506" s="60">
        <v>0.0</v>
      </c>
      <c r="AO506" s="62">
        <v>0.0</v>
      </c>
      <c r="AP506" s="62">
        <v>174.0</v>
      </c>
      <c r="AQ506" s="60">
        <v>174.0</v>
      </c>
      <c r="AR506" s="60" t="str">
        <f>IF(Hoja1!$AQ506&gt;0,Hoja1!$AQ506,IF(Hoja1!$AN506&gt;0,Hoja1!$AN506,IF(Hoja1!$AK506&gt;0,Hoja1!$AK506,IF(Hoja1!$AH506&gt;0,Hoja1!$AH506,IF(Hoja1!$AE506&gt;0,Hoja1!$AE506,IF(Hoja1!$AB506&gt;0,Hoja1!$AB506,IF(Hoja1!$Y506&gt;0,Hoja1!$Y506,IF(Hoja1!$V506&gt;0,Hoja1!$V506," ---"))))))))</f>
        <v>174</v>
      </c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>
        <v>21.0</v>
      </c>
      <c r="BD506" s="63">
        <v>6.0</v>
      </c>
      <c r="BE506" s="64"/>
      <c r="BF506" s="69"/>
      <c r="BG506" s="69"/>
      <c r="BH506" s="64"/>
      <c r="BI506" s="67" t="str">
        <f t="shared" si="175"/>
        <v>#REF!</v>
      </c>
      <c r="BJ506" s="68" t="str">
        <f t="shared" si="176"/>
        <v>#REF!</v>
      </c>
      <c r="BK506" s="69"/>
      <c r="BL506" s="69"/>
      <c r="BM506" s="64"/>
      <c r="BN506" s="67" t="str">
        <f t="shared" si="177"/>
        <v>#REF!</v>
      </c>
      <c r="BO506" s="68" t="str">
        <f t="shared" si="178"/>
        <v>#REF!</v>
      </c>
      <c r="BP506" s="65"/>
      <c r="BQ506" s="65"/>
      <c r="BR506" s="66"/>
      <c r="BS506" s="67" t="str">
        <f t="shared" si="179"/>
        <v>#REF!</v>
      </c>
      <c r="BT506" s="68" t="str">
        <f>'[1]DATA CONSOLIDADA 2018-2025 '!$BR506-Hoja1!$BO506</f>
        <v>#REF!</v>
      </c>
      <c r="BU506" s="69"/>
      <c r="BV506" s="65"/>
      <c r="BW506" s="66"/>
      <c r="BX506" s="67" t="str">
        <f t="shared" si="180"/>
        <v>#REF!</v>
      </c>
      <c r="BY506" s="68" t="str">
        <f t="shared" si="181"/>
        <v>#REF!</v>
      </c>
      <c r="BZ506" s="65"/>
      <c r="CA506" s="65"/>
      <c r="CB506" s="66"/>
      <c r="CC506" s="67" t="str">
        <f t="shared" si="182"/>
        <v>#REF!</v>
      </c>
      <c r="CD506" s="68" t="str">
        <f>'[1]DATA CONSOLIDADA 2018-2025 '!$CB506-Hoja1!$BW506</f>
        <v>#REF!</v>
      </c>
      <c r="CE506" s="70"/>
      <c r="CF506" s="70"/>
      <c r="CG506" s="71"/>
      <c r="CH506" s="67" t="str">
        <f t="shared" si="183"/>
        <v>#REF!</v>
      </c>
      <c r="CI506" s="68" t="str">
        <f>'[1]DATA CONSOLIDADA 2018-2025 '!$CG506-Hoja1!$CB506</f>
        <v>#REF!</v>
      </c>
      <c r="CJ506" s="64" t="str">
        <f t="shared" si="165"/>
        <v>#REF!</v>
      </c>
      <c r="CK506" s="64">
        <v>0.0</v>
      </c>
      <c r="CL506" s="64">
        <v>1032801.7697096</v>
      </c>
      <c r="CM506" s="64">
        <v>1032801.7697096</v>
      </c>
      <c r="CN506" s="64" t="str">
        <f t="shared" si="12"/>
        <v>#REF!</v>
      </c>
      <c r="CO506" s="68" t="str">
        <f>'[1]DATA CONSOLIDADA 2018-2025 '!$CM506-Hoja1!$CG506</f>
        <v>#REF!</v>
      </c>
      <c r="CP506" s="70"/>
      <c r="CQ506" s="70"/>
      <c r="CR506" s="70"/>
      <c r="CS506" s="70"/>
      <c r="CT506" s="70"/>
      <c r="CU506" s="70"/>
      <c r="CV506" s="64"/>
      <c r="CW506" s="64"/>
      <c r="CX506" s="64"/>
      <c r="CY506" s="64"/>
      <c r="CZ506" s="64"/>
      <c r="DA506" s="64"/>
      <c r="DB506" s="64"/>
      <c r="DC506" s="72">
        <v>0.0</v>
      </c>
      <c r="DD506" s="72">
        <v>0.0</v>
      </c>
      <c r="DE506" s="72">
        <v>1032801.7697096</v>
      </c>
      <c r="DF506" s="72">
        <v>0.0</v>
      </c>
      <c r="DG506" s="72">
        <v>0.0</v>
      </c>
      <c r="DH506" s="72">
        <v>1032801.7697096</v>
      </c>
      <c r="DI506" s="73">
        <v>2.0612331821E10</v>
      </c>
      <c r="DJ506" s="74" t="s">
        <v>1591</v>
      </c>
      <c r="DK506" s="74" t="s">
        <v>138</v>
      </c>
      <c r="DL506" s="75"/>
      <c r="DM506" s="75"/>
      <c r="DN506" s="75"/>
      <c r="DO506" s="75"/>
      <c r="DP506" s="75"/>
      <c r="DQ506" s="75"/>
      <c r="DR506" s="75"/>
      <c r="DS506" s="75"/>
      <c r="DT506" s="75"/>
      <c r="DU506" s="75"/>
      <c r="DV506" s="75"/>
      <c r="DW506" s="75"/>
      <c r="DX506" s="75"/>
      <c r="DY506" s="75"/>
      <c r="DZ506" s="75"/>
      <c r="EA506" s="75"/>
      <c r="EB506" s="75"/>
      <c r="EC506" s="75"/>
      <c r="ED506" s="75"/>
      <c r="EE506" s="75"/>
    </row>
    <row r="507" ht="47.25" hidden="1" customHeight="1">
      <c r="A507" s="55" t="s">
        <v>1592</v>
      </c>
      <c r="B507" s="55" t="s">
        <v>166</v>
      </c>
      <c r="C507" s="55" t="s">
        <v>166</v>
      </c>
      <c r="D507" s="55" t="s">
        <v>227</v>
      </c>
      <c r="E507" s="55" t="s">
        <v>1593</v>
      </c>
      <c r="F507" s="55" t="s">
        <v>227</v>
      </c>
      <c r="G507" s="55" t="s">
        <v>229</v>
      </c>
      <c r="H507" s="55" t="s">
        <v>1594</v>
      </c>
      <c r="I507" s="56"/>
      <c r="J507" s="56"/>
      <c r="K507" s="56"/>
      <c r="L507" s="56"/>
      <c r="M507" s="56"/>
      <c r="N507" s="56"/>
      <c r="O507" s="56"/>
      <c r="P507" s="56">
        <v>1.0</v>
      </c>
      <c r="Q507" s="56" t="s">
        <v>131</v>
      </c>
      <c r="R507" s="58" t="str">
        <f t="shared" si="1"/>
        <v>2025</v>
      </c>
      <c r="S507" s="59" t="str">
        <f>SUM(Hoja1!$I507:$P507)</f>
        <v>1</v>
      </c>
      <c r="T507" s="59" t="str">
        <f>IF(OR(Hoja1!$J507=1,Hoja1!$K507=1,Hoja1!$L507=1,Hoja1!$M507=1,Hoja1!$N507=1,Hoja1!$O507=1,Hoja1!$P507=1),"SI","NO")</f>
        <v>SI</v>
      </c>
      <c r="U507" s="59" t="str">
        <f>IF(OR(Hoja1!$K507=1,Hoja1!$L507=1,Hoja1!$M507=1,Hoja1!$N507=1,Hoja1!$O507=1,Hoja1!$P507=1),"SI","NO")</f>
        <v>SI</v>
      </c>
      <c r="V507" s="60">
        <v>0.0</v>
      </c>
      <c r="W507" s="61">
        <v>0.0</v>
      </c>
      <c r="X507" s="61">
        <v>0.0</v>
      </c>
      <c r="Y507" s="60">
        <v>0.0</v>
      </c>
      <c r="Z507" s="61">
        <v>0.0</v>
      </c>
      <c r="AA507" s="61">
        <v>0.0</v>
      </c>
      <c r="AB507" s="60">
        <v>0.0</v>
      </c>
      <c r="AC507" s="61">
        <v>0.0</v>
      </c>
      <c r="AD507" s="61">
        <v>0.0</v>
      </c>
      <c r="AE507" s="60">
        <v>0.0</v>
      </c>
      <c r="AF507" s="61">
        <v>0.0</v>
      </c>
      <c r="AG507" s="61">
        <v>0.0</v>
      </c>
      <c r="AH507" s="60">
        <v>0.0</v>
      </c>
      <c r="AI507" s="61">
        <v>0.0</v>
      </c>
      <c r="AJ507" s="61">
        <v>0.0</v>
      </c>
      <c r="AK507" s="60">
        <v>0.0</v>
      </c>
      <c r="AL507" s="61">
        <v>0.0</v>
      </c>
      <c r="AM507" s="61">
        <v>0.0</v>
      </c>
      <c r="AN507" s="60">
        <v>0.0</v>
      </c>
      <c r="AO507" s="62">
        <v>14.0</v>
      </c>
      <c r="AP507" s="62">
        <v>4.0</v>
      </c>
      <c r="AQ507" s="60">
        <v>18.0</v>
      </c>
      <c r="AR507" s="60" t="str">
        <f>IF(Hoja1!$AQ507&gt;0,Hoja1!$AQ507,IF(Hoja1!$AN507&gt;0,Hoja1!$AN507,IF(Hoja1!$AK507&gt;0,Hoja1!$AK507,IF(Hoja1!$AH507&gt;0,Hoja1!$AH507,IF(Hoja1!$AE507&gt;0,Hoja1!$AE507,IF(Hoja1!$AB507&gt;0,Hoja1!$AB507,IF(Hoja1!$Y507&gt;0,Hoja1!$Y507,IF(Hoja1!$V507&gt;0,Hoja1!$V507," ---"))))))))</f>
        <v>18</v>
      </c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>
        <v>30.0</v>
      </c>
      <c r="BD507" s="63">
        <v>4.0</v>
      </c>
      <c r="BE507" s="64"/>
      <c r="BF507" s="69"/>
      <c r="BG507" s="69"/>
      <c r="BH507" s="64"/>
      <c r="BI507" s="67" t="str">
        <f t="shared" si="175"/>
        <v>#REF!</v>
      </c>
      <c r="BJ507" s="68" t="str">
        <f t="shared" si="176"/>
        <v>#REF!</v>
      </c>
      <c r="BK507" s="69"/>
      <c r="BL507" s="69"/>
      <c r="BM507" s="64"/>
      <c r="BN507" s="67" t="str">
        <f t="shared" si="177"/>
        <v>#REF!</v>
      </c>
      <c r="BO507" s="68" t="str">
        <f t="shared" si="178"/>
        <v>#REF!</v>
      </c>
      <c r="BP507" s="65"/>
      <c r="BQ507" s="65"/>
      <c r="BR507" s="66"/>
      <c r="BS507" s="67" t="str">
        <f t="shared" si="179"/>
        <v>#REF!</v>
      </c>
      <c r="BT507" s="68" t="str">
        <f>'[1]DATA CONSOLIDADA 2018-2025 '!$BR507-Hoja1!$BO507</f>
        <v>#REF!</v>
      </c>
      <c r="BU507" s="69"/>
      <c r="BV507" s="65"/>
      <c r="BW507" s="66"/>
      <c r="BX507" s="67" t="str">
        <f t="shared" si="180"/>
        <v>#REF!</v>
      </c>
      <c r="BY507" s="68" t="str">
        <f t="shared" si="181"/>
        <v>#REF!</v>
      </c>
      <c r="BZ507" s="65"/>
      <c r="CA507" s="65"/>
      <c r="CB507" s="66"/>
      <c r="CC507" s="67" t="str">
        <f t="shared" si="182"/>
        <v>#REF!</v>
      </c>
      <c r="CD507" s="68" t="str">
        <f>'[1]DATA CONSOLIDADA 2018-2025 '!$CB507-Hoja1!$BW507</f>
        <v>#REF!</v>
      </c>
      <c r="CE507" s="70"/>
      <c r="CF507" s="70"/>
      <c r="CG507" s="71"/>
      <c r="CH507" s="67" t="str">
        <f t="shared" si="183"/>
        <v>#REF!</v>
      </c>
      <c r="CI507" s="68" t="str">
        <f>'[1]DATA CONSOLIDADA 2018-2025 '!$CG507-Hoja1!$CB507</f>
        <v>#REF!</v>
      </c>
      <c r="CJ507" s="64" t="str">
        <f t="shared" si="165"/>
        <v>#REF!</v>
      </c>
      <c r="CK507" s="64">
        <v>157158.0</v>
      </c>
      <c r="CL507" s="64">
        <v>0.0</v>
      </c>
      <c r="CM507" s="64">
        <v>157158.0</v>
      </c>
      <c r="CN507" s="64" t="str">
        <f t="shared" si="12"/>
        <v>#REF!</v>
      </c>
      <c r="CO507" s="68" t="str">
        <f>'[1]DATA CONSOLIDADA 2018-2025 '!$CM507-Hoja1!$CG507</f>
        <v>#REF!</v>
      </c>
      <c r="CP507" s="70"/>
      <c r="CQ507" s="70"/>
      <c r="CR507" s="70"/>
      <c r="CS507" s="70"/>
      <c r="CT507" s="70"/>
      <c r="CU507" s="70"/>
      <c r="CV507" s="64"/>
      <c r="CW507" s="64"/>
      <c r="CX507" s="64"/>
      <c r="CY507" s="64"/>
      <c r="CZ507" s="64"/>
      <c r="DA507" s="64"/>
      <c r="DB507" s="64"/>
      <c r="DC507" s="72">
        <v>0.0</v>
      </c>
      <c r="DD507" s="72">
        <v>157158.0</v>
      </c>
      <c r="DE507" s="72">
        <v>0.0</v>
      </c>
      <c r="DF507" s="72">
        <v>0.0</v>
      </c>
      <c r="DG507" s="72">
        <v>0.0</v>
      </c>
      <c r="DH507" s="72">
        <v>157158.0</v>
      </c>
      <c r="DI507" s="73">
        <v>2.0603979924E10</v>
      </c>
      <c r="DJ507" s="74" t="s">
        <v>1595</v>
      </c>
      <c r="DK507" s="74" t="s">
        <v>138</v>
      </c>
      <c r="DL507" s="75"/>
      <c r="DM507" s="75"/>
      <c r="DN507" s="75"/>
      <c r="DO507" s="75"/>
      <c r="DP507" s="75"/>
      <c r="DQ507" s="75"/>
      <c r="DR507" s="75"/>
      <c r="DS507" s="75"/>
      <c r="DT507" s="75"/>
      <c r="DU507" s="75"/>
      <c r="DV507" s="75"/>
      <c r="DW507" s="75"/>
      <c r="DX507" s="75"/>
      <c r="DY507" s="75"/>
      <c r="DZ507" s="75"/>
      <c r="EA507" s="75"/>
      <c r="EB507" s="75"/>
      <c r="EC507" s="75"/>
      <c r="ED507" s="75"/>
      <c r="EE507" s="75"/>
    </row>
    <row r="508" ht="47.25" hidden="1" customHeight="1">
      <c r="A508" s="55" t="s">
        <v>1596</v>
      </c>
      <c r="B508" s="55" t="s">
        <v>166</v>
      </c>
      <c r="C508" s="55" t="s">
        <v>166</v>
      </c>
      <c r="D508" s="55" t="s">
        <v>227</v>
      </c>
      <c r="E508" s="55" t="s">
        <v>284</v>
      </c>
      <c r="F508" s="55" t="s">
        <v>227</v>
      </c>
      <c r="G508" s="55" t="s">
        <v>229</v>
      </c>
      <c r="H508" s="55" t="s">
        <v>285</v>
      </c>
      <c r="I508" s="56"/>
      <c r="J508" s="56"/>
      <c r="K508" s="56"/>
      <c r="L508" s="56"/>
      <c r="M508" s="56"/>
      <c r="N508" s="56"/>
      <c r="O508" s="56"/>
      <c r="P508" s="56">
        <v>1.0</v>
      </c>
      <c r="Q508" s="56" t="s">
        <v>131</v>
      </c>
      <c r="R508" s="58" t="str">
        <f t="shared" si="1"/>
        <v>2025</v>
      </c>
      <c r="S508" s="59" t="str">
        <f>SUM(Hoja1!$I508:$P508)</f>
        <v>1</v>
      </c>
      <c r="T508" s="59" t="str">
        <f>IF(OR(Hoja1!$J508=1,Hoja1!$K508=1,Hoja1!$L508=1,Hoja1!$M508=1,Hoja1!$N508=1,Hoja1!$O508=1,Hoja1!$P508=1),"SI","NO")</f>
        <v>SI</v>
      </c>
      <c r="U508" s="59" t="str">
        <f>IF(OR(Hoja1!$K508=1,Hoja1!$L508=1,Hoja1!$M508=1,Hoja1!$N508=1,Hoja1!$O508=1,Hoja1!$P508=1),"SI","NO")</f>
        <v>SI</v>
      </c>
      <c r="V508" s="60">
        <v>0.0</v>
      </c>
      <c r="W508" s="61">
        <v>0.0</v>
      </c>
      <c r="X508" s="61">
        <v>0.0</v>
      </c>
      <c r="Y508" s="60">
        <v>0.0</v>
      </c>
      <c r="Z508" s="61">
        <v>0.0</v>
      </c>
      <c r="AA508" s="61">
        <v>0.0</v>
      </c>
      <c r="AB508" s="60">
        <v>0.0</v>
      </c>
      <c r="AC508" s="61">
        <v>0.0</v>
      </c>
      <c r="AD508" s="61">
        <v>0.0</v>
      </c>
      <c r="AE508" s="60">
        <v>0.0</v>
      </c>
      <c r="AF508" s="61">
        <v>0.0</v>
      </c>
      <c r="AG508" s="61">
        <v>0.0</v>
      </c>
      <c r="AH508" s="60">
        <v>0.0</v>
      </c>
      <c r="AI508" s="61">
        <v>0.0</v>
      </c>
      <c r="AJ508" s="61">
        <v>0.0</v>
      </c>
      <c r="AK508" s="60">
        <v>0.0</v>
      </c>
      <c r="AL508" s="61">
        <v>0.0</v>
      </c>
      <c r="AM508" s="61">
        <v>0.0</v>
      </c>
      <c r="AN508" s="60">
        <v>0.0</v>
      </c>
      <c r="AO508" s="62">
        <v>17.0</v>
      </c>
      <c r="AP508" s="62">
        <v>11.0</v>
      </c>
      <c r="AQ508" s="60">
        <v>28.0</v>
      </c>
      <c r="AR508" s="60" t="str">
        <f>IF(Hoja1!$AQ508&gt;0,Hoja1!$AQ508,IF(Hoja1!$AN508&gt;0,Hoja1!$AN508,IF(Hoja1!$AK508&gt;0,Hoja1!$AK508,IF(Hoja1!$AH508&gt;0,Hoja1!$AH508,IF(Hoja1!$AE508&gt;0,Hoja1!$AE508,IF(Hoja1!$AB508&gt;0,Hoja1!$AB508,IF(Hoja1!$Y508&gt;0,Hoja1!$Y508,IF(Hoja1!$V508&gt;0,Hoja1!$V508," ---"))))))))</f>
        <v>28</v>
      </c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>
        <v>30.0</v>
      </c>
      <c r="BD508" s="63">
        <v>4.0</v>
      </c>
      <c r="BE508" s="64"/>
      <c r="BF508" s="69"/>
      <c r="BG508" s="69"/>
      <c r="BH508" s="64"/>
      <c r="BI508" s="67" t="str">
        <f t="shared" si="175"/>
        <v>#REF!</v>
      </c>
      <c r="BJ508" s="68" t="str">
        <f t="shared" si="176"/>
        <v>#REF!</v>
      </c>
      <c r="BK508" s="69"/>
      <c r="BL508" s="69"/>
      <c r="BM508" s="64"/>
      <c r="BN508" s="67" t="str">
        <f t="shared" si="177"/>
        <v>#REF!</v>
      </c>
      <c r="BO508" s="68" t="str">
        <f t="shared" si="178"/>
        <v>#REF!</v>
      </c>
      <c r="BP508" s="65"/>
      <c r="BQ508" s="65"/>
      <c r="BR508" s="66"/>
      <c r="BS508" s="67" t="str">
        <f t="shared" si="179"/>
        <v>#REF!</v>
      </c>
      <c r="BT508" s="68" t="str">
        <f>'[1]DATA CONSOLIDADA 2018-2025 '!$BR508-Hoja1!$BO508</f>
        <v>#REF!</v>
      </c>
      <c r="BU508" s="69"/>
      <c r="BV508" s="65"/>
      <c r="BW508" s="66"/>
      <c r="BX508" s="67" t="str">
        <f t="shared" si="180"/>
        <v>#REF!</v>
      </c>
      <c r="BY508" s="68" t="str">
        <f t="shared" si="181"/>
        <v>#REF!</v>
      </c>
      <c r="BZ508" s="65"/>
      <c r="CA508" s="65"/>
      <c r="CB508" s="66"/>
      <c r="CC508" s="67" t="str">
        <f t="shared" si="182"/>
        <v>#REF!</v>
      </c>
      <c r="CD508" s="68" t="str">
        <f>'[1]DATA CONSOLIDADA 2018-2025 '!$CB508-Hoja1!$BW508</f>
        <v>#REF!</v>
      </c>
      <c r="CE508" s="70"/>
      <c r="CF508" s="70"/>
      <c r="CG508" s="71"/>
      <c r="CH508" s="67" t="str">
        <f t="shared" si="183"/>
        <v>#REF!</v>
      </c>
      <c r="CI508" s="68" t="str">
        <f>'[1]DATA CONSOLIDADA 2018-2025 '!$CG508-Hoja1!$CB508</f>
        <v>#REF!</v>
      </c>
      <c r="CJ508" s="64" t="str">
        <f t="shared" si="165"/>
        <v>#REF!</v>
      </c>
      <c r="CK508" s="64">
        <v>16897.4</v>
      </c>
      <c r="CL508" s="64">
        <v>0.0</v>
      </c>
      <c r="CM508" s="64">
        <v>16897.4</v>
      </c>
      <c r="CN508" s="64" t="str">
        <f t="shared" si="12"/>
        <v>#REF!</v>
      </c>
      <c r="CO508" s="68" t="str">
        <f>'[1]DATA CONSOLIDADA 2018-2025 '!$CM508-Hoja1!$CG508</f>
        <v>#REF!</v>
      </c>
      <c r="CP508" s="70"/>
      <c r="CQ508" s="70"/>
      <c r="CR508" s="70"/>
      <c r="CS508" s="70"/>
      <c r="CT508" s="70"/>
      <c r="CU508" s="70"/>
      <c r="CV508" s="64"/>
      <c r="CW508" s="64"/>
      <c r="CX508" s="64"/>
      <c r="CY508" s="64"/>
      <c r="CZ508" s="64"/>
      <c r="DA508" s="64"/>
      <c r="DB508" s="64"/>
      <c r="DC508" s="72">
        <v>0.0</v>
      </c>
      <c r="DD508" s="72">
        <v>16897.4</v>
      </c>
      <c r="DE508" s="72">
        <v>0.0</v>
      </c>
      <c r="DF508" s="72">
        <v>0.0</v>
      </c>
      <c r="DG508" s="72">
        <v>0.0</v>
      </c>
      <c r="DH508" s="72">
        <v>16897.4</v>
      </c>
      <c r="DI508" s="73">
        <v>2.0609013487E10</v>
      </c>
      <c r="DJ508" s="74" t="s">
        <v>1597</v>
      </c>
      <c r="DK508" s="74" t="s">
        <v>138</v>
      </c>
      <c r="DL508" s="75"/>
      <c r="DM508" s="75"/>
      <c r="DN508" s="75"/>
      <c r="DO508" s="75"/>
      <c r="DP508" s="75"/>
      <c r="DQ508" s="75"/>
      <c r="DR508" s="75"/>
      <c r="DS508" s="75"/>
      <c r="DT508" s="75"/>
      <c r="DU508" s="75"/>
      <c r="DV508" s="75"/>
      <c r="DW508" s="75"/>
      <c r="DX508" s="75"/>
      <c r="DY508" s="75"/>
      <c r="DZ508" s="75"/>
      <c r="EA508" s="75"/>
      <c r="EB508" s="75"/>
      <c r="EC508" s="75"/>
      <c r="ED508" s="75"/>
      <c r="EE508" s="75"/>
    </row>
    <row r="509" ht="47.25" hidden="1" customHeight="1">
      <c r="A509" s="55" t="s">
        <v>1598</v>
      </c>
      <c r="B509" s="55" t="s">
        <v>166</v>
      </c>
      <c r="C509" s="55" t="s">
        <v>166</v>
      </c>
      <c r="D509" s="55" t="s">
        <v>227</v>
      </c>
      <c r="E509" s="55" t="s">
        <v>257</v>
      </c>
      <c r="F509" s="55" t="s">
        <v>227</v>
      </c>
      <c r="G509" s="55" t="s">
        <v>239</v>
      </c>
      <c r="H509" s="55" t="s">
        <v>258</v>
      </c>
      <c r="I509" s="56"/>
      <c r="J509" s="56"/>
      <c r="K509" s="56"/>
      <c r="L509" s="56"/>
      <c r="M509" s="56"/>
      <c r="N509" s="56"/>
      <c r="O509" s="56"/>
      <c r="P509" s="56">
        <v>1.0</v>
      </c>
      <c r="Q509" s="56" t="s">
        <v>131</v>
      </c>
      <c r="R509" s="58" t="str">
        <f t="shared" si="1"/>
        <v>2025</v>
      </c>
      <c r="S509" s="59" t="str">
        <f>SUM(Hoja1!$I509:$P509)</f>
        <v>1</v>
      </c>
      <c r="T509" s="59" t="str">
        <f>IF(OR(Hoja1!$J509=1,Hoja1!$K509=1,Hoja1!$L509=1,Hoja1!$M509=1,Hoja1!$N509=1,Hoja1!$O509=1,Hoja1!$P509=1),"SI","NO")</f>
        <v>SI</v>
      </c>
      <c r="U509" s="59" t="str">
        <f>IF(OR(Hoja1!$K509=1,Hoja1!$L509=1,Hoja1!$M509=1,Hoja1!$N509=1,Hoja1!$O509=1,Hoja1!$P509=1),"SI","NO")</f>
        <v>SI</v>
      </c>
      <c r="V509" s="60">
        <v>0.0</v>
      </c>
      <c r="W509" s="61">
        <v>0.0</v>
      </c>
      <c r="X509" s="61">
        <v>0.0</v>
      </c>
      <c r="Y509" s="60">
        <v>0.0</v>
      </c>
      <c r="Z509" s="61">
        <v>0.0</v>
      </c>
      <c r="AA509" s="61">
        <v>0.0</v>
      </c>
      <c r="AB509" s="60">
        <v>0.0</v>
      </c>
      <c r="AC509" s="61">
        <v>0.0</v>
      </c>
      <c r="AD509" s="61">
        <v>0.0</v>
      </c>
      <c r="AE509" s="60">
        <v>0.0</v>
      </c>
      <c r="AF509" s="61">
        <v>0.0</v>
      </c>
      <c r="AG509" s="61">
        <v>0.0</v>
      </c>
      <c r="AH509" s="60">
        <v>0.0</v>
      </c>
      <c r="AI509" s="61">
        <v>0.0</v>
      </c>
      <c r="AJ509" s="61">
        <v>0.0</v>
      </c>
      <c r="AK509" s="60">
        <v>0.0</v>
      </c>
      <c r="AL509" s="61">
        <v>0.0</v>
      </c>
      <c r="AM509" s="61">
        <v>0.0</v>
      </c>
      <c r="AN509" s="60">
        <v>0.0</v>
      </c>
      <c r="AO509" s="62">
        <v>31.0</v>
      </c>
      <c r="AP509" s="62">
        <v>20.0</v>
      </c>
      <c r="AQ509" s="60">
        <v>51.0</v>
      </c>
      <c r="AR509" s="60" t="str">
        <f>IF(Hoja1!$AQ509&gt;0,Hoja1!$AQ509,IF(Hoja1!$AN509&gt;0,Hoja1!$AN509,IF(Hoja1!$AK509&gt;0,Hoja1!$AK509,IF(Hoja1!$AH509&gt;0,Hoja1!$AH509,IF(Hoja1!$AE509&gt;0,Hoja1!$AE509,IF(Hoja1!$AB509&gt;0,Hoja1!$AB509,IF(Hoja1!$Y509&gt;0,Hoja1!$Y509,IF(Hoja1!$V509&gt;0,Hoja1!$V509," ---"))))))))</f>
        <v>51</v>
      </c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>
        <v>33.0</v>
      </c>
      <c r="BD509" s="63">
        <v>5.0</v>
      </c>
      <c r="BE509" s="64"/>
      <c r="BF509" s="69"/>
      <c r="BG509" s="69"/>
      <c r="BH509" s="64"/>
      <c r="BI509" s="67" t="str">
        <f t="shared" si="175"/>
        <v>#REF!</v>
      </c>
      <c r="BJ509" s="68" t="str">
        <f t="shared" si="176"/>
        <v>#REF!</v>
      </c>
      <c r="BK509" s="69"/>
      <c r="BL509" s="69"/>
      <c r="BM509" s="64"/>
      <c r="BN509" s="67" t="str">
        <f t="shared" si="177"/>
        <v>#REF!</v>
      </c>
      <c r="BO509" s="68" t="str">
        <f t="shared" si="178"/>
        <v>#REF!</v>
      </c>
      <c r="BP509" s="65"/>
      <c r="BQ509" s="65"/>
      <c r="BR509" s="66"/>
      <c r="BS509" s="67" t="str">
        <f t="shared" si="179"/>
        <v>#REF!</v>
      </c>
      <c r="BT509" s="68" t="str">
        <f>'[1]DATA CONSOLIDADA 2018-2025 '!$BR509-Hoja1!$BO509</f>
        <v>#REF!</v>
      </c>
      <c r="BU509" s="69"/>
      <c r="BV509" s="65"/>
      <c r="BW509" s="66"/>
      <c r="BX509" s="67" t="str">
        <f t="shared" si="180"/>
        <v>#REF!</v>
      </c>
      <c r="BY509" s="68" t="str">
        <f t="shared" si="181"/>
        <v>#REF!</v>
      </c>
      <c r="BZ509" s="65"/>
      <c r="CA509" s="65"/>
      <c r="CB509" s="66"/>
      <c r="CC509" s="67" t="str">
        <f t="shared" si="182"/>
        <v>#REF!</v>
      </c>
      <c r="CD509" s="68" t="str">
        <f>'[1]DATA CONSOLIDADA 2018-2025 '!$CB509-Hoja1!$BW509</f>
        <v>#REF!</v>
      </c>
      <c r="CE509" s="70"/>
      <c r="CF509" s="70"/>
      <c r="CG509" s="71"/>
      <c r="CH509" s="67" t="str">
        <f t="shared" si="183"/>
        <v>#REF!</v>
      </c>
      <c r="CI509" s="68" t="str">
        <f>'[1]DATA CONSOLIDADA 2018-2025 '!$CG509-Hoja1!$CB509</f>
        <v>#REF!</v>
      </c>
      <c r="CJ509" s="64" t="str">
        <f t="shared" si="165"/>
        <v>#REF!</v>
      </c>
      <c r="CK509" s="64">
        <v>247343.95</v>
      </c>
      <c r="CL509" s="64">
        <v>0.0</v>
      </c>
      <c r="CM509" s="64">
        <v>247343.95</v>
      </c>
      <c r="CN509" s="64" t="str">
        <f t="shared" si="12"/>
        <v>#REF!</v>
      </c>
      <c r="CO509" s="68" t="str">
        <f>'[1]DATA CONSOLIDADA 2018-2025 '!$CM509-Hoja1!$CG509</f>
        <v>#REF!</v>
      </c>
      <c r="CP509" s="70"/>
      <c r="CQ509" s="70"/>
      <c r="CR509" s="70"/>
      <c r="CS509" s="70"/>
      <c r="CT509" s="70"/>
      <c r="CU509" s="70"/>
      <c r="CV509" s="64"/>
      <c r="CW509" s="64"/>
      <c r="CX509" s="64"/>
      <c r="CY509" s="64"/>
      <c r="CZ509" s="64"/>
      <c r="DA509" s="64"/>
      <c r="DB509" s="64"/>
      <c r="DC509" s="72">
        <v>0.0</v>
      </c>
      <c r="DD509" s="72">
        <v>247343.95</v>
      </c>
      <c r="DE509" s="72">
        <v>0.0</v>
      </c>
      <c r="DF509" s="72">
        <v>0.0</v>
      </c>
      <c r="DG509" s="72">
        <v>0.0</v>
      </c>
      <c r="DH509" s="72">
        <v>247343.95</v>
      </c>
      <c r="DI509" s="73">
        <v>2.0606293888E10</v>
      </c>
      <c r="DJ509" s="74" t="s">
        <v>1598</v>
      </c>
      <c r="DK509" s="74" t="s">
        <v>138</v>
      </c>
      <c r="DL509" s="75"/>
      <c r="DM509" s="75"/>
      <c r="DN509" s="75"/>
      <c r="DO509" s="75"/>
      <c r="DP509" s="75"/>
      <c r="DQ509" s="75"/>
      <c r="DR509" s="75"/>
      <c r="DS509" s="75"/>
      <c r="DT509" s="75"/>
      <c r="DU509" s="75"/>
      <c r="DV509" s="75"/>
      <c r="DW509" s="75"/>
      <c r="DX509" s="75"/>
      <c r="DY509" s="75"/>
      <c r="DZ509" s="75"/>
      <c r="EA509" s="75"/>
      <c r="EB509" s="75"/>
      <c r="EC509" s="75"/>
      <c r="ED509" s="75"/>
      <c r="EE509" s="75"/>
    </row>
    <row r="510" ht="47.25" hidden="1" customHeight="1">
      <c r="A510" s="55" t="s">
        <v>1599</v>
      </c>
      <c r="B510" s="55" t="s">
        <v>166</v>
      </c>
      <c r="C510" s="55" t="s">
        <v>166</v>
      </c>
      <c r="D510" s="55" t="s">
        <v>227</v>
      </c>
      <c r="E510" s="55" t="s">
        <v>1600</v>
      </c>
      <c r="F510" s="55" t="s">
        <v>227</v>
      </c>
      <c r="G510" s="55" t="s">
        <v>247</v>
      </c>
      <c r="H510" s="55" t="s">
        <v>1601</v>
      </c>
      <c r="I510" s="56"/>
      <c r="J510" s="56"/>
      <c r="K510" s="56"/>
      <c r="L510" s="56"/>
      <c r="M510" s="56"/>
      <c r="N510" s="56"/>
      <c r="O510" s="56"/>
      <c r="P510" s="56">
        <v>1.0</v>
      </c>
      <c r="Q510" s="56" t="s">
        <v>131</v>
      </c>
      <c r="R510" s="58" t="str">
        <f t="shared" si="1"/>
        <v>2025</v>
      </c>
      <c r="S510" s="59" t="str">
        <f>SUM(Hoja1!$I510:$P510)</f>
        <v>1</v>
      </c>
      <c r="T510" s="59" t="str">
        <f>IF(OR(Hoja1!$J510=1,Hoja1!$K510=1,Hoja1!$L510=1,Hoja1!$M510=1,Hoja1!$N510=1,Hoja1!$O510=1,Hoja1!$P510=1),"SI","NO")</f>
        <v>SI</v>
      </c>
      <c r="U510" s="59" t="str">
        <f>IF(OR(Hoja1!$K510=1,Hoja1!$L510=1,Hoja1!$M510=1,Hoja1!$N510=1,Hoja1!$O510=1,Hoja1!$P510=1),"SI","NO")</f>
        <v>SI</v>
      </c>
      <c r="V510" s="60">
        <v>0.0</v>
      </c>
      <c r="W510" s="61">
        <v>0.0</v>
      </c>
      <c r="X510" s="61">
        <v>0.0</v>
      </c>
      <c r="Y510" s="60">
        <v>0.0</v>
      </c>
      <c r="Z510" s="61">
        <v>0.0</v>
      </c>
      <c r="AA510" s="61">
        <v>0.0</v>
      </c>
      <c r="AB510" s="60">
        <v>0.0</v>
      </c>
      <c r="AC510" s="61">
        <v>0.0</v>
      </c>
      <c r="AD510" s="61">
        <v>0.0</v>
      </c>
      <c r="AE510" s="60">
        <v>0.0</v>
      </c>
      <c r="AF510" s="61">
        <v>0.0</v>
      </c>
      <c r="AG510" s="61">
        <v>0.0</v>
      </c>
      <c r="AH510" s="60">
        <v>0.0</v>
      </c>
      <c r="AI510" s="61">
        <v>0.0</v>
      </c>
      <c r="AJ510" s="61">
        <v>0.0</v>
      </c>
      <c r="AK510" s="60">
        <v>0.0</v>
      </c>
      <c r="AL510" s="61">
        <v>0.0</v>
      </c>
      <c r="AM510" s="61">
        <v>0.0</v>
      </c>
      <c r="AN510" s="60">
        <v>0.0</v>
      </c>
      <c r="AO510" s="62">
        <v>29.0</v>
      </c>
      <c r="AP510" s="62">
        <v>15.0</v>
      </c>
      <c r="AQ510" s="60">
        <v>44.0</v>
      </c>
      <c r="AR510" s="60" t="str">
        <f>IF(Hoja1!$AQ510&gt;0,Hoja1!$AQ510,IF(Hoja1!$AN510&gt;0,Hoja1!$AN510,IF(Hoja1!$AK510&gt;0,Hoja1!$AK510,IF(Hoja1!$AH510&gt;0,Hoja1!$AH510,IF(Hoja1!$AE510&gt;0,Hoja1!$AE510,IF(Hoja1!$AB510&gt;0,Hoja1!$AB510,IF(Hoja1!$Y510&gt;0,Hoja1!$Y510,IF(Hoja1!$V510&gt;0,Hoja1!$V510," ---"))))))))</f>
        <v>44</v>
      </c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>
        <v>32.0</v>
      </c>
      <c r="BD510" s="63">
        <v>6.0</v>
      </c>
      <c r="BE510" s="64"/>
      <c r="BF510" s="69"/>
      <c r="BG510" s="69"/>
      <c r="BH510" s="64"/>
      <c r="BI510" s="67" t="str">
        <f t="shared" si="175"/>
        <v>#REF!</v>
      </c>
      <c r="BJ510" s="68" t="str">
        <f t="shared" si="176"/>
        <v>#REF!</v>
      </c>
      <c r="BK510" s="69"/>
      <c r="BL510" s="69"/>
      <c r="BM510" s="64"/>
      <c r="BN510" s="67" t="str">
        <f t="shared" si="177"/>
        <v>#REF!</v>
      </c>
      <c r="BO510" s="68" t="str">
        <f t="shared" si="178"/>
        <v>#REF!</v>
      </c>
      <c r="BP510" s="65"/>
      <c r="BQ510" s="65"/>
      <c r="BR510" s="66"/>
      <c r="BS510" s="67" t="str">
        <f t="shared" si="179"/>
        <v>#REF!</v>
      </c>
      <c r="BT510" s="68" t="str">
        <f>'[1]DATA CONSOLIDADA 2018-2025 '!$BR510-Hoja1!$BO510</f>
        <v>#REF!</v>
      </c>
      <c r="BU510" s="69"/>
      <c r="BV510" s="65"/>
      <c r="BW510" s="66"/>
      <c r="BX510" s="67" t="str">
        <f t="shared" si="180"/>
        <v>#REF!</v>
      </c>
      <c r="BY510" s="68" t="str">
        <f t="shared" si="181"/>
        <v>#REF!</v>
      </c>
      <c r="BZ510" s="65"/>
      <c r="CA510" s="65"/>
      <c r="CB510" s="66"/>
      <c r="CC510" s="67" t="str">
        <f t="shared" si="182"/>
        <v>#REF!</v>
      </c>
      <c r="CD510" s="68" t="str">
        <f>'[1]DATA CONSOLIDADA 2018-2025 '!$CB510-Hoja1!$BW510</f>
        <v>#REF!</v>
      </c>
      <c r="CE510" s="70"/>
      <c r="CF510" s="70"/>
      <c r="CG510" s="71"/>
      <c r="CH510" s="67" t="str">
        <f t="shared" si="183"/>
        <v>#REF!</v>
      </c>
      <c r="CI510" s="68" t="str">
        <f>'[1]DATA CONSOLIDADA 2018-2025 '!$CG510-Hoja1!$CB510</f>
        <v>#REF!</v>
      </c>
      <c r="CJ510" s="64" t="str">
        <f t="shared" si="165"/>
        <v>#REF!</v>
      </c>
      <c r="CK510" s="64">
        <v>238848.725</v>
      </c>
      <c r="CL510" s="64">
        <v>0.0</v>
      </c>
      <c r="CM510" s="64">
        <v>238848.725</v>
      </c>
      <c r="CN510" s="64" t="str">
        <f t="shared" si="12"/>
        <v>#REF!</v>
      </c>
      <c r="CO510" s="68" t="str">
        <f>'[1]DATA CONSOLIDADA 2018-2025 '!$CM510-Hoja1!$CG510</f>
        <v>#REF!</v>
      </c>
      <c r="CP510" s="70"/>
      <c r="CQ510" s="70"/>
      <c r="CR510" s="70"/>
      <c r="CS510" s="70"/>
      <c r="CT510" s="70"/>
      <c r="CU510" s="70"/>
      <c r="CV510" s="64"/>
      <c r="CW510" s="64"/>
      <c r="CX510" s="64"/>
      <c r="CY510" s="64"/>
      <c r="CZ510" s="64"/>
      <c r="DA510" s="64"/>
      <c r="DB510" s="64"/>
      <c r="DC510" s="72">
        <v>0.0</v>
      </c>
      <c r="DD510" s="72">
        <v>238848.725</v>
      </c>
      <c r="DE510" s="72">
        <v>0.0</v>
      </c>
      <c r="DF510" s="72">
        <v>0.0</v>
      </c>
      <c r="DG510" s="72">
        <v>0.0</v>
      </c>
      <c r="DH510" s="72">
        <v>238848.725</v>
      </c>
      <c r="DI510" s="73">
        <v>2.061059888E10</v>
      </c>
      <c r="DJ510" s="74" t="s">
        <v>1599</v>
      </c>
      <c r="DK510" s="74" t="s">
        <v>132</v>
      </c>
      <c r="DL510" s="75"/>
      <c r="DM510" s="75"/>
      <c r="DN510" s="75"/>
      <c r="DO510" s="75"/>
      <c r="DP510" s="75"/>
      <c r="DQ510" s="75"/>
      <c r="DR510" s="75"/>
      <c r="DS510" s="75"/>
      <c r="DT510" s="75"/>
      <c r="DU510" s="75"/>
      <c r="DV510" s="75"/>
      <c r="DW510" s="75"/>
      <c r="DX510" s="75"/>
      <c r="DY510" s="75"/>
      <c r="DZ510" s="75"/>
      <c r="EA510" s="75"/>
      <c r="EB510" s="75"/>
      <c r="EC510" s="75"/>
      <c r="ED510" s="75"/>
      <c r="EE510" s="75"/>
    </row>
    <row r="511" ht="47.25" hidden="1" customHeight="1">
      <c r="A511" s="55" t="s">
        <v>1602</v>
      </c>
      <c r="B511" s="55" t="s">
        <v>287</v>
      </c>
      <c r="C511" s="55" t="s">
        <v>1603</v>
      </c>
      <c r="D511" s="55" t="s">
        <v>289</v>
      </c>
      <c r="E511" s="55" t="s">
        <v>302</v>
      </c>
      <c r="F511" s="55" t="s">
        <v>289</v>
      </c>
      <c r="G511" s="55" t="s">
        <v>303</v>
      </c>
      <c r="H511" s="55" t="s">
        <v>304</v>
      </c>
      <c r="I511" s="56"/>
      <c r="J511" s="56"/>
      <c r="K511" s="56"/>
      <c r="L511" s="56"/>
      <c r="M511" s="56"/>
      <c r="N511" s="56"/>
      <c r="O511" s="56"/>
      <c r="P511" s="56">
        <v>1.0</v>
      </c>
      <c r="Q511" s="56" t="s">
        <v>131</v>
      </c>
      <c r="R511" s="58" t="str">
        <f t="shared" si="1"/>
        <v>2025</v>
      </c>
      <c r="S511" s="59" t="str">
        <f>SUM(Hoja1!$I511:$P511)</f>
        <v>1</v>
      </c>
      <c r="T511" s="59" t="str">
        <f>IF(OR(Hoja1!$J511=1,Hoja1!$K511=1,Hoja1!$L511=1,Hoja1!$M511=1,Hoja1!$N511=1,Hoja1!$O511=1,Hoja1!$P511=1),"SI","NO")</f>
        <v>SI</v>
      </c>
      <c r="U511" s="59" t="str">
        <f>IF(OR(Hoja1!$K511=1,Hoja1!$L511=1,Hoja1!$M511=1,Hoja1!$N511=1,Hoja1!$O511=1,Hoja1!$P511=1),"SI","NO")</f>
        <v>SI</v>
      </c>
      <c r="V511" s="60">
        <v>0.0</v>
      </c>
      <c r="W511" s="61">
        <v>0.0</v>
      </c>
      <c r="X511" s="61">
        <v>0.0</v>
      </c>
      <c r="Y511" s="60">
        <v>0.0</v>
      </c>
      <c r="Z511" s="61">
        <v>0.0</v>
      </c>
      <c r="AA511" s="61">
        <v>0.0</v>
      </c>
      <c r="AB511" s="60">
        <v>0.0</v>
      </c>
      <c r="AC511" s="61">
        <v>0.0</v>
      </c>
      <c r="AD511" s="61">
        <v>0.0</v>
      </c>
      <c r="AE511" s="60">
        <v>0.0</v>
      </c>
      <c r="AF511" s="61">
        <v>0.0</v>
      </c>
      <c r="AG511" s="61">
        <v>0.0</v>
      </c>
      <c r="AH511" s="60">
        <v>0.0</v>
      </c>
      <c r="AI511" s="61">
        <v>0.0</v>
      </c>
      <c r="AJ511" s="61">
        <v>0.0</v>
      </c>
      <c r="AK511" s="60">
        <v>0.0</v>
      </c>
      <c r="AL511" s="61">
        <v>0.0</v>
      </c>
      <c r="AM511" s="61">
        <v>0.0</v>
      </c>
      <c r="AN511" s="60">
        <v>0.0</v>
      </c>
      <c r="AO511" s="62">
        <v>20.0</v>
      </c>
      <c r="AP511" s="62">
        <v>4.0</v>
      </c>
      <c r="AQ511" s="60">
        <v>24.0</v>
      </c>
      <c r="AR511" s="60" t="str">
        <f>IF(Hoja1!$AQ511&gt;0,Hoja1!$AQ511,IF(Hoja1!$AN511&gt;0,Hoja1!$AN511,IF(Hoja1!$AK511&gt;0,Hoja1!$AK511,IF(Hoja1!$AH511&gt;0,Hoja1!$AH511,IF(Hoja1!$AE511&gt;0,Hoja1!$AE511,IF(Hoja1!$AB511&gt;0,Hoja1!$AB511,IF(Hoja1!$Y511&gt;0,Hoja1!$Y511,IF(Hoja1!$V511&gt;0,Hoja1!$V511," ---"))))))))</f>
        <v>24</v>
      </c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>
        <v>42.0</v>
      </c>
      <c r="BD511" s="63">
        <v>2.0</v>
      </c>
      <c r="BE511" s="64"/>
      <c r="BF511" s="69"/>
      <c r="BG511" s="69"/>
      <c r="BH511" s="64"/>
      <c r="BI511" s="67" t="str">
        <f t="shared" si="175"/>
        <v>#REF!</v>
      </c>
      <c r="BJ511" s="68" t="str">
        <f t="shared" si="176"/>
        <v>#REF!</v>
      </c>
      <c r="BK511" s="69"/>
      <c r="BL511" s="69"/>
      <c r="BM511" s="64"/>
      <c r="BN511" s="67" t="str">
        <f t="shared" si="177"/>
        <v>#REF!</v>
      </c>
      <c r="BO511" s="68" t="str">
        <f t="shared" si="178"/>
        <v>#REF!</v>
      </c>
      <c r="BP511" s="65"/>
      <c r="BQ511" s="65"/>
      <c r="BR511" s="66"/>
      <c r="BS511" s="67" t="str">
        <f t="shared" si="179"/>
        <v>#REF!</v>
      </c>
      <c r="BT511" s="68" t="str">
        <f>'[1]DATA CONSOLIDADA 2018-2025 '!$BR511-Hoja1!$BO511</f>
        <v>#REF!</v>
      </c>
      <c r="BU511" s="69"/>
      <c r="BV511" s="65"/>
      <c r="BW511" s="66"/>
      <c r="BX511" s="67" t="str">
        <f t="shared" si="180"/>
        <v>#REF!</v>
      </c>
      <c r="BY511" s="68" t="str">
        <f t="shared" si="181"/>
        <v>#REF!</v>
      </c>
      <c r="BZ511" s="65"/>
      <c r="CA511" s="65"/>
      <c r="CB511" s="66"/>
      <c r="CC511" s="67" t="str">
        <f t="shared" si="182"/>
        <v>#REF!</v>
      </c>
      <c r="CD511" s="68" t="str">
        <f>'[1]DATA CONSOLIDADA 2018-2025 '!$CB511-Hoja1!$BW511</f>
        <v>#REF!</v>
      </c>
      <c r="CE511" s="70"/>
      <c r="CF511" s="70"/>
      <c r="CG511" s="71"/>
      <c r="CH511" s="67" t="str">
        <f t="shared" si="183"/>
        <v>#REF!</v>
      </c>
      <c r="CI511" s="68" t="str">
        <f>'[1]DATA CONSOLIDADA 2018-2025 '!$CG511-Hoja1!$CB511</f>
        <v>#REF!</v>
      </c>
      <c r="CJ511" s="64" t="str">
        <f t="shared" si="165"/>
        <v>#REF!</v>
      </c>
      <c r="CK511" s="64">
        <v>246100.0</v>
      </c>
      <c r="CL511" s="64">
        <v>0.0</v>
      </c>
      <c r="CM511" s="64">
        <v>246100.0</v>
      </c>
      <c r="CN511" s="64" t="str">
        <f t="shared" si="12"/>
        <v>#REF!</v>
      </c>
      <c r="CO511" s="68" t="str">
        <f>'[1]DATA CONSOLIDADA 2018-2025 '!$CM511-Hoja1!$CG511</f>
        <v>#REF!</v>
      </c>
      <c r="CP511" s="70"/>
      <c r="CQ511" s="70"/>
      <c r="CR511" s="70"/>
      <c r="CS511" s="70"/>
      <c r="CT511" s="70"/>
      <c r="CU511" s="70"/>
      <c r="CV511" s="64"/>
      <c r="CW511" s="64"/>
      <c r="CX511" s="64"/>
      <c r="CY511" s="64"/>
      <c r="CZ511" s="64"/>
      <c r="DA511" s="64"/>
      <c r="DB511" s="64"/>
      <c r="DC511" s="72">
        <v>0.0</v>
      </c>
      <c r="DD511" s="72">
        <v>246100.0</v>
      </c>
      <c r="DE511" s="72">
        <v>0.0</v>
      </c>
      <c r="DF511" s="72">
        <v>0.0</v>
      </c>
      <c r="DG511" s="72">
        <v>0.0</v>
      </c>
      <c r="DH511" s="72">
        <v>246100.0</v>
      </c>
      <c r="DI511" s="73">
        <v>2.0327993705E10</v>
      </c>
      <c r="DJ511" s="74" t="s">
        <v>1604</v>
      </c>
      <c r="DK511" s="74" t="s">
        <v>138</v>
      </c>
      <c r="DL511" s="75"/>
      <c r="DM511" s="75"/>
      <c r="DN511" s="75"/>
      <c r="DO511" s="75"/>
      <c r="DP511" s="75"/>
      <c r="DQ511" s="75"/>
      <c r="DR511" s="75"/>
      <c r="DS511" s="75"/>
      <c r="DT511" s="75"/>
      <c r="DU511" s="75"/>
      <c r="DV511" s="75"/>
      <c r="DW511" s="75"/>
      <c r="DX511" s="75"/>
      <c r="DY511" s="75"/>
      <c r="DZ511" s="75"/>
      <c r="EA511" s="75"/>
      <c r="EB511" s="75"/>
      <c r="EC511" s="75"/>
      <c r="ED511" s="75"/>
      <c r="EE511" s="75"/>
    </row>
    <row r="512" ht="47.25" hidden="1" customHeight="1">
      <c r="A512" s="55" t="s">
        <v>1605</v>
      </c>
      <c r="B512" s="55" t="s">
        <v>287</v>
      </c>
      <c r="C512" s="55" t="s">
        <v>1606</v>
      </c>
      <c r="D512" s="55" t="s">
        <v>289</v>
      </c>
      <c r="E512" s="55" t="s">
        <v>1227</v>
      </c>
      <c r="F512" s="55" t="s">
        <v>289</v>
      </c>
      <c r="G512" s="55" t="s">
        <v>303</v>
      </c>
      <c r="H512" s="55" t="s">
        <v>1228</v>
      </c>
      <c r="I512" s="56"/>
      <c r="J512" s="56"/>
      <c r="K512" s="56"/>
      <c r="L512" s="56"/>
      <c r="M512" s="56"/>
      <c r="N512" s="56"/>
      <c r="O512" s="56"/>
      <c r="P512" s="56">
        <v>1.0</v>
      </c>
      <c r="Q512" s="56" t="s">
        <v>131</v>
      </c>
      <c r="R512" s="58" t="str">
        <f t="shared" si="1"/>
        <v>2025</v>
      </c>
      <c r="S512" s="59" t="str">
        <f>SUM(Hoja1!$I512:$P512)</f>
        <v>1</v>
      </c>
      <c r="T512" s="59" t="str">
        <f>IF(OR(Hoja1!$J512=1,Hoja1!$K512=1,Hoja1!$L512=1,Hoja1!$M512=1,Hoja1!$N512=1,Hoja1!$O512=1,Hoja1!$P512=1),"SI","NO")</f>
        <v>SI</v>
      </c>
      <c r="U512" s="59" t="str">
        <f>IF(OR(Hoja1!$K512=1,Hoja1!$L512=1,Hoja1!$M512=1,Hoja1!$N512=1,Hoja1!$O512=1,Hoja1!$P512=1),"SI","NO")</f>
        <v>SI</v>
      </c>
      <c r="V512" s="60">
        <v>0.0</v>
      </c>
      <c r="W512" s="61">
        <v>0.0</v>
      </c>
      <c r="X512" s="61">
        <v>0.0</v>
      </c>
      <c r="Y512" s="60">
        <v>0.0</v>
      </c>
      <c r="Z512" s="61">
        <v>0.0</v>
      </c>
      <c r="AA512" s="61">
        <v>0.0</v>
      </c>
      <c r="AB512" s="60">
        <v>0.0</v>
      </c>
      <c r="AC512" s="61">
        <v>0.0</v>
      </c>
      <c r="AD512" s="61">
        <v>0.0</v>
      </c>
      <c r="AE512" s="60">
        <v>0.0</v>
      </c>
      <c r="AF512" s="61">
        <v>0.0</v>
      </c>
      <c r="AG512" s="61">
        <v>0.0</v>
      </c>
      <c r="AH512" s="60">
        <v>0.0</v>
      </c>
      <c r="AI512" s="61">
        <v>0.0</v>
      </c>
      <c r="AJ512" s="61">
        <v>0.0</v>
      </c>
      <c r="AK512" s="60">
        <v>0.0</v>
      </c>
      <c r="AL512" s="61">
        <v>0.0</v>
      </c>
      <c r="AM512" s="61">
        <v>0.0</v>
      </c>
      <c r="AN512" s="60">
        <v>0.0</v>
      </c>
      <c r="AO512" s="62">
        <v>20.0</v>
      </c>
      <c r="AP512" s="62">
        <v>5.0</v>
      </c>
      <c r="AQ512" s="60">
        <v>25.0</v>
      </c>
      <c r="AR512" s="60" t="str">
        <f>IF(Hoja1!$AQ512&gt;0,Hoja1!$AQ512,IF(Hoja1!$AN512&gt;0,Hoja1!$AN512,IF(Hoja1!$AK512&gt;0,Hoja1!$AK512,IF(Hoja1!$AH512&gt;0,Hoja1!$AH512,IF(Hoja1!$AE512&gt;0,Hoja1!$AE512,IF(Hoja1!$AB512&gt;0,Hoja1!$AB512,IF(Hoja1!$Y512&gt;0,Hoja1!$Y512,IF(Hoja1!$V512&gt;0,Hoja1!$V512," ---"))))))))</f>
        <v>25</v>
      </c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>
        <v>42.0</v>
      </c>
      <c r="BD512" s="63">
        <v>1.0</v>
      </c>
      <c r="BE512" s="64"/>
      <c r="BF512" s="69"/>
      <c r="BG512" s="69"/>
      <c r="BH512" s="64"/>
      <c r="BI512" s="67" t="str">
        <f t="shared" si="175"/>
        <v>#REF!</v>
      </c>
      <c r="BJ512" s="68" t="str">
        <f t="shared" si="176"/>
        <v>#REF!</v>
      </c>
      <c r="BK512" s="69"/>
      <c r="BL512" s="69"/>
      <c r="BM512" s="64"/>
      <c r="BN512" s="67" t="str">
        <f t="shared" si="177"/>
        <v>#REF!</v>
      </c>
      <c r="BO512" s="68" t="str">
        <f t="shared" si="178"/>
        <v>#REF!</v>
      </c>
      <c r="BP512" s="65"/>
      <c r="BQ512" s="65"/>
      <c r="BR512" s="66"/>
      <c r="BS512" s="67" t="str">
        <f t="shared" si="179"/>
        <v>#REF!</v>
      </c>
      <c r="BT512" s="68" t="str">
        <f>'[1]DATA CONSOLIDADA 2018-2025 '!$BR512-Hoja1!$BO512</f>
        <v>#REF!</v>
      </c>
      <c r="BU512" s="69"/>
      <c r="BV512" s="65"/>
      <c r="BW512" s="66"/>
      <c r="BX512" s="67" t="str">
        <f t="shared" si="180"/>
        <v>#REF!</v>
      </c>
      <c r="BY512" s="68" t="str">
        <f t="shared" si="181"/>
        <v>#REF!</v>
      </c>
      <c r="BZ512" s="65"/>
      <c r="CA512" s="65"/>
      <c r="CB512" s="66"/>
      <c r="CC512" s="67" t="str">
        <f t="shared" si="182"/>
        <v>#REF!</v>
      </c>
      <c r="CD512" s="68" t="str">
        <f>'[1]DATA CONSOLIDADA 2018-2025 '!$CB512-Hoja1!$BW512</f>
        <v>#REF!</v>
      </c>
      <c r="CE512" s="70"/>
      <c r="CF512" s="70"/>
      <c r="CG512" s="71"/>
      <c r="CH512" s="67" t="str">
        <f t="shared" si="183"/>
        <v>#REF!</v>
      </c>
      <c r="CI512" s="68" t="str">
        <f>'[1]DATA CONSOLIDADA 2018-2025 '!$CG512-Hoja1!$CB512</f>
        <v>#REF!</v>
      </c>
      <c r="CJ512" s="64" t="str">
        <f t="shared" si="165"/>
        <v>#REF!</v>
      </c>
      <c r="CK512" s="64">
        <v>365500.0</v>
      </c>
      <c r="CL512" s="64">
        <v>0.0</v>
      </c>
      <c r="CM512" s="64">
        <v>365500.0</v>
      </c>
      <c r="CN512" s="64" t="str">
        <f t="shared" si="12"/>
        <v>#REF!</v>
      </c>
      <c r="CO512" s="68" t="str">
        <f>'[1]DATA CONSOLIDADA 2018-2025 '!$CM512-Hoja1!$CG512</f>
        <v>#REF!</v>
      </c>
      <c r="CP512" s="70"/>
      <c r="CQ512" s="70"/>
      <c r="CR512" s="70"/>
      <c r="CS512" s="70"/>
      <c r="CT512" s="70"/>
      <c r="CU512" s="70"/>
      <c r="CV512" s="64"/>
      <c r="CW512" s="64"/>
      <c r="CX512" s="64"/>
      <c r="CY512" s="64"/>
      <c r="CZ512" s="64"/>
      <c r="DA512" s="64"/>
      <c r="DB512" s="64"/>
      <c r="DC512" s="72">
        <v>0.0</v>
      </c>
      <c r="DD512" s="72">
        <v>365500.0</v>
      </c>
      <c r="DE512" s="72">
        <v>0.0</v>
      </c>
      <c r="DF512" s="72">
        <v>0.0</v>
      </c>
      <c r="DG512" s="72">
        <v>0.0</v>
      </c>
      <c r="DH512" s="72">
        <v>365500.0</v>
      </c>
      <c r="DI512" s="73">
        <v>2.0539619595E10</v>
      </c>
      <c r="DJ512" s="74" t="s">
        <v>1607</v>
      </c>
      <c r="DK512" s="74" t="s">
        <v>138</v>
      </c>
      <c r="DL512" s="75"/>
      <c r="DM512" s="75"/>
      <c r="DN512" s="75"/>
      <c r="DO512" s="75"/>
      <c r="DP512" s="75"/>
      <c r="DQ512" s="75"/>
      <c r="DR512" s="75"/>
      <c r="DS512" s="75"/>
      <c r="DT512" s="75"/>
      <c r="DU512" s="75"/>
      <c r="DV512" s="75"/>
      <c r="DW512" s="75"/>
      <c r="DX512" s="75"/>
      <c r="DY512" s="75"/>
      <c r="DZ512" s="75"/>
      <c r="EA512" s="75"/>
      <c r="EB512" s="75"/>
      <c r="EC512" s="75"/>
      <c r="ED512" s="75"/>
      <c r="EE512" s="75"/>
    </row>
    <row r="513" ht="47.25" hidden="1" customHeight="1">
      <c r="A513" s="55" t="s">
        <v>1608</v>
      </c>
      <c r="B513" s="55" t="s">
        <v>455</v>
      </c>
      <c r="C513" s="55" t="s">
        <v>1609</v>
      </c>
      <c r="D513" s="55" t="s">
        <v>408</v>
      </c>
      <c r="E513" s="55" t="s">
        <v>456</v>
      </c>
      <c r="F513" s="55" t="s">
        <v>408</v>
      </c>
      <c r="G513" s="55" t="s">
        <v>457</v>
      </c>
      <c r="H513" s="55" t="s">
        <v>458</v>
      </c>
      <c r="I513" s="56"/>
      <c r="J513" s="56"/>
      <c r="K513" s="56"/>
      <c r="L513" s="56"/>
      <c r="M513" s="56"/>
      <c r="N513" s="56"/>
      <c r="O513" s="56"/>
      <c r="P513" s="56">
        <v>1.0</v>
      </c>
      <c r="Q513" s="56" t="s">
        <v>131</v>
      </c>
      <c r="R513" s="58" t="str">
        <f t="shared" si="1"/>
        <v>2025</v>
      </c>
      <c r="S513" s="59" t="str">
        <f>SUM(Hoja1!$I513:$P513)</f>
        <v>1</v>
      </c>
      <c r="T513" s="59" t="str">
        <f>IF(OR(Hoja1!$J513=1,Hoja1!$K513=1,Hoja1!$L513=1,Hoja1!$M513=1,Hoja1!$N513=1,Hoja1!$O513=1,Hoja1!$P513=1),"SI","NO")</f>
        <v>SI</v>
      </c>
      <c r="U513" s="59" t="str">
        <f>IF(OR(Hoja1!$K513=1,Hoja1!$L513=1,Hoja1!$M513=1,Hoja1!$N513=1,Hoja1!$O513=1,Hoja1!$P513=1),"SI","NO")</f>
        <v>SI</v>
      </c>
      <c r="V513" s="60">
        <v>0.0</v>
      </c>
      <c r="W513" s="61">
        <v>0.0</v>
      </c>
      <c r="X513" s="61">
        <v>0.0</v>
      </c>
      <c r="Y513" s="60">
        <v>0.0</v>
      </c>
      <c r="Z513" s="61">
        <v>0.0</v>
      </c>
      <c r="AA513" s="61">
        <v>0.0</v>
      </c>
      <c r="AB513" s="60">
        <v>0.0</v>
      </c>
      <c r="AC513" s="61">
        <v>0.0</v>
      </c>
      <c r="AD513" s="61">
        <v>0.0</v>
      </c>
      <c r="AE513" s="60">
        <v>0.0</v>
      </c>
      <c r="AF513" s="61">
        <v>0.0</v>
      </c>
      <c r="AG513" s="61">
        <v>0.0</v>
      </c>
      <c r="AH513" s="60">
        <v>0.0</v>
      </c>
      <c r="AI513" s="61">
        <v>0.0</v>
      </c>
      <c r="AJ513" s="61">
        <v>0.0</v>
      </c>
      <c r="AK513" s="60">
        <v>0.0</v>
      </c>
      <c r="AL513" s="61">
        <v>0.0</v>
      </c>
      <c r="AM513" s="61">
        <v>0.0</v>
      </c>
      <c r="AN513" s="60">
        <v>0.0</v>
      </c>
      <c r="AO513" s="62">
        <v>7.0</v>
      </c>
      <c r="AP513" s="62">
        <v>18.0</v>
      </c>
      <c r="AQ513" s="60">
        <v>25.0</v>
      </c>
      <c r="AR513" s="60" t="str">
        <f>IF(Hoja1!$AQ513&gt;0,Hoja1!$AQ513,IF(Hoja1!$AN513&gt;0,Hoja1!$AN513,IF(Hoja1!$AK513&gt;0,Hoja1!$AK513,IF(Hoja1!$AH513&gt;0,Hoja1!$AH513,IF(Hoja1!$AE513&gt;0,Hoja1!$AE513,IF(Hoja1!$AB513&gt;0,Hoja1!$AB513,IF(Hoja1!$Y513&gt;0,Hoja1!$Y513,IF(Hoja1!$V513&gt;0,Hoja1!$V513," ---"))))))))</f>
        <v>25</v>
      </c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>
        <v>30.0</v>
      </c>
      <c r="BD513" s="63">
        <v>5.0</v>
      </c>
      <c r="BE513" s="64"/>
      <c r="BF513" s="69"/>
      <c r="BG513" s="69"/>
      <c r="BH513" s="64"/>
      <c r="BI513" s="67" t="str">
        <f t="shared" si="175"/>
        <v>#REF!</v>
      </c>
      <c r="BJ513" s="68" t="str">
        <f t="shared" si="176"/>
        <v>#REF!</v>
      </c>
      <c r="BK513" s="69"/>
      <c r="BL513" s="69"/>
      <c r="BM513" s="64"/>
      <c r="BN513" s="67" t="str">
        <f t="shared" si="177"/>
        <v>#REF!</v>
      </c>
      <c r="BO513" s="68" t="str">
        <f t="shared" si="178"/>
        <v>#REF!</v>
      </c>
      <c r="BP513" s="65"/>
      <c r="BQ513" s="65"/>
      <c r="BR513" s="66"/>
      <c r="BS513" s="67" t="str">
        <f t="shared" si="179"/>
        <v>#REF!</v>
      </c>
      <c r="BT513" s="68" t="str">
        <f>'[1]DATA CONSOLIDADA 2018-2025 '!$BR533-Hoja1!$BO513</f>
        <v>#REF!</v>
      </c>
      <c r="BU513" s="69"/>
      <c r="BV513" s="65"/>
      <c r="BW513" s="66"/>
      <c r="BX513" s="67" t="str">
        <f t="shared" si="180"/>
        <v>#REF!</v>
      </c>
      <c r="BY513" s="68" t="str">
        <f t="shared" si="181"/>
        <v>#REF!</v>
      </c>
      <c r="BZ513" s="65"/>
      <c r="CA513" s="65"/>
      <c r="CB513" s="66"/>
      <c r="CC513" s="67" t="str">
        <f t="shared" si="182"/>
        <v>#REF!</v>
      </c>
      <c r="CD513" s="68" t="str">
        <f>'[1]DATA CONSOLIDADA 2018-2025 '!$CB533-Hoja1!$BW513</f>
        <v>#REF!</v>
      </c>
      <c r="CE513" s="70"/>
      <c r="CF513" s="70"/>
      <c r="CG513" s="71"/>
      <c r="CH513" s="67" t="str">
        <f t="shared" si="183"/>
        <v>#REF!</v>
      </c>
      <c r="CI513" s="68" t="str">
        <f>'[1]DATA CONSOLIDADA 2018-2025 '!$CG533-Hoja1!$CB513</f>
        <v>#REF!</v>
      </c>
      <c r="CJ513" s="64" t="str">
        <f>'[1]DATA CONSOLIDADA 2018-2025 '!$BE533+'[1]DATA CONSOLIDADA 2018-2025 '!$BH533+'[1]DATA CONSOLIDADA 2018-2025 '!$BM533+'[1]DATA CONSOLIDADA 2018-2025 '!$BR533+'[1]DATA CONSOLIDADA 2018-2025 '!$BW533+'[1]DATA CONSOLIDADA 2018-2025 '!$CB533+'[1]DATA CONSOLIDADA 2018-2025 '!$CG533</f>
        <v>#REF!</v>
      </c>
      <c r="CK513" s="64">
        <v>300834.0</v>
      </c>
      <c r="CL513" s="64">
        <v>0.0</v>
      </c>
      <c r="CM513" s="64">
        <v>300834.0</v>
      </c>
      <c r="CN513" s="64" t="str">
        <f t="shared" si="12"/>
        <v>#REF!</v>
      </c>
      <c r="CO513" s="68" t="str">
        <f>'[1]DATA CONSOLIDADA 2018-2025 '!$CM513-Hoja1!$CG513</f>
        <v>#REF!</v>
      </c>
      <c r="CP513" s="70"/>
      <c r="CQ513" s="70"/>
      <c r="CR513" s="70"/>
      <c r="CS513" s="70"/>
      <c r="CT513" s="70"/>
      <c r="CU513" s="70"/>
      <c r="CV513" s="64"/>
      <c r="CW513" s="64"/>
      <c r="CX513" s="64"/>
      <c r="CY513" s="64"/>
      <c r="CZ513" s="64"/>
      <c r="DA513" s="64"/>
      <c r="DB513" s="64"/>
      <c r="DC513" s="72">
        <v>0.0</v>
      </c>
      <c r="DD513" s="72">
        <v>300834.0</v>
      </c>
      <c r="DE513" s="72">
        <v>0.0</v>
      </c>
      <c r="DF513" s="72">
        <v>0.0</v>
      </c>
      <c r="DG513" s="72">
        <v>0.0</v>
      </c>
      <c r="DH513" s="72">
        <v>300834.0</v>
      </c>
      <c r="DI513" s="73">
        <v>2.0611631686E10</v>
      </c>
      <c r="DJ513" s="74" t="s">
        <v>1610</v>
      </c>
      <c r="DK513" s="74" t="s">
        <v>132</v>
      </c>
      <c r="DL513" s="75"/>
      <c r="DM513" s="75"/>
      <c r="DN513" s="75"/>
      <c r="DO513" s="75"/>
      <c r="DP513" s="75"/>
      <c r="DQ513" s="75"/>
      <c r="DR513" s="75"/>
      <c r="DS513" s="75"/>
      <c r="DT513" s="75"/>
      <c r="DU513" s="75"/>
      <c r="DV513" s="75"/>
      <c r="DW513" s="75"/>
      <c r="DX513" s="75"/>
      <c r="DY513" s="75"/>
      <c r="DZ513" s="75"/>
      <c r="EA513" s="75"/>
      <c r="EB513" s="75"/>
      <c r="EC513" s="75"/>
      <c r="ED513" s="75"/>
      <c r="EE513" s="75"/>
    </row>
    <row r="514" ht="47.25" customHeight="1">
      <c r="A514" s="55" t="s">
        <v>1611</v>
      </c>
      <c r="B514" s="55" t="s">
        <v>146</v>
      </c>
      <c r="C514" s="55" t="s">
        <v>432</v>
      </c>
      <c r="D514" s="55" t="s">
        <v>593</v>
      </c>
      <c r="E514" s="55" t="s">
        <v>636</v>
      </c>
      <c r="F514" s="55" t="s">
        <v>593</v>
      </c>
      <c r="G514" s="55" t="s">
        <v>595</v>
      </c>
      <c r="H514" s="55" t="s">
        <v>637</v>
      </c>
      <c r="I514" s="56"/>
      <c r="J514" s="56"/>
      <c r="K514" s="56"/>
      <c r="L514" s="56"/>
      <c r="M514" s="56"/>
      <c r="N514" s="56"/>
      <c r="O514" s="56"/>
      <c r="P514" s="56">
        <v>1.0</v>
      </c>
      <c r="Q514" s="56" t="s">
        <v>131</v>
      </c>
      <c r="R514" s="58" t="str">
        <f t="shared" si="1"/>
        <v>2025</v>
      </c>
      <c r="S514" s="59" t="str">
        <f>SUM(Hoja1!$I514:$P514)</f>
        <v>1</v>
      </c>
      <c r="T514" s="59" t="str">
        <f>IF(OR(Hoja1!$J514=1,Hoja1!$K514=1,Hoja1!$L514=1,Hoja1!$M514=1,Hoja1!$N514=1,Hoja1!$O514=1,Hoja1!$P514=1),"SI","NO")</f>
        <v>SI</v>
      </c>
      <c r="U514" s="59" t="str">
        <f>IF(OR(Hoja1!$K514=1,Hoja1!$L514=1,Hoja1!$M514=1,Hoja1!$N514=1,Hoja1!$O514=1,Hoja1!$P514=1),"SI","NO")</f>
        <v>SI</v>
      </c>
      <c r="V514" s="60">
        <v>0.0</v>
      </c>
      <c r="W514" s="61">
        <v>0.0</v>
      </c>
      <c r="X514" s="61">
        <v>0.0</v>
      </c>
      <c r="Y514" s="60">
        <v>0.0</v>
      </c>
      <c r="Z514" s="61">
        <v>0.0</v>
      </c>
      <c r="AA514" s="61">
        <v>0.0</v>
      </c>
      <c r="AB514" s="60">
        <v>0.0</v>
      </c>
      <c r="AC514" s="61">
        <v>0.0</v>
      </c>
      <c r="AD514" s="61">
        <v>0.0</v>
      </c>
      <c r="AE514" s="60">
        <v>0.0</v>
      </c>
      <c r="AF514" s="61">
        <v>0.0</v>
      </c>
      <c r="AG514" s="61">
        <v>0.0</v>
      </c>
      <c r="AH514" s="60">
        <v>0.0</v>
      </c>
      <c r="AI514" s="61">
        <v>0.0</v>
      </c>
      <c r="AJ514" s="61">
        <v>0.0</v>
      </c>
      <c r="AK514" s="60">
        <v>0.0</v>
      </c>
      <c r="AL514" s="61">
        <v>0.0</v>
      </c>
      <c r="AM514" s="61">
        <v>0.0</v>
      </c>
      <c r="AN514" s="60">
        <v>0.0</v>
      </c>
      <c r="AO514" s="62">
        <v>18.0</v>
      </c>
      <c r="AP514" s="62">
        <v>19.0</v>
      </c>
      <c r="AQ514" s="60">
        <v>37.0</v>
      </c>
      <c r="AR514" s="60" t="str">
        <f>IF(Hoja1!$AQ514&gt;0,Hoja1!$AQ514,IF(Hoja1!$AN514&gt;0,Hoja1!$AN514,IF(Hoja1!$AK514&gt;0,Hoja1!$AK514,IF(Hoja1!$AH514&gt;0,Hoja1!$AH514,IF(Hoja1!$AE514&gt;0,Hoja1!$AE514,IF(Hoja1!$AB514&gt;0,Hoja1!$AB514,IF(Hoja1!$Y514&gt;0,Hoja1!$Y514,IF(Hoja1!$V514&gt;0,Hoja1!$V514," ---"))))))))</f>
        <v>37</v>
      </c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>
        <v>32.0</v>
      </c>
      <c r="BD514" s="63">
        <v>0.0</v>
      </c>
      <c r="BE514" s="64"/>
      <c r="BF514" s="69"/>
      <c r="BG514" s="69"/>
      <c r="BH514" s="64"/>
      <c r="BI514" s="67" t="str">
        <f t="shared" si="175"/>
        <v>#REF!</v>
      </c>
      <c r="BJ514" s="68" t="str">
        <f t="shared" si="176"/>
        <v>#REF!</v>
      </c>
      <c r="BK514" s="69"/>
      <c r="BL514" s="69"/>
      <c r="BM514" s="64"/>
      <c r="BN514" s="67" t="str">
        <f t="shared" si="177"/>
        <v>#REF!</v>
      </c>
      <c r="BO514" s="68" t="str">
        <f t="shared" si="178"/>
        <v>#REF!</v>
      </c>
      <c r="BP514" s="65"/>
      <c r="BQ514" s="65"/>
      <c r="BR514" s="66"/>
      <c r="BS514" s="67" t="str">
        <f t="shared" si="179"/>
        <v>#REF!</v>
      </c>
      <c r="BT514" s="68" t="str">
        <f>'[1]DATA CONSOLIDADA 2018-2025 '!$BR514-Hoja1!$BO514</f>
        <v>#REF!</v>
      </c>
      <c r="BU514" s="69"/>
      <c r="BV514" s="65"/>
      <c r="BW514" s="66"/>
      <c r="BX514" s="67" t="str">
        <f t="shared" si="180"/>
        <v>#REF!</v>
      </c>
      <c r="BY514" s="68" t="str">
        <f t="shared" si="181"/>
        <v>#REF!</v>
      </c>
      <c r="BZ514" s="65"/>
      <c r="CA514" s="65"/>
      <c r="CB514" s="66"/>
      <c r="CC514" s="67" t="str">
        <f t="shared" si="182"/>
        <v>#REF!</v>
      </c>
      <c r="CD514" s="68" t="str">
        <f>'[1]DATA CONSOLIDADA 2018-2025 '!$CB514-Hoja1!$BW514</f>
        <v>#REF!</v>
      </c>
      <c r="CE514" s="70"/>
      <c r="CF514" s="70"/>
      <c r="CG514" s="71"/>
      <c r="CH514" s="67" t="str">
        <f t="shared" si="183"/>
        <v>#REF!</v>
      </c>
      <c r="CI514" s="68" t="str">
        <f>'[1]DATA CONSOLIDADA 2018-2025 '!$CG514-Hoja1!$CB514</f>
        <v>#REF!</v>
      </c>
      <c r="CJ514" s="64" t="str">
        <f t="shared" ref="CJ514:CJ532" si="184">'[1]DATA CONSOLIDADA 2018-2025 '!$BE514+'[1]DATA CONSOLIDADA 2018-2025 '!$BH514+'[1]DATA CONSOLIDADA 2018-2025 '!$BM514+'[1]DATA CONSOLIDADA 2018-2025 '!$BR514+'[1]DATA CONSOLIDADA 2018-2025 '!$BW514+'[1]DATA CONSOLIDADA 2018-2025 '!$CB514+'[1]DATA CONSOLIDADA 2018-2025 '!$CG514</f>
        <v>#REF!</v>
      </c>
      <c r="CK514" s="64">
        <v>1117782.4100000008</v>
      </c>
      <c r="CL514" s="64">
        <v>0.0</v>
      </c>
      <c r="CM514" s="64">
        <v>1117782.4100000008</v>
      </c>
      <c r="CN514" s="64" t="str">
        <f t="shared" si="12"/>
        <v>#REF!</v>
      </c>
      <c r="CO514" s="68" t="str">
        <f>'[1]DATA CONSOLIDADA 2018-2025 '!$CM514-Hoja1!$CG514</f>
        <v>#REF!</v>
      </c>
      <c r="CP514" s="70"/>
      <c r="CQ514" s="70"/>
      <c r="CR514" s="70"/>
      <c r="CS514" s="70"/>
      <c r="CT514" s="70"/>
      <c r="CU514" s="70"/>
      <c r="CV514" s="64"/>
      <c r="CW514" s="64"/>
      <c r="CX514" s="64"/>
      <c r="CY514" s="64"/>
      <c r="CZ514" s="64"/>
      <c r="DA514" s="64"/>
      <c r="DB514" s="64"/>
      <c r="DC514" s="72">
        <v>0.0</v>
      </c>
      <c r="DD514" s="72">
        <v>0.0</v>
      </c>
      <c r="DE514" s="72">
        <v>1117782.4100000008</v>
      </c>
      <c r="DF514" s="72">
        <v>0.0</v>
      </c>
      <c r="DG514" s="72">
        <v>0.0</v>
      </c>
      <c r="DH514" s="72">
        <v>1117782.4100000008</v>
      </c>
      <c r="DI514" s="73">
        <v>2.0600010086E10</v>
      </c>
      <c r="DJ514" s="74" t="s">
        <v>1611</v>
      </c>
      <c r="DK514" s="74" t="s">
        <v>132</v>
      </c>
      <c r="DL514" s="75"/>
      <c r="DM514" s="75"/>
      <c r="DN514" s="75"/>
      <c r="DO514" s="75"/>
      <c r="DP514" s="75"/>
      <c r="DQ514" s="75"/>
      <c r="DR514" s="75"/>
      <c r="DS514" s="75"/>
      <c r="DT514" s="75"/>
      <c r="DU514" s="75"/>
      <c r="DV514" s="75"/>
      <c r="DW514" s="75"/>
      <c r="DX514" s="75"/>
      <c r="DY514" s="75"/>
      <c r="DZ514" s="75"/>
      <c r="EA514" s="75"/>
      <c r="EB514" s="75"/>
      <c r="EC514" s="75"/>
      <c r="ED514" s="75"/>
      <c r="EE514" s="75"/>
    </row>
    <row r="515" ht="47.25" hidden="1" customHeight="1">
      <c r="A515" s="55" t="s">
        <v>1612</v>
      </c>
      <c r="B515" s="55" t="s">
        <v>256</v>
      </c>
      <c r="C515" s="55" t="s">
        <v>256</v>
      </c>
      <c r="D515" s="55" t="s">
        <v>481</v>
      </c>
      <c r="E515" s="55" t="s">
        <v>1613</v>
      </c>
      <c r="F515" s="55" t="s">
        <v>481</v>
      </c>
      <c r="G515" s="55" t="s">
        <v>692</v>
      </c>
      <c r="H515" s="55" t="s">
        <v>1614</v>
      </c>
      <c r="I515" s="56"/>
      <c r="J515" s="56"/>
      <c r="K515" s="56"/>
      <c r="L515" s="56"/>
      <c r="M515" s="56"/>
      <c r="N515" s="56"/>
      <c r="O515" s="56"/>
      <c r="P515" s="56">
        <v>1.0</v>
      </c>
      <c r="Q515" s="56" t="s">
        <v>131</v>
      </c>
      <c r="R515" s="58" t="str">
        <f t="shared" si="1"/>
        <v>2025</v>
      </c>
      <c r="S515" s="59" t="str">
        <f>SUM(Hoja1!$I515:$P515)</f>
        <v>1</v>
      </c>
      <c r="T515" s="59" t="str">
        <f>IF(OR(Hoja1!$J515=1,Hoja1!$K515=1,Hoja1!$L515=1,Hoja1!$M515=1,Hoja1!$N515=1,Hoja1!$O515=1,Hoja1!$P515=1),"SI","NO")</f>
        <v>SI</v>
      </c>
      <c r="U515" s="59" t="str">
        <f>IF(OR(Hoja1!$K515=1,Hoja1!$L515=1,Hoja1!$M515=1,Hoja1!$N515=1,Hoja1!$O515=1,Hoja1!$P515=1),"SI","NO")</f>
        <v>SI</v>
      </c>
      <c r="V515" s="60">
        <v>0.0</v>
      </c>
      <c r="W515" s="61">
        <v>0.0</v>
      </c>
      <c r="X515" s="61">
        <v>0.0</v>
      </c>
      <c r="Y515" s="60">
        <v>0.0</v>
      </c>
      <c r="Z515" s="61">
        <v>0.0</v>
      </c>
      <c r="AA515" s="61">
        <v>0.0</v>
      </c>
      <c r="AB515" s="60">
        <v>0.0</v>
      </c>
      <c r="AC515" s="61">
        <v>0.0</v>
      </c>
      <c r="AD515" s="61">
        <v>0.0</v>
      </c>
      <c r="AE515" s="60">
        <v>0.0</v>
      </c>
      <c r="AF515" s="61">
        <v>0.0</v>
      </c>
      <c r="AG515" s="61">
        <v>0.0</v>
      </c>
      <c r="AH515" s="60">
        <v>0.0</v>
      </c>
      <c r="AI515" s="61">
        <v>0.0</v>
      </c>
      <c r="AJ515" s="61">
        <v>0.0</v>
      </c>
      <c r="AK515" s="60">
        <v>0.0</v>
      </c>
      <c r="AL515" s="61">
        <v>0.0</v>
      </c>
      <c r="AM515" s="61">
        <v>0.0</v>
      </c>
      <c r="AN515" s="60">
        <v>0.0</v>
      </c>
      <c r="AO515" s="62">
        <v>17.0</v>
      </c>
      <c r="AP515" s="62">
        <v>13.0</v>
      </c>
      <c r="AQ515" s="60">
        <v>30.0</v>
      </c>
      <c r="AR515" s="60" t="str">
        <f>IF(Hoja1!$AQ515&gt;0,Hoja1!$AQ515,IF(Hoja1!$AN515&gt;0,Hoja1!$AN515,IF(Hoja1!$AK515&gt;0,Hoja1!$AK515,IF(Hoja1!$AH515&gt;0,Hoja1!$AH515,IF(Hoja1!$AE515&gt;0,Hoja1!$AE515,IF(Hoja1!$AB515&gt;0,Hoja1!$AB515,IF(Hoja1!$Y515&gt;0,Hoja1!$Y515,IF(Hoja1!$V515&gt;0,Hoja1!$V515," ---"))))))))</f>
        <v>30</v>
      </c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>
        <v>15.0</v>
      </c>
      <c r="BD515" s="63">
        <v>1.0</v>
      </c>
      <c r="BE515" s="64"/>
      <c r="BF515" s="69"/>
      <c r="BG515" s="69"/>
      <c r="BH515" s="64"/>
      <c r="BI515" s="67" t="str">
        <f t="shared" si="175"/>
        <v>#REF!</v>
      </c>
      <c r="BJ515" s="68" t="str">
        <f t="shared" si="176"/>
        <v>#REF!</v>
      </c>
      <c r="BK515" s="69"/>
      <c r="BL515" s="69"/>
      <c r="BM515" s="64"/>
      <c r="BN515" s="67" t="str">
        <f t="shared" si="177"/>
        <v>#REF!</v>
      </c>
      <c r="BO515" s="68" t="str">
        <f t="shared" si="178"/>
        <v>#REF!</v>
      </c>
      <c r="BP515" s="65"/>
      <c r="BQ515" s="65"/>
      <c r="BR515" s="66"/>
      <c r="BS515" s="67" t="str">
        <f t="shared" si="179"/>
        <v>#REF!</v>
      </c>
      <c r="BT515" s="68" t="str">
        <f>'[1]DATA CONSOLIDADA 2018-2025 '!$BR515-Hoja1!$BO515</f>
        <v>#REF!</v>
      </c>
      <c r="BU515" s="69"/>
      <c r="BV515" s="65"/>
      <c r="BW515" s="66"/>
      <c r="BX515" s="67" t="str">
        <f t="shared" si="180"/>
        <v>#REF!</v>
      </c>
      <c r="BY515" s="68" t="str">
        <f t="shared" si="181"/>
        <v>#REF!</v>
      </c>
      <c r="BZ515" s="65"/>
      <c r="CA515" s="65"/>
      <c r="CB515" s="66"/>
      <c r="CC515" s="67" t="str">
        <f t="shared" si="182"/>
        <v>#REF!</v>
      </c>
      <c r="CD515" s="68" t="str">
        <f>'[1]DATA CONSOLIDADA 2018-2025 '!$CB515-Hoja1!$BW515</f>
        <v>#REF!</v>
      </c>
      <c r="CE515" s="70"/>
      <c r="CF515" s="70"/>
      <c r="CG515" s="71"/>
      <c r="CH515" s="67" t="str">
        <f t="shared" si="183"/>
        <v>#REF!</v>
      </c>
      <c r="CI515" s="68" t="str">
        <f>'[1]DATA CONSOLIDADA 2018-2025 '!$CG515-Hoja1!$CB515</f>
        <v>#REF!</v>
      </c>
      <c r="CJ515" s="64" t="str">
        <f t="shared" si="184"/>
        <v>#REF!</v>
      </c>
      <c r="CK515" s="64">
        <v>298844.1</v>
      </c>
      <c r="CL515" s="64">
        <v>0.0</v>
      </c>
      <c r="CM515" s="64">
        <v>298844.1</v>
      </c>
      <c r="CN515" s="64" t="str">
        <f t="shared" si="12"/>
        <v>#REF!</v>
      </c>
      <c r="CO515" s="68" t="str">
        <f>'[1]DATA CONSOLIDADA 2018-2025 '!$CM515-Hoja1!$CG515</f>
        <v>#REF!</v>
      </c>
      <c r="CP515" s="70"/>
      <c r="CQ515" s="70"/>
      <c r="CR515" s="70"/>
      <c r="CS515" s="70"/>
      <c r="CT515" s="70"/>
      <c r="CU515" s="70"/>
      <c r="CV515" s="64"/>
      <c r="CW515" s="64"/>
      <c r="CX515" s="64"/>
      <c r="CY515" s="64"/>
      <c r="CZ515" s="64"/>
      <c r="DA515" s="64"/>
      <c r="DB515" s="64"/>
      <c r="DC515" s="72">
        <v>0.0</v>
      </c>
      <c r="DD515" s="72">
        <v>240524.1</v>
      </c>
      <c r="DE515" s="72">
        <v>0.0</v>
      </c>
      <c r="DF515" s="72">
        <v>58320.0</v>
      </c>
      <c r="DG515" s="72">
        <v>0.0</v>
      </c>
      <c r="DH515" s="72">
        <v>298844.1</v>
      </c>
      <c r="DI515" s="73">
        <v>2.0609979471E10</v>
      </c>
      <c r="DJ515" s="74" t="s">
        <v>1615</v>
      </c>
      <c r="DK515" s="74" t="s">
        <v>138</v>
      </c>
      <c r="DL515" s="75"/>
      <c r="DM515" s="75"/>
      <c r="DN515" s="75"/>
      <c r="DO515" s="75"/>
      <c r="DP515" s="75"/>
      <c r="DQ515" s="75"/>
      <c r="DR515" s="75"/>
      <c r="DS515" s="75"/>
      <c r="DT515" s="75"/>
      <c r="DU515" s="75"/>
      <c r="DV515" s="75"/>
      <c r="DW515" s="75"/>
      <c r="DX515" s="75"/>
      <c r="DY515" s="75"/>
      <c r="DZ515" s="75"/>
      <c r="EA515" s="75"/>
      <c r="EB515" s="75"/>
      <c r="EC515" s="75"/>
      <c r="ED515" s="75"/>
      <c r="EE515" s="75"/>
    </row>
    <row r="516" ht="47.25" hidden="1" customHeight="1">
      <c r="A516" s="55" t="s">
        <v>1616</v>
      </c>
      <c r="B516" s="55" t="s">
        <v>256</v>
      </c>
      <c r="C516" s="55" t="s">
        <v>1617</v>
      </c>
      <c r="D516" s="55" t="s">
        <v>481</v>
      </c>
      <c r="E516" s="55" t="s">
        <v>760</v>
      </c>
      <c r="F516" s="55" t="s">
        <v>481</v>
      </c>
      <c r="G516" s="55" t="s">
        <v>684</v>
      </c>
      <c r="H516" s="55" t="s">
        <v>761</v>
      </c>
      <c r="I516" s="56"/>
      <c r="J516" s="56"/>
      <c r="K516" s="56"/>
      <c r="L516" s="56"/>
      <c r="M516" s="56"/>
      <c r="N516" s="56"/>
      <c r="O516" s="56"/>
      <c r="P516" s="56">
        <v>1.0</v>
      </c>
      <c r="Q516" s="56" t="s">
        <v>131</v>
      </c>
      <c r="R516" s="58" t="str">
        <f t="shared" si="1"/>
        <v>2025</v>
      </c>
      <c r="S516" s="59" t="str">
        <f>SUM(Hoja1!$I516:$P516)</f>
        <v>1</v>
      </c>
      <c r="T516" s="59" t="str">
        <f>IF(OR(Hoja1!$J516=1,Hoja1!$K516=1,Hoja1!$L516=1,Hoja1!$M516=1,Hoja1!$N516=1,Hoja1!$O516=1,Hoja1!$P516=1),"SI","NO")</f>
        <v>SI</v>
      </c>
      <c r="U516" s="59" t="str">
        <f>IF(OR(Hoja1!$K516=1,Hoja1!$L516=1,Hoja1!$M516=1,Hoja1!$N516=1,Hoja1!$O516=1,Hoja1!$P516=1),"SI","NO")</f>
        <v>SI</v>
      </c>
      <c r="V516" s="60">
        <v>0.0</v>
      </c>
      <c r="W516" s="61">
        <v>0.0</v>
      </c>
      <c r="X516" s="61">
        <v>0.0</v>
      </c>
      <c r="Y516" s="60">
        <v>0.0</v>
      </c>
      <c r="Z516" s="61">
        <v>0.0</v>
      </c>
      <c r="AA516" s="61">
        <v>0.0</v>
      </c>
      <c r="AB516" s="60">
        <v>0.0</v>
      </c>
      <c r="AC516" s="61">
        <v>0.0</v>
      </c>
      <c r="AD516" s="61">
        <v>0.0</v>
      </c>
      <c r="AE516" s="60">
        <v>0.0</v>
      </c>
      <c r="AF516" s="61">
        <v>0.0</v>
      </c>
      <c r="AG516" s="61">
        <v>0.0</v>
      </c>
      <c r="AH516" s="60">
        <v>0.0</v>
      </c>
      <c r="AI516" s="61">
        <v>0.0</v>
      </c>
      <c r="AJ516" s="61">
        <v>0.0</v>
      </c>
      <c r="AK516" s="60">
        <v>0.0</v>
      </c>
      <c r="AL516" s="61">
        <v>0.0</v>
      </c>
      <c r="AM516" s="61">
        <v>0.0</v>
      </c>
      <c r="AN516" s="60">
        <v>0.0</v>
      </c>
      <c r="AO516" s="62">
        <v>15.0</v>
      </c>
      <c r="AP516" s="62">
        <v>11.0</v>
      </c>
      <c r="AQ516" s="60">
        <v>26.0</v>
      </c>
      <c r="AR516" s="60" t="str">
        <f>IF(Hoja1!$AQ516&gt;0,Hoja1!$AQ516,IF(Hoja1!$AN516&gt;0,Hoja1!$AN516,IF(Hoja1!$AK516&gt;0,Hoja1!$AK516,IF(Hoja1!$AH516&gt;0,Hoja1!$AH516,IF(Hoja1!$AE516&gt;0,Hoja1!$AE516,IF(Hoja1!$AB516&gt;0,Hoja1!$AB516,IF(Hoja1!$Y516&gt;0,Hoja1!$Y516,IF(Hoja1!$V516&gt;0,Hoja1!$V516," ---"))))))))</f>
        <v>26</v>
      </c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>
        <v>15.0</v>
      </c>
      <c r="BD516" s="63">
        <v>1.0</v>
      </c>
      <c r="BE516" s="64"/>
      <c r="BF516" s="69"/>
      <c r="BG516" s="69"/>
      <c r="BH516" s="64"/>
      <c r="BI516" s="67" t="str">
        <f t="shared" si="175"/>
        <v>#REF!</v>
      </c>
      <c r="BJ516" s="68" t="str">
        <f t="shared" si="176"/>
        <v>#REF!</v>
      </c>
      <c r="BK516" s="69"/>
      <c r="BL516" s="69"/>
      <c r="BM516" s="64"/>
      <c r="BN516" s="67" t="str">
        <f t="shared" si="177"/>
        <v>#REF!</v>
      </c>
      <c r="BO516" s="68" t="str">
        <f t="shared" si="178"/>
        <v>#REF!</v>
      </c>
      <c r="BP516" s="65"/>
      <c r="BQ516" s="65"/>
      <c r="BR516" s="66"/>
      <c r="BS516" s="67" t="str">
        <f t="shared" si="179"/>
        <v>#REF!</v>
      </c>
      <c r="BT516" s="68" t="str">
        <f>'[1]DATA CONSOLIDADA 2018-2025 '!$BR516-Hoja1!$BO516</f>
        <v>#REF!</v>
      </c>
      <c r="BU516" s="69"/>
      <c r="BV516" s="65"/>
      <c r="BW516" s="66"/>
      <c r="BX516" s="67" t="str">
        <f t="shared" si="180"/>
        <v>#REF!</v>
      </c>
      <c r="BY516" s="68" t="str">
        <f t="shared" si="181"/>
        <v>#REF!</v>
      </c>
      <c r="BZ516" s="65"/>
      <c r="CA516" s="65"/>
      <c r="CB516" s="66"/>
      <c r="CC516" s="67" t="str">
        <f t="shared" si="182"/>
        <v>#REF!</v>
      </c>
      <c r="CD516" s="68" t="str">
        <f>'[1]DATA CONSOLIDADA 2018-2025 '!$CB516-Hoja1!$BW516</f>
        <v>#REF!</v>
      </c>
      <c r="CE516" s="70"/>
      <c r="CF516" s="70"/>
      <c r="CG516" s="71"/>
      <c r="CH516" s="67" t="str">
        <f t="shared" si="183"/>
        <v>#REF!</v>
      </c>
      <c r="CI516" s="68" t="str">
        <f>'[1]DATA CONSOLIDADA 2018-2025 '!$CG516-Hoja1!$CB516</f>
        <v>#REF!</v>
      </c>
      <c r="CJ516" s="64" t="str">
        <f t="shared" si="184"/>
        <v>#REF!</v>
      </c>
      <c r="CK516" s="64">
        <v>499800.0</v>
      </c>
      <c r="CL516" s="64">
        <v>0.0</v>
      </c>
      <c r="CM516" s="64">
        <v>499800.0</v>
      </c>
      <c r="CN516" s="64" t="str">
        <f t="shared" si="12"/>
        <v>#REF!</v>
      </c>
      <c r="CO516" s="68" t="str">
        <f>'[1]DATA CONSOLIDADA 2018-2025 '!$CM516-Hoja1!$CG516</f>
        <v>#REF!</v>
      </c>
      <c r="CP516" s="70"/>
      <c r="CQ516" s="70"/>
      <c r="CR516" s="70"/>
      <c r="CS516" s="70"/>
      <c r="CT516" s="70"/>
      <c r="CU516" s="70"/>
      <c r="CV516" s="64"/>
      <c r="CW516" s="64"/>
      <c r="CX516" s="64"/>
      <c r="CY516" s="64"/>
      <c r="CZ516" s="64"/>
      <c r="DA516" s="64"/>
      <c r="DB516" s="64"/>
      <c r="DC516" s="72">
        <v>0.0</v>
      </c>
      <c r="DD516" s="72">
        <v>499800.0</v>
      </c>
      <c r="DE516" s="72">
        <v>0.0</v>
      </c>
      <c r="DF516" s="72">
        <v>0.0</v>
      </c>
      <c r="DG516" s="72">
        <v>0.0</v>
      </c>
      <c r="DH516" s="72">
        <v>499800.0</v>
      </c>
      <c r="DI516" s="73">
        <v>2.0612779598E10</v>
      </c>
      <c r="DJ516" s="74" t="s">
        <v>1618</v>
      </c>
      <c r="DK516" s="74" t="s">
        <v>132</v>
      </c>
      <c r="DL516" s="75"/>
      <c r="DM516" s="75"/>
      <c r="DN516" s="75"/>
      <c r="DO516" s="75"/>
      <c r="DP516" s="75"/>
      <c r="DQ516" s="75"/>
      <c r="DR516" s="75"/>
      <c r="DS516" s="75"/>
      <c r="DT516" s="75"/>
      <c r="DU516" s="75"/>
      <c r="DV516" s="75"/>
      <c r="DW516" s="75"/>
      <c r="DX516" s="75"/>
      <c r="DY516" s="75"/>
      <c r="DZ516" s="75"/>
      <c r="EA516" s="75"/>
      <c r="EB516" s="75"/>
      <c r="EC516" s="75"/>
      <c r="ED516" s="75"/>
      <c r="EE516" s="75"/>
    </row>
    <row r="517" ht="47.25" hidden="1" customHeight="1">
      <c r="A517" s="55" t="s">
        <v>1619</v>
      </c>
      <c r="B517" s="55" t="s">
        <v>126</v>
      </c>
      <c r="C517" s="55" t="s">
        <v>1588</v>
      </c>
      <c r="D517" s="55" t="s">
        <v>481</v>
      </c>
      <c r="E517" s="55" t="s">
        <v>738</v>
      </c>
      <c r="F517" s="55" t="s">
        <v>481</v>
      </c>
      <c r="G517" s="55" t="s">
        <v>483</v>
      </c>
      <c r="H517" s="55" t="s">
        <v>739</v>
      </c>
      <c r="I517" s="56"/>
      <c r="J517" s="56"/>
      <c r="K517" s="56"/>
      <c r="L517" s="56"/>
      <c r="M517" s="56"/>
      <c r="N517" s="56"/>
      <c r="O517" s="56"/>
      <c r="P517" s="56">
        <v>1.0</v>
      </c>
      <c r="Q517" s="56" t="s">
        <v>131</v>
      </c>
      <c r="R517" s="58" t="str">
        <f t="shared" si="1"/>
        <v>2025</v>
      </c>
      <c r="S517" s="59" t="str">
        <f>SUM(Hoja1!$I517:$P517)</f>
        <v>1</v>
      </c>
      <c r="T517" s="59" t="str">
        <f>IF(OR(Hoja1!$J517=1,Hoja1!$K517=1,Hoja1!$L517=1,Hoja1!$M517=1,Hoja1!$N517=1,Hoja1!$O517=1,Hoja1!$P517=1),"SI","NO")</f>
        <v>SI</v>
      </c>
      <c r="U517" s="59" t="str">
        <f>IF(OR(Hoja1!$K517=1,Hoja1!$L517=1,Hoja1!$M517=1,Hoja1!$N517=1,Hoja1!$O517=1,Hoja1!$P517=1),"SI","NO")</f>
        <v>SI</v>
      </c>
      <c r="V517" s="60">
        <v>0.0</v>
      </c>
      <c r="W517" s="61">
        <v>0.0</v>
      </c>
      <c r="X517" s="61">
        <v>0.0</v>
      </c>
      <c r="Y517" s="60">
        <v>0.0</v>
      </c>
      <c r="Z517" s="61">
        <v>0.0</v>
      </c>
      <c r="AA517" s="61">
        <v>0.0</v>
      </c>
      <c r="AB517" s="60">
        <v>0.0</v>
      </c>
      <c r="AC517" s="61">
        <v>0.0</v>
      </c>
      <c r="AD517" s="61">
        <v>0.0</v>
      </c>
      <c r="AE517" s="60">
        <v>0.0</v>
      </c>
      <c r="AF517" s="61">
        <v>0.0</v>
      </c>
      <c r="AG517" s="61">
        <v>0.0</v>
      </c>
      <c r="AH517" s="60">
        <v>0.0</v>
      </c>
      <c r="AI517" s="61">
        <v>0.0</v>
      </c>
      <c r="AJ517" s="61">
        <v>0.0</v>
      </c>
      <c r="AK517" s="60">
        <v>0.0</v>
      </c>
      <c r="AL517" s="61">
        <v>0.0</v>
      </c>
      <c r="AM517" s="61">
        <v>0.0</v>
      </c>
      <c r="AN517" s="60">
        <v>0.0</v>
      </c>
      <c r="AO517" s="62">
        <v>58.0</v>
      </c>
      <c r="AP517" s="62">
        <v>23.0</v>
      </c>
      <c r="AQ517" s="60">
        <v>81.0</v>
      </c>
      <c r="AR517" s="60" t="str">
        <f>IF(Hoja1!$AQ517&gt;0,Hoja1!$AQ517,IF(Hoja1!$AN517&gt;0,Hoja1!$AN517,IF(Hoja1!$AK517&gt;0,Hoja1!$AK517,IF(Hoja1!$AH517&gt;0,Hoja1!$AH517,IF(Hoja1!$AE517&gt;0,Hoja1!$AE517,IF(Hoja1!$AB517&gt;0,Hoja1!$AB517,IF(Hoja1!$Y517&gt;0,Hoja1!$Y517,IF(Hoja1!$V517&gt;0,Hoja1!$V517," ---"))))))))</f>
        <v>81</v>
      </c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>
        <v>10.0</v>
      </c>
      <c r="BD517" s="63">
        <v>1.0</v>
      </c>
      <c r="BE517" s="64"/>
      <c r="BF517" s="69"/>
      <c r="BG517" s="69"/>
      <c r="BH517" s="64"/>
      <c r="BI517" s="67" t="str">
        <f t="shared" si="175"/>
        <v>#REF!</v>
      </c>
      <c r="BJ517" s="68" t="str">
        <f t="shared" si="176"/>
        <v>#REF!</v>
      </c>
      <c r="BK517" s="69"/>
      <c r="BL517" s="69"/>
      <c r="BM517" s="64"/>
      <c r="BN517" s="67" t="str">
        <f t="shared" si="177"/>
        <v>#REF!</v>
      </c>
      <c r="BO517" s="68" t="str">
        <f t="shared" si="178"/>
        <v>#REF!</v>
      </c>
      <c r="BP517" s="65"/>
      <c r="BQ517" s="65"/>
      <c r="BR517" s="66"/>
      <c r="BS517" s="67" t="str">
        <f t="shared" si="179"/>
        <v>#REF!</v>
      </c>
      <c r="BT517" s="68" t="str">
        <f>'[1]DATA CONSOLIDADA 2018-2025 '!$BR517-Hoja1!$BO517</f>
        <v>#REF!</v>
      </c>
      <c r="BU517" s="69"/>
      <c r="BV517" s="65"/>
      <c r="BW517" s="66"/>
      <c r="BX517" s="67" t="str">
        <f t="shared" si="180"/>
        <v>#REF!</v>
      </c>
      <c r="BY517" s="68" t="str">
        <f t="shared" si="181"/>
        <v>#REF!</v>
      </c>
      <c r="BZ517" s="65"/>
      <c r="CA517" s="65"/>
      <c r="CB517" s="66"/>
      <c r="CC517" s="67" t="str">
        <f t="shared" si="182"/>
        <v>#REF!</v>
      </c>
      <c r="CD517" s="68" t="str">
        <f>'[1]DATA CONSOLIDADA 2018-2025 '!$CB517-Hoja1!$BW517</f>
        <v>#REF!</v>
      </c>
      <c r="CE517" s="70"/>
      <c r="CF517" s="70"/>
      <c r="CG517" s="71"/>
      <c r="CH517" s="67" t="str">
        <f t="shared" si="183"/>
        <v>#REF!</v>
      </c>
      <c r="CI517" s="68" t="str">
        <f>'[1]DATA CONSOLIDADA 2018-2025 '!$CG517-Hoja1!$CB517</f>
        <v>#REF!</v>
      </c>
      <c r="CJ517" s="64" t="str">
        <f t="shared" si="184"/>
        <v>#REF!</v>
      </c>
      <c r="CK517" s="64">
        <v>2803188.8586</v>
      </c>
      <c r="CL517" s="64">
        <v>0.0</v>
      </c>
      <c r="CM517" s="64">
        <v>2803188.8586</v>
      </c>
      <c r="CN517" s="64" t="str">
        <f t="shared" si="12"/>
        <v>#REF!</v>
      </c>
      <c r="CO517" s="68" t="str">
        <f>'[1]DATA CONSOLIDADA 2018-2025 '!$CM517-Hoja1!$CG517</f>
        <v>#REF!</v>
      </c>
      <c r="CP517" s="70"/>
      <c r="CQ517" s="70"/>
      <c r="CR517" s="70"/>
      <c r="CS517" s="70"/>
      <c r="CT517" s="70"/>
      <c r="CU517" s="70"/>
      <c r="CV517" s="64"/>
      <c r="CW517" s="64"/>
      <c r="CX517" s="64"/>
      <c r="CY517" s="64"/>
      <c r="CZ517" s="64"/>
      <c r="DA517" s="64"/>
      <c r="DB517" s="64"/>
      <c r="DC517" s="72">
        <v>0.0</v>
      </c>
      <c r="DD517" s="72">
        <v>0.0</v>
      </c>
      <c r="DE517" s="72">
        <v>2803188.8586</v>
      </c>
      <c r="DF517" s="72">
        <v>0.0</v>
      </c>
      <c r="DG517" s="72">
        <v>0.0</v>
      </c>
      <c r="DH517" s="72">
        <v>2803188.8586</v>
      </c>
      <c r="DI517" s="73">
        <v>2.0602712657E10</v>
      </c>
      <c r="DJ517" s="74" t="s">
        <v>1619</v>
      </c>
      <c r="DK517" s="74" t="s">
        <v>132</v>
      </c>
      <c r="DL517" s="75"/>
      <c r="DM517" s="75"/>
      <c r="DN517" s="75"/>
      <c r="DO517" s="75"/>
      <c r="DP517" s="75"/>
      <c r="DQ517" s="75"/>
      <c r="DR517" s="75"/>
      <c r="DS517" s="75"/>
      <c r="DT517" s="75"/>
      <c r="DU517" s="75"/>
      <c r="DV517" s="75"/>
      <c r="DW517" s="75"/>
      <c r="DX517" s="75"/>
      <c r="DY517" s="75"/>
      <c r="DZ517" s="75"/>
      <c r="EA517" s="75"/>
      <c r="EB517" s="75"/>
      <c r="EC517" s="75"/>
      <c r="ED517" s="75"/>
      <c r="EE517" s="75"/>
    </row>
    <row r="518" ht="47.25" hidden="1" customHeight="1">
      <c r="A518" s="55" t="s">
        <v>1620</v>
      </c>
      <c r="B518" s="55" t="s">
        <v>1621</v>
      </c>
      <c r="C518" s="55" t="s">
        <v>1621</v>
      </c>
      <c r="D518" s="55" t="s">
        <v>481</v>
      </c>
      <c r="E518" s="55" t="s">
        <v>709</v>
      </c>
      <c r="F518" s="55" t="s">
        <v>481</v>
      </c>
      <c r="G518" s="55" t="s">
        <v>483</v>
      </c>
      <c r="H518" s="55" t="s">
        <v>483</v>
      </c>
      <c r="I518" s="56"/>
      <c r="J518" s="56"/>
      <c r="K518" s="56"/>
      <c r="L518" s="56"/>
      <c r="M518" s="56"/>
      <c r="N518" s="56"/>
      <c r="O518" s="56"/>
      <c r="P518" s="56">
        <v>1.0</v>
      </c>
      <c r="Q518" s="56" t="s">
        <v>131</v>
      </c>
      <c r="R518" s="58" t="str">
        <f t="shared" si="1"/>
        <v>2025</v>
      </c>
      <c r="S518" s="59" t="str">
        <f>SUM(Hoja1!$I518:$P518)</f>
        <v>1</v>
      </c>
      <c r="T518" s="59" t="str">
        <f>IF(OR(Hoja1!$J518=1,Hoja1!$K518=1,Hoja1!$L518=1,Hoja1!$M518=1,Hoja1!$N518=1,Hoja1!$O518=1,Hoja1!$P518=1),"SI","NO")</f>
        <v>SI</v>
      </c>
      <c r="U518" s="59" t="str">
        <f>IF(OR(Hoja1!$K518=1,Hoja1!$L518=1,Hoja1!$M518=1,Hoja1!$N518=1,Hoja1!$O518=1,Hoja1!$P518=1),"SI","NO")</f>
        <v>SI</v>
      </c>
      <c r="V518" s="60">
        <v>0.0</v>
      </c>
      <c r="W518" s="61">
        <v>0.0</v>
      </c>
      <c r="X518" s="61">
        <v>0.0</v>
      </c>
      <c r="Y518" s="60">
        <v>0.0</v>
      </c>
      <c r="Z518" s="61">
        <v>0.0</v>
      </c>
      <c r="AA518" s="61">
        <v>0.0</v>
      </c>
      <c r="AB518" s="60">
        <v>0.0</v>
      </c>
      <c r="AC518" s="61">
        <v>0.0</v>
      </c>
      <c r="AD518" s="61">
        <v>0.0</v>
      </c>
      <c r="AE518" s="60">
        <v>0.0</v>
      </c>
      <c r="AF518" s="61">
        <v>0.0</v>
      </c>
      <c r="AG518" s="61">
        <v>0.0</v>
      </c>
      <c r="AH518" s="60">
        <v>0.0</v>
      </c>
      <c r="AI518" s="61">
        <v>0.0</v>
      </c>
      <c r="AJ518" s="61">
        <v>0.0</v>
      </c>
      <c r="AK518" s="60">
        <v>0.0</v>
      </c>
      <c r="AL518" s="61">
        <v>0.0</v>
      </c>
      <c r="AM518" s="61">
        <v>0.0</v>
      </c>
      <c r="AN518" s="60">
        <v>0.0</v>
      </c>
      <c r="AO518" s="62">
        <v>28.0</v>
      </c>
      <c r="AP518" s="62">
        <v>32.0</v>
      </c>
      <c r="AQ518" s="60">
        <v>60.0</v>
      </c>
      <c r="AR518" s="60" t="str">
        <f>IF(Hoja1!$AQ518&gt;0,Hoja1!$AQ518,IF(Hoja1!$AN518&gt;0,Hoja1!$AN518,IF(Hoja1!$AK518&gt;0,Hoja1!$AK518,IF(Hoja1!$AH518&gt;0,Hoja1!$AH518,IF(Hoja1!$AE518&gt;0,Hoja1!$AE518,IF(Hoja1!$AB518&gt;0,Hoja1!$AB518,IF(Hoja1!$Y518&gt;0,Hoja1!$Y518,IF(Hoja1!$V518&gt;0,Hoja1!$V518," ---"))))))))</f>
        <v>60</v>
      </c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>
        <v>10.0</v>
      </c>
      <c r="BD518" s="63">
        <v>1.0</v>
      </c>
      <c r="BE518" s="64"/>
      <c r="BF518" s="69"/>
      <c r="BG518" s="69"/>
      <c r="BH518" s="64"/>
      <c r="BI518" s="67" t="str">
        <f t="shared" si="175"/>
        <v>#REF!</v>
      </c>
      <c r="BJ518" s="68" t="str">
        <f t="shared" si="176"/>
        <v>#REF!</v>
      </c>
      <c r="BK518" s="69"/>
      <c r="BL518" s="69"/>
      <c r="BM518" s="64"/>
      <c r="BN518" s="67" t="str">
        <f t="shared" si="177"/>
        <v>#REF!</v>
      </c>
      <c r="BO518" s="68" t="str">
        <f t="shared" si="178"/>
        <v>#REF!</v>
      </c>
      <c r="BP518" s="65"/>
      <c r="BQ518" s="65"/>
      <c r="BR518" s="66"/>
      <c r="BS518" s="67" t="str">
        <f t="shared" si="179"/>
        <v>#REF!</v>
      </c>
      <c r="BT518" s="68" t="str">
        <f>'[1]DATA CONSOLIDADA 2018-2025 '!$BR518-Hoja1!$BO518</f>
        <v>#REF!</v>
      </c>
      <c r="BU518" s="69"/>
      <c r="BV518" s="65"/>
      <c r="BW518" s="66"/>
      <c r="BX518" s="67" t="str">
        <f t="shared" si="180"/>
        <v>#REF!</v>
      </c>
      <c r="BY518" s="68" t="str">
        <f t="shared" si="181"/>
        <v>#REF!</v>
      </c>
      <c r="BZ518" s="65"/>
      <c r="CA518" s="65"/>
      <c r="CB518" s="66"/>
      <c r="CC518" s="67" t="str">
        <f t="shared" si="182"/>
        <v>#REF!</v>
      </c>
      <c r="CD518" s="68" t="str">
        <f>'[1]DATA CONSOLIDADA 2018-2025 '!$CB518-Hoja1!$BW518</f>
        <v>#REF!</v>
      </c>
      <c r="CE518" s="70"/>
      <c r="CF518" s="70"/>
      <c r="CG518" s="71"/>
      <c r="CH518" s="67" t="str">
        <f t="shared" si="183"/>
        <v>#REF!</v>
      </c>
      <c r="CI518" s="68" t="str">
        <f>'[1]DATA CONSOLIDADA 2018-2025 '!$CG518-Hoja1!$CB518</f>
        <v>#REF!</v>
      </c>
      <c r="CJ518" s="64" t="str">
        <f t="shared" si="184"/>
        <v>#REF!</v>
      </c>
      <c r="CK518" s="64">
        <v>462.0</v>
      </c>
      <c r="CL518" s="64">
        <v>0.0</v>
      </c>
      <c r="CM518" s="64">
        <v>462.0</v>
      </c>
      <c r="CN518" s="64" t="str">
        <f t="shared" si="12"/>
        <v>#REF!</v>
      </c>
      <c r="CO518" s="68" t="str">
        <f>'[1]DATA CONSOLIDADA 2018-2025 '!$CM518-Hoja1!$CG518</f>
        <v>#REF!</v>
      </c>
      <c r="CP518" s="70"/>
      <c r="CQ518" s="70"/>
      <c r="CR518" s="70"/>
      <c r="CS518" s="70"/>
      <c r="CT518" s="70"/>
      <c r="CU518" s="70"/>
      <c r="CV518" s="64"/>
      <c r="CW518" s="64"/>
      <c r="CX518" s="64"/>
      <c r="CY518" s="64"/>
      <c r="CZ518" s="64"/>
      <c r="DA518" s="64"/>
      <c r="DB518" s="64"/>
      <c r="DC518" s="72">
        <v>0.0</v>
      </c>
      <c r="DD518" s="72">
        <v>462.0</v>
      </c>
      <c r="DE518" s="72">
        <v>0.0</v>
      </c>
      <c r="DF518" s="72">
        <v>0.0</v>
      </c>
      <c r="DG518" s="72">
        <v>0.0</v>
      </c>
      <c r="DH518" s="72">
        <v>462.0</v>
      </c>
      <c r="DI518" s="73">
        <v>2.0611340002E10</v>
      </c>
      <c r="DJ518" s="74" t="s">
        <v>1622</v>
      </c>
      <c r="DK518" s="74" t="s">
        <v>132</v>
      </c>
      <c r="DL518" s="75"/>
      <c r="DM518" s="75"/>
      <c r="DN518" s="75"/>
      <c r="DO518" s="75"/>
      <c r="DP518" s="75"/>
      <c r="DQ518" s="75"/>
      <c r="DR518" s="75"/>
      <c r="DS518" s="75"/>
      <c r="DT518" s="75"/>
      <c r="DU518" s="75"/>
      <c r="DV518" s="75"/>
      <c r="DW518" s="75"/>
      <c r="DX518" s="75"/>
      <c r="DY518" s="75"/>
      <c r="DZ518" s="75"/>
      <c r="EA518" s="75"/>
      <c r="EB518" s="75"/>
      <c r="EC518" s="75"/>
      <c r="ED518" s="75"/>
      <c r="EE518" s="75"/>
    </row>
    <row r="519" ht="47.25" hidden="1" customHeight="1">
      <c r="A519" s="55" t="s">
        <v>1623</v>
      </c>
      <c r="B519" s="55" t="s">
        <v>491</v>
      </c>
      <c r="C519" s="55" t="s">
        <v>491</v>
      </c>
      <c r="D519" s="55" t="s">
        <v>481</v>
      </c>
      <c r="E519" s="55" t="s">
        <v>709</v>
      </c>
      <c r="F519" s="55" t="s">
        <v>481</v>
      </c>
      <c r="G519" s="55" t="s">
        <v>483</v>
      </c>
      <c r="H519" s="55" t="s">
        <v>483</v>
      </c>
      <c r="I519" s="56"/>
      <c r="J519" s="56"/>
      <c r="K519" s="56"/>
      <c r="L519" s="56"/>
      <c r="M519" s="56"/>
      <c r="N519" s="56"/>
      <c r="O519" s="56"/>
      <c r="P519" s="56">
        <v>1.0</v>
      </c>
      <c r="Q519" s="56" t="s">
        <v>131</v>
      </c>
      <c r="R519" s="58" t="str">
        <f t="shared" si="1"/>
        <v>2025</v>
      </c>
      <c r="S519" s="59" t="str">
        <f>SUM(Hoja1!$I519:$P519)</f>
        <v>1</v>
      </c>
      <c r="T519" s="59" t="str">
        <f>IF(OR(Hoja1!$J519=1,Hoja1!$K519=1,Hoja1!$L519=1,Hoja1!$M519=1,Hoja1!$N519=1,Hoja1!$O519=1,Hoja1!$P519=1),"SI","NO")</f>
        <v>SI</v>
      </c>
      <c r="U519" s="59" t="str">
        <f>IF(OR(Hoja1!$K519=1,Hoja1!$L519=1,Hoja1!$M519=1,Hoja1!$N519=1,Hoja1!$O519=1,Hoja1!$P519=1),"SI","NO")</f>
        <v>SI</v>
      </c>
      <c r="V519" s="60">
        <v>0.0</v>
      </c>
      <c r="W519" s="61">
        <v>0.0</v>
      </c>
      <c r="X519" s="61">
        <v>0.0</v>
      </c>
      <c r="Y519" s="60">
        <v>0.0</v>
      </c>
      <c r="Z519" s="61">
        <v>0.0</v>
      </c>
      <c r="AA519" s="61">
        <v>0.0</v>
      </c>
      <c r="AB519" s="60">
        <v>0.0</v>
      </c>
      <c r="AC519" s="61">
        <v>0.0</v>
      </c>
      <c r="AD519" s="61">
        <v>0.0</v>
      </c>
      <c r="AE519" s="60">
        <v>0.0</v>
      </c>
      <c r="AF519" s="61">
        <v>0.0</v>
      </c>
      <c r="AG519" s="61">
        <v>0.0</v>
      </c>
      <c r="AH519" s="60">
        <v>0.0</v>
      </c>
      <c r="AI519" s="61">
        <v>0.0</v>
      </c>
      <c r="AJ519" s="61">
        <v>0.0</v>
      </c>
      <c r="AK519" s="60">
        <v>0.0</v>
      </c>
      <c r="AL519" s="61">
        <v>0.0</v>
      </c>
      <c r="AM519" s="61">
        <v>0.0</v>
      </c>
      <c r="AN519" s="60">
        <v>0.0</v>
      </c>
      <c r="AO519" s="62">
        <v>55.0</v>
      </c>
      <c r="AP519" s="62">
        <v>23.0</v>
      </c>
      <c r="AQ519" s="60">
        <v>78.0</v>
      </c>
      <c r="AR519" s="60" t="str">
        <f>IF(Hoja1!$AQ519&gt;0,Hoja1!$AQ519,IF(Hoja1!$AN519&gt;0,Hoja1!$AN519,IF(Hoja1!$AK519&gt;0,Hoja1!$AK519,IF(Hoja1!$AH519&gt;0,Hoja1!$AH519,IF(Hoja1!$AE519&gt;0,Hoja1!$AE519,IF(Hoja1!$AB519&gt;0,Hoja1!$AB519,IF(Hoja1!$Y519&gt;0,Hoja1!$Y519,IF(Hoja1!$V519&gt;0,Hoja1!$V519," ---"))))))))</f>
        <v>78</v>
      </c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>
        <v>10.0</v>
      </c>
      <c r="BD519" s="63">
        <v>1.0</v>
      </c>
      <c r="BE519" s="64"/>
      <c r="BF519" s="69"/>
      <c r="BG519" s="69"/>
      <c r="BH519" s="64"/>
      <c r="BI519" s="67" t="str">
        <f t="shared" si="175"/>
        <v>#REF!</v>
      </c>
      <c r="BJ519" s="68" t="str">
        <f t="shared" si="176"/>
        <v>#REF!</v>
      </c>
      <c r="BK519" s="69"/>
      <c r="BL519" s="69"/>
      <c r="BM519" s="64"/>
      <c r="BN519" s="67" t="str">
        <f t="shared" si="177"/>
        <v>#REF!</v>
      </c>
      <c r="BO519" s="68" t="str">
        <f t="shared" si="178"/>
        <v>#REF!</v>
      </c>
      <c r="BP519" s="65"/>
      <c r="BQ519" s="65"/>
      <c r="BR519" s="66"/>
      <c r="BS519" s="67" t="str">
        <f t="shared" si="179"/>
        <v>#REF!</v>
      </c>
      <c r="BT519" s="68" t="str">
        <f>'[1]DATA CONSOLIDADA 2018-2025 '!$BR519-Hoja1!$BO519</f>
        <v>#REF!</v>
      </c>
      <c r="BU519" s="69"/>
      <c r="BV519" s="65"/>
      <c r="BW519" s="66"/>
      <c r="BX519" s="67" t="str">
        <f t="shared" si="180"/>
        <v>#REF!</v>
      </c>
      <c r="BY519" s="68" t="str">
        <f t="shared" si="181"/>
        <v>#REF!</v>
      </c>
      <c r="BZ519" s="65"/>
      <c r="CA519" s="65"/>
      <c r="CB519" s="66"/>
      <c r="CC519" s="67" t="str">
        <f t="shared" si="182"/>
        <v>#REF!</v>
      </c>
      <c r="CD519" s="68" t="str">
        <f>'[1]DATA CONSOLIDADA 2018-2025 '!$CB519-Hoja1!$BW519</f>
        <v>#REF!</v>
      </c>
      <c r="CE519" s="70"/>
      <c r="CF519" s="70"/>
      <c r="CG519" s="71"/>
      <c r="CH519" s="67" t="str">
        <f t="shared" si="183"/>
        <v>#REF!</v>
      </c>
      <c r="CI519" s="68" t="str">
        <f>'[1]DATA CONSOLIDADA 2018-2025 '!$CG519-Hoja1!$CB519</f>
        <v>#REF!</v>
      </c>
      <c r="CJ519" s="64" t="str">
        <f t="shared" si="184"/>
        <v>#REF!</v>
      </c>
      <c r="CK519" s="64">
        <v>4688767.511108503</v>
      </c>
      <c r="CL519" s="64">
        <v>0.0</v>
      </c>
      <c r="CM519" s="64">
        <v>4688767.511108503</v>
      </c>
      <c r="CN519" s="64" t="str">
        <f t="shared" si="12"/>
        <v>#REF!</v>
      </c>
      <c r="CO519" s="68" t="str">
        <f>'[1]DATA CONSOLIDADA 2018-2025 '!$CM519-Hoja1!$CG519</f>
        <v>#REF!</v>
      </c>
      <c r="CP519" s="70"/>
      <c r="CQ519" s="70"/>
      <c r="CR519" s="70"/>
      <c r="CS519" s="70"/>
      <c r="CT519" s="70"/>
      <c r="CU519" s="70"/>
      <c r="CV519" s="64"/>
      <c r="CW519" s="64"/>
      <c r="CX519" s="64"/>
      <c r="CY519" s="64"/>
      <c r="CZ519" s="64"/>
      <c r="DA519" s="64"/>
      <c r="DB519" s="64"/>
      <c r="DC519" s="72">
        <v>0.0</v>
      </c>
      <c r="DD519" s="72">
        <v>0.0</v>
      </c>
      <c r="DE519" s="72">
        <v>4688767.511108503</v>
      </c>
      <c r="DF519" s="72">
        <v>0.0</v>
      </c>
      <c r="DG519" s="72">
        <v>0.0</v>
      </c>
      <c r="DH519" s="72">
        <v>4688767.511108503</v>
      </c>
      <c r="DI519" s="73">
        <v>2.0608506706E10</v>
      </c>
      <c r="DJ519" s="74" t="s">
        <v>1624</v>
      </c>
      <c r="DK519" s="74" t="s">
        <v>132</v>
      </c>
      <c r="DL519" s="75"/>
      <c r="DM519" s="75"/>
      <c r="DN519" s="75"/>
      <c r="DO519" s="75"/>
      <c r="DP519" s="75"/>
      <c r="DQ519" s="75"/>
      <c r="DR519" s="75"/>
      <c r="DS519" s="75"/>
      <c r="DT519" s="75"/>
      <c r="DU519" s="75"/>
      <c r="DV519" s="75"/>
      <c r="DW519" s="75"/>
      <c r="DX519" s="75"/>
      <c r="DY519" s="75"/>
      <c r="DZ519" s="75"/>
      <c r="EA519" s="75"/>
      <c r="EB519" s="75"/>
      <c r="EC519" s="75"/>
      <c r="ED519" s="75"/>
      <c r="EE519" s="75"/>
    </row>
    <row r="520" ht="47.25" hidden="1" customHeight="1">
      <c r="A520" s="55" t="s">
        <v>1625</v>
      </c>
      <c r="B520" s="55" t="s">
        <v>530</v>
      </c>
      <c r="C520" s="55" t="s">
        <v>530</v>
      </c>
      <c r="D520" s="55" t="s">
        <v>481</v>
      </c>
      <c r="E520" s="55" t="s">
        <v>705</v>
      </c>
      <c r="F520" s="55" t="s">
        <v>481</v>
      </c>
      <c r="G520" s="55" t="s">
        <v>483</v>
      </c>
      <c r="H520" s="55" t="s">
        <v>706</v>
      </c>
      <c r="I520" s="56"/>
      <c r="J520" s="56"/>
      <c r="K520" s="56"/>
      <c r="L520" s="56"/>
      <c r="M520" s="56"/>
      <c r="N520" s="56"/>
      <c r="O520" s="56"/>
      <c r="P520" s="56">
        <v>1.0</v>
      </c>
      <c r="Q520" s="56" t="s">
        <v>131</v>
      </c>
      <c r="R520" s="58" t="str">
        <f t="shared" si="1"/>
        <v>2025</v>
      </c>
      <c r="S520" s="59" t="str">
        <f>SUM(Hoja1!$I520:$P520)</f>
        <v>1</v>
      </c>
      <c r="T520" s="59" t="str">
        <f>IF(OR(Hoja1!$J520=1,Hoja1!$K520=1,Hoja1!$L520=1,Hoja1!$M520=1,Hoja1!$N520=1,Hoja1!$O520=1,Hoja1!$P520=1),"SI","NO")</f>
        <v>SI</v>
      </c>
      <c r="U520" s="59" t="str">
        <f>IF(OR(Hoja1!$K520=1,Hoja1!$L520=1,Hoja1!$M520=1,Hoja1!$N520=1,Hoja1!$O520=1,Hoja1!$P520=1),"SI","NO")</f>
        <v>SI</v>
      </c>
      <c r="V520" s="60">
        <v>0.0</v>
      </c>
      <c r="W520" s="61">
        <v>0.0</v>
      </c>
      <c r="X520" s="61">
        <v>0.0</v>
      </c>
      <c r="Y520" s="60">
        <v>0.0</v>
      </c>
      <c r="Z520" s="61">
        <v>0.0</v>
      </c>
      <c r="AA520" s="61">
        <v>0.0</v>
      </c>
      <c r="AB520" s="60">
        <v>0.0</v>
      </c>
      <c r="AC520" s="61">
        <v>0.0</v>
      </c>
      <c r="AD520" s="61">
        <v>0.0</v>
      </c>
      <c r="AE520" s="60">
        <v>0.0</v>
      </c>
      <c r="AF520" s="61">
        <v>0.0</v>
      </c>
      <c r="AG520" s="61">
        <v>0.0</v>
      </c>
      <c r="AH520" s="60">
        <v>0.0</v>
      </c>
      <c r="AI520" s="61">
        <v>0.0</v>
      </c>
      <c r="AJ520" s="61">
        <v>0.0</v>
      </c>
      <c r="AK520" s="60">
        <v>0.0</v>
      </c>
      <c r="AL520" s="61">
        <v>0.0</v>
      </c>
      <c r="AM520" s="61">
        <v>0.0</v>
      </c>
      <c r="AN520" s="60">
        <v>0.0</v>
      </c>
      <c r="AO520" s="62">
        <v>10.0</v>
      </c>
      <c r="AP520" s="62">
        <v>9.0</v>
      </c>
      <c r="AQ520" s="60">
        <v>19.0</v>
      </c>
      <c r="AR520" s="60" t="str">
        <f>IF(Hoja1!$AQ520&gt;0,Hoja1!$AQ520,IF(Hoja1!$AN520&gt;0,Hoja1!$AN520,IF(Hoja1!$AK520&gt;0,Hoja1!$AK520,IF(Hoja1!$AH520&gt;0,Hoja1!$AH520,IF(Hoja1!$AE520&gt;0,Hoja1!$AE520,IF(Hoja1!$AB520&gt;0,Hoja1!$AB520,IF(Hoja1!$Y520&gt;0,Hoja1!$Y520,IF(Hoja1!$V520&gt;0,Hoja1!$V520," ---"))))))))</f>
        <v>19</v>
      </c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>
        <v>10.0</v>
      </c>
      <c r="BD520" s="63">
        <v>1.0</v>
      </c>
      <c r="BE520" s="64"/>
      <c r="BF520" s="69"/>
      <c r="BG520" s="69"/>
      <c r="BH520" s="64"/>
      <c r="BI520" s="67" t="str">
        <f t="shared" si="175"/>
        <v>#REF!</v>
      </c>
      <c r="BJ520" s="68" t="str">
        <f t="shared" si="176"/>
        <v>#REF!</v>
      </c>
      <c r="BK520" s="69"/>
      <c r="BL520" s="69"/>
      <c r="BM520" s="64"/>
      <c r="BN520" s="67" t="str">
        <f t="shared" si="177"/>
        <v>#REF!</v>
      </c>
      <c r="BO520" s="68" t="str">
        <f t="shared" si="178"/>
        <v>#REF!</v>
      </c>
      <c r="BP520" s="65"/>
      <c r="BQ520" s="65"/>
      <c r="BR520" s="66"/>
      <c r="BS520" s="67" t="str">
        <f t="shared" si="179"/>
        <v>#REF!</v>
      </c>
      <c r="BT520" s="68" t="str">
        <f>'[1]DATA CONSOLIDADA 2018-2025 '!$BR520-Hoja1!$BO520</f>
        <v>#REF!</v>
      </c>
      <c r="BU520" s="69"/>
      <c r="BV520" s="65"/>
      <c r="BW520" s="66"/>
      <c r="BX520" s="67" t="str">
        <f t="shared" si="180"/>
        <v>#REF!</v>
      </c>
      <c r="BY520" s="68" t="str">
        <f t="shared" si="181"/>
        <v>#REF!</v>
      </c>
      <c r="BZ520" s="65"/>
      <c r="CA520" s="65"/>
      <c r="CB520" s="66"/>
      <c r="CC520" s="67" t="str">
        <f t="shared" si="182"/>
        <v>#REF!</v>
      </c>
      <c r="CD520" s="68" t="str">
        <f>'[1]DATA CONSOLIDADA 2018-2025 '!$CB520-Hoja1!$BW520</f>
        <v>#REF!</v>
      </c>
      <c r="CE520" s="70"/>
      <c r="CF520" s="70"/>
      <c r="CG520" s="71"/>
      <c r="CH520" s="67" t="str">
        <f t="shared" si="183"/>
        <v>#REF!</v>
      </c>
      <c r="CI520" s="68" t="str">
        <f>'[1]DATA CONSOLIDADA 2018-2025 '!$CG520-Hoja1!$CB520</f>
        <v>#REF!</v>
      </c>
      <c r="CJ520" s="64" t="str">
        <f t="shared" si="184"/>
        <v>#REF!</v>
      </c>
      <c r="CK520" s="64">
        <v>2490600.0</v>
      </c>
      <c r="CL520" s="64">
        <v>0.0</v>
      </c>
      <c r="CM520" s="64">
        <v>2490600.0</v>
      </c>
      <c r="CN520" s="64" t="str">
        <f t="shared" si="12"/>
        <v>#REF!</v>
      </c>
      <c r="CO520" s="68" t="str">
        <f>'[1]DATA CONSOLIDADA 2018-2025 '!$CM520-Hoja1!$CG520</f>
        <v>#REF!</v>
      </c>
      <c r="CP520" s="70"/>
      <c r="CQ520" s="70"/>
      <c r="CR520" s="70"/>
      <c r="CS520" s="70"/>
      <c r="CT520" s="70"/>
      <c r="CU520" s="70"/>
      <c r="CV520" s="64"/>
      <c r="CW520" s="64"/>
      <c r="CX520" s="64"/>
      <c r="CY520" s="64"/>
      <c r="CZ520" s="64"/>
      <c r="DA520" s="64"/>
      <c r="DB520" s="64"/>
      <c r="DC520" s="72">
        <v>0.0</v>
      </c>
      <c r="DD520" s="72">
        <v>2490600.0</v>
      </c>
      <c r="DE520" s="72">
        <v>0.0</v>
      </c>
      <c r="DF520" s="72">
        <v>0.0</v>
      </c>
      <c r="DG520" s="72">
        <v>0.0</v>
      </c>
      <c r="DH520" s="72">
        <v>2490600.0</v>
      </c>
      <c r="DI520" s="73">
        <v>2.0605520058E10</v>
      </c>
      <c r="DJ520" s="74" t="s">
        <v>1626</v>
      </c>
      <c r="DK520" s="74" t="s">
        <v>138</v>
      </c>
      <c r="DL520" s="75"/>
      <c r="DM520" s="75"/>
      <c r="DN520" s="75"/>
      <c r="DO520" s="75"/>
      <c r="DP520" s="75"/>
      <c r="DQ520" s="75"/>
      <c r="DR520" s="75"/>
      <c r="DS520" s="75"/>
      <c r="DT520" s="75"/>
      <c r="DU520" s="75"/>
      <c r="DV520" s="75"/>
      <c r="DW520" s="75"/>
      <c r="DX520" s="75"/>
      <c r="DY520" s="75"/>
      <c r="DZ520" s="75"/>
      <c r="EA520" s="75"/>
      <c r="EB520" s="75"/>
      <c r="EC520" s="75"/>
      <c r="ED520" s="75"/>
      <c r="EE520" s="75"/>
    </row>
    <row r="521" ht="47.25" hidden="1" customHeight="1">
      <c r="A521" s="55" t="s">
        <v>1627</v>
      </c>
      <c r="B521" s="55" t="s">
        <v>166</v>
      </c>
      <c r="C521" s="55" t="s">
        <v>166</v>
      </c>
      <c r="D521" s="55" t="s">
        <v>889</v>
      </c>
      <c r="E521" s="55" t="s">
        <v>888</v>
      </c>
      <c r="F521" s="55" t="s">
        <v>889</v>
      </c>
      <c r="G521" s="55" t="s">
        <v>890</v>
      </c>
      <c r="H521" s="55" t="s">
        <v>889</v>
      </c>
      <c r="I521" s="56"/>
      <c r="J521" s="56"/>
      <c r="K521" s="56"/>
      <c r="L521" s="56"/>
      <c r="M521" s="56"/>
      <c r="N521" s="56"/>
      <c r="O521" s="56"/>
      <c r="P521" s="56">
        <v>1.0</v>
      </c>
      <c r="Q521" s="56" t="s">
        <v>131</v>
      </c>
      <c r="R521" s="58" t="str">
        <f t="shared" si="1"/>
        <v>2025</v>
      </c>
      <c r="S521" s="59" t="str">
        <f>SUM(Hoja1!$I521:$P521)</f>
        <v>1</v>
      </c>
      <c r="T521" s="59" t="str">
        <f>IF(OR(Hoja1!$J521=1,Hoja1!$K521=1,Hoja1!$L521=1,Hoja1!$M521=1,Hoja1!$N521=1,Hoja1!$O521=1,Hoja1!$P521=1),"SI","NO")</f>
        <v>SI</v>
      </c>
      <c r="U521" s="59" t="str">
        <f>IF(OR(Hoja1!$K521=1,Hoja1!$L521=1,Hoja1!$M521=1,Hoja1!$N521=1,Hoja1!$O521=1,Hoja1!$P521=1),"SI","NO")</f>
        <v>SI</v>
      </c>
      <c r="V521" s="60">
        <v>0.0</v>
      </c>
      <c r="W521" s="61">
        <v>0.0</v>
      </c>
      <c r="X521" s="61">
        <v>0.0</v>
      </c>
      <c r="Y521" s="60">
        <v>0.0</v>
      </c>
      <c r="Z521" s="61">
        <v>0.0</v>
      </c>
      <c r="AA521" s="61">
        <v>0.0</v>
      </c>
      <c r="AB521" s="60">
        <v>0.0</v>
      </c>
      <c r="AC521" s="61">
        <v>0.0</v>
      </c>
      <c r="AD521" s="61">
        <v>0.0</v>
      </c>
      <c r="AE521" s="60">
        <v>0.0</v>
      </c>
      <c r="AF521" s="61">
        <v>0.0</v>
      </c>
      <c r="AG521" s="61">
        <v>0.0</v>
      </c>
      <c r="AH521" s="60">
        <v>0.0</v>
      </c>
      <c r="AI521" s="61">
        <v>0.0</v>
      </c>
      <c r="AJ521" s="61">
        <v>0.0</v>
      </c>
      <c r="AK521" s="60">
        <v>0.0</v>
      </c>
      <c r="AL521" s="61">
        <v>0.0</v>
      </c>
      <c r="AM521" s="61">
        <v>0.0</v>
      </c>
      <c r="AN521" s="60">
        <v>0.0</v>
      </c>
      <c r="AO521" s="62">
        <v>12.0</v>
      </c>
      <c r="AP521" s="62">
        <v>13.0</v>
      </c>
      <c r="AQ521" s="60">
        <v>25.0</v>
      </c>
      <c r="AR521" s="60" t="str">
        <f>IF(Hoja1!$AQ521&gt;0,Hoja1!$AQ521,IF(Hoja1!$AN521&gt;0,Hoja1!$AN521,IF(Hoja1!$AK521&gt;0,Hoja1!$AK521,IF(Hoja1!$AH521&gt;0,Hoja1!$AH521,IF(Hoja1!$AE521&gt;0,Hoja1!$AE521,IF(Hoja1!$AB521&gt;0,Hoja1!$AB521,IF(Hoja1!$Y521&gt;0,Hoja1!$Y521,IF(Hoja1!$V521&gt;0,Hoja1!$V521," ---"))))))))</f>
        <v>25</v>
      </c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>
        <v>30.0</v>
      </c>
      <c r="BD521" s="63">
        <v>6.0</v>
      </c>
      <c r="BE521" s="64"/>
      <c r="BF521" s="69"/>
      <c r="BG521" s="69"/>
      <c r="BH521" s="64"/>
      <c r="BI521" s="67" t="str">
        <f t="shared" si="175"/>
        <v>#REF!</v>
      </c>
      <c r="BJ521" s="68" t="str">
        <f t="shared" si="176"/>
        <v>#REF!</v>
      </c>
      <c r="BK521" s="69"/>
      <c r="BL521" s="69"/>
      <c r="BM521" s="64"/>
      <c r="BN521" s="67" t="str">
        <f t="shared" si="177"/>
        <v>#REF!</v>
      </c>
      <c r="BO521" s="68" t="str">
        <f t="shared" si="178"/>
        <v>#REF!</v>
      </c>
      <c r="BP521" s="65"/>
      <c r="BQ521" s="65"/>
      <c r="BR521" s="66"/>
      <c r="BS521" s="67" t="str">
        <f t="shared" si="179"/>
        <v>#REF!</v>
      </c>
      <c r="BT521" s="68" t="str">
        <f>'[1]DATA CONSOLIDADA 2018-2025 '!$BR521-Hoja1!$BO521</f>
        <v>#REF!</v>
      </c>
      <c r="BU521" s="69"/>
      <c r="BV521" s="65"/>
      <c r="BW521" s="66"/>
      <c r="BX521" s="67" t="str">
        <f t="shared" si="180"/>
        <v>#REF!</v>
      </c>
      <c r="BY521" s="68" t="str">
        <f t="shared" si="181"/>
        <v>#REF!</v>
      </c>
      <c r="BZ521" s="65"/>
      <c r="CA521" s="65"/>
      <c r="CB521" s="66"/>
      <c r="CC521" s="67" t="str">
        <f t="shared" si="182"/>
        <v>#REF!</v>
      </c>
      <c r="CD521" s="68" t="str">
        <f>'[1]DATA CONSOLIDADA 2018-2025 '!$CB521-Hoja1!$BW521</f>
        <v>#REF!</v>
      </c>
      <c r="CE521" s="70"/>
      <c r="CF521" s="70"/>
      <c r="CG521" s="71"/>
      <c r="CH521" s="67" t="str">
        <f t="shared" si="183"/>
        <v>#REF!</v>
      </c>
      <c r="CI521" s="68" t="str">
        <f>'[1]DATA CONSOLIDADA 2018-2025 '!$CG521-Hoja1!$CB521</f>
        <v>#REF!</v>
      </c>
      <c r="CJ521" s="64" t="str">
        <f t="shared" si="184"/>
        <v>#REF!</v>
      </c>
      <c r="CK521" s="64">
        <v>644250.0</v>
      </c>
      <c r="CL521" s="64">
        <v>0.0</v>
      </c>
      <c r="CM521" s="64">
        <v>644250.0</v>
      </c>
      <c r="CN521" s="64" t="str">
        <f t="shared" si="12"/>
        <v>#REF!</v>
      </c>
      <c r="CO521" s="68" t="str">
        <f>'[1]DATA CONSOLIDADA 2018-2025 '!$CM521-Hoja1!$CG521</f>
        <v>#REF!</v>
      </c>
      <c r="CP521" s="70"/>
      <c r="CQ521" s="70"/>
      <c r="CR521" s="70"/>
      <c r="CS521" s="70"/>
      <c r="CT521" s="70"/>
      <c r="CU521" s="70"/>
      <c r="CV521" s="64"/>
      <c r="CW521" s="64"/>
      <c r="CX521" s="64"/>
      <c r="CY521" s="64"/>
      <c r="CZ521" s="64"/>
      <c r="DA521" s="64"/>
      <c r="DB521" s="64"/>
      <c r="DC521" s="72">
        <v>0.0</v>
      </c>
      <c r="DD521" s="72">
        <v>644250.0</v>
      </c>
      <c r="DE521" s="72">
        <v>0.0</v>
      </c>
      <c r="DF521" s="72">
        <v>0.0</v>
      </c>
      <c r="DG521" s="72">
        <v>0.0</v>
      </c>
      <c r="DH521" s="72">
        <v>644250.0</v>
      </c>
      <c r="DI521" s="73">
        <v>2.0607660515E10</v>
      </c>
      <c r="DJ521" s="74" t="s">
        <v>1628</v>
      </c>
      <c r="DK521" s="74" t="s">
        <v>138</v>
      </c>
      <c r="DL521" s="75"/>
      <c r="DM521" s="75"/>
      <c r="DN521" s="75"/>
      <c r="DO521" s="75"/>
      <c r="DP521" s="75"/>
      <c r="DQ521" s="75"/>
      <c r="DR521" s="75"/>
      <c r="DS521" s="75"/>
      <c r="DT521" s="75"/>
      <c r="DU521" s="75"/>
      <c r="DV521" s="75"/>
      <c r="DW521" s="75"/>
      <c r="DX521" s="75"/>
      <c r="DY521" s="75"/>
      <c r="DZ521" s="75"/>
      <c r="EA521" s="75"/>
      <c r="EB521" s="75"/>
      <c r="EC521" s="75"/>
      <c r="ED521" s="75"/>
      <c r="EE521" s="75"/>
    </row>
    <row r="522" ht="47.25" hidden="1" customHeight="1">
      <c r="A522" s="55" t="s">
        <v>1629</v>
      </c>
      <c r="B522" s="55" t="s">
        <v>166</v>
      </c>
      <c r="C522" s="55" t="s">
        <v>166</v>
      </c>
      <c r="D522" s="55" t="s">
        <v>911</v>
      </c>
      <c r="E522" s="55" t="s">
        <v>1630</v>
      </c>
      <c r="F522" s="55" t="s">
        <v>911</v>
      </c>
      <c r="G522" s="55" t="s">
        <v>911</v>
      </c>
      <c r="H522" s="55" t="s">
        <v>1631</v>
      </c>
      <c r="I522" s="56"/>
      <c r="J522" s="56"/>
      <c r="K522" s="56"/>
      <c r="L522" s="56"/>
      <c r="M522" s="56"/>
      <c r="N522" s="56"/>
      <c r="O522" s="56"/>
      <c r="P522" s="56">
        <v>1.0</v>
      </c>
      <c r="Q522" s="56" t="s">
        <v>131</v>
      </c>
      <c r="R522" s="58" t="str">
        <f t="shared" si="1"/>
        <v>2025</v>
      </c>
      <c r="S522" s="59" t="str">
        <f>SUM(Hoja1!$I522:$P522)</f>
        <v>1</v>
      </c>
      <c r="T522" s="59" t="str">
        <f>IF(OR(Hoja1!$J522=1,Hoja1!$K522=1,Hoja1!$L522=1,Hoja1!$M522=1,Hoja1!$N522=1,Hoja1!$O522=1,Hoja1!$P522=1),"SI","NO")</f>
        <v>SI</v>
      </c>
      <c r="U522" s="59" t="str">
        <f>IF(OR(Hoja1!$K522=1,Hoja1!$L522=1,Hoja1!$M522=1,Hoja1!$N522=1,Hoja1!$O522=1,Hoja1!$P522=1),"SI","NO")</f>
        <v>SI</v>
      </c>
      <c r="V522" s="60">
        <v>0.0</v>
      </c>
      <c r="W522" s="61">
        <v>0.0</v>
      </c>
      <c r="X522" s="61">
        <v>0.0</v>
      </c>
      <c r="Y522" s="60">
        <v>0.0</v>
      </c>
      <c r="Z522" s="61">
        <v>0.0</v>
      </c>
      <c r="AA522" s="61">
        <v>0.0</v>
      </c>
      <c r="AB522" s="60">
        <v>0.0</v>
      </c>
      <c r="AC522" s="61">
        <v>0.0</v>
      </c>
      <c r="AD522" s="61">
        <v>0.0</v>
      </c>
      <c r="AE522" s="60">
        <v>0.0</v>
      </c>
      <c r="AF522" s="61">
        <v>0.0</v>
      </c>
      <c r="AG522" s="61">
        <v>0.0</v>
      </c>
      <c r="AH522" s="60">
        <v>0.0</v>
      </c>
      <c r="AI522" s="61">
        <v>0.0</v>
      </c>
      <c r="AJ522" s="61">
        <v>0.0</v>
      </c>
      <c r="AK522" s="60">
        <v>0.0</v>
      </c>
      <c r="AL522" s="61">
        <v>0.0</v>
      </c>
      <c r="AM522" s="61">
        <v>0.0</v>
      </c>
      <c r="AN522" s="60">
        <v>0.0</v>
      </c>
      <c r="AO522" s="62">
        <v>14.0</v>
      </c>
      <c r="AP522" s="62">
        <v>6.0</v>
      </c>
      <c r="AQ522" s="60">
        <v>20.0</v>
      </c>
      <c r="AR522" s="60" t="str">
        <f>IF(Hoja1!$AQ522&gt;0,Hoja1!$AQ522,IF(Hoja1!$AN522&gt;0,Hoja1!$AN522,IF(Hoja1!$AK522&gt;0,Hoja1!$AK522,IF(Hoja1!$AH522&gt;0,Hoja1!$AH522,IF(Hoja1!$AE522&gt;0,Hoja1!$AE522,IF(Hoja1!$AB522&gt;0,Hoja1!$AB522,IF(Hoja1!$Y522&gt;0,Hoja1!$Y522,IF(Hoja1!$V522&gt;0,Hoja1!$V522," ---"))))))))</f>
        <v>20</v>
      </c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>
        <v>13.0</v>
      </c>
      <c r="BD522" s="63">
        <v>3.0</v>
      </c>
      <c r="BE522" s="64"/>
      <c r="BF522" s="69"/>
      <c r="BG522" s="69"/>
      <c r="BH522" s="64"/>
      <c r="BI522" s="67" t="str">
        <f t="shared" si="175"/>
        <v>#REF!</v>
      </c>
      <c r="BJ522" s="68" t="str">
        <f t="shared" si="176"/>
        <v>#REF!</v>
      </c>
      <c r="BK522" s="69"/>
      <c r="BL522" s="69"/>
      <c r="BM522" s="64"/>
      <c r="BN522" s="67" t="str">
        <f t="shared" si="177"/>
        <v>#REF!</v>
      </c>
      <c r="BO522" s="68" t="str">
        <f t="shared" si="178"/>
        <v>#REF!</v>
      </c>
      <c r="BP522" s="65"/>
      <c r="BQ522" s="65"/>
      <c r="BR522" s="66"/>
      <c r="BS522" s="67" t="str">
        <f t="shared" si="179"/>
        <v>#REF!</v>
      </c>
      <c r="BT522" s="68" t="str">
        <f>'[1]DATA CONSOLIDADA 2018-2025 '!$BR522-Hoja1!$BO522</f>
        <v>#REF!</v>
      </c>
      <c r="BU522" s="69"/>
      <c r="BV522" s="65"/>
      <c r="BW522" s="66"/>
      <c r="BX522" s="67" t="str">
        <f t="shared" si="180"/>
        <v>#REF!</v>
      </c>
      <c r="BY522" s="68" t="str">
        <f t="shared" si="181"/>
        <v>#REF!</v>
      </c>
      <c r="BZ522" s="65"/>
      <c r="CA522" s="65"/>
      <c r="CB522" s="66"/>
      <c r="CC522" s="67" t="str">
        <f t="shared" si="182"/>
        <v>#REF!</v>
      </c>
      <c r="CD522" s="68" t="str">
        <f>'[1]DATA CONSOLIDADA 2018-2025 '!$CB522-Hoja1!$BW522</f>
        <v>#REF!</v>
      </c>
      <c r="CE522" s="70"/>
      <c r="CF522" s="70"/>
      <c r="CG522" s="71"/>
      <c r="CH522" s="67" t="str">
        <f t="shared" si="183"/>
        <v>#REF!</v>
      </c>
      <c r="CI522" s="68" t="str">
        <f>'[1]DATA CONSOLIDADA 2018-2025 '!$CG522-Hoja1!$CB522</f>
        <v>#REF!</v>
      </c>
      <c r="CJ522" s="64" t="str">
        <f t="shared" si="184"/>
        <v>#REF!</v>
      </c>
      <c r="CK522" s="64">
        <v>30330.9</v>
      </c>
      <c r="CL522" s="64">
        <v>0.0</v>
      </c>
      <c r="CM522" s="64">
        <v>30330.9</v>
      </c>
      <c r="CN522" s="64" t="str">
        <f t="shared" si="12"/>
        <v>#REF!</v>
      </c>
      <c r="CO522" s="68" t="str">
        <f>'[1]DATA CONSOLIDADA 2018-2025 '!$CM522-Hoja1!$CG522</f>
        <v>#REF!</v>
      </c>
      <c r="CP522" s="70"/>
      <c r="CQ522" s="70"/>
      <c r="CR522" s="70"/>
      <c r="CS522" s="70"/>
      <c r="CT522" s="70"/>
      <c r="CU522" s="70"/>
      <c r="CV522" s="64"/>
      <c r="CW522" s="64"/>
      <c r="CX522" s="64"/>
      <c r="CY522" s="64"/>
      <c r="CZ522" s="64"/>
      <c r="DA522" s="64"/>
      <c r="DB522" s="64"/>
      <c r="DC522" s="72">
        <v>0.0</v>
      </c>
      <c r="DD522" s="72">
        <v>30330.9</v>
      </c>
      <c r="DE522" s="72">
        <v>0.0</v>
      </c>
      <c r="DF522" s="72">
        <v>0.0</v>
      </c>
      <c r="DG522" s="72">
        <v>0.0</v>
      </c>
      <c r="DH522" s="72">
        <v>30330.9</v>
      </c>
      <c r="DI522" s="73">
        <v>2.0600384016E10</v>
      </c>
      <c r="DJ522" s="74" t="s">
        <v>1629</v>
      </c>
      <c r="DK522" s="74" t="s">
        <v>138</v>
      </c>
      <c r="DL522" s="75"/>
      <c r="DM522" s="75"/>
      <c r="DN522" s="75"/>
      <c r="DO522" s="75"/>
      <c r="DP522" s="75"/>
      <c r="DQ522" s="75"/>
      <c r="DR522" s="75"/>
      <c r="DS522" s="75"/>
      <c r="DT522" s="75"/>
      <c r="DU522" s="75"/>
      <c r="DV522" s="75"/>
      <c r="DW522" s="75"/>
      <c r="DX522" s="75"/>
      <c r="DY522" s="75"/>
      <c r="DZ522" s="75"/>
      <c r="EA522" s="75"/>
      <c r="EB522" s="75"/>
      <c r="EC522" s="75"/>
      <c r="ED522" s="75"/>
      <c r="EE522" s="75"/>
    </row>
    <row r="523" ht="47.25" hidden="1" customHeight="1">
      <c r="A523" s="55" t="s">
        <v>1632</v>
      </c>
      <c r="B523" s="55" t="s">
        <v>126</v>
      </c>
      <c r="C523" s="55" t="s">
        <v>1588</v>
      </c>
      <c r="D523" s="55" t="s">
        <v>911</v>
      </c>
      <c r="E523" s="55" t="s">
        <v>916</v>
      </c>
      <c r="F523" s="55" t="s">
        <v>911</v>
      </c>
      <c r="G523" s="55" t="s">
        <v>913</v>
      </c>
      <c r="H523" s="55" t="s">
        <v>917</v>
      </c>
      <c r="I523" s="56"/>
      <c r="J523" s="56"/>
      <c r="K523" s="56"/>
      <c r="L523" s="56"/>
      <c r="M523" s="56"/>
      <c r="N523" s="56"/>
      <c r="O523" s="56"/>
      <c r="P523" s="56">
        <v>1.0</v>
      </c>
      <c r="Q523" s="56" t="s">
        <v>131</v>
      </c>
      <c r="R523" s="58" t="str">
        <f t="shared" si="1"/>
        <v>2025</v>
      </c>
      <c r="S523" s="59" t="str">
        <f>SUM(Hoja1!$I523:$P523)</f>
        <v>1</v>
      </c>
      <c r="T523" s="59" t="str">
        <f>IF(OR(Hoja1!$J523=1,Hoja1!$K523=1,Hoja1!$L523=1,Hoja1!$M523=1,Hoja1!$N523=1,Hoja1!$O523=1,Hoja1!$P523=1),"SI","NO")</f>
        <v>SI</v>
      </c>
      <c r="U523" s="59" t="str">
        <f>IF(OR(Hoja1!$K523=1,Hoja1!$L523=1,Hoja1!$M523=1,Hoja1!$N523=1,Hoja1!$O523=1,Hoja1!$P523=1),"SI","NO")</f>
        <v>SI</v>
      </c>
      <c r="V523" s="60">
        <v>0.0</v>
      </c>
      <c r="W523" s="61">
        <v>0.0</v>
      </c>
      <c r="X523" s="61">
        <v>0.0</v>
      </c>
      <c r="Y523" s="60">
        <v>0.0</v>
      </c>
      <c r="Z523" s="61">
        <v>0.0</v>
      </c>
      <c r="AA523" s="61">
        <v>0.0</v>
      </c>
      <c r="AB523" s="60">
        <v>0.0</v>
      </c>
      <c r="AC523" s="61">
        <v>0.0</v>
      </c>
      <c r="AD523" s="61">
        <v>0.0</v>
      </c>
      <c r="AE523" s="60">
        <v>0.0</v>
      </c>
      <c r="AF523" s="61">
        <v>0.0</v>
      </c>
      <c r="AG523" s="61">
        <v>0.0</v>
      </c>
      <c r="AH523" s="60">
        <v>0.0</v>
      </c>
      <c r="AI523" s="61">
        <v>0.0</v>
      </c>
      <c r="AJ523" s="61">
        <v>0.0</v>
      </c>
      <c r="AK523" s="60">
        <v>0.0</v>
      </c>
      <c r="AL523" s="61">
        <v>0.0</v>
      </c>
      <c r="AM523" s="61">
        <v>0.0</v>
      </c>
      <c r="AN523" s="60">
        <v>0.0</v>
      </c>
      <c r="AO523" s="62">
        <v>300.0</v>
      </c>
      <c r="AP523" s="62">
        <v>29.0</v>
      </c>
      <c r="AQ523" s="60">
        <v>329.0</v>
      </c>
      <c r="AR523" s="60" t="str">
        <f>IF(Hoja1!$AQ523&gt;0,Hoja1!$AQ523,IF(Hoja1!$AN523&gt;0,Hoja1!$AN523,IF(Hoja1!$AK523&gt;0,Hoja1!$AK523,IF(Hoja1!$AH523&gt;0,Hoja1!$AH523,IF(Hoja1!$AE523&gt;0,Hoja1!$AE523,IF(Hoja1!$AB523&gt;0,Hoja1!$AB523,IF(Hoja1!$Y523&gt;0,Hoja1!$Y523,IF(Hoja1!$V523&gt;0,Hoja1!$V523," ---"))))))))</f>
        <v>329</v>
      </c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>
        <v>12.0</v>
      </c>
      <c r="BD523" s="63">
        <v>4.0</v>
      </c>
      <c r="BE523" s="64"/>
      <c r="BF523" s="69"/>
      <c r="BG523" s="69"/>
      <c r="BH523" s="64"/>
      <c r="BI523" s="67" t="str">
        <f t="shared" si="175"/>
        <v>#REF!</v>
      </c>
      <c r="BJ523" s="68" t="str">
        <f t="shared" si="176"/>
        <v>#REF!</v>
      </c>
      <c r="BK523" s="69"/>
      <c r="BL523" s="69"/>
      <c r="BM523" s="64"/>
      <c r="BN523" s="67" t="str">
        <f t="shared" si="177"/>
        <v>#REF!</v>
      </c>
      <c r="BO523" s="68" t="str">
        <f t="shared" si="178"/>
        <v>#REF!</v>
      </c>
      <c r="BP523" s="65"/>
      <c r="BQ523" s="65"/>
      <c r="BR523" s="66"/>
      <c r="BS523" s="67" t="str">
        <f t="shared" si="179"/>
        <v>#REF!</v>
      </c>
      <c r="BT523" s="68" t="str">
        <f>'[1]DATA CONSOLIDADA 2018-2025 '!$BR523-Hoja1!$BO523</f>
        <v>#REF!</v>
      </c>
      <c r="BU523" s="69"/>
      <c r="BV523" s="65"/>
      <c r="BW523" s="66"/>
      <c r="BX523" s="67" t="str">
        <f t="shared" si="180"/>
        <v>#REF!</v>
      </c>
      <c r="BY523" s="68" t="str">
        <f t="shared" si="181"/>
        <v>#REF!</v>
      </c>
      <c r="BZ523" s="65"/>
      <c r="CA523" s="65"/>
      <c r="CB523" s="66"/>
      <c r="CC523" s="67" t="str">
        <f t="shared" si="182"/>
        <v>#REF!</v>
      </c>
      <c r="CD523" s="68" t="str">
        <f>'[1]DATA CONSOLIDADA 2018-2025 '!$CB523-Hoja1!$BW523</f>
        <v>#REF!</v>
      </c>
      <c r="CE523" s="70"/>
      <c r="CF523" s="70"/>
      <c r="CG523" s="71"/>
      <c r="CH523" s="67" t="str">
        <f t="shared" si="183"/>
        <v>#REF!</v>
      </c>
      <c r="CI523" s="68" t="str">
        <f>'[1]DATA CONSOLIDADA 2018-2025 '!$CG523-Hoja1!$CB523</f>
        <v>#REF!</v>
      </c>
      <c r="CJ523" s="64" t="str">
        <f t="shared" si="184"/>
        <v>#REF!</v>
      </c>
      <c r="CK523" s="64">
        <v>0.0</v>
      </c>
      <c r="CL523" s="64">
        <v>0.0</v>
      </c>
      <c r="CM523" s="64">
        <v>0.0</v>
      </c>
      <c r="CN523" s="64" t="str">
        <f t="shared" si="12"/>
        <v>#REF!</v>
      </c>
      <c r="CO523" s="68" t="str">
        <f>'[1]DATA CONSOLIDADA 2018-2025 '!$CM523-Hoja1!$CG523</f>
        <v>#REF!</v>
      </c>
      <c r="CP523" s="70"/>
      <c r="CQ523" s="70"/>
      <c r="CR523" s="70"/>
      <c r="CS523" s="70"/>
      <c r="CT523" s="70"/>
      <c r="CU523" s="70"/>
      <c r="CV523" s="64"/>
      <c r="CW523" s="64"/>
      <c r="CX523" s="64"/>
      <c r="CY523" s="64"/>
      <c r="CZ523" s="64"/>
      <c r="DA523" s="64"/>
      <c r="DB523" s="64"/>
      <c r="DC523" s="72">
        <v>0.0</v>
      </c>
      <c r="DD523" s="72">
        <v>0.0</v>
      </c>
      <c r="DE523" s="72">
        <v>0.0</v>
      </c>
      <c r="DF523" s="72">
        <v>0.0</v>
      </c>
      <c r="DG523" s="72">
        <v>0.0</v>
      </c>
      <c r="DH523" s="72">
        <v>0.0</v>
      </c>
      <c r="DI523" s="73">
        <v>2.0568080948E10</v>
      </c>
      <c r="DJ523" s="74" t="s">
        <v>1632</v>
      </c>
      <c r="DK523" s="74" t="s">
        <v>138</v>
      </c>
      <c r="DL523" s="75"/>
      <c r="DM523" s="75"/>
      <c r="DN523" s="75"/>
      <c r="DO523" s="75"/>
      <c r="DP523" s="75"/>
      <c r="DQ523" s="75"/>
      <c r="DR523" s="75"/>
      <c r="DS523" s="75"/>
      <c r="DT523" s="75"/>
      <c r="DU523" s="75"/>
      <c r="DV523" s="75"/>
      <c r="DW523" s="75"/>
      <c r="DX523" s="75"/>
      <c r="DY523" s="75"/>
      <c r="DZ523" s="75"/>
      <c r="EA523" s="75"/>
      <c r="EB523" s="75"/>
      <c r="EC523" s="75"/>
      <c r="ED523" s="75"/>
      <c r="EE523" s="75"/>
    </row>
    <row r="524" ht="47.25" hidden="1" customHeight="1">
      <c r="A524" s="55" t="s">
        <v>1633</v>
      </c>
      <c r="B524" s="55" t="s">
        <v>166</v>
      </c>
      <c r="C524" s="55" t="s">
        <v>166</v>
      </c>
      <c r="D524" s="55" t="s">
        <v>911</v>
      </c>
      <c r="E524" s="55" t="s">
        <v>1634</v>
      </c>
      <c r="F524" s="55" t="s">
        <v>911</v>
      </c>
      <c r="G524" s="55" t="s">
        <v>911</v>
      </c>
      <c r="H524" s="55" t="s">
        <v>1635</v>
      </c>
      <c r="I524" s="56"/>
      <c r="J524" s="56"/>
      <c r="K524" s="56"/>
      <c r="L524" s="56"/>
      <c r="M524" s="56"/>
      <c r="N524" s="56"/>
      <c r="O524" s="56"/>
      <c r="P524" s="56">
        <v>1.0</v>
      </c>
      <c r="Q524" s="56" t="s">
        <v>131</v>
      </c>
      <c r="R524" s="58" t="str">
        <f t="shared" si="1"/>
        <v>2025</v>
      </c>
      <c r="S524" s="59" t="str">
        <f>SUM(Hoja1!$I524:$P524)</f>
        <v>1</v>
      </c>
      <c r="T524" s="59" t="str">
        <f>IF(OR(Hoja1!$J524=1,Hoja1!$K524=1,Hoja1!$L524=1,Hoja1!$M524=1,Hoja1!$N524=1,Hoja1!$O524=1,Hoja1!$P524=1),"SI","NO")</f>
        <v>SI</v>
      </c>
      <c r="U524" s="59" t="str">
        <f>IF(OR(Hoja1!$K524=1,Hoja1!$L524=1,Hoja1!$M524=1,Hoja1!$N524=1,Hoja1!$O524=1,Hoja1!$P524=1),"SI","NO")</f>
        <v>SI</v>
      </c>
      <c r="V524" s="60">
        <v>0.0</v>
      </c>
      <c r="W524" s="61">
        <v>0.0</v>
      </c>
      <c r="X524" s="61">
        <v>0.0</v>
      </c>
      <c r="Y524" s="60">
        <v>0.0</v>
      </c>
      <c r="Z524" s="61">
        <v>0.0</v>
      </c>
      <c r="AA524" s="61">
        <v>0.0</v>
      </c>
      <c r="AB524" s="60">
        <v>0.0</v>
      </c>
      <c r="AC524" s="61">
        <v>0.0</v>
      </c>
      <c r="AD524" s="61">
        <v>0.0</v>
      </c>
      <c r="AE524" s="60">
        <v>0.0</v>
      </c>
      <c r="AF524" s="61">
        <v>0.0</v>
      </c>
      <c r="AG524" s="61">
        <v>0.0</v>
      </c>
      <c r="AH524" s="60">
        <v>0.0</v>
      </c>
      <c r="AI524" s="61">
        <v>0.0</v>
      </c>
      <c r="AJ524" s="61">
        <v>0.0</v>
      </c>
      <c r="AK524" s="60">
        <v>0.0</v>
      </c>
      <c r="AL524" s="61">
        <v>0.0</v>
      </c>
      <c r="AM524" s="61">
        <v>0.0</v>
      </c>
      <c r="AN524" s="60">
        <v>0.0</v>
      </c>
      <c r="AO524" s="62">
        <v>28.0</v>
      </c>
      <c r="AP524" s="62">
        <v>13.0</v>
      </c>
      <c r="AQ524" s="60">
        <v>41.0</v>
      </c>
      <c r="AR524" s="60" t="str">
        <f>IF(Hoja1!$AQ524&gt;0,Hoja1!$AQ524,IF(Hoja1!$AN524&gt;0,Hoja1!$AN524,IF(Hoja1!$AK524&gt;0,Hoja1!$AK524,IF(Hoja1!$AH524&gt;0,Hoja1!$AH524,IF(Hoja1!$AE524&gt;0,Hoja1!$AE524,IF(Hoja1!$AB524&gt;0,Hoja1!$AB524,IF(Hoja1!$Y524&gt;0,Hoja1!$Y524,IF(Hoja1!$V524&gt;0,Hoja1!$V524," ---"))))))))</f>
        <v>41</v>
      </c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>
        <v>13.0</v>
      </c>
      <c r="BD524" s="63">
        <v>3.0</v>
      </c>
      <c r="BE524" s="64"/>
      <c r="BF524" s="69"/>
      <c r="BG524" s="69"/>
      <c r="BH524" s="64"/>
      <c r="BI524" s="67" t="str">
        <f t="shared" si="175"/>
        <v>#REF!</v>
      </c>
      <c r="BJ524" s="68" t="str">
        <f t="shared" si="176"/>
        <v>#REF!</v>
      </c>
      <c r="BK524" s="69"/>
      <c r="BL524" s="69"/>
      <c r="BM524" s="64"/>
      <c r="BN524" s="67" t="str">
        <f t="shared" si="177"/>
        <v>#REF!</v>
      </c>
      <c r="BO524" s="68" t="str">
        <f t="shared" si="178"/>
        <v>#REF!</v>
      </c>
      <c r="BP524" s="65"/>
      <c r="BQ524" s="65"/>
      <c r="BR524" s="66"/>
      <c r="BS524" s="67" t="str">
        <f t="shared" si="179"/>
        <v>#REF!</v>
      </c>
      <c r="BT524" s="68" t="str">
        <f>'[1]DATA CONSOLIDADA 2018-2025 '!$BR524-Hoja1!$BO524</f>
        <v>#REF!</v>
      </c>
      <c r="BU524" s="69"/>
      <c r="BV524" s="65"/>
      <c r="BW524" s="66"/>
      <c r="BX524" s="67" t="str">
        <f t="shared" si="180"/>
        <v>#REF!</v>
      </c>
      <c r="BY524" s="68" t="str">
        <f t="shared" si="181"/>
        <v>#REF!</v>
      </c>
      <c r="BZ524" s="65"/>
      <c r="CA524" s="65"/>
      <c r="CB524" s="66"/>
      <c r="CC524" s="67" t="str">
        <f t="shared" si="182"/>
        <v>#REF!</v>
      </c>
      <c r="CD524" s="68" t="str">
        <f>'[1]DATA CONSOLIDADA 2018-2025 '!$CB524-Hoja1!$BW524</f>
        <v>#REF!</v>
      </c>
      <c r="CE524" s="70"/>
      <c r="CF524" s="70"/>
      <c r="CG524" s="71"/>
      <c r="CH524" s="67" t="str">
        <f t="shared" si="183"/>
        <v>#REF!</v>
      </c>
      <c r="CI524" s="68" t="str">
        <f>'[1]DATA CONSOLIDADA 2018-2025 '!$CG524-Hoja1!$CB524</f>
        <v>#REF!</v>
      </c>
      <c r="CJ524" s="64" t="str">
        <f t="shared" si="184"/>
        <v>#REF!</v>
      </c>
      <c r="CK524" s="64">
        <v>19004.5</v>
      </c>
      <c r="CL524" s="64">
        <v>0.0</v>
      </c>
      <c r="CM524" s="64">
        <v>19004.5</v>
      </c>
      <c r="CN524" s="64" t="str">
        <f t="shared" si="12"/>
        <v>#REF!</v>
      </c>
      <c r="CO524" s="68" t="str">
        <f>'[1]DATA CONSOLIDADA 2018-2025 '!$CM524-Hoja1!$CG524</f>
        <v>#REF!</v>
      </c>
      <c r="CP524" s="70"/>
      <c r="CQ524" s="70"/>
      <c r="CR524" s="70"/>
      <c r="CS524" s="70"/>
      <c r="CT524" s="70"/>
      <c r="CU524" s="70"/>
      <c r="CV524" s="64"/>
      <c r="CW524" s="64"/>
      <c r="CX524" s="64"/>
      <c r="CY524" s="64"/>
      <c r="CZ524" s="64"/>
      <c r="DA524" s="64"/>
      <c r="DB524" s="64"/>
      <c r="DC524" s="72">
        <v>0.0</v>
      </c>
      <c r="DD524" s="72">
        <v>19004.5</v>
      </c>
      <c r="DE524" s="72">
        <v>0.0</v>
      </c>
      <c r="DF524" s="72">
        <v>0.0</v>
      </c>
      <c r="DG524" s="72">
        <v>0.0</v>
      </c>
      <c r="DH524" s="72">
        <v>19004.5</v>
      </c>
      <c r="DI524" s="73">
        <v>2.0573330651E10</v>
      </c>
      <c r="DJ524" s="74" t="s">
        <v>1633</v>
      </c>
      <c r="DK524" s="74" t="s">
        <v>138</v>
      </c>
      <c r="DL524" s="75"/>
      <c r="DM524" s="75"/>
      <c r="DN524" s="75"/>
      <c r="DO524" s="75"/>
      <c r="DP524" s="75"/>
      <c r="DQ524" s="75"/>
      <c r="DR524" s="75"/>
      <c r="DS524" s="75"/>
      <c r="DT524" s="75"/>
      <c r="DU524" s="75"/>
      <c r="DV524" s="75"/>
      <c r="DW524" s="75"/>
      <c r="DX524" s="75"/>
      <c r="DY524" s="75"/>
      <c r="DZ524" s="75"/>
      <c r="EA524" s="75"/>
      <c r="EB524" s="75"/>
      <c r="EC524" s="75"/>
      <c r="ED524" s="75"/>
      <c r="EE524" s="75"/>
    </row>
    <row r="525" ht="47.25" customHeight="1">
      <c r="A525" s="55" t="s">
        <v>1636</v>
      </c>
      <c r="B525" s="55" t="s">
        <v>146</v>
      </c>
      <c r="C525" s="55" t="s">
        <v>432</v>
      </c>
      <c r="D525" s="55" t="s">
        <v>1149</v>
      </c>
      <c r="E525" s="55" t="s">
        <v>1177</v>
      </c>
      <c r="F525" s="55" t="s">
        <v>1149</v>
      </c>
      <c r="G525" s="55" t="s">
        <v>1156</v>
      </c>
      <c r="H525" s="55" t="s">
        <v>1178</v>
      </c>
      <c r="I525" s="56"/>
      <c r="J525" s="56"/>
      <c r="K525" s="56"/>
      <c r="L525" s="56"/>
      <c r="M525" s="56"/>
      <c r="N525" s="56"/>
      <c r="O525" s="56"/>
      <c r="P525" s="56">
        <v>1.0</v>
      </c>
      <c r="Q525" s="56" t="s">
        <v>131</v>
      </c>
      <c r="R525" s="58" t="str">
        <f t="shared" si="1"/>
        <v>2025</v>
      </c>
      <c r="S525" s="59" t="str">
        <f>SUM(Hoja1!$I525:$P525)</f>
        <v>1</v>
      </c>
      <c r="T525" s="59" t="str">
        <f>IF(OR(Hoja1!$J525=1,Hoja1!$K525=1,Hoja1!$L525=1,Hoja1!$M525=1,Hoja1!$N525=1,Hoja1!$O525=1,Hoja1!$P525=1),"SI","NO")</f>
        <v>SI</v>
      </c>
      <c r="U525" s="59" t="str">
        <f>IF(OR(Hoja1!$K525=1,Hoja1!$L525=1,Hoja1!$M525=1,Hoja1!$N525=1,Hoja1!$O525=1,Hoja1!$P525=1),"SI","NO")</f>
        <v>SI</v>
      </c>
      <c r="V525" s="60">
        <v>0.0</v>
      </c>
      <c r="W525" s="61">
        <v>0.0</v>
      </c>
      <c r="X525" s="61">
        <v>0.0</v>
      </c>
      <c r="Y525" s="60">
        <v>0.0</v>
      </c>
      <c r="Z525" s="61">
        <v>0.0</v>
      </c>
      <c r="AA525" s="61">
        <v>0.0</v>
      </c>
      <c r="AB525" s="60">
        <v>0.0</v>
      </c>
      <c r="AC525" s="61">
        <v>0.0</v>
      </c>
      <c r="AD525" s="61">
        <v>0.0</v>
      </c>
      <c r="AE525" s="60">
        <v>0.0</v>
      </c>
      <c r="AF525" s="61">
        <v>0.0</v>
      </c>
      <c r="AG525" s="61">
        <v>0.0</v>
      </c>
      <c r="AH525" s="60">
        <v>0.0</v>
      </c>
      <c r="AI525" s="61">
        <v>0.0</v>
      </c>
      <c r="AJ525" s="61">
        <v>0.0</v>
      </c>
      <c r="AK525" s="60">
        <v>0.0</v>
      </c>
      <c r="AL525" s="61">
        <v>0.0</v>
      </c>
      <c r="AM525" s="61">
        <v>0.0</v>
      </c>
      <c r="AN525" s="60">
        <v>0.0</v>
      </c>
      <c r="AO525" s="62">
        <v>26.0</v>
      </c>
      <c r="AP525" s="62">
        <v>9.0</v>
      </c>
      <c r="AQ525" s="60">
        <v>35.0</v>
      </c>
      <c r="AR525" s="60" t="str">
        <f>IF(Hoja1!$AQ525&gt;0,Hoja1!$AQ525,IF(Hoja1!$AN525&gt;0,Hoja1!$AN525,IF(Hoja1!$AK525&gt;0,Hoja1!$AK525,IF(Hoja1!$AH525&gt;0,Hoja1!$AH525,IF(Hoja1!$AE525&gt;0,Hoja1!$AE525,IF(Hoja1!$AB525&gt;0,Hoja1!$AB525,IF(Hoja1!$Y525&gt;0,Hoja1!$Y525,IF(Hoja1!$V525&gt;0,Hoja1!$V525," ---"))))))))</f>
        <v>35</v>
      </c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>
        <v>18.0</v>
      </c>
      <c r="BD525" s="63">
        <v>0.0</v>
      </c>
      <c r="BE525" s="64"/>
      <c r="BF525" s="69"/>
      <c r="BG525" s="69"/>
      <c r="BH525" s="64"/>
      <c r="BI525" s="67" t="str">
        <f t="shared" si="175"/>
        <v>#REF!</v>
      </c>
      <c r="BJ525" s="68" t="str">
        <f t="shared" si="176"/>
        <v>#REF!</v>
      </c>
      <c r="BK525" s="69"/>
      <c r="BL525" s="69"/>
      <c r="BM525" s="64"/>
      <c r="BN525" s="67" t="str">
        <f t="shared" si="177"/>
        <v>#REF!</v>
      </c>
      <c r="BO525" s="68" t="str">
        <f t="shared" si="178"/>
        <v>#REF!</v>
      </c>
      <c r="BP525" s="65"/>
      <c r="BQ525" s="65"/>
      <c r="BR525" s="66"/>
      <c r="BS525" s="67" t="str">
        <f t="shared" si="179"/>
        <v>#REF!</v>
      </c>
      <c r="BT525" s="68" t="str">
        <f>'[1]DATA CONSOLIDADA 2018-2025 '!$BR525-Hoja1!$BO525</f>
        <v>#REF!</v>
      </c>
      <c r="BU525" s="69"/>
      <c r="BV525" s="65"/>
      <c r="BW525" s="66"/>
      <c r="BX525" s="67" t="str">
        <f t="shared" si="180"/>
        <v>#REF!</v>
      </c>
      <c r="BY525" s="68" t="str">
        <f t="shared" si="181"/>
        <v>#REF!</v>
      </c>
      <c r="BZ525" s="65"/>
      <c r="CA525" s="65"/>
      <c r="CB525" s="66"/>
      <c r="CC525" s="67" t="str">
        <f t="shared" si="182"/>
        <v>#REF!</v>
      </c>
      <c r="CD525" s="68" t="str">
        <f>'[1]DATA CONSOLIDADA 2018-2025 '!$CB525-Hoja1!$BW525</f>
        <v>#REF!</v>
      </c>
      <c r="CE525" s="70"/>
      <c r="CF525" s="70"/>
      <c r="CG525" s="71"/>
      <c r="CH525" s="67" t="str">
        <f t="shared" si="183"/>
        <v>#REF!</v>
      </c>
      <c r="CI525" s="68" t="str">
        <f>'[1]DATA CONSOLIDADA 2018-2025 '!$CG525-Hoja1!$CB525</f>
        <v>#REF!</v>
      </c>
      <c r="CJ525" s="64" t="str">
        <f t="shared" si="184"/>
        <v>#REF!</v>
      </c>
      <c r="CK525" s="64">
        <v>23891.5484</v>
      </c>
      <c r="CL525" s="64">
        <v>0.0</v>
      </c>
      <c r="CM525" s="64">
        <v>23891.5484</v>
      </c>
      <c r="CN525" s="64" t="str">
        <f t="shared" si="12"/>
        <v>#REF!</v>
      </c>
      <c r="CO525" s="68" t="str">
        <f>'[1]DATA CONSOLIDADA 2018-2025 '!$CM525-Hoja1!$CG525</f>
        <v>#REF!</v>
      </c>
      <c r="CP525" s="70"/>
      <c r="CQ525" s="70"/>
      <c r="CR525" s="70"/>
      <c r="CS525" s="70"/>
      <c r="CT525" s="70"/>
      <c r="CU525" s="70"/>
      <c r="CV525" s="64"/>
      <c r="CW525" s="64"/>
      <c r="CX525" s="64"/>
      <c r="CY525" s="64"/>
      <c r="CZ525" s="64"/>
      <c r="DA525" s="64"/>
      <c r="DB525" s="64"/>
      <c r="DC525" s="72">
        <v>0.0</v>
      </c>
      <c r="DD525" s="72">
        <v>9999.9984</v>
      </c>
      <c r="DE525" s="72">
        <v>13891.55</v>
      </c>
      <c r="DF525" s="72">
        <v>0.0</v>
      </c>
      <c r="DG525" s="72">
        <v>0.0</v>
      </c>
      <c r="DH525" s="72">
        <v>23891.5484</v>
      </c>
      <c r="DI525" s="73">
        <v>2.0166786861E10</v>
      </c>
      <c r="DJ525" s="74" t="s">
        <v>1637</v>
      </c>
      <c r="DK525" s="74" t="s">
        <v>138</v>
      </c>
      <c r="DL525" s="75"/>
      <c r="DM525" s="75"/>
      <c r="DN525" s="75"/>
      <c r="DO525" s="75"/>
      <c r="DP525" s="75"/>
      <c r="DQ525" s="75"/>
      <c r="DR525" s="75"/>
      <c r="DS525" s="75"/>
      <c r="DT525" s="75"/>
      <c r="DU525" s="75"/>
      <c r="DV525" s="75"/>
      <c r="DW525" s="75"/>
      <c r="DX525" s="75"/>
      <c r="DY525" s="75"/>
      <c r="DZ525" s="75"/>
      <c r="EA525" s="75"/>
      <c r="EB525" s="75"/>
      <c r="EC525" s="75"/>
      <c r="ED525" s="75"/>
      <c r="EE525" s="75"/>
    </row>
    <row r="526" ht="47.25" customHeight="1">
      <c r="A526" s="55" t="s">
        <v>1638</v>
      </c>
      <c r="B526" s="55" t="s">
        <v>146</v>
      </c>
      <c r="C526" s="55" t="s">
        <v>146</v>
      </c>
      <c r="D526" s="55" t="s">
        <v>481</v>
      </c>
      <c r="E526" s="55" t="s">
        <v>668</v>
      </c>
      <c r="F526" s="55" t="s">
        <v>481</v>
      </c>
      <c r="G526" s="55" t="s">
        <v>483</v>
      </c>
      <c r="H526" s="55" t="s">
        <v>669</v>
      </c>
      <c r="I526" s="56"/>
      <c r="J526" s="56">
        <v>1.0</v>
      </c>
      <c r="K526" s="56">
        <v>1.0</v>
      </c>
      <c r="L526" s="56">
        <v>1.0</v>
      </c>
      <c r="M526" s="56">
        <v>1.0</v>
      </c>
      <c r="N526" s="56">
        <v>1.0</v>
      </c>
      <c r="O526" s="56"/>
      <c r="P526" s="56"/>
      <c r="Q526" s="56" t="s">
        <v>131</v>
      </c>
      <c r="R526" s="58" t="str">
        <f t="shared" si="1"/>
        <v>2019-2020-2021-2022-2023</v>
      </c>
      <c r="S526" s="59" t="str">
        <f>SUM(Hoja1!$I526:$P526)</f>
        <v>5</v>
      </c>
      <c r="T526" s="59" t="str">
        <f>IF(OR(Hoja1!$J526=1,Hoja1!$K526=1,Hoja1!$L526=1,Hoja1!$M526=1,Hoja1!$N526=1,Hoja1!$O526=1,Hoja1!$P526=1),"SI","NO")</f>
        <v>SI</v>
      </c>
      <c r="U526" s="59" t="str">
        <f>IF(OR(Hoja1!$K526=1,Hoja1!$L526=1,Hoja1!$M526=1,Hoja1!$N526=1,Hoja1!$O526=1,Hoja1!$P526=1),"SI","NO")</f>
        <v>SI</v>
      </c>
      <c r="V526" s="60">
        <v>0.0</v>
      </c>
      <c r="W526" s="61">
        <v>68.0</v>
      </c>
      <c r="X526" s="61">
        <v>26.0</v>
      </c>
      <c r="Y526" s="60">
        <v>94.0</v>
      </c>
      <c r="Z526" s="61">
        <v>68.0</v>
      </c>
      <c r="AA526" s="61">
        <v>26.0</v>
      </c>
      <c r="AB526" s="60">
        <v>94.0</v>
      </c>
      <c r="AC526" s="61">
        <v>69.0</v>
      </c>
      <c r="AD526" s="61">
        <v>26.0</v>
      </c>
      <c r="AE526" s="60">
        <v>95.0</v>
      </c>
      <c r="AF526" s="61">
        <v>67.0</v>
      </c>
      <c r="AG526" s="61">
        <v>26.0</v>
      </c>
      <c r="AH526" s="60">
        <v>93.0</v>
      </c>
      <c r="AI526" s="61">
        <v>67.0</v>
      </c>
      <c r="AJ526" s="61">
        <v>26.0</v>
      </c>
      <c r="AK526" s="60">
        <v>93.0</v>
      </c>
      <c r="AL526" s="61">
        <v>0.0</v>
      </c>
      <c r="AM526" s="61">
        <v>0.0</v>
      </c>
      <c r="AN526" s="60">
        <v>0.0</v>
      </c>
      <c r="AO526" s="62">
        <v>0.0</v>
      </c>
      <c r="AP526" s="62">
        <v>0.0</v>
      </c>
      <c r="AQ526" s="60">
        <v>0.0</v>
      </c>
      <c r="AR526" s="60" t="str">
        <f>IF(Hoja1!$AQ526&gt;0,Hoja1!$AQ526,IF(Hoja1!$AN526&gt;0,Hoja1!$AN526,IF(Hoja1!$AK526&gt;0,Hoja1!$AK526,IF(Hoja1!$AH526&gt;0,Hoja1!$AH526,IF(Hoja1!$AE526&gt;0,Hoja1!$AE526,IF(Hoja1!$AB526&gt;0,Hoja1!$AB526,IF(Hoja1!$Y526&gt;0,Hoja1!$Y526,IF(Hoja1!$V526&gt;0,Hoja1!$V526," ---"))))))))</f>
        <v>93</v>
      </c>
      <c r="AS526" s="63">
        <v>0.0</v>
      </c>
      <c r="AT526" s="63">
        <v>5.0</v>
      </c>
      <c r="AU526" s="63">
        <v>21.0</v>
      </c>
      <c r="AV526" s="63">
        <v>10.0</v>
      </c>
      <c r="AW526" s="63">
        <v>26.0</v>
      </c>
      <c r="AX526" s="63">
        <v>11.0</v>
      </c>
      <c r="AY526" s="63">
        <v>22.0</v>
      </c>
      <c r="AZ526" s="63">
        <v>0.0</v>
      </c>
      <c r="BA526" s="63">
        <v>0.0</v>
      </c>
      <c r="BB526" s="63">
        <v>0.0</v>
      </c>
      <c r="BC526" s="63">
        <v>0.0</v>
      </c>
      <c r="BD526" s="63">
        <v>0.0</v>
      </c>
      <c r="BE526" s="66">
        <v>0.0</v>
      </c>
      <c r="BF526" s="65">
        <v>0.0</v>
      </c>
      <c r="BG526" s="65">
        <v>0.0</v>
      </c>
      <c r="BH526" s="66">
        <v>0.0</v>
      </c>
      <c r="BI526" s="67" t="str">
        <f>IF('[1]DATA CONSOLIDADA 2018-2025 '!$BH181&gt;'[1]DATA CONSOLIDADA 2018-2025 '!$AN181,"Incremento",IF('[1]DATA CONSOLIDADA 2018-2025 '!$AN181='[1]DATA CONSOLIDADA 2018-2025 '!$BH181,"Sin incremento",IF('[1]DATA CONSOLIDADA 2018-2025 '!$BH181&lt;'[1]DATA CONSOLIDADA 2018-2025 '!$AN181,"Disminución"," ---")))</f>
        <v>#REF!</v>
      </c>
      <c r="BJ526" s="68" t="str">
        <f>'[1]DATA CONSOLIDADA 2018-2025 '!$BH181-'[1]DATA CONSOLIDADA 2018-2025 '!$BE181</f>
        <v>#REF!</v>
      </c>
      <c r="BK526" s="65">
        <v>756531.55</v>
      </c>
      <c r="BL526" s="65">
        <v>229147.77</v>
      </c>
      <c r="BM526" s="66">
        <v>985679.3200000001</v>
      </c>
      <c r="BN526" s="67" t="str">
        <f>IF('[1]DATA CONSOLIDADA 2018-2025 '!$BM181&gt;'[1]DATA CONSOLIDADA 2018-2025 '!$BH181,"Incremento",IF('[1]DATA CONSOLIDADA 2018-2025 '!$BH181='[1]DATA CONSOLIDADA 2018-2025 '!$BM181,"Sin incremento",IF('[1]DATA CONSOLIDADA 2018-2025 '!$BM181&lt;'[1]DATA CONSOLIDADA 2018-2025 '!$BH181,"Disminución"," ---")))</f>
        <v>#REF!</v>
      </c>
      <c r="BO526" s="68" t="str">
        <f>'[1]DATA CONSOLIDADA 2018-2025 '!$BM181-'[1]DATA CONSOLIDADA 2018-2025 '!$BH181</f>
        <v>#REF!</v>
      </c>
      <c r="BP526" s="65">
        <v>100000.0</v>
      </c>
      <c r="BQ526" s="65">
        <v>0.0</v>
      </c>
      <c r="BR526" s="66">
        <v>100000.0</v>
      </c>
      <c r="BS526" s="67" t="str">
        <f>IF('[1]DATA CONSOLIDADA 2018-2025 '!$BR181&gt;'[1]DATA CONSOLIDADA 2018-2025 '!$BM181,"Incremento",IF('[1]DATA CONSOLIDADA 2018-2025 '!$BM181='[1]DATA CONSOLIDADA 2018-2025 '!$BR181,"Sin incremento",IF('[1]DATA CONSOLIDADA 2018-2025 '!$BR181&lt;'[1]DATA CONSOLIDADA 2018-2025 '!$BM181,"Disminución"," ---")))</f>
        <v>#REF!</v>
      </c>
      <c r="BT526" s="68" t="str">
        <f>'[1]DATA CONSOLIDADA 2018-2025 '!$BR526-Hoja1!$BO526</f>
        <v>#REF!</v>
      </c>
      <c r="BU526" s="65">
        <v>45000.0</v>
      </c>
      <c r="BV526" s="65">
        <v>0.0</v>
      </c>
      <c r="BW526" s="66">
        <v>45000.0</v>
      </c>
      <c r="BX526" s="67" t="str">
        <f>IF('[1]DATA CONSOLIDADA 2018-2025 '!$BW181&gt;'[1]DATA CONSOLIDADA 2018-2025 '!$BR181,"Incremento",IF('[1]DATA CONSOLIDADA 2018-2025 '!$BR181='[1]DATA CONSOLIDADA 2018-2025 '!$BW181,"Sin incremento",IF('[1]DATA CONSOLIDADA 2018-2025 '!$BW181&lt;'[1]DATA CONSOLIDADA 2018-2025 '!$BR181,"Disminución"," ---")))</f>
        <v>#REF!</v>
      </c>
      <c r="BY526" s="68" t="str">
        <f>'[1]DATA CONSOLIDADA 2018-2025 '!$BW181-'[1]DATA CONSOLIDADA 2018-2025 '!$BR181</f>
        <v>#REF!</v>
      </c>
      <c r="BZ526" s="65">
        <v>143520.0</v>
      </c>
      <c r="CA526" s="65">
        <v>0.0</v>
      </c>
      <c r="CB526" s="66">
        <v>143520.0</v>
      </c>
      <c r="CC526" s="67" t="str">
        <f>IF('[1]DATA CONSOLIDADA 2018-2025 '!$CB181&gt;'[1]DATA CONSOLIDADA 2018-2025 '!$BW181,"Incremento",IF('[1]DATA CONSOLIDADA 2018-2025 '!$BW181='[1]DATA CONSOLIDADA 2018-2025 '!$CB181,"Sin incremento",IF('[1]DATA CONSOLIDADA 2018-2025 '!$CB181&lt;'[1]DATA CONSOLIDADA 2018-2025 '!$BW181,"Disminución"," ---")))</f>
        <v>#REF!</v>
      </c>
      <c r="CD526" s="68" t="str">
        <f>'[1]DATA CONSOLIDADA 2018-2025 '!$CB526-Hoja1!$BW526</f>
        <v>#REF!</v>
      </c>
      <c r="CE526" s="70">
        <v>0.0</v>
      </c>
      <c r="CF526" s="70">
        <v>0.0</v>
      </c>
      <c r="CG526" s="71">
        <v>0.0</v>
      </c>
      <c r="CH526" s="67" t="str">
        <f>IF('[1]DATA CONSOLIDADA 2018-2025 '!$CG181&gt;'[1]DATA CONSOLIDADA 2018-2025 '!$CB181,"Incremento",IF('[1]DATA CONSOLIDADA 2018-2025 '!$CB181='[1]DATA CONSOLIDADA 2018-2025 '!$CG181,"Sin incremento",IF('[1]DATA CONSOLIDADA 2018-2025 '!$CG181&lt;'[1]DATA CONSOLIDADA 2018-2025 '!$CB181,"Disminución"," ---")))</f>
        <v>#REF!</v>
      </c>
      <c r="CI526" s="68" t="str">
        <f>'[1]DATA CONSOLIDADA 2018-2025 '!$CG526-Hoja1!$CB526</f>
        <v>#REF!</v>
      </c>
      <c r="CJ526" s="64" t="str">
        <f t="shared" si="184"/>
        <v>#REF!</v>
      </c>
      <c r="CK526" s="64">
        <v>0.0</v>
      </c>
      <c r="CL526" s="64">
        <v>0.0</v>
      </c>
      <c r="CM526" s="64">
        <v>0.0</v>
      </c>
      <c r="CN526" s="64" t="str">
        <f t="shared" si="12"/>
        <v>#REF!</v>
      </c>
      <c r="CO526" s="68" t="str">
        <f>'[1]DATA CONSOLIDADA 2018-2025 '!$CM526-Hoja1!$CG526</f>
        <v>#REF!</v>
      </c>
      <c r="CP526" s="70">
        <v>0.0</v>
      </c>
      <c r="CQ526" s="70">
        <v>143520.0</v>
      </c>
      <c r="CR526" s="70">
        <v>0.0</v>
      </c>
      <c r="CS526" s="70">
        <v>0.0</v>
      </c>
      <c r="CT526" s="70">
        <v>0.0</v>
      </c>
      <c r="CU526" s="70">
        <v>0.0</v>
      </c>
      <c r="CV526" s="64">
        <v>143520.0</v>
      </c>
      <c r="CW526" s="64">
        <v>0.0</v>
      </c>
      <c r="CX526" s="64">
        <v>0.0</v>
      </c>
      <c r="CY526" s="64">
        <v>0.0</v>
      </c>
      <c r="CZ526" s="64">
        <v>0.0</v>
      </c>
      <c r="DA526" s="64">
        <v>0.0</v>
      </c>
      <c r="DB526" s="64">
        <v>0.0</v>
      </c>
      <c r="DC526" s="72">
        <v>0.0</v>
      </c>
      <c r="DD526" s="72">
        <v>0.0</v>
      </c>
      <c r="DE526" s="72">
        <v>0.0</v>
      </c>
      <c r="DF526" s="72">
        <v>0.0</v>
      </c>
      <c r="DG526" s="72">
        <v>0.0</v>
      </c>
      <c r="DH526" s="72">
        <v>0.0</v>
      </c>
      <c r="DI526" s="73">
        <v>2.0601919657E10</v>
      </c>
      <c r="DJ526" s="74" t="s">
        <v>1639</v>
      </c>
      <c r="DK526" s="74" t="s">
        <v>132</v>
      </c>
      <c r="DL526" s="75"/>
      <c r="DM526" s="75"/>
      <c r="DN526" s="75"/>
      <c r="DO526" s="75"/>
      <c r="DP526" s="75"/>
      <c r="DQ526" s="75"/>
      <c r="DR526" s="75"/>
      <c r="DS526" s="75"/>
      <c r="DT526" s="75"/>
      <c r="DU526" s="75"/>
      <c r="DV526" s="75"/>
      <c r="DW526" s="75"/>
      <c r="DX526" s="75"/>
      <c r="DY526" s="75"/>
      <c r="DZ526" s="75"/>
      <c r="EA526" s="75"/>
      <c r="EB526" s="75"/>
      <c r="EC526" s="75"/>
      <c r="ED526" s="75"/>
      <c r="EE526" s="75"/>
    </row>
    <row r="527" ht="47.25" customHeight="1">
      <c r="A527" s="55" t="s">
        <v>1640</v>
      </c>
      <c r="B527" s="55" t="s">
        <v>146</v>
      </c>
      <c r="C527" s="55" t="s">
        <v>432</v>
      </c>
      <c r="D527" s="55" t="s">
        <v>1149</v>
      </c>
      <c r="E527" s="55" t="s">
        <v>1641</v>
      </c>
      <c r="F527" s="55" t="s">
        <v>1149</v>
      </c>
      <c r="G527" s="55" t="s">
        <v>1156</v>
      </c>
      <c r="H527" s="55" t="s">
        <v>1642</v>
      </c>
      <c r="I527" s="56"/>
      <c r="J527" s="56"/>
      <c r="K527" s="56"/>
      <c r="L527" s="56"/>
      <c r="M527" s="56"/>
      <c r="N527" s="56"/>
      <c r="O527" s="56"/>
      <c r="P527" s="56">
        <v>1.0</v>
      </c>
      <c r="Q527" s="56" t="s">
        <v>131</v>
      </c>
      <c r="R527" s="58" t="str">
        <f t="shared" si="1"/>
        <v>2025</v>
      </c>
      <c r="S527" s="59" t="str">
        <f>SUM(Hoja1!$I527:$P527)</f>
        <v>1</v>
      </c>
      <c r="T527" s="59" t="str">
        <f>IF(OR(Hoja1!$J527=1,Hoja1!$K527=1,Hoja1!$L527=1,Hoja1!$M527=1,Hoja1!$N527=1,Hoja1!$O527=1,Hoja1!$P527=1),"SI","NO")</f>
        <v>SI</v>
      </c>
      <c r="U527" s="59" t="str">
        <f>IF(OR(Hoja1!$K527=1,Hoja1!$L527=1,Hoja1!$M527=1,Hoja1!$N527=1,Hoja1!$O527=1,Hoja1!$P527=1),"SI","NO")</f>
        <v>SI</v>
      </c>
      <c r="V527" s="60">
        <v>0.0</v>
      </c>
      <c r="W527" s="61">
        <v>0.0</v>
      </c>
      <c r="X527" s="61">
        <v>0.0</v>
      </c>
      <c r="Y527" s="60">
        <v>0.0</v>
      </c>
      <c r="Z527" s="61">
        <v>0.0</v>
      </c>
      <c r="AA527" s="61">
        <v>0.0</v>
      </c>
      <c r="AB527" s="60">
        <v>0.0</v>
      </c>
      <c r="AC527" s="61">
        <v>0.0</v>
      </c>
      <c r="AD527" s="61">
        <v>0.0</v>
      </c>
      <c r="AE527" s="60">
        <v>0.0</v>
      </c>
      <c r="AF527" s="61">
        <v>0.0</v>
      </c>
      <c r="AG527" s="61">
        <v>0.0</v>
      </c>
      <c r="AH527" s="60">
        <v>0.0</v>
      </c>
      <c r="AI527" s="61">
        <v>0.0</v>
      </c>
      <c r="AJ527" s="61">
        <v>0.0</v>
      </c>
      <c r="AK527" s="60">
        <v>0.0</v>
      </c>
      <c r="AL527" s="61">
        <v>0.0</v>
      </c>
      <c r="AM527" s="61">
        <v>0.0</v>
      </c>
      <c r="AN527" s="60">
        <v>0.0</v>
      </c>
      <c r="AO527" s="62">
        <v>20.0</v>
      </c>
      <c r="AP527" s="62">
        <v>5.0</v>
      </c>
      <c r="AQ527" s="60">
        <v>25.0</v>
      </c>
      <c r="AR527" s="60" t="str">
        <f>IF(Hoja1!$AQ527&gt;0,Hoja1!$AQ527,IF(Hoja1!$AN527&gt;0,Hoja1!$AN527,IF(Hoja1!$AK527&gt;0,Hoja1!$AK527,IF(Hoja1!$AH527&gt;0,Hoja1!$AH527,IF(Hoja1!$AE527&gt;0,Hoja1!$AE527,IF(Hoja1!$AB527&gt;0,Hoja1!$AB527,IF(Hoja1!$Y527&gt;0,Hoja1!$Y527,IF(Hoja1!$V527&gt;0,Hoja1!$V527," ---"))))))))</f>
        <v>25</v>
      </c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>
        <v>17.0</v>
      </c>
      <c r="BD527" s="63">
        <v>1.0</v>
      </c>
      <c r="BE527" s="64"/>
      <c r="BF527" s="69"/>
      <c r="BG527" s="69"/>
      <c r="BH527" s="64"/>
      <c r="BI527" s="67" t="str">
        <f t="shared" ref="BI527:BI565" si="185">IF('[1]DATA CONSOLIDADA 2018-2025 '!$BH527&gt;'[1]DATA CONSOLIDADA 2018-2025 '!$AN527,"Incremento",IF('[1]DATA CONSOLIDADA 2018-2025 '!$AN527='[1]DATA CONSOLIDADA 2018-2025 '!$BH527,"Sin incremento",IF('[1]DATA CONSOLIDADA 2018-2025 '!$BH527&lt;'[1]DATA CONSOLIDADA 2018-2025 '!$AN527,"Disminución"," ---")))</f>
        <v>#REF!</v>
      </c>
      <c r="BJ527" s="68" t="str">
        <f t="shared" ref="BJ527:BJ565" si="186">'[1]DATA CONSOLIDADA 2018-2025 '!$BH527-'[1]DATA CONSOLIDADA 2018-2025 '!$BE527</f>
        <v>#REF!</v>
      </c>
      <c r="BK527" s="69"/>
      <c r="BL527" s="69"/>
      <c r="BM527" s="64"/>
      <c r="BN527" s="67" t="str">
        <f t="shared" ref="BN527:BN565" si="187">IF('[1]DATA CONSOLIDADA 2018-2025 '!$BM527&gt;'[1]DATA CONSOLIDADA 2018-2025 '!$BH527,"Incremento",IF('[1]DATA CONSOLIDADA 2018-2025 '!$BH527='[1]DATA CONSOLIDADA 2018-2025 '!$BM527,"Sin incremento",IF('[1]DATA CONSOLIDADA 2018-2025 '!$BM527&lt;'[1]DATA CONSOLIDADA 2018-2025 '!$BH527,"Disminución"," ---")))</f>
        <v>#REF!</v>
      </c>
      <c r="BO527" s="68" t="str">
        <f t="shared" ref="BO527:BO565" si="188">'[1]DATA CONSOLIDADA 2018-2025 '!$BM527-'[1]DATA CONSOLIDADA 2018-2025 '!$BH527</f>
        <v>#REF!</v>
      </c>
      <c r="BP527" s="65"/>
      <c r="BQ527" s="65"/>
      <c r="BR527" s="66"/>
      <c r="BS527" s="67" t="str">
        <f t="shared" ref="BS527:BS565" si="189">IF('[1]DATA CONSOLIDADA 2018-2025 '!$BR527&gt;'[1]DATA CONSOLIDADA 2018-2025 '!$BM527,"Incremento",IF('[1]DATA CONSOLIDADA 2018-2025 '!$BM527='[1]DATA CONSOLIDADA 2018-2025 '!$BR527,"Sin incremento",IF('[1]DATA CONSOLIDADA 2018-2025 '!$BR527&lt;'[1]DATA CONSOLIDADA 2018-2025 '!$BM527,"Disminución"," ---")))</f>
        <v>#REF!</v>
      </c>
      <c r="BT527" s="68" t="str">
        <f>'[1]DATA CONSOLIDADA 2018-2025 '!$BR527-Hoja1!$BO527</f>
        <v>#REF!</v>
      </c>
      <c r="BU527" s="69"/>
      <c r="BV527" s="65"/>
      <c r="BW527" s="66"/>
      <c r="BX527" s="67" t="str">
        <f t="shared" ref="BX527:BX565" si="190">IF('[1]DATA CONSOLIDADA 2018-2025 '!$BW527&gt;'[1]DATA CONSOLIDADA 2018-2025 '!$BR527,"Incremento",IF('[1]DATA CONSOLIDADA 2018-2025 '!$BR527='[1]DATA CONSOLIDADA 2018-2025 '!$BW527,"Sin incremento",IF('[1]DATA CONSOLIDADA 2018-2025 '!$BW527&lt;'[1]DATA CONSOLIDADA 2018-2025 '!$BR527,"Disminución"," ---")))</f>
        <v>#REF!</v>
      </c>
      <c r="BY527" s="68" t="str">
        <f t="shared" ref="BY527:BY565" si="191">'[1]DATA CONSOLIDADA 2018-2025 '!$BW527-'[1]DATA CONSOLIDADA 2018-2025 '!$BR527</f>
        <v>#REF!</v>
      </c>
      <c r="BZ527" s="65"/>
      <c r="CA527" s="65"/>
      <c r="CB527" s="66"/>
      <c r="CC527" s="67" t="str">
        <f t="shared" ref="CC527:CC565" si="192">IF('[1]DATA CONSOLIDADA 2018-2025 '!$CB527&gt;'[1]DATA CONSOLIDADA 2018-2025 '!$BW527,"Incremento",IF('[1]DATA CONSOLIDADA 2018-2025 '!$BW527='[1]DATA CONSOLIDADA 2018-2025 '!$CB527,"Sin incremento",IF('[1]DATA CONSOLIDADA 2018-2025 '!$CB527&lt;'[1]DATA CONSOLIDADA 2018-2025 '!$BW527,"Disminución"," ---")))</f>
        <v>#REF!</v>
      </c>
      <c r="CD527" s="68" t="str">
        <f>'[1]DATA CONSOLIDADA 2018-2025 '!$CB527-Hoja1!$BW527</f>
        <v>#REF!</v>
      </c>
      <c r="CE527" s="70"/>
      <c r="CF527" s="70"/>
      <c r="CG527" s="71"/>
      <c r="CH527" s="67" t="str">
        <f t="shared" ref="CH527:CH565" si="193">IF('[1]DATA CONSOLIDADA 2018-2025 '!$CG527&gt;'[1]DATA CONSOLIDADA 2018-2025 '!$CB527,"Incremento",IF('[1]DATA CONSOLIDADA 2018-2025 '!$CB527='[1]DATA CONSOLIDADA 2018-2025 '!$CG527,"Sin incremento",IF('[1]DATA CONSOLIDADA 2018-2025 '!$CG527&lt;'[1]DATA CONSOLIDADA 2018-2025 '!$CB527,"Disminución"," ---")))</f>
        <v>#REF!</v>
      </c>
      <c r="CI527" s="68" t="str">
        <f>'[1]DATA CONSOLIDADA 2018-2025 '!$CG527-Hoja1!$CB527</f>
        <v>#REF!</v>
      </c>
      <c r="CJ527" s="64" t="str">
        <f t="shared" si="184"/>
        <v>#REF!</v>
      </c>
      <c r="CK527" s="64">
        <v>683342.25</v>
      </c>
      <c r="CL527" s="64">
        <v>0.0</v>
      </c>
      <c r="CM527" s="64">
        <v>683342.25</v>
      </c>
      <c r="CN527" s="64" t="str">
        <f t="shared" si="12"/>
        <v>#REF!</v>
      </c>
      <c r="CO527" s="68" t="str">
        <f>'[1]DATA CONSOLIDADA 2018-2025 '!$CM527-Hoja1!$CG527</f>
        <v>#REF!</v>
      </c>
      <c r="CP527" s="70"/>
      <c r="CQ527" s="70"/>
      <c r="CR527" s="70"/>
      <c r="CS527" s="70"/>
      <c r="CT527" s="70"/>
      <c r="CU527" s="70"/>
      <c r="CV527" s="64"/>
      <c r="CW527" s="64"/>
      <c r="CX527" s="64"/>
      <c r="CY527" s="64"/>
      <c r="CZ527" s="64"/>
      <c r="DA527" s="64"/>
      <c r="DB527" s="64"/>
      <c r="DC527" s="72">
        <v>0.0</v>
      </c>
      <c r="DD527" s="72">
        <v>0.0</v>
      </c>
      <c r="DE527" s="72">
        <v>683342.25</v>
      </c>
      <c r="DF527" s="72">
        <v>0.0</v>
      </c>
      <c r="DG527" s="72">
        <v>0.0</v>
      </c>
      <c r="DH527" s="72">
        <v>683342.25</v>
      </c>
      <c r="DI527" s="73">
        <v>2.060568817E10</v>
      </c>
      <c r="DJ527" s="74" t="s">
        <v>1640</v>
      </c>
      <c r="DK527" s="74" t="s">
        <v>132</v>
      </c>
      <c r="DL527" s="75"/>
      <c r="DM527" s="75"/>
      <c r="DN527" s="75"/>
      <c r="DO527" s="75"/>
      <c r="DP527" s="75"/>
      <c r="DQ527" s="75"/>
      <c r="DR527" s="75"/>
      <c r="DS527" s="75"/>
      <c r="DT527" s="75"/>
      <c r="DU527" s="75"/>
      <c r="DV527" s="75"/>
      <c r="DW527" s="75"/>
      <c r="DX527" s="75"/>
      <c r="DY527" s="75"/>
      <c r="DZ527" s="75"/>
      <c r="EA527" s="75"/>
      <c r="EB527" s="75"/>
      <c r="EC527" s="75"/>
      <c r="ED527" s="75"/>
      <c r="EE527" s="75"/>
    </row>
    <row r="528" ht="47.25" customHeight="1">
      <c r="A528" s="55" t="s">
        <v>1643</v>
      </c>
      <c r="B528" s="55" t="s">
        <v>146</v>
      </c>
      <c r="C528" s="55" t="s">
        <v>432</v>
      </c>
      <c r="D528" s="55" t="s">
        <v>1149</v>
      </c>
      <c r="E528" s="55" t="s">
        <v>1641</v>
      </c>
      <c r="F528" s="55" t="s">
        <v>1149</v>
      </c>
      <c r="G528" s="55" t="s">
        <v>1156</v>
      </c>
      <c r="H528" s="55" t="s">
        <v>1642</v>
      </c>
      <c r="I528" s="56"/>
      <c r="J528" s="56"/>
      <c r="K528" s="56"/>
      <c r="L528" s="56"/>
      <c r="M528" s="56"/>
      <c r="N528" s="56"/>
      <c r="O528" s="56"/>
      <c r="P528" s="56">
        <v>1.0</v>
      </c>
      <c r="Q528" s="56" t="s">
        <v>131</v>
      </c>
      <c r="R528" s="58" t="str">
        <f t="shared" si="1"/>
        <v>2025</v>
      </c>
      <c r="S528" s="59" t="str">
        <f>SUM(Hoja1!$I528:$P528)</f>
        <v>1</v>
      </c>
      <c r="T528" s="59" t="str">
        <f>IF(OR(Hoja1!$J528=1,Hoja1!$K528=1,Hoja1!$L528=1,Hoja1!$M528=1,Hoja1!$N528=1,Hoja1!$O528=1,Hoja1!$P528=1),"SI","NO")</f>
        <v>SI</v>
      </c>
      <c r="U528" s="59" t="str">
        <f>IF(OR(Hoja1!$K528=1,Hoja1!$L528=1,Hoja1!$M528=1,Hoja1!$N528=1,Hoja1!$O528=1,Hoja1!$P528=1),"SI","NO")</f>
        <v>SI</v>
      </c>
      <c r="V528" s="60">
        <v>0.0</v>
      </c>
      <c r="W528" s="61">
        <v>0.0</v>
      </c>
      <c r="X528" s="61">
        <v>0.0</v>
      </c>
      <c r="Y528" s="60">
        <v>0.0</v>
      </c>
      <c r="Z528" s="61">
        <v>0.0</v>
      </c>
      <c r="AA528" s="61">
        <v>0.0</v>
      </c>
      <c r="AB528" s="60">
        <v>0.0</v>
      </c>
      <c r="AC528" s="61">
        <v>0.0</v>
      </c>
      <c r="AD528" s="61">
        <v>0.0</v>
      </c>
      <c r="AE528" s="60">
        <v>0.0</v>
      </c>
      <c r="AF528" s="61">
        <v>0.0</v>
      </c>
      <c r="AG528" s="61">
        <v>0.0</v>
      </c>
      <c r="AH528" s="60">
        <v>0.0</v>
      </c>
      <c r="AI528" s="61">
        <v>0.0</v>
      </c>
      <c r="AJ528" s="61">
        <v>0.0</v>
      </c>
      <c r="AK528" s="60">
        <v>0.0</v>
      </c>
      <c r="AL528" s="61">
        <v>0.0</v>
      </c>
      <c r="AM528" s="61">
        <v>0.0</v>
      </c>
      <c r="AN528" s="60">
        <v>0.0</v>
      </c>
      <c r="AO528" s="62">
        <v>86.0</v>
      </c>
      <c r="AP528" s="62">
        <v>32.0</v>
      </c>
      <c r="AQ528" s="60">
        <v>118.0</v>
      </c>
      <c r="AR528" s="60" t="str">
        <f>IF(Hoja1!$AQ528&gt;0,Hoja1!$AQ528,IF(Hoja1!$AN528&gt;0,Hoja1!$AN528,IF(Hoja1!$AK528&gt;0,Hoja1!$AK528,IF(Hoja1!$AH528&gt;0,Hoja1!$AH528,IF(Hoja1!$AE528&gt;0,Hoja1!$AE528,IF(Hoja1!$AB528&gt;0,Hoja1!$AB528,IF(Hoja1!$Y528&gt;0,Hoja1!$Y528,IF(Hoja1!$V528&gt;0,Hoja1!$V528," ---"))))))))</f>
        <v>118</v>
      </c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>
        <v>17.0</v>
      </c>
      <c r="BD528" s="63">
        <v>1.0</v>
      </c>
      <c r="BE528" s="64"/>
      <c r="BF528" s="69"/>
      <c r="BG528" s="69"/>
      <c r="BH528" s="64"/>
      <c r="BI528" s="67" t="str">
        <f t="shared" si="185"/>
        <v>#REF!</v>
      </c>
      <c r="BJ528" s="68" t="str">
        <f t="shared" si="186"/>
        <v>#REF!</v>
      </c>
      <c r="BK528" s="69"/>
      <c r="BL528" s="69"/>
      <c r="BM528" s="64"/>
      <c r="BN528" s="67" t="str">
        <f t="shared" si="187"/>
        <v>#REF!</v>
      </c>
      <c r="BO528" s="68" t="str">
        <f t="shared" si="188"/>
        <v>#REF!</v>
      </c>
      <c r="BP528" s="65"/>
      <c r="BQ528" s="65"/>
      <c r="BR528" s="66"/>
      <c r="BS528" s="67" t="str">
        <f t="shared" si="189"/>
        <v>#REF!</v>
      </c>
      <c r="BT528" s="68" t="str">
        <f>'[1]DATA CONSOLIDADA 2018-2025 '!$BR528-Hoja1!$BO528</f>
        <v>#REF!</v>
      </c>
      <c r="BU528" s="69"/>
      <c r="BV528" s="65"/>
      <c r="BW528" s="66"/>
      <c r="BX528" s="67" t="str">
        <f t="shared" si="190"/>
        <v>#REF!</v>
      </c>
      <c r="BY528" s="68" t="str">
        <f t="shared" si="191"/>
        <v>#REF!</v>
      </c>
      <c r="BZ528" s="65"/>
      <c r="CA528" s="65"/>
      <c r="CB528" s="66"/>
      <c r="CC528" s="67" t="str">
        <f t="shared" si="192"/>
        <v>#REF!</v>
      </c>
      <c r="CD528" s="68" t="str">
        <f>'[1]DATA CONSOLIDADA 2018-2025 '!$CB528-Hoja1!$BW528</f>
        <v>#REF!</v>
      </c>
      <c r="CE528" s="70"/>
      <c r="CF528" s="70"/>
      <c r="CG528" s="71"/>
      <c r="CH528" s="67" t="str">
        <f t="shared" si="193"/>
        <v>#REF!</v>
      </c>
      <c r="CI528" s="68" t="str">
        <f>'[1]DATA CONSOLIDADA 2018-2025 '!$CG528-Hoja1!$CB528</f>
        <v>#REF!</v>
      </c>
      <c r="CJ528" s="64" t="str">
        <f t="shared" si="184"/>
        <v>#REF!</v>
      </c>
      <c r="CK528" s="64">
        <v>2.0426394785199996E7</v>
      </c>
      <c r="CL528" s="64">
        <v>1.4483443022034999E7</v>
      </c>
      <c r="CM528" s="64">
        <v>3.4909837807234995E7</v>
      </c>
      <c r="CN528" s="64" t="str">
        <f t="shared" si="12"/>
        <v>#REF!</v>
      </c>
      <c r="CO528" s="68" t="str">
        <f>'[1]DATA CONSOLIDADA 2018-2025 '!$CM528-Hoja1!$CG528</f>
        <v>#REF!</v>
      </c>
      <c r="CP528" s="70"/>
      <c r="CQ528" s="70"/>
      <c r="CR528" s="70"/>
      <c r="CS528" s="70"/>
      <c r="CT528" s="70"/>
      <c r="CU528" s="70"/>
      <c r="CV528" s="64"/>
      <c r="CW528" s="64"/>
      <c r="CX528" s="64"/>
      <c r="CY528" s="64"/>
      <c r="CZ528" s="64"/>
      <c r="DA528" s="64"/>
      <c r="DB528" s="64"/>
      <c r="DC528" s="72">
        <v>0.0</v>
      </c>
      <c r="DD528" s="72">
        <v>0.0</v>
      </c>
      <c r="DE528" s="72">
        <v>3.4909837807235E7</v>
      </c>
      <c r="DF528" s="72">
        <v>0.0</v>
      </c>
      <c r="DG528" s="72">
        <v>0.0</v>
      </c>
      <c r="DH528" s="72">
        <v>3.4909837807235E7</v>
      </c>
      <c r="DI528" s="73">
        <v>2.0611935243E10</v>
      </c>
      <c r="DJ528" s="74" t="s">
        <v>1644</v>
      </c>
      <c r="DK528" s="74" t="s">
        <v>132</v>
      </c>
      <c r="DL528" s="75"/>
      <c r="DM528" s="75"/>
      <c r="DN528" s="75"/>
      <c r="DO528" s="75"/>
      <c r="DP528" s="75"/>
      <c r="DQ528" s="75"/>
      <c r="DR528" s="75"/>
      <c r="DS528" s="75"/>
      <c r="DT528" s="75"/>
      <c r="DU528" s="75"/>
      <c r="DV528" s="75"/>
      <c r="DW528" s="75"/>
      <c r="DX528" s="75"/>
      <c r="DY528" s="75"/>
      <c r="DZ528" s="75"/>
      <c r="EA528" s="75"/>
      <c r="EB528" s="75"/>
      <c r="EC528" s="75"/>
      <c r="ED528" s="75"/>
      <c r="EE528" s="75"/>
    </row>
    <row r="529" ht="47.25" hidden="1" customHeight="1">
      <c r="A529" s="55" t="s">
        <v>1645</v>
      </c>
      <c r="B529" s="55" t="s">
        <v>217</v>
      </c>
      <c r="C529" s="55" t="s">
        <v>217</v>
      </c>
      <c r="D529" s="55" t="s">
        <v>167</v>
      </c>
      <c r="E529" s="55" t="s">
        <v>190</v>
      </c>
      <c r="F529" s="55" t="s">
        <v>167</v>
      </c>
      <c r="G529" s="55" t="s">
        <v>191</v>
      </c>
      <c r="H529" s="55" t="s">
        <v>192</v>
      </c>
      <c r="I529" s="56"/>
      <c r="J529" s="56"/>
      <c r="K529" s="56"/>
      <c r="L529" s="56"/>
      <c r="M529" s="56"/>
      <c r="N529" s="56"/>
      <c r="O529" s="56"/>
      <c r="P529" s="56">
        <v>1.0</v>
      </c>
      <c r="Q529" s="56" t="s">
        <v>131</v>
      </c>
      <c r="R529" s="58" t="str">
        <f t="shared" si="1"/>
        <v>2025</v>
      </c>
      <c r="S529" s="59" t="str">
        <f>SUM(Hoja1!$I529:$P529)</f>
        <v>1</v>
      </c>
      <c r="T529" s="59" t="str">
        <f>IF(OR(Hoja1!$J529=1,Hoja1!$K529=1,Hoja1!$L529=1,Hoja1!$M529=1,Hoja1!$N529=1,Hoja1!$O529=1,Hoja1!$P529=1),"SI","NO")</f>
        <v>SI</v>
      </c>
      <c r="U529" s="59" t="str">
        <f>IF(OR(Hoja1!$K529=1,Hoja1!$L529=1,Hoja1!$M529=1,Hoja1!$N529=1,Hoja1!$O529=1,Hoja1!$P529=1),"SI","NO")</f>
        <v>SI</v>
      </c>
      <c r="V529" s="60">
        <v>0.0</v>
      </c>
      <c r="W529" s="61">
        <v>0.0</v>
      </c>
      <c r="X529" s="61">
        <v>0.0</v>
      </c>
      <c r="Y529" s="60">
        <v>0.0</v>
      </c>
      <c r="Z529" s="61">
        <v>0.0</v>
      </c>
      <c r="AA529" s="61">
        <v>0.0</v>
      </c>
      <c r="AB529" s="60">
        <v>0.0</v>
      </c>
      <c r="AC529" s="61">
        <v>0.0</v>
      </c>
      <c r="AD529" s="61">
        <v>0.0</v>
      </c>
      <c r="AE529" s="60">
        <v>0.0</v>
      </c>
      <c r="AF529" s="61">
        <v>0.0</v>
      </c>
      <c r="AG529" s="61">
        <v>0.0</v>
      </c>
      <c r="AH529" s="60">
        <v>0.0</v>
      </c>
      <c r="AI529" s="61">
        <v>0.0</v>
      </c>
      <c r="AJ529" s="61">
        <v>0.0</v>
      </c>
      <c r="AK529" s="60">
        <v>0.0</v>
      </c>
      <c r="AL529" s="61">
        <v>0.0</v>
      </c>
      <c r="AM529" s="61">
        <v>0.0</v>
      </c>
      <c r="AN529" s="60">
        <v>0.0</v>
      </c>
      <c r="AO529" s="62">
        <v>8.0</v>
      </c>
      <c r="AP529" s="62">
        <v>7.0</v>
      </c>
      <c r="AQ529" s="60">
        <v>15.0</v>
      </c>
      <c r="AR529" s="60" t="str">
        <f>IF(Hoja1!$AQ529&gt;0,Hoja1!$AQ529,IF(Hoja1!$AN529&gt;0,Hoja1!$AN529,IF(Hoja1!$AK529&gt;0,Hoja1!$AK529,IF(Hoja1!$AH529&gt;0,Hoja1!$AH529,IF(Hoja1!$AE529&gt;0,Hoja1!$AE529,IF(Hoja1!$AB529&gt;0,Hoja1!$AB529,IF(Hoja1!$Y529&gt;0,Hoja1!$Y529,IF(Hoja1!$V529&gt;0,Hoja1!$V529," ---"))))))))</f>
        <v>15</v>
      </c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>
        <v>28.0</v>
      </c>
      <c r="BD529" s="63">
        <v>2.0</v>
      </c>
      <c r="BE529" s="64"/>
      <c r="BF529" s="69"/>
      <c r="BG529" s="69"/>
      <c r="BH529" s="64"/>
      <c r="BI529" s="67" t="str">
        <f t="shared" si="185"/>
        <v>#REF!</v>
      </c>
      <c r="BJ529" s="68" t="str">
        <f t="shared" si="186"/>
        <v>#REF!</v>
      </c>
      <c r="BK529" s="69"/>
      <c r="BL529" s="69"/>
      <c r="BM529" s="64"/>
      <c r="BN529" s="67" t="str">
        <f t="shared" si="187"/>
        <v>#REF!</v>
      </c>
      <c r="BO529" s="68" t="str">
        <f t="shared" si="188"/>
        <v>#REF!</v>
      </c>
      <c r="BP529" s="65"/>
      <c r="BQ529" s="65"/>
      <c r="BR529" s="66"/>
      <c r="BS529" s="67" t="str">
        <f t="shared" si="189"/>
        <v>#REF!</v>
      </c>
      <c r="BT529" s="68" t="str">
        <f>'[1]DATA CONSOLIDADA 2018-2025 '!$BR529-Hoja1!$BO529</f>
        <v>#REF!</v>
      </c>
      <c r="BU529" s="69"/>
      <c r="BV529" s="65"/>
      <c r="BW529" s="66"/>
      <c r="BX529" s="67" t="str">
        <f t="shared" si="190"/>
        <v>#REF!</v>
      </c>
      <c r="BY529" s="68" t="str">
        <f t="shared" si="191"/>
        <v>#REF!</v>
      </c>
      <c r="BZ529" s="65"/>
      <c r="CA529" s="65"/>
      <c r="CB529" s="66"/>
      <c r="CC529" s="67" t="str">
        <f t="shared" si="192"/>
        <v>#REF!</v>
      </c>
      <c r="CD529" s="68" t="str">
        <f>'[1]DATA CONSOLIDADA 2018-2025 '!$CB529-Hoja1!$BW529</f>
        <v>#REF!</v>
      </c>
      <c r="CE529" s="70"/>
      <c r="CF529" s="70"/>
      <c r="CG529" s="71"/>
      <c r="CH529" s="67" t="str">
        <f t="shared" si="193"/>
        <v>#REF!</v>
      </c>
      <c r="CI529" s="68" t="str">
        <f>'[1]DATA CONSOLIDADA 2018-2025 '!$CG529-Hoja1!$CB529</f>
        <v>#REF!</v>
      </c>
      <c r="CJ529" s="64" t="str">
        <f t="shared" si="184"/>
        <v>#REF!</v>
      </c>
      <c r="CK529" s="64">
        <v>88800.0</v>
      </c>
      <c r="CL529" s="64">
        <v>0.0</v>
      </c>
      <c r="CM529" s="64">
        <v>88800.0</v>
      </c>
      <c r="CN529" s="64" t="str">
        <f t="shared" si="12"/>
        <v>#REF!</v>
      </c>
      <c r="CO529" s="68" t="str">
        <f>'[1]DATA CONSOLIDADA 2018-2025 '!$CM529-Hoja1!$CG529</f>
        <v>#REF!</v>
      </c>
      <c r="CP529" s="70"/>
      <c r="CQ529" s="70"/>
      <c r="CR529" s="70"/>
      <c r="CS529" s="70"/>
      <c r="CT529" s="70"/>
      <c r="CU529" s="70"/>
      <c r="CV529" s="64"/>
      <c r="CW529" s="64"/>
      <c r="CX529" s="64"/>
      <c r="CY529" s="64"/>
      <c r="CZ529" s="64"/>
      <c r="DA529" s="64"/>
      <c r="DB529" s="64"/>
      <c r="DC529" s="72">
        <v>0.0</v>
      </c>
      <c r="DD529" s="72">
        <v>88800.0</v>
      </c>
      <c r="DE529" s="72">
        <v>0.0</v>
      </c>
      <c r="DF529" s="72">
        <v>0.0</v>
      </c>
      <c r="DG529" s="72">
        <v>0.0</v>
      </c>
      <c r="DH529" s="72">
        <v>88800.0</v>
      </c>
      <c r="DI529" s="73">
        <v>2.0571335388E10</v>
      </c>
      <c r="DJ529" s="74" t="s">
        <v>1645</v>
      </c>
      <c r="DK529" s="74" t="s">
        <v>138</v>
      </c>
      <c r="DL529" s="75"/>
      <c r="DM529" s="75"/>
      <c r="DN529" s="75"/>
      <c r="DO529" s="75"/>
      <c r="DP529" s="75"/>
      <c r="DQ529" s="75"/>
      <c r="DR529" s="75"/>
      <c r="DS529" s="75"/>
      <c r="DT529" s="75"/>
      <c r="DU529" s="75"/>
      <c r="DV529" s="75"/>
      <c r="DW529" s="75"/>
      <c r="DX529" s="75"/>
      <c r="DY529" s="75"/>
      <c r="DZ529" s="75"/>
      <c r="EA529" s="75"/>
      <c r="EB529" s="75"/>
      <c r="EC529" s="75"/>
      <c r="ED529" s="75"/>
      <c r="EE529" s="75"/>
    </row>
    <row r="530" ht="47.25" hidden="1" customHeight="1">
      <c r="A530" s="55" t="s">
        <v>1646</v>
      </c>
      <c r="B530" s="55" t="s">
        <v>1647</v>
      </c>
      <c r="C530" s="55" t="s">
        <v>1647</v>
      </c>
      <c r="D530" s="55" t="s">
        <v>167</v>
      </c>
      <c r="E530" s="55" t="s">
        <v>190</v>
      </c>
      <c r="F530" s="55" t="s">
        <v>167</v>
      </c>
      <c r="G530" s="55" t="s">
        <v>191</v>
      </c>
      <c r="H530" s="55" t="s">
        <v>192</v>
      </c>
      <c r="I530" s="56"/>
      <c r="J530" s="56"/>
      <c r="K530" s="56"/>
      <c r="L530" s="56"/>
      <c r="M530" s="56"/>
      <c r="N530" s="56"/>
      <c r="O530" s="56"/>
      <c r="P530" s="56">
        <v>1.0</v>
      </c>
      <c r="Q530" s="56" t="s">
        <v>131</v>
      </c>
      <c r="R530" s="58" t="str">
        <f t="shared" si="1"/>
        <v>2025</v>
      </c>
      <c r="S530" s="59" t="str">
        <f>SUM(Hoja1!$I530:$P530)</f>
        <v>1</v>
      </c>
      <c r="T530" s="59" t="str">
        <f>IF(OR(Hoja1!$J530=1,Hoja1!$K530=1,Hoja1!$L530=1,Hoja1!$M530=1,Hoja1!$N530=1,Hoja1!$O530=1,Hoja1!$P530=1),"SI","NO")</f>
        <v>SI</v>
      </c>
      <c r="U530" s="59" t="str">
        <f>IF(OR(Hoja1!$K530=1,Hoja1!$L530=1,Hoja1!$M530=1,Hoja1!$N530=1,Hoja1!$O530=1,Hoja1!$P530=1),"SI","NO")</f>
        <v>SI</v>
      </c>
      <c r="V530" s="60">
        <v>0.0</v>
      </c>
      <c r="W530" s="61">
        <v>0.0</v>
      </c>
      <c r="X530" s="61">
        <v>0.0</v>
      </c>
      <c r="Y530" s="60">
        <v>0.0</v>
      </c>
      <c r="Z530" s="61">
        <v>0.0</v>
      </c>
      <c r="AA530" s="61">
        <v>0.0</v>
      </c>
      <c r="AB530" s="60">
        <v>0.0</v>
      </c>
      <c r="AC530" s="61">
        <v>0.0</v>
      </c>
      <c r="AD530" s="61">
        <v>0.0</v>
      </c>
      <c r="AE530" s="60">
        <v>0.0</v>
      </c>
      <c r="AF530" s="61">
        <v>0.0</v>
      </c>
      <c r="AG530" s="61">
        <v>0.0</v>
      </c>
      <c r="AH530" s="60">
        <v>0.0</v>
      </c>
      <c r="AI530" s="61">
        <v>0.0</v>
      </c>
      <c r="AJ530" s="61">
        <v>0.0</v>
      </c>
      <c r="AK530" s="60">
        <v>0.0</v>
      </c>
      <c r="AL530" s="61">
        <v>0.0</v>
      </c>
      <c r="AM530" s="61">
        <v>0.0</v>
      </c>
      <c r="AN530" s="60">
        <v>0.0</v>
      </c>
      <c r="AO530" s="62">
        <v>6.0</v>
      </c>
      <c r="AP530" s="62">
        <v>9.0</v>
      </c>
      <c r="AQ530" s="60">
        <v>15.0</v>
      </c>
      <c r="AR530" s="60" t="str">
        <f>IF(Hoja1!$AQ530&gt;0,Hoja1!$AQ530,IF(Hoja1!$AN530&gt;0,Hoja1!$AN530,IF(Hoja1!$AK530&gt;0,Hoja1!$AK530,IF(Hoja1!$AH530&gt;0,Hoja1!$AH530,IF(Hoja1!$AE530&gt;0,Hoja1!$AE530,IF(Hoja1!$AB530&gt;0,Hoja1!$AB530,IF(Hoja1!$Y530&gt;0,Hoja1!$Y530,IF(Hoja1!$V530&gt;0,Hoja1!$V530," ---"))))))))</f>
        <v>15</v>
      </c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>
        <v>30.0</v>
      </c>
      <c r="BD530" s="63">
        <v>3.0</v>
      </c>
      <c r="BE530" s="64"/>
      <c r="BF530" s="69"/>
      <c r="BG530" s="69"/>
      <c r="BH530" s="64"/>
      <c r="BI530" s="67" t="str">
        <f t="shared" si="185"/>
        <v>#REF!</v>
      </c>
      <c r="BJ530" s="68" t="str">
        <f t="shared" si="186"/>
        <v>#REF!</v>
      </c>
      <c r="BK530" s="69"/>
      <c r="BL530" s="69"/>
      <c r="BM530" s="64"/>
      <c r="BN530" s="67" t="str">
        <f t="shared" si="187"/>
        <v>#REF!</v>
      </c>
      <c r="BO530" s="68" t="str">
        <f t="shared" si="188"/>
        <v>#REF!</v>
      </c>
      <c r="BP530" s="65"/>
      <c r="BQ530" s="65"/>
      <c r="BR530" s="66"/>
      <c r="BS530" s="67" t="str">
        <f t="shared" si="189"/>
        <v>#REF!</v>
      </c>
      <c r="BT530" s="68" t="str">
        <f>'[1]DATA CONSOLIDADA 2018-2025 '!$BR530-Hoja1!$BO530</f>
        <v>#REF!</v>
      </c>
      <c r="BU530" s="69"/>
      <c r="BV530" s="65"/>
      <c r="BW530" s="66"/>
      <c r="BX530" s="67" t="str">
        <f t="shared" si="190"/>
        <v>#REF!</v>
      </c>
      <c r="BY530" s="68" t="str">
        <f t="shared" si="191"/>
        <v>#REF!</v>
      </c>
      <c r="BZ530" s="65"/>
      <c r="CA530" s="65"/>
      <c r="CB530" s="66"/>
      <c r="CC530" s="67" t="str">
        <f t="shared" si="192"/>
        <v>#REF!</v>
      </c>
      <c r="CD530" s="68" t="str">
        <f>'[1]DATA CONSOLIDADA 2018-2025 '!$CB530-Hoja1!$BW530</f>
        <v>#REF!</v>
      </c>
      <c r="CE530" s="70"/>
      <c r="CF530" s="70"/>
      <c r="CG530" s="71"/>
      <c r="CH530" s="67" t="str">
        <f t="shared" si="193"/>
        <v>#REF!</v>
      </c>
      <c r="CI530" s="68" t="str">
        <f>'[1]DATA CONSOLIDADA 2018-2025 '!$CG530-Hoja1!$CB530</f>
        <v>#REF!</v>
      </c>
      <c r="CJ530" s="64" t="str">
        <f t="shared" si="184"/>
        <v>#REF!</v>
      </c>
      <c r="CK530" s="64">
        <v>450245.0</v>
      </c>
      <c r="CL530" s="64">
        <v>0.0</v>
      </c>
      <c r="CM530" s="64">
        <v>450245.0</v>
      </c>
      <c r="CN530" s="64" t="str">
        <f t="shared" si="12"/>
        <v>#REF!</v>
      </c>
      <c r="CO530" s="68" t="str">
        <f>'[1]DATA CONSOLIDADA 2018-2025 '!$CM530-Hoja1!$CG530</f>
        <v>#REF!</v>
      </c>
      <c r="CP530" s="70"/>
      <c r="CQ530" s="70"/>
      <c r="CR530" s="70"/>
      <c r="CS530" s="70"/>
      <c r="CT530" s="70"/>
      <c r="CU530" s="70"/>
      <c r="CV530" s="64"/>
      <c r="CW530" s="64"/>
      <c r="CX530" s="64"/>
      <c r="CY530" s="64"/>
      <c r="CZ530" s="64"/>
      <c r="DA530" s="64"/>
      <c r="DB530" s="64"/>
      <c r="DC530" s="72">
        <v>0.0</v>
      </c>
      <c r="DD530" s="72">
        <v>450245.0</v>
      </c>
      <c r="DE530" s="72">
        <v>0.0</v>
      </c>
      <c r="DF530" s="72">
        <v>0.0</v>
      </c>
      <c r="DG530" s="72">
        <v>0.0</v>
      </c>
      <c r="DH530" s="72">
        <v>450245.0</v>
      </c>
      <c r="DI530" s="73">
        <v>2.0611080817E10</v>
      </c>
      <c r="DJ530" s="74" t="s">
        <v>1648</v>
      </c>
      <c r="DK530" s="74" t="s">
        <v>138</v>
      </c>
      <c r="DL530" s="75"/>
      <c r="DM530" s="75"/>
      <c r="DN530" s="75"/>
      <c r="DO530" s="75"/>
      <c r="DP530" s="75"/>
      <c r="DQ530" s="75"/>
      <c r="DR530" s="75"/>
      <c r="DS530" s="75"/>
      <c r="DT530" s="75"/>
      <c r="DU530" s="75"/>
      <c r="DV530" s="75"/>
      <c r="DW530" s="75"/>
      <c r="DX530" s="75"/>
      <c r="DY530" s="75"/>
      <c r="DZ530" s="75"/>
      <c r="EA530" s="75"/>
      <c r="EB530" s="75"/>
      <c r="EC530" s="75"/>
      <c r="ED530" s="75"/>
      <c r="EE530" s="75"/>
    </row>
    <row r="531" ht="47.25" hidden="1" customHeight="1">
      <c r="A531" s="55" t="s">
        <v>1649</v>
      </c>
      <c r="B531" s="55" t="s">
        <v>1647</v>
      </c>
      <c r="C531" s="55" t="s">
        <v>1647</v>
      </c>
      <c r="D531" s="55" t="s">
        <v>167</v>
      </c>
      <c r="E531" s="55" t="s">
        <v>1650</v>
      </c>
      <c r="F531" s="55" t="s">
        <v>167</v>
      </c>
      <c r="G531" s="55" t="s">
        <v>1207</v>
      </c>
      <c r="H531" s="55" t="s">
        <v>1207</v>
      </c>
      <c r="I531" s="56"/>
      <c r="J531" s="56"/>
      <c r="K531" s="56"/>
      <c r="L531" s="56"/>
      <c r="M531" s="56"/>
      <c r="N531" s="56"/>
      <c r="O531" s="56"/>
      <c r="P531" s="56">
        <v>1.0</v>
      </c>
      <c r="Q531" s="56" t="s">
        <v>131</v>
      </c>
      <c r="R531" s="58" t="str">
        <f t="shared" si="1"/>
        <v>2025</v>
      </c>
      <c r="S531" s="59" t="str">
        <f>SUM(Hoja1!$I531:$P531)</f>
        <v>1</v>
      </c>
      <c r="T531" s="59" t="str">
        <f>IF(OR(Hoja1!$J531=1,Hoja1!$K531=1,Hoja1!$L531=1,Hoja1!$M531=1,Hoja1!$N531=1,Hoja1!$O531=1,Hoja1!$P531=1),"SI","NO")</f>
        <v>SI</v>
      </c>
      <c r="U531" s="59" t="str">
        <f>IF(OR(Hoja1!$K531=1,Hoja1!$L531=1,Hoja1!$M531=1,Hoja1!$N531=1,Hoja1!$O531=1,Hoja1!$P531=1),"SI","NO")</f>
        <v>SI</v>
      </c>
      <c r="V531" s="60">
        <v>0.0</v>
      </c>
      <c r="W531" s="61">
        <v>0.0</v>
      </c>
      <c r="X531" s="61">
        <v>0.0</v>
      </c>
      <c r="Y531" s="60">
        <v>0.0</v>
      </c>
      <c r="Z531" s="61">
        <v>0.0</v>
      </c>
      <c r="AA531" s="61">
        <v>0.0</v>
      </c>
      <c r="AB531" s="60">
        <v>0.0</v>
      </c>
      <c r="AC531" s="61">
        <v>0.0</v>
      </c>
      <c r="AD531" s="61">
        <v>0.0</v>
      </c>
      <c r="AE531" s="60">
        <v>0.0</v>
      </c>
      <c r="AF531" s="61">
        <v>0.0</v>
      </c>
      <c r="AG531" s="61">
        <v>0.0</v>
      </c>
      <c r="AH531" s="60">
        <v>0.0</v>
      </c>
      <c r="AI531" s="61">
        <v>0.0</v>
      </c>
      <c r="AJ531" s="61">
        <v>0.0</v>
      </c>
      <c r="AK531" s="60">
        <v>0.0</v>
      </c>
      <c r="AL531" s="61">
        <v>0.0</v>
      </c>
      <c r="AM531" s="61">
        <v>0.0</v>
      </c>
      <c r="AN531" s="60">
        <v>0.0</v>
      </c>
      <c r="AO531" s="62">
        <v>17.0</v>
      </c>
      <c r="AP531" s="62">
        <v>6.0</v>
      </c>
      <c r="AQ531" s="60">
        <v>23.0</v>
      </c>
      <c r="AR531" s="60" t="str">
        <f>IF(Hoja1!$AQ531&gt;0,Hoja1!$AQ531,IF(Hoja1!$AN531&gt;0,Hoja1!$AN531,IF(Hoja1!$AK531&gt;0,Hoja1!$AK531,IF(Hoja1!$AH531&gt;0,Hoja1!$AH531,IF(Hoja1!$AE531&gt;0,Hoja1!$AE531,IF(Hoja1!$AB531&gt;0,Hoja1!$AB531,IF(Hoja1!$Y531&gt;0,Hoja1!$Y531,IF(Hoja1!$V531&gt;0,Hoja1!$V531," ---"))))))))</f>
        <v>23</v>
      </c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>
        <v>32.0</v>
      </c>
      <c r="BD531" s="63">
        <v>1.0</v>
      </c>
      <c r="BE531" s="64"/>
      <c r="BF531" s="69"/>
      <c r="BG531" s="69"/>
      <c r="BH531" s="64"/>
      <c r="BI531" s="67" t="str">
        <f t="shared" si="185"/>
        <v>#REF!</v>
      </c>
      <c r="BJ531" s="68" t="str">
        <f t="shared" si="186"/>
        <v>#REF!</v>
      </c>
      <c r="BK531" s="69"/>
      <c r="BL531" s="69"/>
      <c r="BM531" s="64"/>
      <c r="BN531" s="67" t="str">
        <f t="shared" si="187"/>
        <v>#REF!</v>
      </c>
      <c r="BO531" s="68" t="str">
        <f t="shared" si="188"/>
        <v>#REF!</v>
      </c>
      <c r="BP531" s="65"/>
      <c r="BQ531" s="65"/>
      <c r="BR531" s="66"/>
      <c r="BS531" s="67" t="str">
        <f t="shared" si="189"/>
        <v>#REF!</v>
      </c>
      <c r="BT531" s="68" t="str">
        <f>'[1]DATA CONSOLIDADA 2018-2025 '!$BR531-Hoja1!$BO531</f>
        <v>#REF!</v>
      </c>
      <c r="BU531" s="69"/>
      <c r="BV531" s="65"/>
      <c r="BW531" s="66"/>
      <c r="BX531" s="67" t="str">
        <f t="shared" si="190"/>
        <v>#REF!</v>
      </c>
      <c r="BY531" s="68" t="str">
        <f t="shared" si="191"/>
        <v>#REF!</v>
      </c>
      <c r="BZ531" s="65"/>
      <c r="CA531" s="65"/>
      <c r="CB531" s="66"/>
      <c r="CC531" s="67" t="str">
        <f t="shared" si="192"/>
        <v>#REF!</v>
      </c>
      <c r="CD531" s="68" t="str">
        <f>'[1]DATA CONSOLIDADA 2018-2025 '!$CB531-Hoja1!$BW531</f>
        <v>#REF!</v>
      </c>
      <c r="CE531" s="70"/>
      <c r="CF531" s="70"/>
      <c r="CG531" s="71"/>
      <c r="CH531" s="67" t="str">
        <f t="shared" si="193"/>
        <v>#REF!</v>
      </c>
      <c r="CI531" s="68" t="str">
        <f>'[1]DATA CONSOLIDADA 2018-2025 '!$CG531-Hoja1!$CB531</f>
        <v>#REF!</v>
      </c>
      <c r="CJ531" s="64" t="str">
        <f t="shared" si="184"/>
        <v>#REF!</v>
      </c>
      <c r="CK531" s="64">
        <v>430023.0</v>
      </c>
      <c r="CL531" s="64">
        <v>0.0</v>
      </c>
      <c r="CM531" s="64">
        <v>430023.0</v>
      </c>
      <c r="CN531" s="64" t="str">
        <f t="shared" si="12"/>
        <v>#REF!</v>
      </c>
      <c r="CO531" s="68" t="str">
        <f>'[1]DATA CONSOLIDADA 2018-2025 '!$CM531-Hoja1!$CG531</f>
        <v>#REF!</v>
      </c>
      <c r="CP531" s="70"/>
      <c r="CQ531" s="70"/>
      <c r="CR531" s="70"/>
      <c r="CS531" s="70"/>
      <c r="CT531" s="70"/>
      <c r="CU531" s="70"/>
      <c r="CV531" s="64"/>
      <c r="CW531" s="64"/>
      <c r="CX531" s="64"/>
      <c r="CY531" s="64"/>
      <c r="CZ531" s="64"/>
      <c r="DA531" s="64"/>
      <c r="DB531" s="64"/>
      <c r="DC531" s="72">
        <v>0.0</v>
      </c>
      <c r="DD531" s="72">
        <v>430023.0</v>
      </c>
      <c r="DE531" s="72">
        <v>0.0</v>
      </c>
      <c r="DF531" s="72">
        <v>0.0</v>
      </c>
      <c r="DG531" s="72">
        <v>0.0</v>
      </c>
      <c r="DH531" s="72">
        <v>430023.0</v>
      </c>
      <c r="DI531" s="73">
        <v>2.0609623056E10</v>
      </c>
      <c r="DJ531" s="74" t="s">
        <v>1651</v>
      </c>
      <c r="DK531" s="74" t="s">
        <v>138</v>
      </c>
      <c r="DL531" s="75"/>
      <c r="DM531" s="75"/>
      <c r="DN531" s="75"/>
      <c r="DO531" s="75"/>
      <c r="DP531" s="75"/>
      <c r="DQ531" s="75"/>
      <c r="DR531" s="75"/>
      <c r="DS531" s="75"/>
      <c r="DT531" s="75"/>
      <c r="DU531" s="75"/>
      <c r="DV531" s="75"/>
      <c r="DW531" s="75"/>
      <c r="DX531" s="75"/>
      <c r="DY531" s="75"/>
      <c r="DZ531" s="75"/>
      <c r="EA531" s="75"/>
      <c r="EB531" s="75"/>
      <c r="EC531" s="75"/>
      <c r="ED531" s="75"/>
      <c r="EE531" s="75"/>
    </row>
    <row r="532" ht="47.25" hidden="1" customHeight="1">
      <c r="A532" s="55" t="s">
        <v>1652</v>
      </c>
      <c r="B532" s="55" t="s">
        <v>166</v>
      </c>
      <c r="C532" s="55" t="s">
        <v>166</v>
      </c>
      <c r="D532" s="55" t="s">
        <v>167</v>
      </c>
      <c r="E532" s="55" t="s">
        <v>1653</v>
      </c>
      <c r="F532" s="55" t="s">
        <v>167</v>
      </c>
      <c r="G532" s="55" t="s">
        <v>209</v>
      </c>
      <c r="H532" s="55" t="s">
        <v>1654</v>
      </c>
      <c r="I532" s="56"/>
      <c r="J532" s="56"/>
      <c r="K532" s="56"/>
      <c r="L532" s="56"/>
      <c r="M532" s="56"/>
      <c r="N532" s="56"/>
      <c r="O532" s="56"/>
      <c r="P532" s="56">
        <v>1.0</v>
      </c>
      <c r="Q532" s="56" t="s">
        <v>131</v>
      </c>
      <c r="R532" s="58" t="str">
        <f t="shared" si="1"/>
        <v>2025</v>
      </c>
      <c r="S532" s="59" t="str">
        <f>SUM(Hoja1!$I532:$P532)</f>
        <v>1</v>
      </c>
      <c r="T532" s="59" t="str">
        <f>IF(OR(Hoja1!$J532=1,Hoja1!$K532=1,Hoja1!$L532=1,Hoja1!$M532=1,Hoja1!$N532=1,Hoja1!$O532=1,Hoja1!$P532=1),"SI","NO")</f>
        <v>SI</v>
      </c>
      <c r="U532" s="59" t="str">
        <f>IF(OR(Hoja1!$K532=1,Hoja1!$L532=1,Hoja1!$M532=1,Hoja1!$N532=1,Hoja1!$O532=1,Hoja1!$P532=1),"SI","NO")</f>
        <v>SI</v>
      </c>
      <c r="V532" s="60">
        <v>0.0</v>
      </c>
      <c r="W532" s="61">
        <v>0.0</v>
      </c>
      <c r="X532" s="61">
        <v>0.0</v>
      </c>
      <c r="Y532" s="60">
        <v>0.0</v>
      </c>
      <c r="Z532" s="61">
        <v>0.0</v>
      </c>
      <c r="AA532" s="61">
        <v>0.0</v>
      </c>
      <c r="AB532" s="60">
        <v>0.0</v>
      </c>
      <c r="AC532" s="61">
        <v>0.0</v>
      </c>
      <c r="AD532" s="61">
        <v>0.0</v>
      </c>
      <c r="AE532" s="60">
        <v>0.0</v>
      </c>
      <c r="AF532" s="61">
        <v>0.0</v>
      </c>
      <c r="AG532" s="61">
        <v>0.0</v>
      </c>
      <c r="AH532" s="60">
        <v>0.0</v>
      </c>
      <c r="AI532" s="61">
        <v>0.0</v>
      </c>
      <c r="AJ532" s="61">
        <v>0.0</v>
      </c>
      <c r="AK532" s="60">
        <v>0.0</v>
      </c>
      <c r="AL532" s="61">
        <v>0.0</v>
      </c>
      <c r="AM532" s="61">
        <v>0.0</v>
      </c>
      <c r="AN532" s="60">
        <v>0.0</v>
      </c>
      <c r="AO532" s="62">
        <v>56.0</v>
      </c>
      <c r="AP532" s="62">
        <v>6.0</v>
      </c>
      <c r="AQ532" s="60">
        <v>62.0</v>
      </c>
      <c r="AR532" s="60" t="str">
        <f>IF(Hoja1!$AQ532&gt;0,Hoja1!$AQ532,IF(Hoja1!$AN532&gt;0,Hoja1!$AN532,IF(Hoja1!$AK532&gt;0,Hoja1!$AK532,IF(Hoja1!$AH532&gt;0,Hoja1!$AH532,IF(Hoja1!$AE532&gt;0,Hoja1!$AE532,IF(Hoja1!$AB532&gt;0,Hoja1!$AB532,IF(Hoja1!$Y532&gt;0,Hoja1!$Y532,IF(Hoja1!$V532&gt;0,Hoja1!$V532," ---"))))))))</f>
        <v>62</v>
      </c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>
        <v>12.0</v>
      </c>
      <c r="BD532" s="63">
        <v>0.0</v>
      </c>
      <c r="BE532" s="64"/>
      <c r="BF532" s="69"/>
      <c r="BG532" s="69"/>
      <c r="BH532" s="64"/>
      <c r="BI532" s="67" t="str">
        <f t="shared" si="185"/>
        <v>#REF!</v>
      </c>
      <c r="BJ532" s="68" t="str">
        <f t="shared" si="186"/>
        <v>#REF!</v>
      </c>
      <c r="BK532" s="69"/>
      <c r="BL532" s="69"/>
      <c r="BM532" s="64"/>
      <c r="BN532" s="67" t="str">
        <f t="shared" si="187"/>
        <v>#REF!</v>
      </c>
      <c r="BO532" s="68" t="str">
        <f t="shared" si="188"/>
        <v>#REF!</v>
      </c>
      <c r="BP532" s="65"/>
      <c r="BQ532" s="65"/>
      <c r="BR532" s="66"/>
      <c r="BS532" s="67" t="str">
        <f t="shared" si="189"/>
        <v>#REF!</v>
      </c>
      <c r="BT532" s="68" t="str">
        <f>'[1]DATA CONSOLIDADA 2018-2025 '!$BR532-Hoja1!$BO532</f>
        <v>#REF!</v>
      </c>
      <c r="BU532" s="69"/>
      <c r="BV532" s="65"/>
      <c r="BW532" s="66"/>
      <c r="BX532" s="67" t="str">
        <f t="shared" si="190"/>
        <v>#REF!</v>
      </c>
      <c r="BY532" s="68" t="str">
        <f t="shared" si="191"/>
        <v>#REF!</v>
      </c>
      <c r="BZ532" s="65"/>
      <c r="CA532" s="65"/>
      <c r="CB532" s="66"/>
      <c r="CC532" s="67" t="str">
        <f t="shared" si="192"/>
        <v>#REF!</v>
      </c>
      <c r="CD532" s="68" t="str">
        <f>'[1]DATA CONSOLIDADA 2018-2025 '!$CB532-Hoja1!$BW532</f>
        <v>#REF!</v>
      </c>
      <c r="CE532" s="70"/>
      <c r="CF532" s="70"/>
      <c r="CG532" s="71"/>
      <c r="CH532" s="67" t="str">
        <f t="shared" si="193"/>
        <v>#REF!</v>
      </c>
      <c r="CI532" s="68" t="str">
        <f>'[1]DATA CONSOLIDADA 2018-2025 '!$CG532-Hoja1!$CB532</f>
        <v>#REF!</v>
      </c>
      <c r="CJ532" s="64" t="str">
        <f t="shared" si="184"/>
        <v>#REF!</v>
      </c>
      <c r="CK532" s="64">
        <v>205810.0</v>
      </c>
      <c r="CL532" s="64">
        <v>0.0</v>
      </c>
      <c r="CM532" s="64">
        <v>205810.0</v>
      </c>
      <c r="CN532" s="64" t="str">
        <f t="shared" si="12"/>
        <v>#REF!</v>
      </c>
      <c r="CO532" s="68" t="str">
        <f>'[1]DATA CONSOLIDADA 2018-2025 '!$CM532-Hoja1!$CG532</f>
        <v>#REF!</v>
      </c>
      <c r="CP532" s="70"/>
      <c r="CQ532" s="70"/>
      <c r="CR532" s="70"/>
      <c r="CS532" s="70"/>
      <c r="CT532" s="70"/>
      <c r="CU532" s="70"/>
      <c r="CV532" s="64"/>
      <c r="CW532" s="64"/>
      <c r="CX532" s="64"/>
      <c r="CY532" s="64"/>
      <c r="CZ532" s="64"/>
      <c r="DA532" s="64"/>
      <c r="DB532" s="64"/>
      <c r="DC532" s="72">
        <v>0.0</v>
      </c>
      <c r="DD532" s="72">
        <v>205810.0</v>
      </c>
      <c r="DE532" s="72">
        <v>0.0</v>
      </c>
      <c r="DF532" s="72">
        <v>0.0</v>
      </c>
      <c r="DG532" s="72">
        <v>0.0</v>
      </c>
      <c r="DH532" s="72">
        <v>205810.0</v>
      </c>
      <c r="DI532" s="73">
        <v>2.0610739505E10</v>
      </c>
      <c r="DJ532" s="74" t="s">
        <v>1652</v>
      </c>
      <c r="DK532" s="74" t="s">
        <v>132</v>
      </c>
      <c r="DL532" s="75"/>
      <c r="DM532" s="75"/>
      <c r="DN532" s="75"/>
      <c r="DO532" s="75"/>
      <c r="DP532" s="75"/>
      <c r="DQ532" s="75"/>
      <c r="DR532" s="75"/>
      <c r="DS532" s="75"/>
      <c r="DT532" s="75"/>
      <c r="DU532" s="75"/>
      <c r="DV532" s="75"/>
      <c r="DW532" s="75"/>
      <c r="DX532" s="75"/>
      <c r="DY532" s="75"/>
      <c r="DZ532" s="75"/>
      <c r="EA532" s="75"/>
      <c r="EB532" s="75"/>
      <c r="EC532" s="75"/>
      <c r="ED532" s="75"/>
      <c r="EE532" s="75"/>
    </row>
    <row r="533" ht="47.25" hidden="1" customHeight="1">
      <c r="A533" s="55" t="s">
        <v>1655</v>
      </c>
      <c r="B533" s="55" t="s">
        <v>455</v>
      </c>
      <c r="C533" s="55" t="s">
        <v>1656</v>
      </c>
      <c r="D533" s="55" t="s">
        <v>227</v>
      </c>
      <c r="E533" s="55" t="s">
        <v>1657</v>
      </c>
      <c r="F533" s="55" t="s">
        <v>227</v>
      </c>
      <c r="G533" s="55" t="s">
        <v>239</v>
      </c>
      <c r="H533" s="55" t="s">
        <v>1658</v>
      </c>
      <c r="I533" s="56"/>
      <c r="J533" s="56"/>
      <c r="K533" s="56"/>
      <c r="L533" s="56"/>
      <c r="M533" s="56"/>
      <c r="N533" s="56"/>
      <c r="O533" s="56"/>
      <c r="P533" s="56">
        <v>1.0</v>
      </c>
      <c r="Q533" s="56" t="s">
        <v>131</v>
      </c>
      <c r="R533" s="58" t="str">
        <f t="shared" si="1"/>
        <v>2025</v>
      </c>
      <c r="S533" s="59" t="str">
        <f>SUM(Hoja1!$I533:$P533)</f>
        <v>1</v>
      </c>
      <c r="T533" s="59" t="str">
        <f>IF(OR(Hoja1!$J533=1,Hoja1!$K533=1,Hoja1!$L533=1,Hoja1!$M533=1,Hoja1!$N533=1,Hoja1!$O533=1,Hoja1!$P533=1),"SI","NO")</f>
        <v>SI</v>
      </c>
      <c r="U533" s="59" t="str">
        <f>IF(OR(Hoja1!$K533=1,Hoja1!$L533=1,Hoja1!$M533=1,Hoja1!$N533=1,Hoja1!$O533=1,Hoja1!$P533=1),"SI","NO")</f>
        <v>SI</v>
      </c>
      <c r="V533" s="60">
        <v>0.0</v>
      </c>
      <c r="W533" s="61">
        <v>0.0</v>
      </c>
      <c r="X533" s="61">
        <v>0.0</v>
      </c>
      <c r="Y533" s="60">
        <v>0.0</v>
      </c>
      <c r="Z533" s="61">
        <v>0.0</v>
      </c>
      <c r="AA533" s="61">
        <v>0.0</v>
      </c>
      <c r="AB533" s="60">
        <v>0.0</v>
      </c>
      <c r="AC533" s="61">
        <v>0.0</v>
      </c>
      <c r="AD533" s="61">
        <v>0.0</v>
      </c>
      <c r="AE533" s="60">
        <v>0.0</v>
      </c>
      <c r="AF533" s="61">
        <v>0.0</v>
      </c>
      <c r="AG533" s="61">
        <v>0.0</v>
      </c>
      <c r="AH533" s="60">
        <v>0.0</v>
      </c>
      <c r="AI533" s="61">
        <v>0.0</v>
      </c>
      <c r="AJ533" s="61">
        <v>0.0</v>
      </c>
      <c r="AK533" s="60">
        <v>0.0</v>
      </c>
      <c r="AL533" s="61">
        <v>0.0</v>
      </c>
      <c r="AM533" s="61">
        <v>0.0</v>
      </c>
      <c r="AN533" s="60">
        <v>0.0</v>
      </c>
      <c r="AO533" s="62">
        <v>4.0</v>
      </c>
      <c r="AP533" s="62">
        <v>11.0</v>
      </c>
      <c r="AQ533" s="60">
        <v>15.0</v>
      </c>
      <c r="AR533" s="60" t="str">
        <f>IF(Hoja1!$AQ533&gt;0,Hoja1!$AQ533,IF(Hoja1!$AN533&gt;0,Hoja1!$AN533,IF(Hoja1!$AK533&gt;0,Hoja1!$AK533,IF(Hoja1!$AH533&gt;0,Hoja1!$AH533,IF(Hoja1!$AE533&gt;0,Hoja1!$AE533,IF(Hoja1!$AB533&gt;0,Hoja1!$AB533,IF(Hoja1!$Y533&gt;0,Hoja1!$Y533,IF(Hoja1!$V533&gt;0,Hoja1!$V533," ---"))))))))</f>
        <v>15</v>
      </c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>
        <v>38.0</v>
      </c>
      <c r="BD533" s="63">
        <v>6.0</v>
      </c>
      <c r="BE533" s="64"/>
      <c r="BF533" s="69"/>
      <c r="BG533" s="69"/>
      <c r="BH533" s="64"/>
      <c r="BI533" s="67" t="str">
        <f t="shared" si="185"/>
        <v>#REF!</v>
      </c>
      <c r="BJ533" s="68" t="str">
        <f t="shared" si="186"/>
        <v>#REF!</v>
      </c>
      <c r="BK533" s="69"/>
      <c r="BL533" s="69"/>
      <c r="BM533" s="64"/>
      <c r="BN533" s="67" t="str">
        <f t="shared" si="187"/>
        <v>#REF!</v>
      </c>
      <c r="BO533" s="68" t="str">
        <f t="shared" si="188"/>
        <v>#REF!</v>
      </c>
      <c r="BP533" s="65"/>
      <c r="BQ533" s="65"/>
      <c r="BR533" s="66"/>
      <c r="BS533" s="67" t="str">
        <f t="shared" si="189"/>
        <v>#REF!</v>
      </c>
      <c r="BT533" s="68" t="str">
        <f>'[1]DATA CONSOLIDADA 2018-2025 '!$BR100-Hoja1!$BO533</f>
        <v>#REF!</v>
      </c>
      <c r="BU533" s="69"/>
      <c r="BV533" s="65"/>
      <c r="BW533" s="66"/>
      <c r="BX533" s="67" t="str">
        <f t="shared" si="190"/>
        <v>#REF!</v>
      </c>
      <c r="BY533" s="68" t="str">
        <f t="shared" si="191"/>
        <v>#REF!</v>
      </c>
      <c r="BZ533" s="65"/>
      <c r="CA533" s="65"/>
      <c r="CB533" s="66"/>
      <c r="CC533" s="67" t="str">
        <f t="shared" si="192"/>
        <v>#REF!</v>
      </c>
      <c r="CD533" s="68" t="str">
        <f>'[1]DATA CONSOLIDADA 2018-2025 '!$CB100-Hoja1!$BW533</f>
        <v>#REF!</v>
      </c>
      <c r="CE533" s="70"/>
      <c r="CF533" s="70"/>
      <c r="CG533" s="71"/>
      <c r="CH533" s="67" t="str">
        <f t="shared" si="193"/>
        <v>#REF!</v>
      </c>
      <c r="CI533" s="68" t="str">
        <f>'[1]DATA CONSOLIDADA 2018-2025 '!$CG100-Hoja1!$CB533</f>
        <v>#REF!</v>
      </c>
      <c r="CJ533" s="64" t="str">
        <f>'[1]DATA CONSOLIDADA 2018-2025 '!$BE100+'[1]DATA CONSOLIDADA 2018-2025 '!$BH100+'[1]DATA CONSOLIDADA 2018-2025 '!$BM100+'[1]DATA CONSOLIDADA 2018-2025 '!$BR100+'[1]DATA CONSOLIDADA 2018-2025 '!$BW100+'[1]DATA CONSOLIDADA 2018-2025 '!$CB100+'[1]DATA CONSOLIDADA 2018-2025 '!$CG100</f>
        <v>#REF!</v>
      </c>
      <c r="CK533" s="64">
        <v>36121.0</v>
      </c>
      <c r="CL533" s="64">
        <v>0.0</v>
      </c>
      <c r="CM533" s="64">
        <v>36121.0</v>
      </c>
      <c r="CN533" s="64" t="str">
        <f t="shared" si="12"/>
        <v>#REF!</v>
      </c>
      <c r="CO533" s="68" t="str">
        <f>'[1]DATA CONSOLIDADA 2018-2025 '!$CM533-Hoja1!$CG533</f>
        <v>#REF!</v>
      </c>
      <c r="CP533" s="70"/>
      <c r="CQ533" s="70"/>
      <c r="CR533" s="70"/>
      <c r="CS533" s="70"/>
      <c r="CT533" s="70"/>
      <c r="CU533" s="70"/>
      <c r="CV533" s="64"/>
      <c r="CW533" s="64"/>
      <c r="CX533" s="64"/>
      <c r="CY533" s="64"/>
      <c r="CZ533" s="64"/>
      <c r="DA533" s="64"/>
      <c r="DB533" s="64"/>
      <c r="DC533" s="72">
        <v>0.0</v>
      </c>
      <c r="DD533" s="72">
        <v>36121.0</v>
      </c>
      <c r="DE533" s="72">
        <v>0.0</v>
      </c>
      <c r="DF533" s="72">
        <v>0.0</v>
      </c>
      <c r="DG533" s="72">
        <v>0.0</v>
      </c>
      <c r="DH533" s="72">
        <v>36121.0</v>
      </c>
      <c r="DI533" s="73">
        <v>2.0606226013E10</v>
      </c>
      <c r="DJ533" s="74" t="s">
        <v>1655</v>
      </c>
      <c r="DK533" s="74" t="s">
        <v>138</v>
      </c>
      <c r="DL533" s="75"/>
      <c r="DM533" s="75"/>
      <c r="DN533" s="75"/>
      <c r="DO533" s="75"/>
      <c r="DP533" s="75"/>
      <c r="DQ533" s="75"/>
      <c r="DR533" s="75"/>
      <c r="DS533" s="75"/>
      <c r="DT533" s="75"/>
      <c r="DU533" s="75"/>
      <c r="DV533" s="75"/>
      <c r="DW533" s="75"/>
      <c r="DX533" s="75"/>
      <c r="DY533" s="75"/>
      <c r="DZ533" s="75"/>
      <c r="EA533" s="75"/>
      <c r="EB533" s="75"/>
      <c r="EC533" s="75"/>
      <c r="ED533" s="75"/>
      <c r="EE533" s="75"/>
    </row>
    <row r="534" ht="47.25" hidden="1" customHeight="1">
      <c r="A534" s="55" t="s">
        <v>1659</v>
      </c>
      <c r="B534" s="55" t="s">
        <v>455</v>
      </c>
      <c r="C534" s="55" t="s">
        <v>1656</v>
      </c>
      <c r="D534" s="55" t="s">
        <v>227</v>
      </c>
      <c r="E534" s="55" t="s">
        <v>243</v>
      </c>
      <c r="F534" s="55" t="s">
        <v>227</v>
      </c>
      <c r="G534" s="55" t="s">
        <v>239</v>
      </c>
      <c r="H534" s="55" t="s">
        <v>239</v>
      </c>
      <c r="I534" s="56"/>
      <c r="J534" s="56"/>
      <c r="K534" s="56"/>
      <c r="L534" s="56"/>
      <c r="M534" s="56"/>
      <c r="N534" s="56"/>
      <c r="O534" s="56"/>
      <c r="P534" s="56">
        <v>1.0</v>
      </c>
      <c r="Q534" s="56" t="s">
        <v>131</v>
      </c>
      <c r="R534" s="58" t="str">
        <f t="shared" si="1"/>
        <v>2025</v>
      </c>
      <c r="S534" s="59" t="str">
        <f>SUM(Hoja1!$I534:$P534)</f>
        <v>1</v>
      </c>
      <c r="T534" s="59" t="str">
        <f>IF(OR(Hoja1!$J534=1,Hoja1!$K534=1,Hoja1!$L534=1,Hoja1!$M534=1,Hoja1!$N534=1,Hoja1!$O534=1,Hoja1!$P534=1),"SI","NO")</f>
        <v>SI</v>
      </c>
      <c r="U534" s="59" t="str">
        <f>IF(OR(Hoja1!$K534=1,Hoja1!$L534=1,Hoja1!$M534=1,Hoja1!$N534=1,Hoja1!$O534=1,Hoja1!$P534=1),"SI","NO")</f>
        <v>SI</v>
      </c>
      <c r="V534" s="60">
        <v>0.0</v>
      </c>
      <c r="W534" s="61">
        <v>0.0</v>
      </c>
      <c r="X534" s="61">
        <v>0.0</v>
      </c>
      <c r="Y534" s="60">
        <v>0.0</v>
      </c>
      <c r="Z534" s="61">
        <v>0.0</v>
      </c>
      <c r="AA534" s="61">
        <v>0.0</v>
      </c>
      <c r="AB534" s="60">
        <v>0.0</v>
      </c>
      <c r="AC534" s="61">
        <v>0.0</v>
      </c>
      <c r="AD534" s="61">
        <v>0.0</v>
      </c>
      <c r="AE534" s="60">
        <v>0.0</v>
      </c>
      <c r="AF534" s="61">
        <v>0.0</v>
      </c>
      <c r="AG534" s="61">
        <v>0.0</v>
      </c>
      <c r="AH534" s="60">
        <v>0.0</v>
      </c>
      <c r="AI534" s="61">
        <v>0.0</v>
      </c>
      <c r="AJ534" s="61">
        <v>0.0</v>
      </c>
      <c r="AK534" s="60">
        <v>0.0</v>
      </c>
      <c r="AL534" s="61">
        <v>0.0</v>
      </c>
      <c r="AM534" s="61">
        <v>0.0</v>
      </c>
      <c r="AN534" s="60">
        <v>0.0</v>
      </c>
      <c r="AO534" s="62">
        <v>12.0</v>
      </c>
      <c r="AP534" s="62">
        <v>13.0</v>
      </c>
      <c r="AQ534" s="60">
        <v>25.0</v>
      </c>
      <c r="AR534" s="60" t="str">
        <f>IF(Hoja1!$AQ534&gt;0,Hoja1!$AQ534,IF(Hoja1!$AN534&gt;0,Hoja1!$AN534,IF(Hoja1!$AK534&gt;0,Hoja1!$AK534,IF(Hoja1!$AH534&gt;0,Hoja1!$AH534,IF(Hoja1!$AE534&gt;0,Hoja1!$AE534,IF(Hoja1!$AB534&gt;0,Hoja1!$AB534,IF(Hoja1!$Y534&gt;0,Hoja1!$Y534,IF(Hoja1!$V534&gt;0,Hoja1!$V534," ---"))))))))</f>
        <v>25</v>
      </c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>
        <v>39.0</v>
      </c>
      <c r="BD534" s="63">
        <v>6.0</v>
      </c>
      <c r="BE534" s="64"/>
      <c r="BF534" s="69"/>
      <c r="BG534" s="69"/>
      <c r="BH534" s="64"/>
      <c r="BI534" s="67" t="str">
        <f t="shared" si="185"/>
        <v>#REF!</v>
      </c>
      <c r="BJ534" s="68" t="str">
        <f t="shared" si="186"/>
        <v>#REF!</v>
      </c>
      <c r="BK534" s="69"/>
      <c r="BL534" s="69"/>
      <c r="BM534" s="64"/>
      <c r="BN534" s="67" t="str">
        <f t="shared" si="187"/>
        <v>#REF!</v>
      </c>
      <c r="BO534" s="68" t="str">
        <f t="shared" si="188"/>
        <v>#REF!</v>
      </c>
      <c r="BP534" s="65"/>
      <c r="BQ534" s="65"/>
      <c r="BR534" s="66"/>
      <c r="BS534" s="67" t="str">
        <f t="shared" si="189"/>
        <v>#REF!</v>
      </c>
      <c r="BT534" s="68" t="str">
        <f>'[1]DATA CONSOLIDADA 2018-2025 '!$BR190-Hoja1!$BO534</f>
        <v>#REF!</v>
      </c>
      <c r="BU534" s="69"/>
      <c r="BV534" s="65"/>
      <c r="BW534" s="66"/>
      <c r="BX534" s="67" t="str">
        <f t="shared" si="190"/>
        <v>#REF!</v>
      </c>
      <c r="BY534" s="68" t="str">
        <f t="shared" si="191"/>
        <v>#REF!</v>
      </c>
      <c r="BZ534" s="65"/>
      <c r="CA534" s="65"/>
      <c r="CB534" s="66"/>
      <c r="CC534" s="67" t="str">
        <f t="shared" si="192"/>
        <v>#REF!</v>
      </c>
      <c r="CD534" s="68" t="str">
        <f>'[1]DATA CONSOLIDADA 2018-2025 '!$CB190-Hoja1!$BW534</f>
        <v>#REF!</v>
      </c>
      <c r="CE534" s="70"/>
      <c r="CF534" s="70"/>
      <c r="CG534" s="71"/>
      <c r="CH534" s="67" t="str">
        <f t="shared" si="193"/>
        <v>#REF!</v>
      </c>
      <c r="CI534" s="68" t="str">
        <f>'[1]DATA CONSOLIDADA 2018-2025 '!$CG190-Hoja1!$CB534</f>
        <v>#REF!</v>
      </c>
      <c r="CJ534" s="64" t="str">
        <f>'[1]DATA CONSOLIDADA 2018-2025 '!$BE190+'[1]DATA CONSOLIDADA 2018-2025 '!$BH190+'[1]DATA CONSOLIDADA 2018-2025 '!$BM190+'[1]DATA CONSOLIDADA 2018-2025 '!$BR190+'[1]DATA CONSOLIDADA 2018-2025 '!$BW190+'[1]DATA CONSOLIDADA 2018-2025 '!$CB190+'[1]DATA CONSOLIDADA 2018-2025 '!$CG190</f>
        <v>#REF!</v>
      </c>
      <c r="CK534" s="64">
        <v>290247.0</v>
      </c>
      <c r="CL534" s="64">
        <v>0.0</v>
      </c>
      <c r="CM534" s="64">
        <v>290247.0</v>
      </c>
      <c r="CN534" s="64" t="str">
        <f t="shared" si="12"/>
        <v>#REF!</v>
      </c>
      <c r="CO534" s="68" t="str">
        <f>'[1]DATA CONSOLIDADA 2018-2025 '!$CM534-Hoja1!$CG534</f>
        <v>#REF!</v>
      </c>
      <c r="CP534" s="70"/>
      <c r="CQ534" s="70"/>
      <c r="CR534" s="70"/>
      <c r="CS534" s="70"/>
      <c r="CT534" s="70"/>
      <c r="CU534" s="70"/>
      <c r="CV534" s="64"/>
      <c r="CW534" s="64"/>
      <c r="CX534" s="64"/>
      <c r="CY534" s="64"/>
      <c r="CZ534" s="64"/>
      <c r="DA534" s="64"/>
      <c r="DB534" s="64"/>
      <c r="DC534" s="72">
        <v>0.0</v>
      </c>
      <c r="DD534" s="72">
        <v>290247.0</v>
      </c>
      <c r="DE534" s="72">
        <v>0.0</v>
      </c>
      <c r="DF534" s="72">
        <v>0.0</v>
      </c>
      <c r="DG534" s="72">
        <v>0.0</v>
      </c>
      <c r="DH534" s="72">
        <v>290247.0</v>
      </c>
      <c r="DI534" s="73">
        <v>2.0491149664E10</v>
      </c>
      <c r="DJ534" s="74" t="s">
        <v>1659</v>
      </c>
      <c r="DK534" s="74" t="s">
        <v>138</v>
      </c>
      <c r="DL534" s="75"/>
      <c r="DM534" s="75"/>
      <c r="DN534" s="75"/>
      <c r="DO534" s="75"/>
      <c r="DP534" s="75"/>
      <c r="DQ534" s="75"/>
      <c r="DR534" s="75"/>
      <c r="DS534" s="75"/>
      <c r="DT534" s="75"/>
      <c r="DU534" s="75"/>
      <c r="DV534" s="75"/>
      <c r="DW534" s="75"/>
      <c r="DX534" s="75"/>
      <c r="DY534" s="75"/>
      <c r="DZ534" s="75"/>
      <c r="EA534" s="75"/>
      <c r="EB534" s="75"/>
      <c r="EC534" s="75"/>
      <c r="ED534" s="75"/>
      <c r="EE534" s="75"/>
    </row>
    <row r="535" ht="47.25" hidden="1" customHeight="1">
      <c r="A535" s="55" t="s">
        <v>1660</v>
      </c>
      <c r="B535" s="55" t="s">
        <v>455</v>
      </c>
      <c r="C535" s="55" t="s">
        <v>1656</v>
      </c>
      <c r="D535" s="55" t="s">
        <v>227</v>
      </c>
      <c r="E535" s="55" t="s">
        <v>246</v>
      </c>
      <c r="F535" s="55" t="s">
        <v>227</v>
      </c>
      <c r="G535" s="55" t="s">
        <v>247</v>
      </c>
      <c r="H535" s="55" t="s">
        <v>247</v>
      </c>
      <c r="I535" s="56"/>
      <c r="J535" s="56"/>
      <c r="K535" s="56"/>
      <c r="L535" s="56"/>
      <c r="M535" s="56"/>
      <c r="N535" s="56"/>
      <c r="O535" s="56"/>
      <c r="P535" s="56">
        <v>1.0</v>
      </c>
      <c r="Q535" s="56" t="s">
        <v>131</v>
      </c>
      <c r="R535" s="58" t="str">
        <f t="shared" si="1"/>
        <v>2025</v>
      </c>
      <c r="S535" s="59" t="str">
        <f>SUM(Hoja1!$I535:$P535)</f>
        <v>1</v>
      </c>
      <c r="T535" s="59" t="str">
        <f>IF(OR(Hoja1!$J535=1,Hoja1!$K535=1,Hoja1!$L535=1,Hoja1!$M535=1,Hoja1!$N535=1,Hoja1!$O535=1,Hoja1!$P535=1),"SI","NO")</f>
        <v>SI</v>
      </c>
      <c r="U535" s="59" t="str">
        <f>IF(OR(Hoja1!$K535=1,Hoja1!$L535=1,Hoja1!$M535=1,Hoja1!$N535=1,Hoja1!$O535=1,Hoja1!$P535=1),"SI","NO")</f>
        <v>SI</v>
      </c>
      <c r="V535" s="60">
        <v>0.0</v>
      </c>
      <c r="W535" s="61">
        <v>0.0</v>
      </c>
      <c r="X535" s="61">
        <v>0.0</v>
      </c>
      <c r="Y535" s="60">
        <v>0.0</v>
      </c>
      <c r="Z535" s="61">
        <v>0.0</v>
      </c>
      <c r="AA535" s="61">
        <v>0.0</v>
      </c>
      <c r="AB535" s="60">
        <v>0.0</v>
      </c>
      <c r="AC535" s="61">
        <v>0.0</v>
      </c>
      <c r="AD535" s="61">
        <v>0.0</v>
      </c>
      <c r="AE535" s="60">
        <v>0.0</v>
      </c>
      <c r="AF535" s="61">
        <v>0.0</v>
      </c>
      <c r="AG535" s="61">
        <v>0.0</v>
      </c>
      <c r="AH535" s="60">
        <v>0.0</v>
      </c>
      <c r="AI535" s="61">
        <v>0.0</v>
      </c>
      <c r="AJ535" s="61">
        <v>0.0</v>
      </c>
      <c r="AK535" s="60">
        <v>0.0</v>
      </c>
      <c r="AL535" s="61">
        <v>0.0</v>
      </c>
      <c r="AM535" s="61">
        <v>0.0</v>
      </c>
      <c r="AN535" s="60">
        <v>0.0</v>
      </c>
      <c r="AO535" s="62">
        <v>21.0</v>
      </c>
      <c r="AP535" s="62">
        <v>4.0</v>
      </c>
      <c r="AQ535" s="60">
        <v>25.0</v>
      </c>
      <c r="AR535" s="60" t="str">
        <f>IF(Hoja1!$AQ535&gt;0,Hoja1!$AQ535,IF(Hoja1!$AN535&gt;0,Hoja1!$AN535,IF(Hoja1!$AK535&gt;0,Hoja1!$AK535,IF(Hoja1!$AH535&gt;0,Hoja1!$AH535,IF(Hoja1!$AE535&gt;0,Hoja1!$AE535,IF(Hoja1!$AB535&gt;0,Hoja1!$AB535,IF(Hoja1!$Y535&gt;0,Hoja1!$Y535,IF(Hoja1!$V535&gt;0,Hoja1!$V535," ---"))))))))</f>
        <v>25</v>
      </c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>
        <v>38.0</v>
      </c>
      <c r="BD535" s="63">
        <v>6.0</v>
      </c>
      <c r="BE535" s="64"/>
      <c r="BF535" s="69"/>
      <c r="BG535" s="69"/>
      <c r="BH535" s="64"/>
      <c r="BI535" s="67" t="str">
        <f t="shared" si="185"/>
        <v>#REF!</v>
      </c>
      <c r="BJ535" s="68" t="str">
        <f t="shared" si="186"/>
        <v>#REF!</v>
      </c>
      <c r="BK535" s="69"/>
      <c r="BL535" s="69"/>
      <c r="BM535" s="64"/>
      <c r="BN535" s="67" t="str">
        <f t="shared" si="187"/>
        <v>#REF!</v>
      </c>
      <c r="BO535" s="68" t="str">
        <f t="shared" si="188"/>
        <v>#REF!</v>
      </c>
      <c r="BP535" s="65"/>
      <c r="BQ535" s="65"/>
      <c r="BR535" s="66"/>
      <c r="BS535" s="67" t="str">
        <f t="shared" si="189"/>
        <v>#REF!</v>
      </c>
      <c r="BT535" s="68" t="str">
        <f>'[1]DATA CONSOLIDADA 2018-2025 '!$BR312-Hoja1!$BO535</f>
        <v>#REF!</v>
      </c>
      <c r="BU535" s="69"/>
      <c r="BV535" s="65"/>
      <c r="BW535" s="66"/>
      <c r="BX535" s="67" t="str">
        <f t="shared" si="190"/>
        <v>#REF!</v>
      </c>
      <c r="BY535" s="68" t="str">
        <f t="shared" si="191"/>
        <v>#REF!</v>
      </c>
      <c r="BZ535" s="65"/>
      <c r="CA535" s="65"/>
      <c r="CB535" s="66"/>
      <c r="CC535" s="67" t="str">
        <f t="shared" si="192"/>
        <v>#REF!</v>
      </c>
      <c r="CD535" s="68" t="str">
        <f>'[1]DATA CONSOLIDADA 2018-2025 '!$CB312-Hoja1!$BW535</f>
        <v>#REF!</v>
      </c>
      <c r="CE535" s="70"/>
      <c r="CF535" s="70"/>
      <c r="CG535" s="71"/>
      <c r="CH535" s="67" t="str">
        <f t="shared" si="193"/>
        <v>#REF!</v>
      </c>
      <c r="CI535" s="68" t="str">
        <f>'[1]DATA CONSOLIDADA 2018-2025 '!$CG312-Hoja1!$CB535</f>
        <v>#REF!</v>
      </c>
      <c r="CJ535" s="64" t="str">
        <f>'[1]DATA CONSOLIDADA 2018-2025 '!$BE312+'[1]DATA CONSOLIDADA 2018-2025 '!$BH312+'[1]DATA CONSOLIDADA 2018-2025 '!$BM312+'[1]DATA CONSOLIDADA 2018-2025 '!$BR312+'[1]DATA CONSOLIDADA 2018-2025 '!$BW312+'[1]DATA CONSOLIDADA 2018-2025 '!$CB312+'[1]DATA CONSOLIDADA 2018-2025 '!$CG312</f>
        <v>#REF!</v>
      </c>
      <c r="CK535" s="64">
        <v>301390.0</v>
      </c>
      <c r="CL535" s="64">
        <v>0.0</v>
      </c>
      <c r="CM535" s="64">
        <v>301390.0</v>
      </c>
      <c r="CN535" s="64" t="str">
        <f t="shared" si="12"/>
        <v>#REF!</v>
      </c>
      <c r="CO535" s="68" t="str">
        <f>'[1]DATA CONSOLIDADA 2018-2025 '!$CM535-Hoja1!$CG535</f>
        <v>#REF!</v>
      </c>
      <c r="CP535" s="70"/>
      <c r="CQ535" s="70"/>
      <c r="CR535" s="70"/>
      <c r="CS535" s="70"/>
      <c r="CT535" s="70"/>
      <c r="CU535" s="70"/>
      <c r="CV535" s="64"/>
      <c r="CW535" s="64"/>
      <c r="CX535" s="64"/>
      <c r="CY535" s="64"/>
      <c r="CZ535" s="64"/>
      <c r="DA535" s="64"/>
      <c r="DB535" s="64"/>
      <c r="DC535" s="72">
        <v>0.0</v>
      </c>
      <c r="DD535" s="72">
        <v>301390.0</v>
      </c>
      <c r="DE535" s="72">
        <v>0.0</v>
      </c>
      <c r="DF535" s="72">
        <v>0.0</v>
      </c>
      <c r="DG535" s="72">
        <v>0.0</v>
      </c>
      <c r="DH535" s="72">
        <v>301390.0</v>
      </c>
      <c r="DI535" s="73">
        <v>2.0600446321E10</v>
      </c>
      <c r="DJ535" s="74" t="s">
        <v>1660</v>
      </c>
      <c r="DK535" s="74" t="s">
        <v>138</v>
      </c>
      <c r="DL535" s="75"/>
      <c r="DM535" s="75"/>
      <c r="DN535" s="75"/>
      <c r="DO535" s="75"/>
      <c r="DP535" s="75"/>
      <c r="DQ535" s="75"/>
      <c r="DR535" s="75"/>
      <c r="DS535" s="75"/>
      <c r="DT535" s="75"/>
      <c r="DU535" s="75"/>
      <c r="DV535" s="75"/>
      <c r="DW535" s="75"/>
      <c r="DX535" s="75"/>
      <c r="DY535" s="75"/>
      <c r="DZ535" s="75"/>
      <c r="EA535" s="75"/>
      <c r="EB535" s="75"/>
      <c r="EC535" s="75"/>
      <c r="ED535" s="75"/>
      <c r="EE535" s="75"/>
    </row>
    <row r="536" ht="47.25" hidden="1" customHeight="1">
      <c r="A536" s="55" t="s">
        <v>1661</v>
      </c>
      <c r="B536" s="55" t="s">
        <v>236</v>
      </c>
      <c r="C536" s="55" t="s">
        <v>237</v>
      </c>
      <c r="D536" s="55" t="s">
        <v>227</v>
      </c>
      <c r="E536" s="55" t="s">
        <v>238</v>
      </c>
      <c r="F536" s="55" t="s">
        <v>227</v>
      </c>
      <c r="G536" s="55" t="s">
        <v>239</v>
      </c>
      <c r="H536" s="55" t="s">
        <v>240</v>
      </c>
      <c r="I536" s="56"/>
      <c r="J536" s="56"/>
      <c r="K536" s="56"/>
      <c r="L536" s="56"/>
      <c r="M536" s="56"/>
      <c r="N536" s="56"/>
      <c r="O536" s="56"/>
      <c r="P536" s="56">
        <v>1.0</v>
      </c>
      <c r="Q536" s="56" t="s">
        <v>131</v>
      </c>
      <c r="R536" s="58" t="str">
        <f t="shared" si="1"/>
        <v>2025</v>
      </c>
      <c r="S536" s="59" t="str">
        <f>SUM(Hoja1!$I536:$P536)</f>
        <v>1</v>
      </c>
      <c r="T536" s="59" t="str">
        <f>IF(OR(Hoja1!$J536=1,Hoja1!$K536=1,Hoja1!$L536=1,Hoja1!$M536=1,Hoja1!$N536=1,Hoja1!$O536=1,Hoja1!$P536=1),"SI","NO")</f>
        <v>SI</v>
      </c>
      <c r="U536" s="59" t="str">
        <f>IF(OR(Hoja1!$K536=1,Hoja1!$L536=1,Hoja1!$M536=1,Hoja1!$N536=1,Hoja1!$O536=1,Hoja1!$P536=1),"SI","NO")</f>
        <v>SI</v>
      </c>
      <c r="V536" s="60">
        <v>0.0</v>
      </c>
      <c r="W536" s="61">
        <v>0.0</v>
      </c>
      <c r="X536" s="61">
        <v>0.0</v>
      </c>
      <c r="Y536" s="60">
        <v>0.0</v>
      </c>
      <c r="Z536" s="61">
        <v>0.0</v>
      </c>
      <c r="AA536" s="61">
        <v>0.0</v>
      </c>
      <c r="AB536" s="60">
        <v>0.0</v>
      </c>
      <c r="AC536" s="61">
        <v>0.0</v>
      </c>
      <c r="AD536" s="61">
        <v>0.0</v>
      </c>
      <c r="AE536" s="60">
        <v>0.0</v>
      </c>
      <c r="AF536" s="61">
        <v>0.0</v>
      </c>
      <c r="AG536" s="61">
        <v>0.0</v>
      </c>
      <c r="AH536" s="60">
        <v>0.0</v>
      </c>
      <c r="AI536" s="61">
        <v>0.0</v>
      </c>
      <c r="AJ536" s="61">
        <v>0.0</v>
      </c>
      <c r="AK536" s="60">
        <v>0.0</v>
      </c>
      <c r="AL536" s="61">
        <v>0.0</v>
      </c>
      <c r="AM536" s="61">
        <v>0.0</v>
      </c>
      <c r="AN536" s="60">
        <v>0.0</v>
      </c>
      <c r="AO536" s="62">
        <v>21.0</v>
      </c>
      <c r="AP536" s="62">
        <v>13.0</v>
      </c>
      <c r="AQ536" s="60">
        <v>34.0</v>
      </c>
      <c r="AR536" s="60" t="str">
        <f>IF(Hoja1!$AQ536&gt;0,Hoja1!$AQ536,IF(Hoja1!$AN536&gt;0,Hoja1!$AN536,IF(Hoja1!$AK536&gt;0,Hoja1!$AK536,IF(Hoja1!$AH536&gt;0,Hoja1!$AH536,IF(Hoja1!$AE536&gt;0,Hoja1!$AE536,IF(Hoja1!$AB536&gt;0,Hoja1!$AB536,IF(Hoja1!$Y536&gt;0,Hoja1!$Y536,IF(Hoja1!$V536&gt;0,Hoja1!$V536," ---"))))))))</f>
        <v>34</v>
      </c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>
        <v>31.0</v>
      </c>
      <c r="BD536" s="63">
        <v>6.0</v>
      </c>
      <c r="BE536" s="64"/>
      <c r="BF536" s="69"/>
      <c r="BG536" s="69"/>
      <c r="BH536" s="64"/>
      <c r="BI536" s="67" t="str">
        <f t="shared" si="185"/>
        <v>#REF!</v>
      </c>
      <c r="BJ536" s="68" t="str">
        <f t="shared" si="186"/>
        <v>#REF!</v>
      </c>
      <c r="BK536" s="69"/>
      <c r="BL536" s="69"/>
      <c r="BM536" s="64"/>
      <c r="BN536" s="67" t="str">
        <f t="shared" si="187"/>
        <v>#REF!</v>
      </c>
      <c r="BO536" s="68" t="str">
        <f t="shared" si="188"/>
        <v>#REF!</v>
      </c>
      <c r="BP536" s="65"/>
      <c r="BQ536" s="65"/>
      <c r="BR536" s="66"/>
      <c r="BS536" s="67" t="str">
        <f t="shared" si="189"/>
        <v>#REF!</v>
      </c>
      <c r="BT536" s="68" t="str">
        <f>'[1]DATA CONSOLIDADA 2018-2025 '!$BR536-Hoja1!$BO536</f>
        <v>#REF!</v>
      </c>
      <c r="BU536" s="69"/>
      <c r="BV536" s="65"/>
      <c r="BW536" s="66"/>
      <c r="BX536" s="67" t="str">
        <f t="shared" si="190"/>
        <v>#REF!</v>
      </c>
      <c r="BY536" s="68" t="str">
        <f t="shared" si="191"/>
        <v>#REF!</v>
      </c>
      <c r="BZ536" s="65"/>
      <c r="CA536" s="65"/>
      <c r="CB536" s="66"/>
      <c r="CC536" s="67" t="str">
        <f t="shared" si="192"/>
        <v>#REF!</v>
      </c>
      <c r="CD536" s="68" t="str">
        <f>'[1]DATA CONSOLIDADA 2018-2025 '!$CB536-Hoja1!$BW536</f>
        <v>#REF!</v>
      </c>
      <c r="CE536" s="70"/>
      <c r="CF536" s="70"/>
      <c r="CG536" s="71"/>
      <c r="CH536" s="67" t="str">
        <f t="shared" si="193"/>
        <v>#REF!</v>
      </c>
      <c r="CI536" s="68" t="str">
        <f>'[1]DATA CONSOLIDADA 2018-2025 '!$CG536-Hoja1!$CB536</f>
        <v>#REF!</v>
      </c>
      <c r="CJ536" s="64" t="str">
        <f t="shared" ref="CJ536:CJ555" si="194">'[1]DATA CONSOLIDADA 2018-2025 '!$BE536+'[1]DATA CONSOLIDADA 2018-2025 '!$BH536+'[1]DATA CONSOLIDADA 2018-2025 '!$BM536+'[1]DATA CONSOLIDADA 2018-2025 '!$BR536+'[1]DATA CONSOLIDADA 2018-2025 '!$BW536+'[1]DATA CONSOLIDADA 2018-2025 '!$CB536+'[1]DATA CONSOLIDADA 2018-2025 '!$CG536</f>
        <v>#REF!</v>
      </c>
      <c r="CK536" s="64">
        <v>943650.0</v>
      </c>
      <c r="CL536" s="64">
        <v>0.0</v>
      </c>
      <c r="CM536" s="64">
        <v>943650.0</v>
      </c>
      <c r="CN536" s="64" t="str">
        <f t="shared" si="12"/>
        <v>#REF!</v>
      </c>
      <c r="CO536" s="68" t="str">
        <f>'[1]DATA CONSOLIDADA 2018-2025 '!$CM536-Hoja1!$CG536</f>
        <v>#REF!</v>
      </c>
      <c r="CP536" s="70"/>
      <c r="CQ536" s="70"/>
      <c r="CR536" s="70"/>
      <c r="CS536" s="70"/>
      <c r="CT536" s="70"/>
      <c r="CU536" s="70"/>
      <c r="CV536" s="64"/>
      <c r="CW536" s="64"/>
      <c r="CX536" s="64"/>
      <c r="CY536" s="64"/>
      <c r="CZ536" s="64"/>
      <c r="DA536" s="64"/>
      <c r="DB536" s="64"/>
      <c r="DC536" s="72">
        <v>0.0</v>
      </c>
      <c r="DD536" s="72">
        <v>943650.0</v>
      </c>
      <c r="DE536" s="72">
        <v>0.0</v>
      </c>
      <c r="DF536" s="72">
        <v>0.0</v>
      </c>
      <c r="DG536" s="72">
        <v>0.0</v>
      </c>
      <c r="DH536" s="72">
        <v>943650.0</v>
      </c>
      <c r="DI536" s="73">
        <v>2.0610555811E10</v>
      </c>
      <c r="DJ536" s="74" t="s">
        <v>1661</v>
      </c>
      <c r="DK536" s="74" t="s">
        <v>132</v>
      </c>
      <c r="DL536" s="75"/>
      <c r="DM536" s="75"/>
      <c r="DN536" s="75"/>
      <c r="DO536" s="75"/>
      <c r="DP536" s="75"/>
      <c r="DQ536" s="75"/>
      <c r="DR536" s="75"/>
      <c r="DS536" s="75"/>
      <c r="DT536" s="75"/>
      <c r="DU536" s="75"/>
      <c r="DV536" s="75"/>
      <c r="DW536" s="75"/>
      <c r="DX536" s="75"/>
      <c r="DY536" s="75"/>
      <c r="DZ536" s="75"/>
      <c r="EA536" s="75"/>
      <c r="EB536" s="75"/>
      <c r="EC536" s="75"/>
      <c r="ED536" s="75"/>
      <c r="EE536" s="75"/>
    </row>
    <row r="537" ht="47.25" hidden="1" customHeight="1">
      <c r="A537" s="55" t="s">
        <v>1662</v>
      </c>
      <c r="B537" s="55" t="s">
        <v>166</v>
      </c>
      <c r="C537" s="55" t="s">
        <v>166</v>
      </c>
      <c r="D537" s="55" t="s">
        <v>227</v>
      </c>
      <c r="E537" s="55" t="s">
        <v>257</v>
      </c>
      <c r="F537" s="55" t="s">
        <v>227</v>
      </c>
      <c r="G537" s="55" t="s">
        <v>239</v>
      </c>
      <c r="H537" s="55" t="s">
        <v>258</v>
      </c>
      <c r="I537" s="56"/>
      <c r="J537" s="56"/>
      <c r="K537" s="56"/>
      <c r="L537" s="56"/>
      <c r="M537" s="56"/>
      <c r="N537" s="56"/>
      <c r="O537" s="56"/>
      <c r="P537" s="56">
        <v>1.0</v>
      </c>
      <c r="Q537" s="56" t="s">
        <v>131</v>
      </c>
      <c r="R537" s="58" t="str">
        <f t="shared" si="1"/>
        <v>2025</v>
      </c>
      <c r="S537" s="59" t="str">
        <f>SUM(Hoja1!$I537:$P537)</f>
        <v>1</v>
      </c>
      <c r="T537" s="59" t="str">
        <f>IF(OR(Hoja1!$J537=1,Hoja1!$K537=1,Hoja1!$L537=1,Hoja1!$M537=1,Hoja1!$N537=1,Hoja1!$O537=1,Hoja1!$P537=1),"SI","NO")</f>
        <v>SI</v>
      </c>
      <c r="U537" s="59" t="str">
        <f>IF(OR(Hoja1!$K537=1,Hoja1!$L537=1,Hoja1!$M537=1,Hoja1!$N537=1,Hoja1!$O537=1,Hoja1!$P537=1),"SI","NO")</f>
        <v>SI</v>
      </c>
      <c r="V537" s="60">
        <v>0.0</v>
      </c>
      <c r="W537" s="61">
        <v>0.0</v>
      </c>
      <c r="X537" s="61">
        <v>0.0</v>
      </c>
      <c r="Y537" s="60">
        <v>0.0</v>
      </c>
      <c r="Z537" s="61">
        <v>0.0</v>
      </c>
      <c r="AA537" s="61">
        <v>0.0</v>
      </c>
      <c r="AB537" s="60">
        <v>0.0</v>
      </c>
      <c r="AC537" s="61">
        <v>0.0</v>
      </c>
      <c r="AD537" s="61">
        <v>0.0</v>
      </c>
      <c r="AE537" s="60">
        <v>0.0</v>
      </c>
      <c r="AF537" s="61">
        <v>0.0</v>
      </c>
      <c r="AG537" s="61">
        <v>0.0</v>
      </c>
      <c r="AH537" s="60">
        <v>0.0</v>
      </c>
      <c r="AI537" s="61">
        <v>0.0</v>
      </c>
      <c r="AJ537" s="61">
        <v>0.0</v>
      </c>
      <c r="AK537" s="60">
        <v>0.0</v>
      </c>
      <c r="AL537" s="61">
        <v>0.0</v>
      </c>
      <c r="AM537" s="61">
        <v>0.0</v>
      </c>
      <c r="AN537" s="60">
        <v>0.0</v>
      </c>
      <c r="AO537" s="62">
        <v>15.0</v>
      </c>
      <c r="AP537" s="62">
        <v>5.0</v>
      </c>
      <c r="AQ537" s="60">
        <v>20.0</v>
      </c>
      <c r="AR537" s="60" t="str">
        <f>IF(Hoja1!$AQ537&gt;0,Hoja1!$AQ537,IF(Hoja1!$AN537&gt;0,Hoja1!$AN537,IF(Hoja1!$AK537&gt;0,Hoja1!$AK537,IF(Hoja1!$AH537&gt;0,Hoja1!$AH537,IF(Hoja1!$AE537&gt;0,Hoja1!$AE537,IF(Hoja1!$AB537&gt;0,Hoja1!$AB537,IF(Hoja1!$Y537&gt;0,Hoja1!$Y537,IF(Hoja1!$V537&gt;0,Hoja1!$V537," ---"))))))))</f>
        <v>20</v>
      </c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>
        <v>47.0</v>
      </c>
      <c r="BD537" s="63">
        <v>5.0</v>
      </c>
      <c r="BE537" s="64"/>
      <c r="BF537" s="69"/>
      <c r="BG537" s="69"/>
      <c r="BH537" s="64"/>
      <c r="BI537" s="67" t="str">
        <f t="shared" si="185"/>
        <v>#REF!</v>
      </c>
      <c r="BJ537" s="68" t="str">
        <f t="shared" si="186"/>
        <v>#REF!</v>
      </c>
      <c r="BK537" s="69"/>
      <c r="BL537" s="69"/>
      <c r="BM537" s="64"/>
      <c r="BN537" s="67" t="str">
        <f t="shared" si="187"/>
        <v>#REF!</v>
      </c>
      <c r="BO537" s="68" t="str">
        <f t="shared" si="188"/>
        <v>#REF!</v>
      </c>
      <c r="BP537" s="65"/>
      <c r="BQ537" s="65"/>
      <c r="BR537" s="66"/>
      <c r="BS537" s="67" t="str">
        <f t="shared" si="189"/>
        <v>#REF!</v>
      </c>
      <c r="BT537" s="68" t="str">
        <f>'[1]DATA CONSOLIDADA 2018-2025 '!$BR537-Hoja1!$BO537</f>
        <v>#REF!</v>
      </c>
      <c r="BU537" s="69"/>
      <c r="BV537" s="65"/>
      <c r="BW537" s="66"/>
      <c r="BX537" s="67" t="str">
        <f t="shared" si="190"/>
        <v>#REF!</v>
      </c>
      <c r="BY537" s="68" t="str">
        <f t="shared" si="191"/>
        <v>#REF!</v>
      </c>
      <c r="BZ537" s="65"/>
      <c r="CA537" s="65"/>
      <c r="CB537" s="66"/>
      <c r="CC537" s="67" t="str">
        <f t="shared" si="192"/>
        <v>#REF!</v>
      </c>
      <c r="CD537" s="68" t="str">
        <f>'[1]DATA CONSOLIDADA 2018-2025 '!$CB537-Hoja1!$BW537</f>
        <v>#REF!</v>
      </c>
      <c r="CE537" s="70"/>
      <c r="CF537" s="70"/>
      <c r="CG537" s="71"/>
      <c r="CH537" s="67" t="str">
        <f t="shared" si="193"/>
        <v>#REF!</v>
      </c>
      <c r="CI537" s="68" t="str">
        <f>'[1]DATA CONSOLIDADA 2018-2025 '!$CG537-Hoja1!$CB537</f>
        <v>#REF!</v>
      </c>
      <c r="CJ537" s="64" t="str">
        <f t="shared" si="194"/>
        <v>#REF!</v>
      </c>
      <c r="CK537" s="64">
        <v>191578.10000000003</v>
      </c>
      <c r="CL537" s="64">
        <v>0.0</v>
      </c>
      <c r="CM537" s="64">
        <v>191578.10000000003</v>
      </c>
      <c r="CN537" s="64" t="str">
        <f t="shared" si="12"/>
        <v>#REF!</v>
      </c>
      <c r="CO537" s="68" t="str">
        <f>'[1]DATA CONSOLIDADA 2018-2025 '!$CM537-Hoja1!$CG537</f>
        <v>#REF!</v>
      </c>
      <c r="CP537" s="70"/>
      <c r="CQ537" s="70"/>
      <c r="CR537" s="70"/>
      <c r="CS537" s="70"/>
      <c r="CT537" s="70"/>
      <c r="CU537" s="70"/>
      <c r="CV537" s="64"/>
      <c r="CW537" s="64"/>
      <c r="CX537" s="64"/>
      <c r="CY537" s="64"/>
      <c r="CZ537" s="64"/>
      <c r="DA537" s="64"/>
      <c r="DB537" s="64"/>
      <c r="DC537" s="72">
        <v>0.0</v>
      </c>
      <c r="DD537" s="72">
        <v>191578.10000000003</v>
      </c>
      <c r="DE537" s="72">
        <v>0.0</v>
      </c>
      <c r="DF537" s="72">
        <v>0.0</v>
      </c>
      <c r="DG537" s="72">
        <v>0.0</v>
      </c>
      <c r="DH537" s="72">
        <v>191578.10000000003</v>
      </c>
      <c r="DI537" s="73">
        <v>2.0606590301E10</v>
      </c>
      <c r="DJ537" s="74" t="s">
        <v>1662</v>
      </c>
      <c r="DK537" s="74" t="s">
        <v>138</v>
      </c>
      <c r="DL537" s="75"/>
      <c r="DM537" s="75"/>
      <c r="DN537" s="75"/>
      <c r="DO537" s="75"/>
      <c r="DP537" s="75"/>
      <c r="DQ537" s="75"/>
      <c r="DR537" s="75"/>
      <c r="DS537" s="75"/>
      <c r="DT537" s="75"/>
      <c r="DU537" s="75"/>
      <c r="DV537" s="75"/>
      <c r="DW537" s="75"/>
      <c r="DX537" s="75"/>
      <c r="DY537" s="75"/>
      <c r="DZ537" s="75"/>
      <c r="EA537" s="75"/>
      <c r="EB537" s="75"/>
      <c r="EC537" s="75"/>
      <c r="ED537" s="75"/>
      <c r="EE537" s="75"/>
    </row>
    <row r="538" ht="47.25" hidden="1" customHeight="1">
      <c r="A538" s="55" t="s">
        <v>1663</v>
      </c>
      <c r="B538" s="55" t="s">
        <v>198</v>
      </c>
      <c r="C538" s="55" t="s">
        <v>1229</v>
      </c>
      <c r="D538" s="55" t="s">
        <v>289</v>
      </c>
      <c r="E538" s="55" t="s">
        <v>1217</v>
      </c>
      <c r="F538" s="55" t="s">
        <v>289</v>
      </c>
      <c r="G538" s="55" t="s">
        <v>289</v>
      </c>
      <c r="H538" s="55" t="s">
        <v>1218</v>
      </c>
      <c r="I538" s="56"/>
      <c r="J538" s="56"/>
      <c r="K538" s="56"/>
      <c r="L538" s="56"/>
      <c r="M538" s="56"/>
      <c r="N538" s="56"/>
      <c r="O538" s="56"/>
      <c r="P538" s="56">
        <v>1.0</v>
      </c>
      <c r="Q538" s="56" t="s">
        <v>131</v>
      </c>
      <c r="R538" s="58" t="str">
        <f t="shared" si="1"/>
        <v>2025</v>
      </c>
      <c r="S538" s="59" t="str">
        <f>SUM(Hoja1!$I538:$P538)</f>
        <v>1</v>
      </c>
      <c r="T538" s="59" t="str">
        <f>IF(OR(Hoja1!$J538=1,Hoja1!$K538=1,Hoja1!$L538=1,Hoja1!$M538=1,Hoja1!$N538=1,Hoja1!$O538=1,Hoja1!$P538=1),"SI","NO")</f>
        <v>SI</v>
      </c>
      <c r="U538" s="59" t="str">
        <f>IF(OR(Hoja1!$K538=1,Hoja1!$L538=1,Hoja1!$M538=1,Hoja1!$N538=1,Hoja1!$O538=1,Hoja1!$P538=1),"SI","NO")</f>
        <v>SI</v>
      </c>
      <c r="V538" s="60">
        <v>0.0</v>
      </c>
      <c r="W538" s="61">
        <v>0.0</v>
      </c>
      <c r="X538" s="61">
        <v>0.0</v>
      </c>
      <c r="Y538" s="60">
        <v>0.0</v>
      </c>
      <c r="Z538" s="61">
        <v>0.0</v>
      </c>
      <c r="AA538" s="61">
        <v>0.0</v>
      </c>
      <c r="AB538" s="60">
        <v>0.0</v>
      </c>
      <c r="AC538" s="61">
        <v>0.0</v>
      </c>
      <c r="AD538" s="61">
        <v>0.0</v>
      </c>
      <c r="AE538" s="60">
        <v>0.0</v>
      </c>
      <c r="AF538" s="61">
        <v>0.0</v>
      </c>
      <c r="AG538" s="61">
        <v>0.0</v>
      </c>
      <c r="AH538" s="60">
        <v>0.0</v>
      </c>
      <c r="AI538" s="61">
        <v>0.0</v>
      </c>
      <c r="AJ538" s="61">
        <v>0.0</v>
      </c>
      <c r="AK538" s="60">
        <v>0.0</v>
      </c>
      <c r="AL538" s="61">
        <v>0.0</v>
      </c>
      <c r="AM538" s="61">
        <v>0.0</v>
      </c>
      <c r="AN538" s="60">
        <v>0.0</v>
      </c>
      <c r="AO538" s="62">
        <v>9.0</v>
      </c>
      <c r="AP538" s="62">
        <v>1.0</v>
      </c>
      <c r="AQ538" s="60">
        <v>10.0</v>
      </c>
      <c r="AR538" s="60" t="str">
        <f>IF(Hoja1!$AQ538&gt;0,Hoja1!$AQ538,IF(Hoja1!$AN538&gt;0,Hoja1!$AN538,IF(Hoja1!$AK538&gt;0,Hoja1!$AK538,IF(Hoja1!$AH538&gt;0,Hoja1!$AH538,IF(Hoja1!$AE538&gt;0,Hoja1!$AE538,IF(Hoja1!$AB538&gt;0,Hoja1!$AB538,IF(Hoja1!$Y538&gt;0,Hoja1!$Y538,IF(Hoja1!$V538&gt;0,Hoja1!$V538," ---"))))))))</f>
        <v>10</v>
      </c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>
        <v>41.0</v>
      </c>
      <c r="BD538" s="63">
        <v>1.0</v>
      </c>
      <c r="BE538" s="64"/>
      <c r="BF538" s="69"/>
      <c r="BG538" s="69"/>
      <c r="BH538" s="64"/>
      <c r="BI538" s="67" t="str">
        <f t="shared" si="185"/>
        <v>#REF!</v>
      </c>
      <c r="BJ538" s="68" t="str">
        <f t="shared" si="186"/>
        <v>#REF!</v>
      </c>
      <c r="BK538" s="69"/>
      <c r="BL538" s="69"/>
      <c r="BM538" s="64"/>
      <c r="BN538" s="67" t="str">
        <f t="shared" si="187"/>
        <v>#REF!</v>
      </c>
      <c r="BO538" s="68" t="str">
        <f t="shared" si="188"/>
        <v>#REF!</v>
      </c>
      <c r="BP538" s="65"/>
      <c r="BQ538" s="65"/>
      <c r="BR538" s="66"/>
      <c r="BS538" s="67" t="str">
        <f t="shared" si="189"/>
        <v>#REF!</v>
      </c>
      <c r="BT538" s="68" t="str">
        <f>'[1]DATA CONSOLIDADA 2018-2025 '!$BR538-Hoja1!$BO538</f>
        <v>#REF!</v>
      </c>
      <c r="BU538" s="69"/>
      <c r="BV538" s="65"/>
      <c r="BW538" s="66"/>
      <c r="BX538" s="67" t="str">
        <f t="shared" si="190"/>
        <v>#REF!</v>
      </c>
      <c r="BY538" s="68" t="str">
        <f t="shared" si="191"/>
        <v>#REF!</v>
      </c>
      <c r="BZ538" s="65"/>
      <c r="CA538" s="65"/>
      <c r="CB538" s="66"/>
      <c r="CC538" s="67" t="str">
        <f t="shared" si="192"/>
        <v>#REF!</v>
      </c>
      <c r="CD538" s="68" t="str">
        <f>'[1]DATA CONSOLIDADA 2018-2025 '!$CB538-Hoja1!$BW538</f>
        <v>#REF!</v>
      </c>
      <c r="CE538" s="70"/>
      <c r="CF538" s="70"/>
      <c r="CG538" s="71"/>
      <c r="CH538" s="67" t="str">
        <f t="shared" si="193"/>
        <v>#REF!</v>
      </c>
      <c r="CI538" s="68" t="str">
        <f>'[1]DATA CONSOLIDADA 2018-2025 '!$CG538-Hoja1!$CB538</f>
        <v>#REF!</v>
      </c>
      <c r="CJ538" s="64" t="str">
        <f t="shared" si="194"/>
        <v>#REF!</v>
      </c>
      <c r="CK538" s="64">
        <v>0.0</v>
      </c>
      <c r="CL538" s="64">
        <v>0.0</v>
      </c>
      <c r="CM538" s="64">
        <v>0.0</v>
      </c>
      <c r="CN538" s="64" t="str">
        <f t="shared" si="12"/>
        <v>#REF!</v>
      </c>
      <c r="CO538" s="68" t="str">
        <f>'[1]DATA CONSOLIDADA 2018-2025 '!$CM538-Hoja1!$CG538</f>
        <v>#REF!</v>
      </c>
      <c r="CP538" s="70"/>
      <c r="CQ538" s="70"/>
      <c r="CR538" s="70"/>
      <c r="CS538" s="70"/>
      <c r="CT538" s="70"/>
      <c r="CU538" s="70"/>
      <c r="CV538" s="64"/>
      <c r="CW538" s="64"/>
      <c r="CX538" s="64"/>
      <c r="CY538" s="64"/>
      <c r="CZ538" s="64"/>
      <c r="DA538" s="64"/>
      <c r="DB538" s="64"/>
      <c r="DC538" s="72">
        <v>0.0</v>
      </c>
      <c r="DD538" s="72">
        <v>0.0</v>
      </c>
      <c r="DE538" s="72">
        <v>0.0</v>
      </c>
      <c r="DF538" s="72">
        <v>0.0</v>
      </c>
      <c r="DG538" s="72">
        <v>0.0</v>
      </c>
      <c r="DH538" s="72">
        <v>0.0</v>
      </c>
      <c r="DI538" s="73">
        <v>2.0613667203E10</v>
      </c>
      <c r="DJ538" s="74" t="s">
        <v>1663</v>
      </c>
      <c r="DK538" s="74" t="s">
        <v>138</v>
      </c>
      <c r="DL538" s="75"/>
      <c r="DM538" s="75"/>
      <c r="DN538" s="75"/>
      <c r="DO538" s="75"/>
      <c r="DP538" s="75"/>
      <c r="DQ538" s="75"/>
      <c r="DR538" s="75"/>
      <c r="DS538" s="75"/>
      <c r="DT538" s="75"/>
      <c r="DU538" s="75"/>
      <c r="DV538" s="75"/>
      <c r="DW538" s="75"/>
      <c r="DX538" s="75"/>
      <c r="DY538" s="75"/>
      <c r="DZ538" s="75"/>
      <c r="EA538" s="75"/>
      <c r="EB538" s="75"/>
      <c r="EC538" s="75"/>
      <c r="ED538" s="75"/>
      <c r="EE538" s="75"/>
    </row>
    <row r="539" ht="47.25" hidden="1" customHeight="1">
      <c r="A539" s="55" t="s">
        <v>1664</v>
      </c>
      <c r="B539" s="55" t="s">
        <v>287</v>
      </c>
      <c r="C539" s="55" t="s">
        <v>1665</v>
      </c>
      <c r="D539" s="55" t="s">
        <v>408</v>
      </c>
      <c r="E539" s="55" t="s">
        <v>1666</v>
      </c>
      <c r="F539" s="55" t="s">
        <v>408</v>
      </c>
      <c r="G539" s="55" t="s">
        <v>376</v>
      </c>
      <c r="H539" s="55" t="s">
        <v>1667</v>
      </c>
      <c r="I539" s="56"/>
      <c r="J539" s="56"/>
      <c r="K539" s="56"/>
      <c r="L539" s="56"/>
      <c r="M539" s="56"/>
      <c r="N539" s="56"/>
      <c r="O539" s="56"/>
      <c r="P539" s="56">
        <v>1.0</v>
      </c>
      <c r="Q539" s="56" t="s">
        <v>131</v>
      </c>
      <c r="R539" s="58" t="str">
        <f t="shared" si="1"/>
        <v>2025</v>
      </c>
      <c r="S539" s="59" t="str">
        <f>SUM(Hoja1!$I539:$P539)</f>
        <v>1</v>
      </c>
      <c r="T539" s="59" t="str">
        <f>IF(OR(Hoja1!$J539=1,Hoja1!$K539=1,Hoja1!$L539=1,Hoja1!$M539=1,Hoja1!$N539=1,Hoja1!$O539=1,Hoja1!$P539=1),"SI","NO")</f>
        <v>SI</v>
      </c>
      <c r="U539" s="59" t="str">
        <f>IF(OR(Hoja1!$K539=1,Hoja1!$L539=1,Hoja1!$M539=1,Hoja1!$N539=1,Hoja1!$O539=1,Hoja1!$P539=1),"SI","NO")</f>
        <v>SI</v>
      </c>
      <c r="V539" s="60">
        <v>0.0</v>
      </c>
      <c r="W539" s="61">
        <v>0.0</v>
      </c>
      <c r="X539" s="61">
        <v>0.0</v>
      </c>
      <c r="Y539" s="60">
        <v>0.0</v>
      </c>
      <c r="Z539" s="61">
        <v>0.0</v>
      </c>
      <c r="AA539" s="61">
        <v>0.0</v>
      </c>
      <c r="AB539" s="60">
        <v>0.0</v>
      </c>
      <c r="AC539" s="61">
        <v>0.0</v>
      </c>
      <c r="AD539" s="61">
        <v>0.0</v>
      </c>
      <c r="AE539" s="60">
        <v>0.0</v>
      </c>
      <c r="AF539" s="61">
        <v>0.0</v>
      </c>
      <c r="AG539" s="61">
        <v>0.0</v>
      </c>
      <c r="AH539" s="60">
        <v>0.0</v>
      </c>
      <c r="AI539" s="61">
        <v>0.0</v>
      </c>
      <c r="AJ539" s="61">
        <v>0.0</v>
      </c>
      <c r="AK539" s="60">
        <v>0.0</v>
      </c>
      <c r="AL539" s="61">
        <v>0.0</v>
      </c>
      <c r="AM539" s="61">
        <v>0.0</v>
      </c>
      <c r="AN539" s="60">
        <v>0.0</v>
      </c>
      <c r="AO539" s="62">
        <v>8.0</v>
      </c>
      <c r="AP539" s="62">
        <v>7.0</v>
      </c>
      <c r="AQ539" s="60">
        <v>15.0</v>
      </c>
      <c r="AR539" s="60" t="str">
        <f>IF(Hoja1!$AQ539&gt;0,Hoja1!$AQ539,IF(Hoja1!$AN539&gt;0,Hoja1!$AN539,IF(Hoja1!$AK539&gt;0,Hoja1!$AK539,IF(Hoja1!$AH539&gt;0,Hoja1!$AH539,IF(Hoja1!$AE539&gt;0,Hoja1!$AE539,IF(Hoja1!$AB539&gt;0,Hoja1!$AB539,IF(Hoja1!$Y539&gt;0,Hoja1!$Y539,IF(Hoja1!$V539&gt;0,Hoja1!$V539," ---"))))))))</f>
        <v>15</v>
      </c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>
        <v>30.0</v>
      </c>
      <c r="BD539" s="63">
        <v>4.0</v>
      </c>
      <c r="BE539" s="64"/>
      <c r="BF539" s="69"/>
      <c r="BG539" s="69"/>
      <c r="BH539" s="64"/>
      <c r="BI539" s="67" t="str">
        <f t="shared" si="185"/>
        <v>#REF!</v>
      </c>
      <c r="BJ539" s="68" t="str">
        <f t="shared" si="186"/>
        <v>#REF!</v>
      </c>
      <c r="BK539" s="69"/>
      <c r="BL539" s="69"/>
      <c r="BM539" s="64"/>
      <c r="BN539" s="67" t="str">
        <f t="shared" si="187"/>
        <v>#REF!</v>
      </c>
      <c r="BO539" s="68" t="str">
        <f t="shared" si="188"/>
        <v>#REF!</v>
      </c>
      <c r="BP539" s="65"/>
      <c r="BQ539" s="65"/>
      <c r="BR539" s="66"/>
      <c r="BS539" s="67" t="str">
        <f t="shared" si="189"/>
        <v>#REF!</v>
      </c>
      <c r="BT539" s="68" t="str">
        <f>'[1]DATA CONSOLIDADA 2018-2025 '!$BR539-Hoja1!$BO539</f>
        <v>#REF!</v>
      </c>
      <c r="BU539" s="69"/>
      <c r="BV539" s="65"/>
      <c r="BW539" s="66"/>
      <c r="BX539" s="67" t="str">
        <f t="shared" si="190"/>
        <v>#REF!</v>
      </c>
      <c r="BY539" s="68" t="str">
        <f t="shared" si="191"/>
        <v>#REF!</v>
      </c>
      <c r="BZ539" s="65"/>
      <c r="CA539" s="65"/>
      <c r="CB539" s="66"/>
      <c r="CC539" s="67" t="str">
        <f t="shared" si="192"/>
        <v>#REF!</v>
      </c>
      <c r="CD539" s="68" t="str">
        <f>'[1]DATA CONSOLIDADA 2018-2025 '!$CB539-Hoja1!$BW539</f>
        <v>#REF!</v>
      </c>
      <c r="CE539" s="70"/>
      <c r="CF539" s="70"/>
      <c r="CG539" s="71"/>
      <c r="CH539" s="67" t="str">
        <f t="shared" si="193"/>
        <v>#REF!</v>
      </c>
      <c r="CI539" s="68" t="str">
        <f>'[1]DATA CONSOLIDADA 2018-2025 '!$CG539-Hoja1!$CB539</f>
        <v>#REF!</v>
      </c>
      <c r="CJ539" s="64" t="str">
        <f t="shared" si="194"/>
        <v>#REF!</v>
      </c>
      <c r="CK539" s="64">
        <v>79159.198072</v>
      </c>
      <c r="CL539" s="64">
        <v>0.0</v>
      </c>
      <c r="CM539" s="64">
        <v>79159.198072</v>
      </c>
      <c r="CN539" s="64" t="str">
        <f t="shared" si="12"/>
        <v>#REF!</v>
      </c>
      <c r="CO539" s="68" t="str">
        <f>'[1]DATA CONSOLIDADA 2018-2025 '!$CM539-Hoja1!$CG539</f>
        <v>#REF!</v>
      </c>
      <c r="CP539" s="70"/>
      <c r="CQ539" s="70"/>
      <c r="CR539" s="70"/>
      <c r="CS539" s="70"/>
      <c r="CT539" s="70"/>
      <c r="CU539" s="70"/>
      <c r="CV539" s="64"/>
      <c r="CW539" s="64"/>
      <c r="CX539" s="64"/>
      <c r="CY539" s="64"/>
      <c r="CZ539" s="64"/>
      <c r="DA539" s="64"/>
      <c r="DB539" s="64"/>
      <c r="DC539" s="72">
        <v>0.0</v>
      </c>
      <c r="DD539" s="72">
        <v>77466.0</v>
      </c>
      <c r="DE539" s="72">
        <v>1693.198072</v>
      </c>
      <c r="DF539" s="72">
        <v>0.0</v>
      </c>
      <c r="DG539" s="72">
        <v>0.0</v>
      </c>
      <c r="DH539" s="72">
        <v>79159.198072</v>
      </c>
      <c r="DI539" s="73">
        <v>2.0610592474E10</v>
      </c>
      <c r="DJ539" s="74" t="s">
        <v>1664</v>
      </c>
      <c r="DK539" s="74" t="s">
        <v>138</v>
      </c>
      <c r="DL539" s="75"/>
      <c r="DM539" s="75"/>
      <c r="DN539" s="75"/>
      <c r="DO539" s="75"/>
      <c r="DP539" s="75"/>
      <c r="DQ539" s="75"/>
      <c r="DR539" s="75"/>
      <c r="DS539" s="75"/>
      <c r="DT539" s="75"/>
      <c r="DU539" s="75"/>
      <c r="DV539" s="75"/>
      <c r="DW539" s="75"/>
      <c r="DX539" s="75"/>
      <c r="DY539" s="75"/>
      <c r="DZ539" s="75"/>
      <c r="EA539" s="75"/>
      <c r="EB539" s="75"/>
      <c r="EC539" s="75"/>
      <c r="ED539" s="75"/>
      <c r="EE539" s="75"/>
    </row>
    <row r="540" ht="47.25" hidden="1" customHeight="1">
      <c r="A540" s="55" t="s">
        <v>1668</v>
      </c>
      <c r="B540" s="55" t="s">
        <v>166</v>
      </c>
      <c r="C540" s="55" t="s">
        <v>166</v>
      </c>
      <c r="D540" s="55" t="s">
        <v>563</v>
      </c>
      <c r="E540" s="55" t="s">
        <v>1669</v>
      </c>
      <c r="F540" s="55" t="s">
        <v>563</v>
      </c>
      <c r="G540" s="55" t="s">
        <v>1273</v>
      </c>
      <c r="H540" s="55" t="s">
        <v>1670</v>
      </c>
      <c r="I540" s="56"/>
      <c r="J540" s="56"/>
      <c r="K540" s="56"/>
      <c r="L540" s="56"/>
      <c r="M540" s="56"/>
      <c r="N540" s="56"/>
      <c r="O540" s="56"/>
      <c r="P540" s="56">
        <v>1.0</v>
      </c>
      <c r="Q540" s="56" t="s">
        <v>131</v>
      </c>
      <c r="R540" s="58" t="str">
        <f t="shared" si="1"/>
        <v>2025</v>
      </c>
      <c r="S540" s="59" t="str">
        <f>SUM(Hoja1!$I540:$P540)</f>
        <v>1</v>
      </c>
      <c r="T540" s="59" t="str">
        <f>IF(OR(Hoja1!$J540=1,Hoja1!$K540=1,Hoja1!$L540=1,Hoja1!$M540=1,Hoja1!$N540=1,Hoja1!$O540=1,Hoja1!$P540=1),"SI","NO")</f>
        <v>SI</v>
      </c>
      <c r="U540" s="59" t="str">
        <f>IF(OR(Hoja1!$K540=1,Hoja1!$L540=1,Hoja1!$M540=1,Hoja1!$N540=1,Hoja1!$O540=1,Hoja1!$P540=1),"SI","NO")</f>
        <v>SI</v>
      </c>
      <c r="V540" s="60">
        <v>0.0</v>
      </c>
      <c r="W540" s="61">
        <v>0.0</v>
      </c>
      <c r="X540" s="61">
        <v>0.0</v>
      </c>
      <c r="Y540" s="60">
        <v>0.0</v>
      </c>
      <c r="Z540" s="61">
        <v>0.0</v>
      </c>
      <c r="AA540" s="61">
        <v>0.0</v>
      </c>
      <c r="AB540" s="60">
        <v>0.0</v>
      </c>
      <c r="AC540" s="61">
        <v>0.0</v>
      </c>
      <c r="AD540" s="61">
        <v>0.0</v>
      </c>
      <c r="AE540" s="60">
        <v>0.0</v>
      </c>
      <c r="AF540" s="61">
        <v>0.0</v>
      </c>
      <c r="AG540" s="61">
        <v>0.0</v>
      </c>
      <c r="AH540" s="60">
        <v>0.0</v>
      </c>
      <c r="AI540" s="61">
        <v>0.0</v>
      </c>
      <c r="AJ540" s="61">
        <v>0.0</v>
      </c>
      <c r="AK540" s="60">
        <v>0.0</v>
      </c>
      <c r="AL540" s="61">
        <v>0.0</v>
      </c>
      <c r="AM540" s="61">
        <v>0.0</v>
      </c>
      <c r="AN540" s="60">
        <v>0.0</v>
      </c>
      <c r="AO540" s="62">
        <v>20.0</v>
      </c>
      <c r="AP540" s="62">
        <v>4.0</v>
      </c>
      <c r="AQ540" s="60">
        <v>24.0</v>
      </c>
      <c r="AR540" s="60" t="str">
        <f>IF(Hoja1!$AQ540&gt;0,Hoja1!$AQ540,IF(Hoja1!$AN540&gt;0,Hoja1!$AN540,IF(Hoja1!$AK540&gt;0,Hoja1!$AK540,IF(Hoja1!$AH540&gt;0,Hoja1!$AH540,IF(Hoja1!$AE540&gt;0,Hoja1!$AE540,IF(Hoja1!$AB540&gt;0,Hoja1!$AB540,IF(Hoja1!$Y540&gt;0,Hoja1!$Y540,IF(Hoja1!$V540&gt;0,Hoja1!$V540," ---"))))))))</f>
        <v>24</v>
      </c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>
        <v>23.0</v>
      </c>
      <c r="BD540" s="63">
        <v>6.0</v>
      </c>
      <c r="BE540" s="64"/>
      <c r="BF540" s="69"/>
      <c r="BG540" s="69"/>
      <c r="BH540" s="64"/>
      <c r="BI540" s="67" t="str">
        <f t="shared" si="185"/>
        <v>#REF!</v>
      </c>
      <c r="BJ540" s="68" t="str">
        <f t="shared" si="186"/>
        <v>#REF!</v>
      </c>
      <c r="BK540" s="69"/>
      <c r="BL540" s="69"/>
      <c r="BM540" s="64"/>
      <c r="BN540" s="67" t="str">
        <f t="shared" si="187"/>
        <v>#REF!</v>
      </c>
      <c r="BO540" s="68" t="str">
        <f t="shared" si="188"/>
        <v>#REF!</v>
      </c>
      <c r="BP540" s="65"/>
      <c r="BQ540" s="65"/>
      <c r="BR540" s="66"/>
      <c r="BS540" s="67" t="str">
        <f t="shared" si="189"/>
        <v>#REF!</v>
      </c>
      <c r="BT540" s="68" t="str">
        <f>'[1]DATA CONSOLIDADA 2018-2025 '!$BR540-Hoja1!$BO540</f>
        <v>#REF!</v>
      </c>
      <c r="BU540" s="69"/>
      <c r="BV540" s="65"/>
      <c r="BW540" s="66"/>
      <c r="BX540" s="67" t="str">
        <f t="shared" si="190"/>
        <v>#REF!</v>
      </c>
      <c r="BY540" s="68" t="str">
        <f t="shared" si="191"/>
        <v>#REF!</v>
      </c>
      <c r="BZ540" s="65"/>
      <c r="CA540" s="65"/>
      <c r="CB540" s="66"/>
      <c r="CC540" s="67" t="str">
        <f t="shared" si="192"/>
        <v>#REF!</v>
      </c>
      <c r="CD540" s="68" t="str">
        <f>'[1]DATA CONSOLIDADA 2018-2025 '!$CB540-Hoja1!$BW540</f>
        <v>#REF!</v>
      </c>
      <c r="CE540" s="70"/>
      <c r="CF540" s="70"/>
      <c r="CG540" s="71"/>
      <c r="CH540" s="67" t="str">
        <f t="shared" si="193"/>
        <v>#REF!</v>
      </c>
      <c r="CI540" s="68" t="str">
        <f>'[1]DATA CONSOLIDADA 2018-2025 '!$CG540-Hoja1!$CB540</f>
        <v>#REF!</v>
      </c>
      <c r="CJ540" s="64" t="str">
        <f t="shared" si="194"/>
        <v>#REF!</v>
      </c>
      <c r="CK540" s="64">
        <v>0.0</v>
      </c>
      <c r="CL540" s="64">
        <v>0.0</v>
      </c>
      <c r="CM540" s="64">
        <v>0.0</v>
      </c>
      <c r="CN540" s="64" t="str">
        <f t="shared" si="12"/>
        <v>#REF!</v>
      </c>
      <c r="CO540" s="68" t="str">
        <f>'[1]DATA CONSOLIDADA 2018-2025 '!$CM540-Hoja1!$CG540</f>
        <v>#REF!</v>
      </c>
      <c r="CP540" s="70"/>
      <c r="CQ540" s="70"/>
      <c r="CR540" s="70"/>
      <c r="CS540" s="70"/>
      <c r="CT540" s="70"/>
      <c r="CU540" s="70"/>
      <c r="CV540" s="64"/>
      <c r="CW540" s="64"/>
      <c r="CX540" s="64"/>
      <c r="CY540" s="64"/>
      <c r="CZ540" s="64"/>
      <c r="DA540" s="64"/>
      <c r="DB540" s="64"/>
      <c r="DC540" s="72">
        <v>0.0</v>
      </c>
      <c r="DD540" s="72">
        <v>0.0</v>
      </c>
      <c r="DE540" s="72">
        <v>0.0</v>
      </c>
      <c r="DF540" s="72">
        <v>0.0</v>
      </c>
      <c r="DG540" s="72">
        <v>0.0</v>
      </c>
      <c r="DH540" s="72">
        <v>0.0</v>
      </c>
      <c r="DI540" s="73">
        <v>2.0607063576E10</v>
      </c>
      <c r="DJ540" s="74" t="s">
        <v>1671</v>
      </c>
      <c r="DK540" s="74" t="s">
        <v>138</v>
      </c>
      <c r="DL540" s="75"/>
      <c r="DM540" s="75"/>
      <c r="DN540" s="75"/>
      <c r="DO540" s="75"/>
      <c r="DP540" s="75"/>
      <c r="DQ540" s="75"/>
      <c r="DR540" s="75"/>
      <c r="DS540" s="75"/>
      <c r="DT540" s="75"/>
      <c r="DU540" s="75"/>
      <c r="DV540" s="75"/>
      <c r="DW540" s="75"/>
      <c r="DX540" s="75"/>
      <c r="DY540" s="75"/>
      <c r="DZ540" s="75"/>
      <c r="EA540" s="75"/>
      <c r="EB540" s="75"/>
      <c r="EC540" s="75"/>
      <c r="ED540" s="75"/>
      <c r="EE540" s="75"/>
    </row>
    <row r="541" ht="47.25" hidden="1" customHeight="1">
      <c r="A541" s="55" t="s">
        <v>1672</v>
      </c>
      <c r="B541" s="55" t="s">
        <v>166</v>
      </c>
      <c r="C541" s="55" t="s">
        <v>166</v>
      </c>
      <c r="D541" s="55" t="s">
        <v>563</v>
      </c>
      <c r="E541" s="55" t="s">
        <v>1673</v>
      </c>
      <c r="F541" s="55" t="s">
        <v>563</v>
      </c>
      <c r="G541" s="55" t="s">
        <v>1273</v>
      </c>
      <c r="H541" s="55" t="s">
        <v>1674</v>
      </c>
      <c r="I541" s="56"/>
      <c r="J541" s="56"/>
      <c r="K541" s="56"/>
      <c r="L541" s="56"/>
      <c r="M541" s="56"/>
      <c r="N541" s="56"/>
      <c r="O541" s="56"/>
      <c r="P541" s="56">
        <v>1.0</v>
      </c>
      <c r="Q541" s="56" t="s">
        <v>131</v>
      </c>
      <c r="R541" s="58" t="str">
        <f t="shared" si="1"/>
        <v>2025</v>
      </c>
      <c r="S541" s="59" t="str">
        <f>SUM(Hoja1!$I541:$P541)</f>
        <v>1</v>
      </c>
      <c r="T541" s="59" t="str">
        <f>IF(OR(Hoja1!$J541=1,Hoja1!$K541=1,Hoja1!$L541=1,Hoja1!$M541=1,Hoja1!$N541=1,Hoja1!$O541=1,Hoja1!$P541=1),"SI","NO")</f>
        <v>SI</v>
      </c>
      <c r="U541" s="59" t="str">
        <f>IF(OR(Hoja1!$K541=1,Hoja1!$L541=1,Hoja1!$M541=1,Hoja1!$N541=1,Hoja1!$O541=1,Hoja1!$P541=1),"SI","NO")</f>
        <v>SI</v>
      </c>
      <c r="V541" s="60">
        <v>0.0</v>
      </c>
      <c r="W541" s="61">
        <v>0.0</v>
      </c>
      <c r="X541" s="61">
        <v>0.0</v>
      </c>
      <c r="Y541" s="60">
        <v>0.0</v>
      </c>
      <c r="Z541" s="61">
        <v>0.0</v>
      </c>
      <c r="AA541" s="61">
        <v>0.0</v>
      </c>
      <c r="AB541" s="60">
        <v>0.0</v>
      </c>
      <c r="AC541" s="61">
        <v>0.0</v>
      </c>
      <c r="AD541" s="61">
        <v>0.0</v>
      </c>
      <c r="AE541" s="60">
        <v>0.0</v>
      </c>
      <c r="AF541" s="61">
        <v>0.0</v>
      </c>
      <c r="AG541" s="61">
        <v>0.0</v>
      </c>
      <c r="AH541" s="60">
        <v>0.0</v>
      </c>
      <c r="AI541" s="61">
        <v>0.0</v>
      </c>
      <c r="AJ541" s="61">
        <v>0.0</v>
      </c>
      <c r="AK541" s="60">
        <v>0.0</v>
      </c>
      <c r="AL541" s="61">
        <v>0.0</v>
      </c>
      <c r="AM541" s="61">
        <v>0.0</v>
      </c>
      <c r="AN541" s="60">
        <v>0.0</v>
      </c>
      <c r="AO541" s="62">
        <v>34.0</v>
      </c>
      <c r="AP541" s="62">
        <v>8.0</v>
      </c>
      <c r="AQ541" s="60">
        <v>42.0</v>
      </c>
      <c r="AR541" s="60" t="str">
        <f>IF(Hoja1!$AQ541&gt;0,Hoja1!$AQ541,IF(Hoja1!$AN541&gt;0,Hoja1!$AN541,IF(Hoja1!$AK541&gt;0,Hoja1!$AK541,IF(Hoja1!$AH541&gt;0,Hoja1!$AH541,IF(Hoja1!$AE541&gt;0,Hoja1!$AE541,IF(Hoja1!$AB541&gt;0,Hoja1!$AB541,IF(Hoja1!$Y541&gt;0,Hoja1!$Y541,IF(Hoja1!$V541&gt;0,Hoja1!$V541," ---"))))))))</f>
        <v>42</v>
      </c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>
        <v>23.0</v>
      </c>
      <c r="BD541" s="63">
        <v>6.0</v>
      </c>
      <c r="BE541" s="64"/>
      <c r="BF541" s="69"/>
      <c r="BG541" s="69"/>
      <c r="BH541" s="64"/>
      <c r="BI541" s="67" t="str">
        <f t="shared" si="185"/>
        <v>#REF!</v>
      </c>
      <c r="BJ541" s="68" t="str">
        <f t="shared" si="186"/>
        <v>#REF!</v>
      </c>
      <c r="BK541" s="69"/>
      <c r="BL541" s="69"/>
      <c r="BM541" s="64"/>
      <c r="BN541" s="67" t="str">
        <f t="shared" si="187"/>
        <v>#REF!</v>
      </c>
      <c r="BO541" s="68" t="str">
        <f t="shared" si="188"/>
        <v>#REF!</v>
      </c>
      <c r="BP541" s="65"/>
      <c r="BQ541" s="65"/>
      <c r="BR541" s="66"/>
      <c r="BS541" s="67" t="str">
        <f t="shared" si="189"/>
        <v>#REF!</v>
      </c>
      <c r="BT541" s="68" t="str">
        <f>'[1]DATA CONSOLIDADA 2018-2025 '!$BR541-Hoja1!$BO541</f>
        <v>#REF!</v>
      </c>
      <c r="BU541" s="69"/>
      <c r="BV541" s="65"/>
      <c r="BW541" s="66"/>
      <c r="BX541" s="67" t="str">
        <f t="shared" si="190"/>
        <v>#REF!</v>
      </c>
      <c r="BY541" s="68" t="str">
        <f t="shared" si="191"/>
        <v>#REF!</v>
      </c>
      <c r="BZ541" s="65"/>
      <c r="CA541" s="65"/>
      <c r="CB541" s="66"/>
      <c r="CC541" s="67" t="str">
        <f t="shared" si="192"/>
        <v>#REF!</v>
      </c>
      <c r="CD541" s="68" t="str">
        <f>'[1]DATA CONSOLIDADA 2018-2025 '!$CB541-Hoja1!$BW541</f>
        <v>#REF!</v>
      </c>
      <c r="CE541" s="70"/>
      <c r="CF541" s="70"/>
      <c r="CG541" s="71"/>
      <c r="CH541" s="67" t="str">
        <f t="shared" si="193"/>
        <v>#REF!</v>
      </c>
      <c r="CI541" s="68" t="str">
        <f>'[1]DATA CONSOLIDADA 2018-2025 '!$CG541-Hoja1!$CB541</f>
        <v>#REF!</v>
      </c>
      <c r="CJ541" s="64" t="str">
        <f t="shared" si="194"/>
        <v>#REF!</v>
      </c>
      <c r="CK541" s="64">
        <v>0.0</v>
      </c>
      <c r="CL541" s="64">
        <v>0.0</v>
      </c>
      <c r="CM541" s="64">
        <v>0.0</v>
      </c>
      <c r="CN541" s="64" t="str">
        <f t="shared" si="12"/>
        <v>#REF!</v>
      </c>
      <c r="CO541" s="68" t="str">
        <f>'[1]DATA CONSOLIDADA 2018-2025 '!$CM541-Hoja1!$CG541</f>
        <v>#REF!</v>
      </c>
      <c r="CP541" s="70"/>
      <c r="CQ541" s="70"/>
      <c r="CR541" s="70"/>
      <c r="CS541" s="70"/>
      <c r="CT541" s="70"/>
      <c r="CU541" s="70"/>
      <c r="CV541" s="64"/>
      <c r="CW541" s="64"/>
      <c r="CX541" s="64"/>
      <c r="CY541" s="64"/>
      <c r="CZ541" s="64"/>
      <c r="DA541" s="64"/>
      <c r="DB541" s="64"/>
      <c r="DC541" s="72">
        <v>0.0</v>
      </c>
      <c r="DD541" s="72">
        <v>0.0</v>
      </c>
      <c r="DE541" s="72">
        <v>0.0</v>
      </c>
      <c r="DF541" s="72">
        <v>0.0</v>
      </c>
      <c r="DG541" s="72">
        <v>0.0</v>
      </c>
      <c r="DH541" s="72">
        <v>0.0</v>
      </c>
      <c r="DI541" s="73">
        <v>2.0609203359E10</v>
      </c>
      <c r="DJ541" s="74" t="s">
        <v>1672</v>
      </c>
      <c r="DK541" s="74" t="s">
        <v>138</v>
      </c>
      <c r="DL541" s="75"/>
      <c r="DM541" s="75"/>
      <c r="DN541" s="75"/>
      <c r="DO541" s="75"/>
      <c r="DP541" s="75"/>
      <c r="DQ541" s="75"/>
      <c r="DR541" s="75"/>
      <c r="DS541" s="75"/>
      <c r="DT541" s="75"/>
      <c r="DU541" s="75"/>
      <c r="DV541" s="75"/>
      <c r="DW541" s="75"/>
      <c r="DX541" s="75"/>
      <c r="DY541" s="75"/>
      <c r="DZ541" s="75"/>
      <c r="EA541" s="75"/>
      <c r="EB541" s="75"/>
      <c r="EC541" s="75"/>
      <c r="ED541" s="75"/>
      <c r="EE541" s="75"/>
    </row>
    <row r="542" ht="47.25" hidden="1" customHeight="1">
      <c r="A542" s="55" t="s">
        <v>1675</v>
      </c>
      <c r="B542" s="55" t="s">
        <v>166</v>
      </c>
      <c r="C542" s="55" t="s">
        <v>166</v>
      </c>
      <c r="D542" s="55" t="s">
        <v>563</v>
      </c>
      <c r="E542" s="55" t="s">
        <v>1278</v>
      </c>
      <c r="F542" s="55" t="s">
        <v>563</v>
      </c>
      <c r="G542" s="55" t="s">
        <v>577</v>
      </c>
      <c r="H542" s="55" t="s">
        <v>577</v>
      </c>
      <c r="I542" s="56"/>
      <c r="J542" s="56"/>
      <c r="K542" s="56"/>
      <c r="L542" s="56"/>
      <c r="M542" s="56"/>
      <c r="N542" s="56"/>
      <c r="O542" s="56"/>
      <c r="P542" s="56">
        <v>1.0</v>
      </c>
      <c r="Q542" s="56" t="s">
        <v>131</v>
      </c>
      <c r="R542" s="58" t="str">
        <f t="shared" si="1"/>
        <v>2025</v>
      </c>
      <c r="S542" s="59" t="str">
        <f>SUM(Hoja1!$I542:$P542)</f>
        <v>1</v>
      </c>
      <c r="T542" s="59" t="str">
        <f>IF(OR(Hoja1!$J542=1,Hoja1!$K542=1,Hoja1!$L542=1,Hoja1!$M542=1,Hoja1!$N542=1,Hoja1!$O542=1,Hoja1!$P542=1),"SI","NO")</f>
        <v>SI</v>
      </c>
      <c r="U542" s="59" t="str">
        <f>IF(OR(Hoja1!$K542=1,Hoja1!$L542=1,Hoja1!$M542=1,Hoja1!$N542=1,Hoja1!$O542=1,Hoja1!$P542=1),"SI","NO")</f>
        <v>SI</v>
      </c>
      <c r="V542" s="60">
        <v>0.0</v>
      </c>
      <c r="W542" s="61">
        <v>0.0</v>
      </c>
      <c r="X542" s="61">
        <v>0.0</v>
      </c>
      <c r="Y542" s="60">
        <v>0.0</v>
      </c>
      <c r="Z542" s="61">
        <v>0.0</v>
      </c>
      <c r="AA542" s="61">
        <v>0.0</v>
      </c>
      <c r="AB542" s="60">
        <v>0.0</v>
      </c>
      <c r="AC542" s="61">
        <v>0.0</v>
      </c>
      <c r="AD542" s="61">
        <v>0.0</v>
      </c>
      <c r="AE542" s="60">
        <v>0.0</v>
      </c>
      <c r="AF542" s="61">
        <v>0.0</v>
      </c>
      <c r="AG542" s="61">
        <v>0.0</v>
      </c>
      <c r="AH542" s="60">
        <v>0.0</v>
      </c>
      <c r="AI542" s="61">
        <v>0.0</v>
      </c>
      <c r="AJ542" s="61">
        <v>0.0</v>
      </c>
      <c r="AK542" s="60">
        <v>0.0</v>
      </c>
      <c r="AL542" s="61">
        <v>0.0</v>
      </c>
      <c r="AM542" s="61">
        <v>0.0</v>
      </c>
      <c r="AN542" s="60">
        <v>0.0</v>
      </c>
      <c r="AO542" s="62">
        <v>13.0</v>
      </c>
      <c r="AP542" s="62">
        <v>6.0</v>
      </c>
      <c r="AQ542" s="60">
        <v>19.0</v>
      </c>
      <c r="AR542" s="60" t="str">
        <f>IF(Hoja1!$AQ542&gt;0,Hoja1!$AQ542,IF(Hoja1!$AN542&gt;0,Hoja1!$AN542,IF(Hoja1!$AK542&gt;0,Hoja1!$AK542,IF(Hoja1!$AH542&gt;0,Hoja1!$AH542,IF(Hoja1!$AE542&gt;0,Hoja1!$AE542,IF(Hoja1!$AB542&gt;0,Hoja1!$AB542,IF(Hoja1!$Y542&gt;0,Hoja1!$Y542,IF(Hoja1!$V542&gt;0,Hoja1!$V542," ---"))))))))</f>
        <v>19</v>
      </c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>
        <v>23.0</v>
      </c>
      <c r="BD542" s="63">
        <v>6.0</v>
      </c>
      <c r="BE542" s="64"/>
      <c r="BF542" s="69"/>
      <c r="BG542" s="69"/>
      <c r="BH542" s="64"/>
      <c r="BI542" s="67" t="str">
        <f t="shared" si="185"/>
        <v>#REF!</v>
      </c>
      <c r="BJ542" s="68" t="str">
        <f t="shared" si="186"/>
        <v>#REF!</v>
      </c>
      <c r="BK542" s="69"/>
      <c r="BL542" s="69"/>
      <c r="BM542" s="64"/>
      <c r="BN542" s="67" t="str">
        <f t="shared" si="187"/>
        <v>#REF!</v>
      </c>
      <c r="BO542" s="68" t="str">
        <f t="shared" si="188"/>
        <v>#REF!</v>
      </c>
      <c r="BP542" s="65"/>
      <c r="BQ542" s="65"/>
      <c r="BR542" s="66"/>
      <c r="BS542" s="67" t="str">
        <f t="shared" si="189"/>
        <v>#REF!</v>
      </c>
      <c r="BT542" s="68" t="str">
        <f>'[1]DATA CONSOLIDADA 2018-2025 '!$BR542-Hoja1!$BO542</f>
        <v>#REF!</v>
      </c>
      <c r="BU542" s="69"/>
      <c r="BV542" s="65"/>
      <c r="BW542" s="66"/>
      <c r="BX542" s="67" t="str">
        <f t="shared" si="190"/>
        <v>#REF!</v>
      </c>
      <c r="BY542" s="68" t="str">
        <f t="shared" si="191"/>
        <v>#REF!</v>
      </c>
      <c r="BZ542" s="65"/>
      <c r="CA542" s="65"/>
      <c r="CB542" s="66"/>
      <c r="CC542" s="67" t="str">
        <f t="shared" si="192"/>
        <v>#REF!</v>
      </c>
      <c r="CD542" s="68" t="str">
        <f>'[1]DATA CONSOLIDADA 2018-2025 '!$CB542-Hoja1!$BW542</f>
        <v>#REF!</v>
      </c>
      <c r="CE542" s="70"/>
      <c r="CF542" s="70"/>
      <c r="CG542" s="71"/>
      <c r="CH542" s="67" t="str">
        <f t="shared" si="193"/>
        <v>#REF!</v>
      </c>
      <c r="CI542" s="68" t="str">
        <f>'[1]DATA CONSOLIDADA 2018-2025 '!$CG542-Hoja1!$CB542</f>
        <v>#REF!</v>
      </c>
      <c r="CJ542" s="64" t="str">
        <f t="shared" si="194"/>
        <v>#REF!</v>
      </c>
      <c r="CK542" s="64">
        <v>0.0</v>
      </c>
      <c r="CL542" s="64">
        <v>0.0</v>
      </c>
      <c r="CM542" s="64">
        <v>0.0</v>
      </c>
      <c r="CN542" s="64" t="str">
        <f t="shared" si="12"/>
        <v>#REF!</v>
      </c>
      <c r="CO542" s="68" t="str">
        <f>'[1]DATA CONSOLIDADA 2018-2025 '!$CM542-Hoja1!$CG542</f>
        <v>#REF!</v>
      </c>
      <c r="CP542" s="70"/>
      <c r="CQ542" s="70"/>
      <c r="CR542" s="70"/>
      <c r="CS542" s="70"/>
      <c r="CT542" s="70"/>
      <c r="CU542" s="70"/>
      <c r="CV542" s="64"/>
      <c r="CW542" s="64"/>
      <c r="CX542" s="64"/>
      <c r="CY542" s="64"/>
      <c r="CZ542" s="64"/>
      <c r="DA542" s="64"/>
      <c r="DB542" s="64"/>
      <c r="DC542" s="72">
        <v>0.0</v>
      </c>
      <c r="DD542" s="72">
        <v>0.0</v>
      </c>
      <c r="DE542" s="72">
        <v>0.0</v>
      </c>
      <c r="DF542" s="72">
        <v>0.0</v>
      </c>
      <c r="DG542" s="72">
        <v>0.0</v>
      </c>
      <c r="DH542" s="72">
        <v>0.0</v>
      </c>
      <c r="DI542" s="73">
        <v>2.0600594843E10</v>
      </c>
      <c r="DJ542" s="74" t="s">
        <v>1675</v>
      </c>
      <c r="DK542" s="74" t="s">
        <v>138</v>
      </c>
      <c r="DL542" s="75"/>
      <c r="DM542" s="75"/>
      <c r="DN542" s="75"/>
      <c r="DO542" s="75"/>
      <c r="DP542" s="75"/>
      <c r="DQ542" s="75"/>
      <c r="DR542" s="75"/>
      <c r="DS542" s="75"/>
      <c r="DT542" s="75"/>
      <c r="DU542" s="75"/>
      <c r="DV542" s="75"/>
      <c r="DW542" s="75"/>
      <c r="DX542" s="75"/>
      <c r="DY542" s="75"/>
      <c r="DZ542" s="75"/>
      <c r="EA542" s="75"/>
      <c r="EB542" s="75"/>
      <c r="EC542" s="75"/>
      <c r="ED542" s="75"/>
      <c r="EE542" s="75"/>
    </row>
    <row r="543" ht="47.25" hidden="1" customHeight="1">
      <c r="A543" s="55" t="s">
        <v>1676</v>
      </c>
      <c r="B543" s="55" t="s">
        <v>166</v>
      </c>
      <c r="C543" s="55" t="s">
        <v>166</v>
      </c>
      <c r="D543" s="55" t="s">
        <v>563</v>
      </c>
      <c r="E543" s="55" t="s">
        <v>1673</v>
      </c>
      <c r="F543" s="55" t="s">
        <v>563</v>
      </c>
      <c r="G543" s="55" t="s">
        <v>1273</v>
      </c>
      <c r="H543" s="55" t="s">
        <v>1674</v>
      </c>
      <c r="I543" s="56"/>
      <c r="J543" s="56"/>
      <c r="K543" s="56"/>
      <c r="L543" s="56"/>
      <c r="M543" s="56"/>
      <c r="N543" s="56"/>
      <c r="O543" s="56"/>
      <c r="P543" s="56">
        <v>1.0</v>
      </c>
      <c r="Q543" s="56" t="s">
        <v>131</v>
      </c>
      <c r="R543" s="58" t="str">
        <f t="shared" si="1"/>
        <v>2025</v>
      </c>
      <c r="S543" s="59" t="str">
        <f>SUM(Hoja1!$I543:$P543)</f>
        <v>1</v>
      </c>
      <c r="T543" s="59" t="str">
        <f>IF(OR(Hoja1!$J543=1,Hoja1!$K543=1,Hoja1!$L543=1,Hoja1!$M543=1,Hoja1!$N543=1,Hoja1!$O543=1,Hoja1!$P543=1),"SI","NO")</f>
        <v>SI</v>
      </c>
      <c r="U543" s="59" t="str">
        <f>IF(OR(Hoja1!$K543=1,Hoja1!$L543=1,Hoja1!$M543=1,Hoja1!$N543=1,Hoja1!$O543=1,Hoja1!$P543=1),"SI","NO")</f>
        <v>SI</v>
      </c>
      <c r="V543" s="60">
        <v>0.0</v>
      </c>
      <c r="W543" s="61">
        <v>0.0</v>
      </c>
      <c r="X543" s="61">
        <v>0.0</v>
      </c>
      <c r="Y543" s="60">
        <v>0.0</v>
      </c>
      <c r="Z543" s="61">
        <v>0.0</v>
      </c>
      <c r="AA543" s="61">
        <v>0.0</v>
      </c>
      <c r="AB543" s="60">
        <v>0.0</v>
      </c>
      <c r="AC543" s="61">
        <v>0.0</v>
      </c>
      <c r="AD543" s="61">
        <v>0.0</v>
      </c>
      <c r="AE543" s="60">
        <v>0.0</v>
      </c>
      <c r="AF543" s="61">
        <v>0.0</v>
      </c>
      <c r="AG543" s="61">
        <v>0.0</v>
      </c>
      <c r="AH543" s="60">
        <v>0.0</v>
      </c>
      <c r="AI543" s="61">
        <v>0.0</v>
      </c>
      <c r="AJ543" s="61">
        <v>0.0</v>
      </c>
      <c r="AK543" s="60">
        <v>0.0</v>
      </c>
      <c r="AL543" s="61">
        <v>0.0</v>
      </c>
      <c r="AM543" s="61">
        <v>0.0</v>
      </c>
      <c r="AN543" s="60">
        <v>0.0</v>
      </c>
      <c r="AO543" s="62">
        <v>6.0</v>
      </c>
      <c r="AP543" s="62">
        <v>10.0</v>
      </c>
      <c r="AQ543" s="60">
        <v>16.0</v>
      </c>
      <c r="AR543" s="60" t="str">
        <f>IF(Hoja1!$AQ543&gt;0,Hoja1!$AQ543,IF(Hoja1!$AN543&gt;0,Hoja1!$AN543,IF(Hoja1!$AK543&gt;0,Hoja1!$AK543,IF(Hoja1!$AH543&gt;0,Hoja1!$AH543,IF(Hoja1!$AE543&gt;0,Hoja1!$AE543,IF(Hoja1!$AB543&gt;0,Hoja1!$AB543,IF(Hoja1!$Y543&gt;0,Hoja1!$Y543,IF(Hoja1!$V543&gt;0,Hoja1!$V543," ---"))))))))</f>
        <v>16</v>
      </c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>
        <v>23.0</v>
      </c>
      <c r="BD543" s="63">
        <v>6.0</v>
      </c>
      <c r="BE543" s="64"/>
      <c r="BF543" s="69"/>
      <c r="BG543" s="69"/>
      <c r="BH543" s="64"/>
      <c r="BI543" s="67" t="str">
        <f t="shared" si="185"/>
        <v>#REF!</v>
      </c>
      <c r="BJ543" s="68" t="str">
        <f t="shared" si="186"/>
        <v>#REF!</v>
      </c>
      <c r="BK543" s="69"/>
      <c r="BL543" s="69"/>
      <c r="BM543" s="64"/>
      <c r="BN543" s="67" t="str">
        <f t="shared" si="187"/>
        <v>#REF!</v>
      </c>
      <c r="BO543" s="68" t="str">
        <f t="shared" si="188"/>
        <v>#REF!</v>
      </c>
      <c r="BP543" s="65"/>
      <c r="BQ543" s="65"/>
      <c r="BR543" s="66"/>
      <c r="BS543" s="67" t="str">
        <f t="shared" si="189"/>
        <v>#REF!</v>
      </c>
      <c r="BT543" s="68" t="str">
        <f>'[1]DATA CONSOLIDADA 2018-2025 '!$BR543-Hoja1!$BO543</f>
        <v>#REF!</v>
      </c>
      <c r="BU543" s="69"/>
      <c r="BV543" s="65"/>
      <c r="BW543" s="66"/>
      <c r="BX543" s="67" t="str">
        <f t="shared" si="190"/>
        <v>#REF!</v>
      </c>
      <c r="BY543" s="68" t="str">
        <f t="shared" si="191"/>
        <v>#REF!</v>
      </c>
      <c r="BZ543" s="65"/>
      <c r="CA543" s="65"/>
      <c r="CB543" s="66"/>
      <c r="CC543" s="67" t="str">
        <f t="shared" si="192"/>
        <v>#REF!</v>
      </c>
      <c r="CD543" s="68" t="str">
        <f>'[1]DATA CONSOLIDADA 2018-2025 '!$CB543-Hoja1!$BW543</f>
        <v>#REF!</v>
      </c>
      <c r="CE543" s="70"/>
      <c r="CF543" s="70"/>
      <c r="CG543" s="71"/>
      <c r="CH543" s="67" t="str">
        <f t="shared" si="193"/>
        <v>#REF!</v>
      </c>
      <c r="CI543" s="68" t="str">
        <f>'[1]DATA CONSOLIDADA 2018-2025 '!$CG543-Hoja1!$CB543</f>
        <v>#REF!</v>
      </c>
      <c r="CJ543" s="64" t="str">
        <f t="shared" si="194"/>
        <v>#REF!</v>
      </c>
      <c r="CK543" s="64">
        <v>580552.0</v>
      </c>
      <c r="CL543" s="64">
        <v>0.0</v>
      </c>
      <c r="CM543" s="64">
        <v>580552.0</v>
      </c>
      <c r="CN543" s="64" t="str">
        <f t="shared" si="12"/>
        <v>#REF!</v>
      </c>
      <c r="CO543" s="68" t="str">
        <f>'[1]DATA CONSOLIDADA 2018-2025 '!$CM543-Hoja1!$CG543</f>
        <v>#REF!</v>
      </c>
      <c r="CP543" s="70"/>
      <c r="CQ543" s="70"/>
      <c r="CR543" s="70"/>
      <c r="CS543" s="70"/>
      <c r="CT543" s="70"/>
      <c r="CU543" s="70"/>
      <c r="CV543" s="64"/>
      <c r="CW543" s="64"/>
      <c r="CX543" s="64"/>
      <c r="CY543" s="64"/>
      <c r="CZ543" s="64"/>
      <c r="DA543" s="64"/>
      <c r="DB543" s="64"/>
      <c r="DC543" s="72">
        <v>0.0</v>
      </c>
      <c r="DD543" s="72">
        <v>580552.0</v>
      </c>
      <c r="DE543" s="72">
        <v>0.0</v>
      </c>
      <c r="DF543" s="72">
        <v>0.0</v>
      </c>
      <c r="DG543" s="72">
        <v>0.0</v>
      </c>
      <c r="DH543" s="72">
        <v>580552.0</v>
      </c>
      <c r="DI543" s="73">
        <v>2.0608699041E10</v>
      </c>
      <c r="DJ543" s="74" t="s">
        <v>1676</v>
      </c>
      <c r="DK543" s="74" t="s">
        <v>138</v>
      </c>
      <c r="DL543" s="75"/>
      <c r="DM543" s="75"/>
      <c r="DN543" s="75"/>
      <c r="DO543" s="75"/>
      <c r="DP543" s="75"/>
      <c r="DQ543" s="75"/>
      <c r="DR543" s="75"/>
      <c r="DS543" s="75"/>
      <c r="DT543" s="75"/>
      <c r="DU543" s="75"/>
      <c r="DV543" s="75"/>
      <c r="DW543" s="75"/>
      <c r="DX543" s="75"/>
      <c r="DY543" s="75"/>
      <c r="DZ543" s="75"/>
      <c r="EA543" s="75"/>
      <c r="EB543" s="75"/>
      <c r="EC543" s="75"/>
      <c r="ED543" s="75"/>
      <c r="EE543" s="75"/>
    </row>
    <row r="544" ht="47.25" hidden="1" customHeight="1">
      <c r="A544" s="55" t="s">
        <v>1677</v>
      </c>
      <c r="B544" s="55" t="s">
        <v>250</v>
      </c>
      <c r="C544" s="55" t="s">
        <v>250</v>
      </c>
      <c r="D544" s="55" t="s">
        <v>563</v>
      </c>
      <c r="E544" s="55" t="s">
        <v>576</v>
      </c>
      <c r="F544" s="55" t="s">
        <v>563</v>
      </c>
      <c r="G544" s="55" t="s">
        <v>577</v>
      </c>
      <c r="H544" s="55" t="s">
        <v>578</v>
      </c>
      <c r="I544" s="56"/>
      <c r="J544" s="56"/>
      <c r="K544" s="56"/>
      <c r="L544" s="56"/>
      <c r="M544" s="56"/>
      <c r="N544" s="56"/>
      <c r="O544" s="56"/>
      <c r="P544" s="56">
        <v>1.0</v>
      </c>
      <c r="Q544" s="56" t="s">
        <v>131</v>
      </c>
      <c r="R544" s="58" t="str">
        <f t="shared" si="1"/>
        <v>2025</v>
      </c>
      <c r="S544" s="59" t="str">
        <f>SUM(Hoja1!$I544:$P544)</f>
        <v>1</v>
      </c>
      <c r="T544" s="59" t="str">
        <f>IF(OR(Hoja1!$J544=1,Hoja1!$K544=1,Hoja1!$L544=1,Hoja1!$M544=1,Hoja1!$N544=1,Hoja1!$O544=1,Hoja1!$P544=1),"SI","NO")</f>
        <v>SI</v>
      </c>
      <c r="U544" s="59" t="str">
        <f>IF(OR(Hoja1!$K544=1,Hoja1!$L544=1,Hoja1!$M544=1,Hoja1!$N544=1,Hoja1!$O544=1,Hoja1!$P544=1),"SI","NO")</f>
        <v>SI</v>
      </c>
      <c r="V544" s="60">
        <v>0.0</v>
      </c>
      <c r="W544" s="61">
        <v>0.0</v>
      </c>
      <c r="X544" s="61">
        <v>0.0</v>
      </c>
      <c r="Y544" s="60">
        <v>0.0</v>
      </c>
      <c r="Z544" s="61">
        <v>0.0</v>
      </c>
      <c r="AA544" s="61">
        <v>0.0</v>
      </c>
      <c r="AB544" s="60">
        <v>0.0</v>
      </c>
      <c r="AC544" s="61">
        <v>0.0</v>
      </c>
      <c r="AD544" s="61">
        <v>0.0</v>
      </c>
      <c r="AE544" s="60">
        <v>0.0</v>
      </c>
      <c r="AF544" s="61">
        <v>0.0</v>
      </c>
      <c r="AG544" s="61">
        <v>0.0</v>
      </c>
      <c r="AH544" s="60">
        <v>0.0</v>
      </c>
      <c r="AI544" s="61">
        <v>0.0</v>
      </c>
      <c r="AJ544" s="61">
        <v>0.0</v>
      </c>
      <c r="AK544" s="60">
        <v>0.0</v>
      </c>
      <c r="AL544" s="61">
        <v>0.0</v>
      </c>
      <c r="AM544" s="61">
        <v>0.0</v>
      </c>
      <c r="AN544" s="60">
        <v>0.0</v>
      </c>
      <c r="AO544" s="62">
        <v>17.0</v>
      </c>
      <c r="AP544" s="62">
        <v>17.0</v>
      </c>
      <c r="AQ544" s="60">
        <v>34.0</v>
      </c>
      <c r="AR544" s="60" t="str">
        <f>IF(Hoja1!$AQ544&gt;0,Hoja1!$AQ544,IF(Hoja1!$AN544&gt;0,Hoja1!$AN544,IF(Hoja1!$AK544&gt;0,Hoja1!$AK544,IF(Hoja1!$AH544&gt;0,Hoja1!$AH544,IF(Hoja1!$AE544&gt;0,Hoja1!$AE544,IF(Hoja1!$AB544&gt;0,Hoja1!$AB544,IF(Hoja1!$Y544&gt;0,Hoja1!$Y544,IF(Hoja1!$V544&gt;0,Hoja1!$V544," ---"))))))))</f>
        <v>34</v>
      </c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>
        <v>30.0</v>
      </c>
      <c r="BD544" s="63">
        <v>6.0</v>
      </c>
      <c r="BE544" s="64"/>
      <c r="BF544" s="69"/>
      <c r="BG544" s="69"/>
      <c r="BH544" s="64"/>
      <c r="BI544" s="67" t="str">
        <f t="shared" si="185"/>
        <v>#REF!</v>
      </c>
      <c r="BJ544" s="68" t="str">
        <f t="shared" si="186"/>
        <v>#REF!</v>
      </c>
      <c r="BK544" s="69"/>
      <c r="BL544" s="69"/>
      <c r="BM544" s="64"/>
      <c r="BN544" s="67" t="str">
        <f t="shared" si="187"/>
        <v>#REF!</v>
      </c>
      <c r="BO544" s="68" t="str">
        <f t="shared" si="188"/>
        <v>#REF!</v>
      </c>
      <c r="BP544" s="65"/>
      <c r="BQ544" s="65"/>
      <c r="BR544" s="66"/>
      <c r="BS544" s="67" t="str">
        <f t="shared" si="189"/>
        <v>#REF!</v>
      </c>
      <c r="BT544" s="68" t="str">
        <f>'[1]DATA CONSOLIDADA 2018-2025 '!$BR544-Hoja1!$BO544</f>
        <v>#REF!</v>
      </c>
      <c r="BU544" s="69"/>
      <c r="BV544" s="65"/>
      <c r="BW544" s="66"/>
      <c r="BX544" s="67" t="str">
        <f t="shared" si="190"/>
        <v>#REF!</v>
      </c>
      <c r="BY544" s="68" t="str">
        <f t="shared" si="191"/>
        <v>#REF!</v>
      </c>
      <c r="BZ544" s="65"/>
      <c r="CA544" s="65"/>
      <c r="CB544" s="66"/>
      <c r="CC544" s="67" t="str">
        <f t="shared" si="192"/>
        <v>#REF!</v>
      </c>
      <c r="CD544" s="68" t="str">
        <f>'[1]DATA CONSOLIDADA 2018-2025 '!$CB544-Hoja1!$BW544</f>
        <v>#REF!</v>
      </c>
      <c r="CE544" s="70"/>
      <c r="CF544" s="70"/>
      <c r="CG544" s="71"/>
      <c r="CH544" s="67" t="str">
        <f t="shared" si="193"/>
        <v>#REF!</v>
      </c>
      <c r="CI544" s="68" t="str">
        <f>'[1]DATA CONSOLIDADA 2018-2025 '!$CG544-Hoja1!$CB544</f>
        <v>#REF!</v>
      </c>
      <c r="CJ544" s="64" t="str">
        <f t="shared" si="194"/>
        <v>#REF!</v>
      </c>
      <c r="CK544" s="64">
        <v>11872.73992</v>
      </c>
      <c r="CL544" s="64">
        <v>0.0</v>
      </c>
      <c r="CM544" s="64">
        <v>11872.73992</v>
      </c>
      <c r="CN544" s="64" t="str">
        <f t="shared" si="12"/>
        <v>#REF!</v>
      </c>
      <c r="CO544" s="68" t="str">
        <f>'[1]DATA CONSOLIDADA 2018-2025 '!$CM544-Hoja1!$CG544</f>
        <v>#REF!</v>
      </c>
      <c r="CP544" s="70"/>
      <c r="CQ544" s="70"/>
      <c r="CR544" s="70"/>
      <c r="CS544" s="70"/>
      <c r="CT544" s="70"/>
      <c r="CU544" s="70"/>
      <c r="CV544" s="64"/>
      <c r="CW544" s="64"/>
      <c r="CX544" s="64"/>
      <c r="CY544" s="64"/>
      <c r="CZ544" s="64"/>
      <c r="DA544" s="64"/>
      <c r="DB544" s="64"/>
      <c r="DC544" s="72">
        <v>0.0</v>
      </c>
      <c r="DD544" s="72">
        <v>0.0</v>
      </c>
      <c r="DE544" s="72">
        <v>11872.73992</v>
      </c>
      <c r="DF544" s="72">
        <v>0.0</v>
      </c>
      <c r="DG544" s="72">
        <v>0.0</v>
      </c>
      <c r="DH544" s="72">
        <v>11872.73992</v>
      </c>
      <c r="DI544" s="73">
        <v>2.0610585184E10</v>
      </c>
      <c r="DJ544" s="74" t="s">
        <v>1677</v>
      </c>
      <c r="DK544" s="74" t="s">
        <v>132</v>
      </c>
      <c r="DL544" s="75"/>
      <c r="DM544" s="75"/>
      <c r="DN544" s="75"/>
      <c r="DO544" s="75"/>
      <c r="DP544" s="75"/>
      <c r="DQ544" s="75"/>
      <c r="DR544" s="75"/>
      <c r="DS544" s="75"/>
      <c r="DT544" s="75"/>
      <c r="DU544" s="75"/>
      <c r="DV544" s="75"/>
      <c r="DW544" s="75"/>
      <c r="DX544" s="75"/>
      <c r="DY544" s="75"/>
      <c r="DZ544" s="75"/>
      <c r="EA544" s="75"/>
      <c r="EB544" s="75"/>
      <c r="EC544" s="75"/>
      <c r="ED544" s="75"/>
      <c r="EE544" s="75"/>
    </row>
    <row r="545" ht="47.25" hidden="1" customHeight="1">
      <c r="A545" s="55" t="s">
        <v>1678</v>
      </c>
      <c r="B545" s="55" t="s">
        <v>250</v>
      </c>
      <c r="C545" s="55" t="s">
        <v>250</v>
      </c>
      <c r="D545" s="55" t="s">
        <v>563</v>
      </c>
      <c r="E545" s="55" t="s">
        <v>576</v>
      </c>
      <c r="F545" s="55" t="s">
        <v>563</v>
      </c>
      <c r="G545" s="55" t="s">
        <v>577</v>
      </c>
      <c r="H545" s="55" t="s">
        <v>578</v>
      </c>
      <c r="I545" s="56"/>
      <c r="J545" s="56"/>
      <c r="K545" s="56"/>
      <c r="L545" s="56"/>
      <c r="M545" s="56"/>
      <c r="N545" s="56"/>
      <c r="O545" s="56"/>
      <c r="P545" s="56">
        <v>1.0</v>
      </c>
      <c r="Q545" s="56" t="s">
        <v>131</v>
      </c>
      <c r="R545" s="58" t="str">
        <f t="shared" si="1"/>
        <v>2025</v>
      </c>
      <c r="S545" s="59" t="str">
        <f>SUM(Hoja1!$I545:$P545)</f>
        <v>1</v>
      </c>
      <c r="T545" s="59" t="str">
        <f>IF(OR(Hoja1!$J545=1,Hoja1!$K545=1,Hoja1!$L545=1,Hoja1!$M545=1,Hoja1!$N545=1,Hoja1!$O545=1,Hoja1!$P545=1),"SI","NO")</f>
        <v>SI</v>
      </c>
      <c r="U545" s="59" t="str">
        <f>IF(OR(Hoja1!$K545=1,Hoja1!$L545=1,Hoja1!$M545=1,Hoja1!$N545=1,Hoja1!$O545=1,Hoja1!$P545=1),"SI","NO")</f>
        <v>SI</v>
      </c>
      <c r="V545" s="60">
        <v>0.0</v>
      </c>
      <c r="W545" s="61">
        <v>0.0</v>
      </c>
      <c r="X545" s="61">
        <v>0.0</v>
      </c>
      <c r="Y545" s="60">
        <v>0.0</v>
      </c>
      <c r="Z545" s="61">
        <v>0.0</v>
      </c>
      <c r="AA545" s="61">
        <v>0.0</v>
      </c>
      <c r="AB545" s="60">
        <v>0.0</v>
      </c>
      <c r="AC545" s="61">
        <v>0.0</v>
      </c>
      <c r="AD545" s="61">
        <v>0.0</v>
      </c>
      <c r="AE545" s="60">
        <v>0.0</v>
      </c>
      <c r="AF545" s="61">
        <v>0.0</v>
      </c>
      <c r="AG545" s="61">
        <v>0.0</v>
      </c>
      <c r="AH545" s="60">
        <v>0.0</v>
      </c>
      <c r="AI545" s="61">
        <v>0.0</v>
      </c>
      <c r="AJ545" s="61">
        <v>0.0</v>
      </c>
      <c r="AK545" s="60">
        <v>0.0</v>
      </c>
      <c r="AL545" s="61">
        <v>0.0</v>
      </c>
      <c r="AM545" s="61">
        <v>0.0</v>
      </c>
      <c r="AN545" s="60">
        <v>0.0</v>
      </c>
      <c r="AO545" s="62">
        <v>6.0</v>
      </c>
      <c r="AP545" s="62">
        <v>12.0</v>
      </c>
      <c r="AQ545" s="60">
        <v>18.0</v>
      </c>
      <c r="AR545" s="60" t="str">
        <f>IF(Hoja1!$AQ545&gt;0,Hoja1!$AQ545,IF(Hoja1!$AN545&gt;0,Hoja1!$AN545,IF(Hoja1!$AK545&gt;0,Hoja1!$AK545,IF(Hoja1!$AH545&gt;0,Hoja1!$AH545,IF(Hoja1!$AE545&gt;0,Hoja1!$AE545,IF(Hoja1!$AB545&gt;0,Hoja1!$AB545,IF(Hoja1!$Y545&gt;0,Hoja1!$Y545,IF(Hoja1!$V545&gt;0,Hoja1!$V545," ---"))))))))</f>
        <v>18</v>
      </c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>
        <v>29.0</v>
      </c>
      <c r="BD545" s="63">
        <v>6.0</v>
      </c>
      <c r="BE545" s="64"/>
      <c r="BF545" s="69"/>
      <c r="BG545" s="69"/>
      <c r="BH545" s="64"/>
      <c r="BI545" s="67" t="str">
        <f t="shared" si="185"/>
        <v>#REF!</v>
      </c>
      <c r="BJ545" s="68" t="str">
        <f t="shared" si="186"/>
        <v>#REF!</v>
      </c>
      <c r="BK545" s="69"/>
      <c r="BL545" s="69"/>
      <c r="BM545" s="64"/>
      <c r="BN545" s="67" t="str">
        <f t="shared" si="187"/>
        <v>#REF!</v>
      </c>
      <c r="BO545" s="68" t="str">
        <f t="shared" si="188"/>
        <v>#REF!</v>
      </c>
      <c r="BP545" s="65"/>
      <c r="BQ545" s="65"/>
      <c r="BR545" s="66"/>
      <c r="BS545" s="67" t="str">
        <f t="shared" si="189"/>
        <v>#REF!</v>
      </c>
      <c r="BT545" s="68" t="str">
        <f>'[1]DATA CONSOLIDADA 2018-2025 '!$BR545-Hoja1!$BO545</f>
        <v>#REF!</v>
      </c>
      <c r="BU545" s="69"/>
      <c r="BV545" s="65"/>
      <c r="BW545" s="66"/>
      <c r="BX545" s="67" t="str">
        <f t="shared" si="190"/>
        <v>#REF!</v>
      </c>
      <c r="BY545" s="68" t="str">
        <f t="shared" si="191"/>
        <v>#REF!</v>
      </c>
      <c r="BZ545" s="65"/>
      <c r="CA545" s="65"/>
      <c r="CB545" s="66"/>
      <c r="CC545" s="67" t="str">
        <f t="shared" si="192"/>
        <v>#REF!</v>
      </c>
      <c r="CD545" s="68" t="str">
        <f>'[1]DATA CONSOLIDADA 2018-2025 '!$CB545-Hoja1!$BW545</f>
        <v>#REF!</v>
      </c>
      <c r="CE545" s="70"/>
      <c r="CF545" s="70"/>
      <c r="CG545" s="71"/>
      <c r="CH545" s="67" t="str">
        <f t="shared" si="193"/>
        <v>#REF!</v>
      </c>
      <c r="CI545" s="68" t="str">
        <f>'[1]DATA CONSOLIDADA 2018-2025 '!$CG545-Hoja1!$CB545</f>
        <v>#REF!</v>
      </c>
      <c r="CJ545" s="64" t="str">
        <f t="shared" si="194"/>
        <v>#REF!</v>
      </c>
      <c r="CK545" s="64">
        <v>14064.24063292</v>
      </c>
      <c r="CL545" s="64">
        <v>0.0</v>
      </c>
      <c r="CM545" s="64">
        <v>14064.24063292</v>
      </c>
      <c r="CN545" s="64" t="str">
        <f t="shared" si="12"/>
        <v>#REF!</v>
      </c>
      <c r="CO545" s="68" t="str">
        <f>'[1]DATA CONSOLIDADA 2018-2025 '!$CM545-Hoja1!$CG545</f>
        <v>#REF!</v>
      </c>
      <c r="CP545" s="70"/>
      <c r="CQ545" s="70"/>
      <c r="CR545" s="70"/>
      <c r="CS545" s="70"/>
      <c r="CT545" s="70"/>
      <c r="CU545" s="70"/>
      <c r="CV545" s="64"/>
      <c r="CW545" s="64"/>
      <c r="CX545" s="64"/>
      <c r="CY545" s="64"/>
      <c r="CZ545" s="64"/>
      <c r="DA545" s="64"/>
      <c r="DB545" s="64"/>
      <c r="DC545" s="72">
        <v>0.0</v>
      </c>
      <c r="DD545" s="72">
        <v>0.0</v>
      </c>
      <c r="DE545" s="72">
        <v>14064.24063292</v>
      </c>
      <c r="DF545" s="72">
        <v>0.0</v>
      </c>
      <c r="DG545" s="72">
        <v>0.0</v>
      </c>
      <c r="DH545" s="72">
        <v>14064.24063292</v>
      </c>
      <c r="DI545" s="73">
        <v>2.0610524231E10</v>
      </c>
      <c r="DJ545" s="74" t="s">
        <v>1678</v>
      </c>
      <c r="DK545" s="74" t="s">
        <v>132</v>
      </c>
      <c r="DL545" s="75"/>
      <c r="DM545" s="75"/>
      <c r="DN545" s="75"/>
      <c r="DO545" s="75"/>
      <c r="DP545" s="75"/>
      <c r="DQ545" s="75"/>
      <c r="DR545" s="75"/>
      <c r="DS545" s="75"/>
      <c r="DT545" s="75"/>
      <c r="DU545" s="75"/>
      <c r="DV545" s="75"/>
      <c r="DW545" s="75"/>
      <c r="DX545" s="75"/>
      <c r="DY545" s="75"/>
      <c r="DZ545" s="75"/>
      <c r="EA545" s="75"/>
      <c r="EB545" s="75"/>
      <c r="EC545" s="75"/>
      <c r="ED545" s="75"/>
      <c r="EE545" s="75"/>
    </row>
    <row r="546" ht="47.25" hidden="1" customHeight="1">
      <c r="A546" s="55" t="s">
        <v>1679</v>
      </c>
      <c r="B546" s="55" t="s">
        <v>439</v>
      </c>
      <c r="C546" s="55" t="s">
        <v>439</v>
      </c>
      <c r="D546" s="55" t="s">
        <v>593</v>
      </c>
      <c r="E546" s="55" t="s">
        <v>645</v>
      </c>
      <c r="F546" s="55" t="s">
        <v>593</v>
      </c>
      <c r="G546" s="55" t="s">
        <v>593</v>
      </c>
      <c r="H546" s="55" t="s">
        <v>646</v>
      </c>
      <c r="I546" s="56"/>
      <c r="J546" s="56"/>
      <c r="K546" s="56"/>
      <c r="L546" s="56"/>
      <c r="M546" s="56"/>
      <c r="N546" s="56"/>
      <c r="O546" s="56"/>
      <c r="P546" s="56">
        <v>1.0</v>
      </c>
      <c r="Q546" s="56" t="s">
        <v>131</v>
      </c>
      <c r="R546" s="58" t="str">
        <f t="shared" si="1"/>
        <v>2025</v>
      </c>
      <c r="S546" s="59" t="str">
        <f>SUM(Hoja1!$I546:$P546)</f>
        <v>1</v>
      </c>
      <c r="T546" s="59" t="str">
        <f>IF(OR(Hoja1!$J546=1,Hoja1!$K546=1,Hoja1!$L546=1,Hoja1!$M546=1,Hoja1!$N546=1,Hoja1!$O546=1,Hoja1!$P546=1),"SI","NO")</f>
        <v>SI</v>
      </c>
      <c r="U546" s="59" t="str">
        <f>IF(OR(Hoja1!$K546=1,Hoja1!$L546=1,Hoja1!$M546=1,Hoja1!$N546=1,Hoja1!$O546=1,Hoja1!$P546=1),"SI","NO")</f>
        <v>SI</v>
      </c>
      <c r="V546" s="60">
        <v>0.0</v>
      </c>
      <c r="W546" s="61">
        <v>0.0</v>
      </c>
      <c r="X546" s="61">
        <v>0.0</v>
      </c>
      <c r="Y546" s="60">
        <v>0.0</v>
      </c>
      <c r="Z546" s="61">
        <v>0.0</v>
      </c>
      <c r="AA546" s="61">
        <v>0.0</v>
      </c>
      <c r="AB546" s="60">
        <v>0.0</v>
      </c>
      <c r="AC546" s="61">
        <v>0.0</v>
      </c>
      <c r="AD546" s="61">
        <v>0.0</v>
      </c>
      <c r="AE546" s="60">
        <v>0.0</v>
      </c>
      <c r="AF546" s="61">
        <v>0.0</v>
      </c>
      <c r="AG546" s="61">
        <v>0.0</v>
      </c>
      <c r="AH546" s="60">
        <v>0.0</v>
      </c>
      <c r="AI546" s="61">
        <v>0.0</v>
      </c>
      <c r="AJ546" s="61">
        <v>0.0</v>
      </c>
      <c r="AK546" s="60">
        <v>0.0</v>
      </c>
      <c r="AL546" s="61">
        <v>0.0</v>
      </c>
      <c r="AM546" s="61">
        <v>0.0</v>
      </c>
      <c r="AN546" s="60">
        <v>0.0</v>
      </c>
      <c r="AO546" s="62">
        <v>22.0</v>
      </c>
      <c r="AP546" s="62">
        <v>11.0</v>
      </c>
      <c r="AQ546" s="60">
        <v>33.0</v>
      </c>
      <c r="AR546" s="60" t="str">
        <f>IF(Hoja1!$AQ546&gt;0,Hoja1!$AQ546,IF(Hoja1!$AN546&gt;0,Hoja1!$AN546,IF(Hoja1!$AK546&gt;0,Hoja1!$AK546,IF(Hoja1!$AH546&gt;0,Hoja1!$AH546,IF(Hoja1!$AE546&gt;0,Hoja1!$AE546,IF(Hoja1!$AB546&gt;0,Hoja1!$AB546,IF(Hoja1!$Y546&gt;0,Hoja1!$Y546,IF(Hoja1!$V546&gt;0,Hoja1!$V546," ---"))))))))</f>
        <v>33</v>
      </c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>
        <v>21.0</v>
      </c>
      <c r="BD546" s="63">
        <v>0.0</v>
      </c>
      <c r="BE546" s="64"/>
      <c r="BF546" s="69"/>
      <c r="BG546" s="69"/>
      <c r="BH546" s="64"/>
      <c r="BI546" s="67" t="str">
        <f t="shared" si="185"/>
        <v>#REF!</v>
      </c>
      <c r="BJ546" s="68" t="str">
        <f t="shared" si="186"/>
        <v>#REF!</v>
      </c>
      <c r="BK546" s="69"/>
      <c r="BL546" s="69"/>
      <c r="BM546" s="64"/>
      <c r="BN546" s="67" t="str">
        <f t="shared" si="187"/>
        <v>#REF!</v>
      </c>
      <c r="BO546" s="68" t="str">
        <f t="shared" si="188"/>
        <v>#REF!</v>
      </c>
      <c r="BP546" s="65"/>
      <c r="BQ546" s="65"/>
      <c r="BR546" s="66"/>
      <c r="BS546" s="67" t="str">
        <f t="shared" si="189"/>
        <v>#REF!</v>
      </c>
      <c r="BT546" s="68" t="str">
        <f>'[1]DATA CONSOLIDADA 2018-2025 '!$BR546-Hoja1!$BO546</f>
        <v>#REF!</v>
      </c>
      <c r="BU546" s="69"/>
      <c r="BV546" s="65"/>
      <c r="BW546" s="66"/>
      <c r="BX546" s="67" t="str">
        <f t="shared" si="190"/>
        <v>#REF!</v>
      </c>
      <c r="BY546" s="68" t="str">
        <f t="shared" si="191"/>
        <v>#REF!</v>
      </c>
      <c r="BZ546" s="65"/>
      <c r="CA546" s="65"/>
      <c r="CB546" s="66"/>
      <c r="CC546" s="67" t="str">
        <f t="shared" si="192"/>
        <v>#REF!</v>
      </c>
      <c r="CD546" s="68" t="str">
        <f>'[1]DATA CONSOLIDADA 2018-2025 '!$CB546-Hoja1!$BW546</f>
        <v>#REF!</v>
      </c>
      <c r="CE546" s="70"/>
      <c r="CF546" s="70"/>
      <c r="CG546" s="71"/>
      <c r="CH546" s="67" t="str">
        <f t="shared" si="193"/>
        <v>#REF!</v>
      </c>
      <c r="CI546" s="68" t="str">
        <f>'[1]DATA CONSOLIDADA 2018-2025 '!$CG546-Hoja1!$CB546</f>
        <v>#REF!</v>
      </c>
      <c r="CJ546" s="64" t="str">
        <f t="shared" si="194"/>
        <v>#REF!</v>
      </c>
      <c r="CK546" s="64">
        <v>129863.50298</v>
      </c>
      <c r="CL546" s="64">
        <v>0.0</v>
      </c>
      <c r="CM546" s="64">
        <v>129863.50298</v>
      </c>
      <c r="CN546" s="64" t="str">
        <f t="shared" si="12"/>
        <v>#REF!</v>
      </c>
      <c r="CO546" s="68" t="str">
        <f>'[1]DATA CONSOLIDADA 2018-2025 '!$CM546-Hoja1!$CG546</f>
        <v>#REF!</v>
      </c>
      <c r="CP546" s="70"/>
      <c r="CQ546" s="70"/>
      <c r="CR546" s="70"/>
      <c r="CS546" s="70"/>
      <c r="CT546" s="70"/>
      <c r="CU546" s="70"/>
      <c r="CV546" s="64"/>
      <c r="CW546" s="64"/>
      <c r="CX546" s="64"/>
      <c r="CY546" s="64"/>
      <c r="CZ546" s="64"/>
      <c r="DA546" s="64"/>
      <c r="DB546" s="64"/>
      <c r="DC546" s="72">
        <v>0.0</v>
      </c>
      <c r="DD546" s="72">
        <v>128163.50298</v>
      </c>
      <c r="DE546" s="72">
        <v>1700.0</v>
      </c>
      <c r="DF546" s="72">
        <v>0.0</v>
      </c>
      <c r="DG546" s="72">
        <v>0.0</v>
      </c>
      <c r="DH546" s="72">
        <v>129863.50298</v>
      </c>
      <c r="DI546" s="73">
        <v>2.0612142361E10</v>
      </c>
      <c r="DJ546" s="74" t="s">
        <v>1679</v>
      </c>
      <c r="DK546" s="74" t="s">
        <v>138</v>
      </c>
      <c r="DL546" s="75"/>
      <c r="DM546" s="75"/>
      <c r="DN546" s="75"/>
      <c r="DO546" s="75"/>
      <c r="DP546" s="75"/>
      <c r="DQ546" s="75"/>
      <c r="DR546" s="75"/>
      <c r="DS546" s="75"/>
      <c r="DT546" s="75"/>
      <c r="DU546" s="75"/>
      <c r="DV546" s="75"/>
      <c r="DW546" s="75"/>
      <c r="DX546" s="75"/>
      <c r="DY546" s="75"/>
      <c r="DZ546" s="75"/>
      <c r="EA546" s="75"/>
      <c r="EB546" s="75"/>
      <c r="EC546" s="75"/>
      <c r="ED546" s="75"/>
      <c r="EE546" s="75"/>
    </row>
    <row r="547" ht="47.25" hidden="1" customHeight="1">
      <c r="A547" s="55" t="s">
        <v>1680</v>
      </c>
      <c r="B547" s="55" t="s">
        <v>256</v>
      </c>
      <c r="C547" s="55" t="s">
        <v>256</v>
      </c>
      <c r="D547" s="55" t="s">
        <v>593</v>
      </c>
      <c r="E547" s="55" t="s">
        <v>1287</v>
      </c>
      <c r="F547" s="55" t="s">
        <v>593</v>
      </c>
      <c r="G547" s="55" t="s">
        <v>651</v>
      </c>
      <c r="H547" s="55" t="s">
        <v>1288</v>
      </c>
      <c r="I547" s="56"/>
      <c r="J547" s="56"/>
      <c r="K547" s="56"/>
      <c r="L547" s="56"/>
      <c r="M547" s="56"/>
      <c r="N547" s="56"/>
      <c r="O547" s="56"/>
      <c r="P547" s="56">
        <v>1.0</v>
      </c>
      <c r="Q547" s="56" t="s">
        <v>131</v>
      </c>
      <c r="R547" s="58" t="str">
        <f t="shared" si="1"/>
        <v>2025</v>
      </c>
      <c r="S547" s="59" t="str">
        <f>SUM(Hoja1!$I547:$P547)</f>
        <v>1</v>
      </c>
      <c r="T547" s="59" t="str">
        <f>IF(OR(Hoja1!$J547=1,Hoja1!$K547=1,Hoja1!$L547=1,Hoja1!$M547=1,Hoja1!$N547=1,Hoja1!$O547=1,Hoja1!$P547=1),"SI","NO")</f>
        <v>SI</v>
      </c>
      <c r="U547" s="59" t="str">
        <f>IF(OR(Hoja1!$K547=1,Hoja1!$L547=1,Hoja1!$M547=1,Hoja1!$N547=1,Hoja1!$O547=1,Hoja1!$P547=1),"SI","NO")</f>
        <v>SI</v>
      </c>
      <c r="V547" s="60">
        <v>0.0</v>
      </c>
      <c r="W547" s="61">
        <v>0.0</v>
      </c>
      <c r="X547" s="61">
        <v>0.0</v>
      </c>
      <c r="Y547" s="60">
        <v>0.0</v>
      </c>
      <c r="Z547" s="61">
        <v>0.0</v>
      </c>
      <c r="AA547" s="61">
        <v>0.0</v>
      </c>
      <c r="AB547" s="60">
        <v>0.0</v>
      </c>
      <c r="AC547" s="61">
        <v>0.0</v>
      </c>
      <c r="AD547" s="61">
        <v>0.0</v>
      </c>
      <c r="AE547" s="60">
        <v>0.0</v>
      </c>
      <c r="AF547" s="61">
        <v>0.0</v>
      </c>
      <c r="AG547" s="61">
        <v>0.0</v>
      </c>
      <c r="AH547" s="60">
        <v>0.0</v>
      </c>
      <c r="AI547" s="61">
        <v>0.0</v>
      </c>
      <c r="AJ547" s="61">
        <v>0.0</v>
      </c>
      <c r="AK547" s="60">
        <v>0.0</v>
      </c>
      <c r="AL547" s="61">
        <v>0.0</v>
      </c>
      <c r="AM547" s="61">
        <v>0.0</v>
      </c>
      <c r="AN547" s="60">
        <v>0.0</v>
      </c>
      <c r="AO547" s="62">
        <v>17.0</v>
      </c>
      <c r="AP547" s="62">
        <v>7.0</v>
      </c>
      <c r="AQ547" s="60">
        <v>24.0</v>
      </c>
      <c r="AR547" s="60" t="str">
        <f>IF(Hoja1!$AQ547&gt;0,Hoja1!$AQ547,IF(Hoja1!$AN547&gt;0,Hoja1!$AN547,IF(Hoja1!$AK547&gt;0,Hoja1!$AK547,IF(Hoja1!$AH547&gt;0,Hoja1!$AH547,IF(Hoja1!$AE547&gt;0,Hoja1!$AE547,IF(Hoja1!$AB547&gt;0,Hoja1!$AB547,IF(Hoja1!$Y547&gt;0,Hoja1!$Y547,IF(Hoja1!$V547&gt;0,Hoja1!$V547," ---"))))))))</f>
        <v>24</v>
      </c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>
        <v>21.0</v>
      </c>
      <c r="BD547" s="63">
        <v>0.0</v>
      </c>
      <c r="BE547" s="64"/>
      <c r="BF547" s="69"/>
      <c r="BG547" s="69"/>
      <c r="BH547" s="64"/>
      <c r="BI547" s="67" t="str">
        <f t="shared" si="185"/>
        <v>#REF!</v>
      </c>
      <c r="BJ547" s="68" t="str">
        <f t="shared" si="186"/>
        <v>#REF!</v>
      </c>
      <c r="BK547" s="69"/>
      <c r="BL547" s="69"/>
      <c r="BM547" s="64"/>
      <c r="BN547" s="67" t="str">
        <f t="shared" si="187"/>
        <v>#REF!</v>
      </c>
      <c r="BO547" s="68" t="str">
        <f t="shared" si="188"/>
        <v>#REF!</v>
      </c>
      <c r="BP547" s="65"/>
      <c r="BQ547" s="65"/>
      <c r="BR547" s="66"/>
      <c r="BS547" s="67" t="str">
        <f t="shared" si="189"/>
        <v>#REF!</v>
      </c>
      <c r="BT547" s="68" t="str">
        <f>'[1]DATA CONSOLIDADA 2018-2025 '!$BR547-Hoja1!$BO547</f>
        <v>#REF!</v>
      </c>
      <c r="BU547" s="69"/>
      <c r="BV547" s="65"/>
      <c r="BW547" s="66"/>
      <c r="BX547" s="67" t="str">
        <f t="shared" si="190"/>
        <v>#REF!</v>
      </c>
      <c r="BY547" s="68" t="str">
        <f t="shared" si="191"/>
        <v>#REF!</v>
      </c>
      <c r="BZ547" s="65"/>
      <c r="CA547" s="65"/>
      <c r="CB547" s="66"/>
      <c r="CC547" s="67" t="str">
        <f t="shared" si="192"/>
        <v>#REF!</v>
      </c>
      <c r="CD547" s="68" t="str">
        <f>'[1]DATA CONSOLIDADA 2018-2025 '!$CB547-Hoja1!$BW547</f>
        <v>#REF!</v>
      </c>
      <c r="CE547" s="70"/>
      <c r="CF547" s="70"/>
      <c r="CG547" s="71"/>
      <c r="CH547" s="67" t="str">
        <f t="shared" si="193"/>
        <v>#REF!</v>
      </c>
      <c r="CI547" s="68" t="str">
        <f>'[1]DATA CONSOLIDADA 2018-2025 '!$CG547-Hoja1!$CB547</f>
        <v>#REF!</v>
      </c>
      <c r="CJ547" s="64" t="str">
        <f t="shared" si="194"/>
        <v>#REF!</v>
      </c>
      <c r="CK547" s="64">
        <v>132495.563</v>
      </c>
      <c r="CL547" s="64">
        <v>0.0</v>
      </c>
      <c r="CM547" s="64">
        <v>132495.563</v>
      </c>
      <c r="CN547" s="64" t="str">
        <f t="shared" si="12"/>
        <v>#REF!</v>
      </c>
      <c r="CO547" s="68" t="str">
        <f>'[1]DATA CONSOLIDADA 2018-2025 '!$CM547-Hoja1!$CG547</f>
        <v>#REF!</v>
      </c>
      <c r="CP547" s="70"/>
      <c r="CQ547" s="70"/>
      <c r="CR547" s="70"/>
      <c r="CS547" s="70"/>
      <c r="CT547" s="70"/>
      <c r="CU547" s="70"/>
      <c r="CV547" s="64"/>
      <c r="CW547" s="64"/>
      <c r="CX547" s="64"/>
      <c r="CY547" s="64"/>
      <c r="CZ547" s="64"/>
      <c r="DA547" s="64"/>
      <c r="DB547" s="64"/>
      <c r="DC547" s="72">
        <v>0.0</v>
      </c>
      <c r="DD547" s="72">
        <v>0.0</v>
      </c>
      <c r="DE547" s="72">
        <v>132495.563</v>
      </c>
      <c r="DF547" s="72">
        <v>0.0</v>
      </c>
      <c r="DG547" s="72">
        <v>0.0</v>
      </c>
      <c r="DH547" s="72">
        <v>132495.563</v>
      </c>
      <c r="DI547" s="73">
        <v>2.0612079111E10</v>
      </c>
      <c r="DJ547" s="74" t="s">
        <v>1680</v>
      </c>
      <c r="DK547" s="74" t="s">
        <v>138</v>
      </c>
      <c r="DL547" s="75"/>
      <c r="DM547" s="75"/>
      <c r="DN547" s="75"/>
      <c r="DO547" s="75"/>
      <c r="DP547" s="75"/>
      <c r="DQ547" s="75"/>
      <c r="DR547" s="75"/>
      <c r="DS547" s="75"/>
      <c r="DT547" s="75"/>
      <c r="DU547" s="75"/>
      <c r="DV547" s="75"/>
      <c r="DW547" s="75"/>
      <c r="DX547" s="75"/>
      <c r="DY547" s="75"/>
      <c r="DZ547" s="75"/>
      <c r="EA547" s="75"/>
      <c r="EB547" s="75"/>
      <c r="EC547" s="75"/>
      <c r="ED547" s="75"/>
      <c r="EE547" s="75"/>
    </row>
    <row r="548" ht="47.25" hidden="1" customHeight="1">
      <c r="A548" s="55" t="s">
        <v>1681</v>
      </c>
      <c r="B548" s="55" t="s">
        <v>126</v>
      </c>
      <c r="C548" s="55" t="s">
        <v>1588</v>
      </c>
      <c r="D548" s="55" t="s">
        <v>481</v>
      </c>
      <c r="E548" s="55" t="s">
        <v>482</v>
      </c>
      <c r="F548" s="55" t="s">
        <v>481</v>
      </c>
      <c r="G548" s="55" t="s">
        <v>483</v>
      </c>
      <c r="H548" s="55" t="s">
        <v>484</v>
      </c>
      <c r="I548" s="56"/>
      <c r="J548" s="56"/>
      <c r="K548" s="56"/>
      <c r="L548" s="56"/>
      <c r="M548" s="56"/>
      <c r="N548" s="56"/>
      <c r="O548" s="56"/>
      <c r="P548" s="56">
        <v>1.0</v>
      </c>
      <c r="Q548" s="56" t="s">
        <v>131</v>
      </c>
      <c r="R548" s="58" t="str">
        <f t="shared" si="1"/>
        <v>2025</v>
      </c>
      <c r="S548" s="59" t="str">
        <f>SUM(Hoja1!$I548:$P548)</f>
        <v>1</v>
      </c>
      <c r="T548" s="59" t="str">
        <f>IF(OR(Hoja1!$J548=1,Hoja1!$K548=1,Hoja1!$L548=1,Hoja1!$M548=1,Hoja1!$N548=1,Hoja1!$O548=1,Hoja1!$P548=1),"SI","NO")</f>
        <v>SI</v>
      </c>
      <c r="U548" s="59" t="str">
        <f>IF(OR(Hoja1!$K548=1,Hoja1!$L548=1,Hoja1!$M548=1,Hoja1!$N548=1,Hoja1!$O548=1,Hoja1!$P548=1),"SI","NO")</f>
        <v>SI</v>
      </c>
      <c r="V548" s="60">
        <v>0.0</v>
      </c>
      <c r="W548" s="61">
        <v>0.0</v>
      </c>
      <c r="X548" s="61">
        <v>0.0</v>
      </c>
      <c r="Y548" s="60">
        <v>0.0</v>
      </c>
      <c r="Z548" s="61">
        <v>0.0</v>
      </c>
      <c r="AA548" s="61">
        <v>0.0</v>
      </c>
      <c r="AB548" s="60">
        <v>0.0</v>
      </c>
      <c r="AC548" s="61">
        <v>0.0</v>
      </c>
      <c r="AD548" s="61">
        <v>0.0</v>
      </c>
      <c r="AE548" s="60">
        <v>0.0</v>
      </c>
      <c r="AF548" s="61">
        <v>0.0</v>
      </c>
      <c r="AG548" s="61">
        <v>0.0</v>
      </c>
      <c r="AH548" s="60">
        <v>0.0</v>
      </c>
      <c r="AI548" s="61">
        <v>0.0</v>
      </c>
      <c r="AJ548" s="61">
        <v>0.0</v>
      </c>
      <c r="AK548" s="60">
        <v>0.0</v>
      </c>
      <c r="AL548" s="61">
        <v>0.0</v>
      </c>
      <c r="AM548" s="61">
        <v>0.0</v>
      </c>
      <c r="AN548" s="60">
        <v>0.0</v>
      </c>
      <c r="AO548" s="62">
        <v>85.0</v>
      </c>
      <c r="AP548" s="62">
        <v>35.0</v>
      </c>
      <c r="AQ548" s="60">
        <v>120.0</v>
      </c>
      <c r="AR548" s="60" t="str">
        <f>IF(Hoja1!$AQ548&gt;0,Hoja1!$AQ548,IF(Hoja1!$AN548&gt;0,Hoja1!$AN548,IF(Hoja1!$AK548&gt;0,Hoja1!$AK548,IF(Hoja1!$AH548&gt;0,Hoja1!$AH548,IF(Hoja1!$AE548&gt;0,Hoja1!$AE548,IF(Hoja1!$AB548&gt;0,Hoja1!$AB548,IF(Hoja1!$Y548&gt;0,Hoja1!$Y548,IF(Hoja1!$V548&gt;0,Hoja1!$V548," ---"))))))))</f>
        <v>120</v>
      </c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>
        <v>9.0</v>
      </c>
      <c r="BD548" s="63">
        <v>0.0</v>
      </c>
      <c r="BE548" s="64"/>
      <c r="BF548" s="69"/>
      <c r="BG548" s="69"/>
      <c r="BH548" s="64"/>
      <c r="BI548" s="67" t="str">
        <f t="shared" si="185"/>
        <v>#REF!</v>
      </c>
      <c r="BJ548" s="68" t="str">
        <f t="shared" si="186"/>
        <v>#REF!</v>
      </c>
      <c r="BK548" s="69"/>
      <c r="BL548" s="69"/>
      <c r="BM548" s="64"/>
      <c r="BN548" s="67" t="str">
        <f t="shared" si="187"/>
        <v>#REF!</v>
      </c>
      <c r="BO548" s="68" t="str">
        <f t="shared" si="188"/>
        <v>#REF!</v>
      </c>
      <c r="BP548" s="65"/>
      <c r="BQ548" s="65"/>
      <c r="BR548" s="66"/>
      <c r="BS548" s="67" t="str">
        <f t="shared" si="189"/>
        <v>#REF!</v>
      </c>
      <c r="BT548" s="68" t="str">
        <f>'[1]DATA CONSOLIDADA 2018-2025 '!$BR548-Hoja1!$BO548</f>
        <v>#REF!</v>
      </c>
      <c r="BU548" s="69"/>
      <c r="BV548" s="65"/>
      <c r="BW548" s="66"/>
      <c r="BX548" s="67" t="str">
        <f t="shared" si="190"/>
        <v>#REF!</v>
      </c>
      <c r="BY548" s="68" t="str">
        <f t="shared" si="191"/>
        <v>#REF!</v>
      </c>
      <c r="BZ548" s="65"/>
      <c r="CA548" s="65"/>
      <c r="CB548" s="66"/>
      <c r="CC548" s="67" t="str">
        <f t="shared" si="192"/>
        <v>#REF!</v>
      </c>
      <c r="CD548" s="68" t="str">
        <f>'[1]DATA CONSOLIDADA 2018-2025 '!$CB548-Hoja1!$BW548</f>
        <v>#REF!</v>
      </c>
      <c r="CE548" s="70"/>
      <c r="CF548" s="70"/>
      <c r="CG548" s="71"/>
      <c r="CH548" s="67" t="str">
        <f t="shared" si="193"/>
        <v>#REF!</v>
      </c>
      <c r="CI548" s="68" t="str">
        <f>'[1]DATA CONSOLIDADA 2018-2025 '!$CG548-Hoja1!$CB548</f>
        <v>#REF!</v>
      </c>
      <c r="CJ548" s="64" t="str">
        <f t="shared" si="194"/>
        <v>#REF!</v>
      </c>
      <c r="CK548" s="64">
        <v>3118363.265</v>
      </c>
      <c r="CL548" s="64">
        <v>0.0</v>
      </c>
      <c r="CM548" s="64">
        <v>3118363.265</v>
      </c>
      <c r="CN548" s="64" t="str">
        <f t="shared" si="12"/>
        <v>#REF!</v>
      </c>
      <c r="CO548" s="68" t="str">
        <f>'[1]DATA CONSOLIDADA 2018-2025 '!$CM548-Hoja1!$CG548</f>
        <v>#REF!</v>
      </c>
      <c r="CP548" s="70"/>
      <c r="CQ548" s="70"/>
      <c r="CR548" s="70"/>
      <c r="CS548" s="70"/>
      <c r="CT548" s="70"/>
      <c r="CU548" s="70"/>
      <c r="CV548" s="64"/>
      <c r="CW548" s="64"/>
      <c r="CX548" s="64"/>
      <c r="CY548" s="64"/>
      <c r="CZ548" s="64"/>
      <c r="DA548" s="64"/>
      <c r="DB548" s="64"/>
      <c r="DC548" s="72">
        <v>0.0</v>
      </c>
      <c r="DD548" s="72">
        <v>0.0</v>
      </c>
      <c r="DE548" s="72">
        <v>3118363.265</v>
      </c>
      <c r="DF548" s="72">
        <v>0.0</v>
      </c>
      <c r="DG548" s="72">
        <v>0.0</v>
      </c>
      <c r="DH548" s="72">
        <v>3118363.265</v>
      </c>
      <c r="DI548" s="73">
        <v>2.0602488927E10</v>
      </c>
      <c r="DJ548" s="74" t="s">
        <v>1681</v>
      </c>
      <c r="DK548" s="74" t="s">
        <v>132</v>
      </c>
      <c r="DL548" s="75"/>
      <c r="DM548" s="75"/>
      <c r="DN548" s="75"/>
      <c r="DO548" s="75"/>
      <c r="DP548" s="75"/>
      <c r="DQ548" s="75"/>
      <c r="DR548" s="75"/>
      <c r="DS548" s="75"/>
      <c r="DT548" s="75"/>
      <c r="DU548" s="75"/>
      <c r="DV548" s="75"/>
      <c r="DW548" s="75"/>
      <c r="DX548" s="75"/>
      <c r="DY548" s="75"/>
      <c r="DZ548" s="75"/>
      <c r="EA548" s="75"/>
      <c r="EB548" s="75"/>
      <c r="EC548" s="75"/>
      <c r="ED548" s="75"/>
      <c r="EE548" s="75"/>
    </row>
    <row r="549" ht="47.25" customHeight="1">
      <c r="A549" s="55" t="s">
        <v>1682</v>
      </c>
      <c r="B549" s="55" t="s">
        <v>146</v>
      </c>
      <c r="C549" s="55" t="s">
        <v>432</v>
      </c>
      <c r="D549" s="55" t="s">
        <v>481</v>
      </c>
      <c r="E549" s="55" t="s">
        <v>668</v>
      </c>
      <c r="F549" s="55" t="s">
        <v>481</v>
      </c>
      <c r="G549" s="55" t="s">
        <v>483</v>
      </c>
      <c r="H549" s="55" t="s">
        <v>669</v>
      </c>
      <c r="I549" s="56"/>
      <c r="J549" s="56"/>
      <c r="K549" s="56"/>
      <c r="L549" s="56"/>
      <c r="M549" s="56"/>
      <c r="N549" s="56"/>
      <c r="O549" s="56"/>
      <c r="P549" s="56">
        <v>1.0</v>
      </c>
      <c r="Q549" s="56" t="s">
        <v>131</v>
      </c>
      <c r="R549" s="58" t="str">
        <f t="shared" si="1"/>
        <v>2025</v>
      </c>
      <c r="S549" s="59" t="str">
        <f>SUM(Hoja1!$I549:$P549)</f>
        <v>1</v>
      </c>
      <c r="T549" s="59" t="str">
        <f>IF(OR(Hoja1!$J549=1,Hoja1!$K549=1,Hoja1!$L549=1,Hoja1!$M549=1,Hoja1!$N549=1,Hoja1!$O549=1,Hoja1!$P549=1),"SI","NO")</f>
        <v>SI</v>
      </c>
      <c r="U549" s="59" t="str">
        <f>IF(OR(Hoja1!$K549=1,Hoja1!$L549=1,Hoja1!$M549=1,Hoja1!$N549=1,Hoja1!$O549=1,Hoja1!$P549=1),"SI","NO")</f>
        <v>SI</v>
      </c>
      <c r="V549" s="60">
        <v>0.0</v>
      </c>
      <c r="W549" s="61">
        <v>0.0</v>
      </c>
      <c r="X549" s="61">
        <v>0.0</v>
      </c>
      <c r="Y549" s="60">
        <v>0.0</v>
      </c>
      <c r="Z549" s="61">
        <v>0.0</v>
      </c>
      <c r="AA549" s="61">
        <v>0.0</v>
      </c>
      <c r="AB549" s="60">
        <v>0.0</v>
      </c>
      <c r="AC549" s="61">
        <v>0.0</v>
      </c>
      <c r="AD549" s="61">
        <v>0.0</v>
      </c>
      <c r="AE549" s="60">
        <v>0.0</v>
      </c>
      <c r="AF549" s="61">
        <v>0.0</v>
      </c>
      <c r="AG549" s="61">
        <v>0.0</v>
      </c>
      <c r="AH549" s="60">
        <v>0.0</v>
      </c>
      <c r="AI549" s="61">
        <v>0.0</v>
      </c>
      <c r="AJ549" s="61">
        <v>0.0</v>
      </c>
      <c r="AK549" s="60">
        <v>0.0</v>
      </c>
      <c r="AL549" s="61">
        <v>0.0</v>
      </c>
      <c r="AM549" s="61">
        <v>0.0</v>
      </c>
      <c r="AN549" s="60">
        <v>0.0</v>
      </c>
      <c r="AO549" s="62">
        <v>200.0</v>
      </c>
      <c r="AP549" s="62">
        <v>150.0</v>
      </c>
      <c r="AQ549" s="60">
        <v>350.0</v>
      </c>
      <c r="AR549" s="60" t="str">
        <f>IF(Hoja1!$AQ549&gt;0,Hoja1!$AQ549,IF(Hoja1!$AN549&gt;0,Hoja1!$AN549,IF(Hoja1!$AK549&gt;0,Hoja1!$AK549,IF(Hoja1!$AH549&gt;0,Hoja1!$AH549,IF(Hoja1!$AE549&gt;0,Hoja1!$AE549,IF(Hoja1!$AB549&gt;0,Hoja1!$AB549,IF(Hoja1!$Y549&gt;0,Hoja1!$Y549,IF(Hoja1!$V549&gt;0,Hoja1!$V549," ---"))))))))</f>
        <v>350</v>
      </c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>
        <v>9.0</v>
      </c>
      <c r="BD549" s="63">
        <v>1.0</v>
      </c>
      <c r="BE549" s="64"/>
      <c r="BF549" s="69"/>
      <c r="BG549" s="69"/>
      <c r="BH549" s="64"/>
      <c r="BI549" s="67" t="str">
        <f t="shared" si="185"/>
        <v>#REF!</v>
      </c>
      <c r="BJ549" s="68" t="str">
        <f t="shared" si="186"/>
        <v>#REF!</v>
      </c>
      <c r="BK549" s="69"/>
      <c r="BL549" s="69"/>
      <c r="BM549" s="64"/>
      <c r="BN549" s="67" t="str">
        <f t="shared" si="187"/>
        <v>#REF!</v>
      </c>
      <c r="BO549" s="68" t="str">
        <f t="shared" si="188"/>
        <v>#REF!</v>
      </c>
      <c r="BP549" s="65"/>
      <c r="BQ549" s="65"/>
      <c r="BR549" s="66"/>
      <c r="BS549" s="67" t="str">
        <f t="shared" si="189"/>
        <v>#REF!</v>
      </c>
      <c r="BT549" s="68" t="str">
        <f>'[1]DATA CONSOLIDADA 2018-2025 '!$BR549-Hoja1!$BO549</f>
        <v>#REF!</v>
      </c>
      <c r="BU549" s="69"/>
      <c r="BV549" s="65"/>
      <c r="BW549" s="66"/>
      <c r="BX549" s="67" t="str">
        <f t="shared" si="190"/>
        <v>#REF!</v>
      </c>
      <c r="BY549" s="68" t="str">
        <f t="shared" si="191"/>
        <v>#REF!</v>
      </c>
      <c r="BZ549" s="65"/>
      <c r="CA549" s="65"/>
      <c r="CB549" s="66"/>
      <c r="CC549" s="67" t="str">
        <f t="shared" si="192"/>
        <v>#REF!</v>
      </c>
      <c r="CD549" s="68" t="str">
        <f>'[1]DATA CONSOLIDADA 2018-2025 '!$CB549-Hoja1!$BW549</f>
        <v>#REF!</v>
      </c>
      <c r="CE549" s="70"/>
      <c r="CF549" s="70"/>
      <c r="CG549" s="71"/>
      <c r="CH549" s="67" t="str">
        <f t="shared" si="193"/>
        <v>#REF!</v>
      </c>
      <c r="CI549" s="68" t="str">
        <f>'[1]DATA CONSOLIDADA 2018-2025 '!$CG549-Hoja1!$CB549</f>
        <v>#REF!</v>
      </c>
      <c r="CJ549" s="64" t="str">
        <f t="shared" si="194"/>
        <v>#REF!</v>
      </c>
      <c r="CK549" s="64">
        <v>9256078.403151201</v>
      </c>
      <c r="CL549" s="64">
        <v>1.896161162509279E7</v>
      </c>
      <c r="CM549" s="64">
        <v>2.821769002824399E7</v>
      </c>
      <c r="CN549" s="64" t="str">
        <f t="shared" si="12"/>
        <v>#REF!</v>
      </c>
      <c r="CO549" s="68" t="str">
        <f>'[1]DATA CONSOLIDADA 2018-2025 '!$CM549-Hoja1!$CG549</f>
        <v>#REF!</v>
      </c>
      <c r="CP549" s="70"/>
      <c r="CQ549" s="70"/>
      <c r="CR549" s="70"/>
      <c r="CS549" s="70"/>
      <c r="CT549" s="70"/>
      <c r="CU549" s="70"/>
      <c r="CV549" s="64"/>
      <c r="CW549" s="64"/>
      <c r="CX549" s="64"/>
      <c r="CY549" s="64"/>
      <c r="CZ549" s="64"/>
      <c r="DA549" s="64"/>
      <c r="DB549" s="64"/>
      <c r="DC549" s="72">
        <v>0.0</v>
      </c>
      <c r="DD549" s="72">
        <v>0.0</v>
      </c>
      <c r="DE549" s="72">
        <v>2.8217690028243985E7</v>
      </c>
      <c r="DF549" s="72">
        <v>0.0</v>
      </c>
      <c r="DG549" s="72">
        <v>0.0</v>
      </c>
      <c r="DH549" s="72">
        <v>2.8217690028243985E7</v>
      </c>
      <c r="DI549" s="73">
        <v>2.0486973219E10</v>
      </c>
      <c r="DJ549" s="74" t="s">
        <v>1682</v>
      </c>
      <c r="DK549" s="74" t="s">
        <v>132</v>
      </c>
      <c r="DL549" s="75"/>
      <c r="DM549" s="75"/>
      <c r="DN549" s="75"/>
      <c r="DO549" s="75"/>
      <c r="DP549" s="75"/>
      <c r="DQ549" s="75"/>
      <c r="DR549" s="75"/>
      <c r="DS549" s="75"/>
      <c r="DT549" s="75"/>
      <c r="DU549" s="75"/>
      <c r="DV549" s="75"/>
      <c r="DW549" s="75"/>
      <c r="DX549" s="75"/>
      <c r="DY549" s="75"/>
      <c r="DZ549" s="75"/>
      <c r="EA549" s="75"/>
      <c r="EB549" s="75"/>
      <c r="EC549" s="75"/>
      <c r="ED549" s="75"/>
      <c r="EE549" s="75"/>
    </row>
    <row r="550" ht="47.25" hidden="1" customHeight="1">
      <c r="A550" s="55" t="s">
        <v>1683</v>
      </c>
      <c r="B550" s="55" t="s">
        <v>189</v>
      </c>
      <c r="C550" s="55" t="s">
        <v>189</v>
      </c>
      <c r="D550" s="55" t="s">
        <v>481</v>
      </c>
      <c r="E550" s="55" t="s">
        <v>1684</v>
      </c>
      <c r="F550" s="55" t="s">
        <v>481</v>
      </c>
      <c r="G550" s="55" t="s">
        <v>684</v>
      </c>
      <c r="H550" s="55" t="s">
        <v>1685</v>
      </c>
      <c r="I550" s="56"/>
      <c r="J550" s="56"/>
      <c r="K550" s="56"/>
      <c r="L550" s="56"/>
      <c r="M550" s="56"/>
      <c r="N550" s="56"/>
      <c r="O550" s="56"/>
      <c r="P550" s="56">
        <v>1.0</v>
      </c>
      <c r="Q550" s="56" t="s">
        <v>131</v>
      </c>
      <c r="R550" s="58" t="str">
        <f t="shared" si="1"/>
        <v>2025</v>
      </c>
      <c r="S550" s="59" t="str">
        <f>SUM(Hoja1!$I550:$P550)</f>
        <v>1</v>
      </c>
      <c r="T550" s="59" t="str">
        <f>IF(OR(Hoja1!$J550=1,Hoja1!$K550=1,Hoja1!$L550=1,Hoja1!$M550=1,Hoja1!$N550=1,Hoja1!$O550=1,Hoja1!$P550=1),"SI","NO")</f>
        <v>SI</v>
      </c>
      <c r="U550" s="59" t="str">
        <f>IF(OR(Hoja1!$K550=1,Hoja1!$L550=1,Hoja1!$M550=1,Hoja1!$N550=1,Hoja1!$O550=1,Hoja1!$P550=1),"SI","NO")</f>
        <v>SI</v>
      </c>
      <c r="V550" s="60">
        <v>0.0</v>
      </c>
      <c r="W550" s="61">
        <v>0.0</v>
      </c>
      <c r="X550" s="61">
        <v>0.0</v>
      </c>
      <c r="Y550" s="60">
        <v>0.0</v>
      </c>
      <c r="Z550" s="61">
        <v>0.0</v>
      </c>
      <c r="AA550" s="61">
        <v>0.0</v>
      </c>
      <c r="AB550" s="60">
        <v>0.0</v>
      </c>
      <c r="AC550" s="61">
        <v>0.0</v>
      </c>
      <c r="AD550" s="61">
        <v>0.0</v>
      </c>
      <c r="AE550" s="60">
        <v>0.0</v>
      </c>
      <c r="AF550" s="61">
        <v>0.0</v>
      </c>
      <c r="AG550" s="61">
        <v>0.0</v>
      </c>
      <c r="AH550" s="60">
        <v>0.0</v>
      </c>
      <c r="AI550" s="61">
        <v>0.0</v>
      </c>
      <c r="AJ550" s="61">
        <v>0.0</v>
      </c>
      <c r="AK550" s="60">
        <v>0.0</v>
      </c>
      <c r="AL550" s="61">
        <v>0.0</v>
      </c>
      <c r="AM550" s="61">
        <v>0.0</v>
      </c>
      <c r="AN550" s="60">
        <v>0.0</v>
      </c>
      <c r="AO550" s="62">
        <v>9.0</v>
      </c>
      <c r="AP550" s="62">
        <v>5.0</v>
      </c>
      <c r="AQ550" s="60">
        <v>14.0</v>
      </c>
      <c r="AR550" s="60" t="str">
        <f>IF(Hoja1!$AQ550&gt;0,Hoja1!$AQ550,IF(Hoja1!$AN550&gt;0,Hoja1!$AN550,IF(Hoja1!$AK550&gt;0,Hoja1!$AK550,IF(Hoja1!$AH550&gt;0,Hoja1!$AH550,IF(Hoja1!$AE550&gt;0,Hoja1!$AE550,IF(Hoja1!$AB550&gt;0,Hoja1!$AB550,IF(Hoja1!$Y550&gt;0,Hoja1!$Y550,IF(Hoja1!$V550&gt;0,Hoja1!$V550," ---"))))))))</f>
        <v>14</v>
      </c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>
        <v>9.0</v>
      </c>
      <c r="BD550" s="63">
        <v>1.0</v>
      </c>
      <c r="BE550" s="64"/>
      <c r="BF550" s="69"/>
      <c r="BG550" s="69"/>
      <c r="BH550" s="64"/>
      <c r="BI550" s="67" t="str">
        <f t="shared" si="185"/>
        <v>#REF!</v>
      </c>
      <c r="BJ550" s="68" t="str">
        <f t="shared" si="186"/>
        <v>#REF!</v>
      </c>
      <c r="BK550" s="69"/>
      <c r="BL550" s="69"/>
      <c r="BM550" s="64"/>
      <c r="BN550" s="67" t="str">
        <f t="shared" si="187"/>
        <v>#REF!</v>
      </c>
      <c r="BO550" s="68" t="str">
        <f t="shared" si="188"/>
        <v>#REF!</v>
      </c>
      <c r="BP550" s="65"/>
      <c r="BQ550" s="65"/>
      <c r="BR550" s="66"/>
      <c r="BS550" s="67" t="str">
        <f t="shared" si="189"/>
        <v>#REF!</v>
      </c>
      <c r="BT550" s="68" t="str">
        <f>'[1]DATA CONSOLIDADA 2018-2025 '!$BR550-Hoja1!$BO550</f>
        <v>#REF!</v>
      </c>
      <c r="BU550" s="69"/>
      <c r="BV550" s="65"/>
      <c r="BW550" s="66"/>
      <c r="BX550" s="67" t="str">
        <f t="shared" si="190"/>
        <v>#REF!</v>
      </c>
      <c r="BY550" s="68" t="str">
        <f t="shared" si="191"/>
        <v>#REF!</v>
      </c>
      <c r="BZ550" s="65"/>
      <c r="CA550" s="65"/>
      <c r="CB550" s="66"/>
      <c r="CC550" s="67" t="str">
        <f t="shared" si="192"/>
        <v>#REF!</v>
      </c>
      <c r="CD550" s="68" t="str">
        <f>'[1]DATA CONSOLIDADA 2018-2025 '!$CB550-Hoja1!$BW550</f>
        <v>#REF!</v>
      </c>
      <c r="CE550" s="70"/>
      <c r="CF550" s="70"/>
      <c r="CG550" s="71"/>
      <c r="CH550" s="67" t="str">
        <f t="shared" si="193"/>
        <v>#REF!</v>
      </c>
      <c r="CI550" s="68" t="str">
        <f>'[1]DATA CONSOLIDADA 2018-2025 '!$CG550-Hoja1!$CB550</f>
        <v>#REF!</v>
      </c>
      <c r="CJ550" s="64" t="str">
        <f t="shared" si="194"/>
        <v>#REF!</v>
      </c>
      <c r="CK550" s="64">
        <v>177065.0</v>
      </c>
      <c r="CL550" s="64">
        <v>0.0</v>
      </c>
      <c r="CM550" s="64">
        <v>177065.0</v>
      </c>
      <c r="CN550" s="64" t="str">
        <f t="shared" si="12"/>
        <v>#REF!</v>
      </c>
      <c r="CO550" s="68" t="str">
        <f>'[1]DATA CONSOLIDADA 2018-2025 '!$CM550-Hoja1!$CG550</f>
        <v>#REF!</v>
      </c>
      <c r="CP550" s="70"/>
      <c r="CQ550" s="70"/>
      <c r="CR550" s="70"/>
      <c r="CS550" s="70"/>
      <c r="CT550" s="70"/>
      <c r="CU550" s="70"/>
      <c r="CV550" s="64"/>
      <c r="CW550" s="64"/>
      <c r="CX550" s="64"/>
      <c r="CY550" s="64"/>
      <c r="CZ550" s="64"/>
      <c r="DA550" s="64"/>
      <c r="DB550" s="64"/>
      <c r="DC550" s="72">
        <v>0.0</v>
      </c>
      <c r="DD550" s="72">
        <v>177065.0</v>
      </c>
      <c r="DE550" s="72">
        <v>0.0</v>
      </c>
      <c r="DF550" s="72">
        <v>0.0</v>
      </c>
      <c r="DG550" s="72">
        <v>0.0</v>
      </c>
      <c r="DH550" s="72">
        <v>177065.0</v>
      </c>
      <c r="DI550" s="73">
        <v>2.0609813688E10</v>
      </c>
      <c r="DJ550" s="74" t="s">
        <v>1686</v>
      </c>
      <c r="DK550" s="74" t="s">
        <v>138</v>
      </c>
      <c r="DL550" s="75"/>
      <c r="DM550" s="75"/>
      <c r="DN550" s="75"/>
      <c r="DO550" s="75"/>
      <c r="DP550" s="75"/>
      <c r="DQ550" s="75"/>
      <c r="DR550" s="75"/>
      <c r="DS550" s="75"/>
      <c r="DT550" s="75"/>
      <c r="DU550" s="75"/>
      <c r="DV550" s="75"/>
      <c r="DW550" s="75"/>
      <c r="DX550" s="75"/>
      <c r="DY550" s="75"/>
      <c r="DZ550" s="75"/>
      <c r="EA550" s="75"/>
      <c r="EB550" s="75"/>
      <c r="EC550" s="75"/>
      <c r="ED550" s="75"/>
      <c r="EE550" s="75"/>
    </row>
    <row r="551" ht="47.25" hidden="1" customHeight="1">
      <c r="A551" s="55" t="s">
        <v>1687</v>
      </c>
      <c r="B551" s="55" t="s">
        <v>287</v>
      </c>
      <c r="C551" s="55" t="s">
        <v>1688</v>
      </c>
      <c r="D551" s="55" t="s">
        <v>481</v>
      </c>
      <c r="E551" s="55" t="s">
        <v>687</v>
      </c>
      <c r="F551" s="55" t="s">
        <v>481</v>
      </c>
      <c r="G551" s="55" t="s">
        <v>677</v>
      </c>
      <c r="H551" s="55" t="s">
        <v>688</v>
      </c>
      <c r="I551" s="56"/>
      <c r="J551" s="56"/>
      <c r="K551" s="56"/>
      <c r="L551" s="56"/>
      <c r="M551" s="56"/>
      <c r="N551" s="56"/>
      <c r="O551" s="56"/>
      <c r="P551" s="56">
        <v>1.0</v>
      </c>
      <c r="Q551" s="56" t="s">
        <v>131</v>
      </c>
      <c r="R551" s="58" t="str">
        <f t="shared" si="1"/>
        <v>2025</v>
      </c>
      <c r="S551" s="59" t="str">
        <f>SUM(Hoja1!$I551:$P551)</f>
        <v>1</v>
      </c>
      <c r="T551" s="59" t="str">
        <f>IF(OR(Hoja1!$J551=1,Hoja1!$K551=1,Hoja1!$L551=1,Hoja1!$M551=1,Hoja1!$N551=1,Hoja1!$O551=1,Hoja1!$P551=1),"SI","NO")</f>
        <v>SI</v>
      </c>
      <c r="U551" s="59" t="str">
        <f>IF(OR(Hoja1!$K551=1,Hoja1!$L551=1,Hoja1!$M551=1,Hoja1!$N551=1,Hoja1!$O551=1,Hoja1!$P551=1),"SI","NO")</f>
        <v>SI</v>
      </c>
      <c r="V551" s="60">
        <v>0.0</v>
      </c>
      <c r="W551" s="61">
        <v>0.0</v>
      </c>
      <c r="X551" s="61">
        <v>0.0</v>
      </c>
      <c r="Y551" s="60">
        <v>0.0</v>
      </c>
      <c r="Z551" s="61">
        <v>0.0</v>
      </c>
      <c r="AA551" s="61">
        <v>0.0</v>
      </c>
      <c r="AB551" s="60">
        <v>0.0</v>
      </c>
      <c r="AC551" s="61">
        <v>0.0</v>
      </c>
      <c r="AD551" s="61">
        <v>0.0</v>
      </c>
      <c r="AE551" s="60">
        <v>0.0</v>
      </c>
      <c r="AF551" s="61">
        <v>0.0</v>
      </c>
      <c r="AG551" s="61">
        <v>0.0</v>
      </c>
      <c r="AH551" s="60">
        <v>0.0</v>
      </c>
      <c r="AI551" s="61">
        <v>0.0</v>
      </c>
      <c r="AJ551" s="61">
        <v>0.0</v>
      </c>
      <c r="AK551" s="60">
        <v>0.0</v>
      </c>
      <c r="AL551" s="61">
        <v>0.0</v>
      </c>
      <c r="AM551" s="61">
        <v>0.0</v>
      </c>
      <c r="AN551" s="60">
        <v>0.0</v>
      </c>
      <c r="AO551" s="62">
        <v>16.0</v>
      </c>
      <c r="AP551" s="62">
        <v>3.0</v>
      </c>
      <c r="AQ551" s="60">
        <v>19.0</v>
      </c>
      <c r="AR551" s="60" t="str">
        <f>IF(Hoja1!$AQ551&gt;0,Hoja1!$AQ551,IF(Hoja1!$AN551&gt;0,Hoja1!$AN551,IF(Hoja1!$AK551&gt;0,Hoja1!$AK551,IF(Hoja1!$AH551&gt;0,Hoja1!$AH551,IF(Hoja1!$AE551&gt;0,Hoja1!$AE551,IF(Hoja1!$AB551&gt;0,Hoja1!$AB551,IF(Hoja1!$Y551&gt;0,Hoja1!$Y551,IF(Hoja1!$V551&gt;0,Hoja1!$V551," ---"))))))))</f>
        <v>19</v>
      </c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>
        <v>9.0</v>
      </c>
      <c r="BD551" s="63">
        <v>1.0</v>
      </c>
      <c r="BE551" s="64"/>
      <c r="BF551" s="69"/>
      <c r="BG551" s="69"/>
      <c r="BH551" s="64"/>
      <c r="BI551" s="67" t="str">
        <f t="shared" si="185"/>
        <v>#REF!</v>
      </c>
      <c r="BJ551" s="68" t="str">
        <f t="shared" si="186"/>
        <v>#REF!</v>
      </c>
      <c r="BK551" s="69"/>
      <c r="BL551" s="69"/>
      <c r="BM551" s="64"/>
      <c r="BN551" s="67" t="str">
        <f t="shared" si="187"/>
        <v>#REF!</v>
      </c>
      <c r="BO551" s="68" t="str">
        <f t="shared" si="188"/>
        <v>#REF!</v>
      </c>
      <c r="BP551" s="65"/>
      <c r="BQ551" s="65"/>
      <c r="BR551" s="66"/>
      <c r="BS551" s="67" t="str">
        <f t="shared" si="189"/>
        <v>#REF!</v>
      </c>
      <c r="BT551" s="68" t="str">
        <f>'[1]DATA CONSOLIDADA 2018-2025 '!$BR551-Hoja1!$BO551</f>
        <v>#REF!</v>
      </c>
      <c r="BU551" s="69"/>
      <c r="BV551" s="65"/>
      <c r="BW551" s="66"/>
      <c r="BX551" s="67" t="str">
        <f t="shared" si="190"/>
        <v>#REF!</v>
      </c>
      <c r="BY551" s="68" t="str">
        <f t="shared" si="191"/>
        <v>#REF!</v>
      </c>
      <c r="BZ551" s="65"/>
      <c r="CA551" s="65"/>
      <c r="CB551" s="66"/>
      <c r="CC551" s="67" t="str">
        <f t="shared" si="192"/>
        <v>#REF!</v>
      </c>
      <c r="CD551" s="68" t="str">
        <f>'[1]DATA CONSOLIDADA 2018-2025 '!$CB551-Hoja1!$BW551</f>
        <v>#REF!</v>
      </c>
      <c r="CE551" s="70"/>
      <c r="CF551" s="70"/>
      <c r="CG551" s="71"/>
      <c r="CH551" s="67" t="str">
        <f t="shared" si="193"/>
        <v>#REF!</v>
      </c>
      <c r="CI551" s="68" t="str">
        <f>'[1]DATA CONSOLIDADA 2018-2025 '!$CG551-Hoja1!$CB551</f>
        <v>#REF!</v>
      </c>
      <c r="CJ551" s="64" t="str">
        <f t="shared" si="194"/>
        <v>#REF!</v>
      </c>
      <c r="CK551" s="64">
        <v>42106.80879</v>
      </c>
      <c r="CL551" s="64">
        <v>0.0</v>
      </c>
      <c r="CM551" s="64">
        <v>42106.80879</v>
      </c>
      <c r="CN551" s="64" t="str">
        <f t="shared" si="12"/>
        <v>#REF!</v>
      </c>
      <c r="CO551" s="68" t="str">
        <f>'[1]DATA CONSOLIDADA 2018-2025 '!$CM551-Hoja1!$CG551</f>
        <v>#REF!</v>
      </c>
      <c r="CP551" s="70"/>
      <c r="CQ551" s="70"/>
      <c r="CR551" s="70"/>
      <c r="CS551" s="70"/>
      <c r="CT551" s="70"/>
      <c r="CU551" s="70"/>
      <c r="CV551" s="64"/>
      <c r="CW551" s="64"/>
      <c r="CX551" s="64"/>
      <c r="CY551" s="64"/>
      <c r="CZ551" s="64"/>
      <c r="DA551" s="64"/>
      <c r="DB551" s="64"/>
      <c r="DC551" s="72">
        <v>0.0</v>
      </c>
      <c r="DD551" s="72">
        <v>42106.80879</v>
      </c>
      <c r="DE551" s="72">
        <v>0.0</v>
      </c>
      <c r="DF551" s="72">
        <v>0.0</v>
      </c>
      <c r="DG551" s="72">
        <v>0.0</v>
      </c>
      <c r="DH551" s="72">
        <v>42106.80879</v>
      </c>
      <c r="DI551" s="73">
        <v>2.0606497122E10</v>
      </c>
      <c r="DJ551" s="74" t="s">
        <v>1687</v>
      </c>
      <c r="DK551" s="74" t="s">
        <v>138</v>
      </c>
      <c r="DL551" s="75"/>
      <c r="DM551" s="75"/>
      <c r="DN551" s="75"/>
      <c r="DO551" s="75"/>
      <c r="DP551" s="75"/>
      <c r="DQ551" s="75"/>
      <c r="DR551" s="75"/>
      <c r="DS551" s="75"/>
      <c r="DT551" s="75"/>
      <c r="DU551" s="75"/>
      <c r="DV551" s="75"/>
      <c r="DW551" s="75"/>
      <c r="DX551" s="75"/>
      <c r="DY551" s="75"/>
      <c r="DZ551" s="75"/>
      <c r="EA551" s="75"/>
      <c r="EB551" s="75"/>
      <c r="EC551" s="75"/>
      <c r="ED551" s="75"/>
      <c r="EE551" s="75"/>
    </row>
    <row r="552" ht="47.25" hidden="1" customHeight="1">
      <c r="A552" s="55" t="s">
        <v>1689</v>
      </c>
      <c r="B552" s="55" t="s">
        <v>828</v>
      </c>
      <c r="C552" s="55" t="s">
        <v>1690</v>
      </c>
      <c r="D552" s="55" t="s">
        <v>607</v>
      </c>
      <c r="E552" s="55" t="s">
        <v>1691</v>
      </c>
      <c r="F552" s="55" t="s">
        <v>607</v>
      </c>
      <c r="G552" s="55" t="s">
        <v>1308</v>
      </c>
      <c r="H552" s="55" t="s">
        <v>1692</v>
      </c>
      <c r="I552" s="56"/>
      <c r="J552" s="56"/>
      <c r="K552" s="56"/>
      <c r="L552" s="56"/>
      <c r="M552" s="56"/>
      <c r="N552" s="56"/>
      <c r="O552" s="56"/>
      <c r="P552" s="56">
        <v>1.0</v>
      </c>
      <c r="Q552" s="56" t="s">
        <v>131</v>
      </c>
      <c r="R552" s="58" t="str">
        <f t="shared" si="1"/>
        <v>2025</v>
      </c>
      <c r="S552" s="59" t="str">
        <f>SUM(Hoja1!$I552:$P552)</f>
        <v>1</v>
      </c>
      <c r="T552" s="59" t="str">
        <f>IF(OR(Hoja1!$J552=1,Hoja1!$K552=1,Hoja1!$L552=1,Hoja1!$M552=1,Hoja1!$N552=1,Hoja1!$O552=1,Hoja1!$P552=1),"SI","NO")</f>
        <v>SI</v>
      </c>
      <c r="U552" s="59" t="str">
        <f>IF(OR(Hoja1!$K552=1,Hoja1!$L552=1,Hoja1!$M552=1,Hoja1!$N552=1,Hoja1!$O552=1,Hoja1!$P552=1),"SI","NO")</f>
        <v>SI</v>
      </c>
      <c r="V552" s="60">
        <v>0.0</v>
      </c>
      <c r="W552" s="61">
        <v>0.0</v>
      </c>
      <c r="X552" s="61">
        <v>0.0</v>
      </c>
      <c r="Y552" s="60">
        <v>0.0</v>
      </c>
      <c r="Z552" s="61">
        <v>0.0</v>
      </c>
      <c r="AA552" s="61">
        <v>0.0</v>
      </c>
      <c r="AB552" s="60">
        <v>0.0</v>
      </c>
      <c r="AC552" s="61">
        <v>0.0</v>
      </c>
      <c r="AD552" s="61">
        <v>0.0</v>
      </c>
      <c r="AE552" s="60">
        <v>0.0</v>
      </c>
      <c r="AF552" s="61">
        <v>0.0</v>
      </c>
      <c r="AG552" s="61">
        <v>0.0</v>
      </c>
      <c r="AH552" s="60">
        <v>0.0</v>
      </c>
      <c r="AI552" s="61">
        <v>0.0</v>
      </c>
      <c r="AJ552" s="61">
        <v>0.0</v>
      </c>
      <c r="AK552" s="60">
        <v>0.0</v>
      </c>
      <c r="AL552" s="61">
        <v>0.0</v>
      </c>
      <c r="AM552" s="61">
        <v>0.0</v>
      </c>
      <c r="AN552" s="60">
        <v>0.0</v>
      </c>
      <c r="AO552" s="62">
        <v>24.0</v>
      </c>
      <c r="AP552" s="62">
        <v>17.0</v>
      </c>
      <c r="AQ552" s="60">
        <v>41.0</v>
      </c>
      <c r="AR552" s="60" t="str">
        <f>IF(Hoja1!$AQ552&gt;0,Hoja1!$AQ552,IF(Hoja1!$AN552&gt;0,Hoja1!$AN552,IF(Hoja1!$AK552&gt;0,Hoja1!$AK552,IF(Hoja1!$AH552&gt;0,Hoja1!$AH552,IF(Hoja1!$AE552&gt;0,Hoja1!$AE552,IF(Hoja1!$AB552&gt;0,Hoja1!$AB552,IF(Hoja1!$Y552&gt;0,Hoja1!$Y552,IF(Hoja1!$V552&gt;0,Hoja1!$V552," ---"))))))))</f>
        <v>41</v>
      </c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>
        <v>11.0</v>
      </c>
      <c r="BD552" s="63">
        <v>2.0</v>
      </c>
      <c r="BE552" s="64"/>
      <c r="BF552" s="69"/>
      <c r="BG552" s="69"/>
      <c r="BH552" s="64"/>
      <c r="BI552" s="67" t="str">
        <f t="shared" si="185"/>
        <v>#REF!</v>
      </c>
      <c r="BJ552" s="68" t="str">
        <f t="shared" si="186"/>
        <v>#REF!</v>
      </c>
      <c r="BK552" s="69"/>
      <c r="BL552" s="69"/>
      <c r="BM552" s="64"/>
      <c r="BN552" s="67" t="str">
        <f t="shared" si="187"/>
        <v>#REF!</v>
      </c>
      <c r="BO552" s="68" t="str">
        <f t="shared" si="188"/>
        <v>#REF!</v>
      </c>
      <c r="BP552" s="65"/>
      <c r="BQ552" s="65"/>
      <c r="BR552" s="66"/>
      <c r="BS552" s="67" t="str">
        <f t="shared" si="189"/>
        <v>#REF!</v>
      </c>
      <c r="BT552" s="68" t="str">
        <f>'[1]DATA CONSOLIDADA 2018-2025 '!$BR552-Hoja1!$BO552</f>
        <v>#REF!</v>
      </c>
      <c r="BU552" s="69"/>
      <c r="BV552" s="65"/>
      <c r="BW552" s="66"/>
      <c r="BX552" s="67" t="str">
        <f t="shared" si="190"/>
        <v>#REF!</v>
      </c>
      <c r="BY552" s="68" t="str">
        <f t="shared" si="191"/>
        <v>#REF!</v>
      </c>
      <c r="BZ552" s="65"/>
      <c r="CA552" s="65"/>
      <c r="CB552" s="66"/>
      <c r="CC552" s="67" t="str">
        <f t="shared" si="192"/>
        <v>#REF!</v>
      </c>
      <c r="CD552" s="68" t="str">
        <f>'[1]DATA CONSOLIDADA 2018-2025 '!$CB552-Hoja1!$BW552</f>
        <v>#REF!</v>
      </c>
      <c r="CE552" s="70"/>
      <c r="CF552" s="70"/>
      <c r="CG552" s="71"/>
      <c r="CH552" s="67" t="str">
        <f t="shared" si="193"/>
        <v>#REF!</v>
      </c>
      <c r="CI552" s="68" t="str">
        <f>'[1]DATA CONSOLIDADA 2018-2025 '!$CG552-Hoja1!$CB552</f>
        <v>#REF!</v>
      </c>
      <c r="CJ552" s="64" t="str">
        <f t="shared" si="194"/>
        <v>#REF!</v>
      </c>
      <c r="CK552" s="64">
        <v>14890.0</v>
      </c>
      <c r="CL552" s="64">
        <v>0.0</v>
      </c>
      <c r="CM552" s="64">
        <v>14890.0</v>
      </c>
      <c r="CN552" s="64" t="str">
        <f t="shared" si="12"/>
        <v>#REF!</v>
      </c>
      <c r="CO552" s="68" t="str">
        <f>'[1]DATA CONSOLIDADA 2018-2025 '!$CM552-Hoja1!$CG552</f>
        <v>#REF!</v>
      </c>
      <c r="CP552" s="70"/>
      <c r="CQ552" s="70"/>
      <c r="CR552" s="70"/>
      <c r="CS552" s="70"/>
      <c r="CT552" s="70"/>
      <c r="CU552" s="70"/>
      <c r="CV552" s="64"/>
      <c r="CW552" s="64"/>
      <c r="CX552" s="64"/>
      <c r="CY552" s="64"/>
      <c r="CZ552" s="64"/>
      <c r="DA552" s="64"/>
      <c r="DB552" s="64"/>
      <c r="DC552" s="72">
        <v>2798.0</v>
      </c>
      <c r="DD552" s="72">
        <v>0.0</v>
      </c>
      <c r="DE552" s="72">
        <v>12092.0</v>
      </c>
      <c r="DF552" s="72">
        <v>0.0</v>
      </c>
      <c r="DG552" s="72">
        <v>0.0</v>
      </c>
      <c r="DH552" s="72">
        <v>14890.0</v>
      </c>
      <c r="DI552" s="73">
        <v>2.0610032185E10</v>
      </c>
      <c r="DJ552" s="74" t="s">
        <v>1693</v>
      </c>
      <c r="DK552" s="74" t="s">
        <v>138</v>
      </c>
      <c r="DL552" s="75"/>
      <c r="DM552" s="75"/>
      <c r="DN552" s="75"/>
      <c r="DO552" s="75"/>
      <c r="DP552" s="75"/>
      <c r="DQ552" s="75"/>
      <c r="DR552" s="75"/>
      <c r="DS552" s="75"/>
      <c r="DT552" s="75"/>
      <c r="DU552" s="75"/>
      <c r="DV552" s="75"/>
      <c r="DW552" s="75"/>
      <c r="DX552" s="75"/>
      <c r="DY552" s="75"/>
      <c r="DZ552" s="75"/>
      <c r="EA552" s="75"/>
      <c r="EB552" s="75"/>
      <c r="EC552" s="75"/>
      <c r="ED552" s="75"/>
      <c r="EE552" s="75"/>
    </row>
    <row r="553" ht="47.25" hidden="1" customHeight="1">
      <c r="A553" s="55" t="s">
        <v>1694</v>
      </c>
      <c r="B553" s="55" t="s">
        <v>621</v>
      </c>
      <c r="C553" s="55" t="s">
        <v>1695</v>
      </c>
      <c r="D553" s="55" t="s">
        <v>607</v>
      </c>
      <c r="E553" s="55" t="s">
        <v>832</v>
      </c>
      <c r="F553" s="55" t="s">
        <v>607</v>
      </c>
      <c r="G553" s="55" t="s">
        <v>607</v>
      </c>
      <c r="H553" s="55" t="s">
        <v>833</v>
      </c>
      <c r="I553" s="56"/>
      <c r="J553" s="56"/>
      <c r="K553" s="56"/>
      <c r="L553" s="56"/>
      <c r="M553" s="56"/>
      <c r="N553" s="56"/>
      <c r="O553" s="56"/>
      <c r="P553" s="56">
        <v>1.0</v>
      </c>
      <c r="Q553" s="56" t="s">
        <v>131</v>
      </c>
      <c r="R553" s="58" t="str">
        <f t="shared" si="1"/>
        <v>2025</v>
      </c>
      <c r="S553" s="59" t="str">
        <f>SUM(Hoja1!$I553:$P553)</f>
        <v>1</v>
      </c>
      <c r="T553" s="59" t="str">
        <f>IF(OR(Hoja1!$J553=1,Hoja1!$K553=1,Hoja1!$L553=1,Hoja1!$M553=1,Hoja1!$N553=1,Hoja1!$O553=1,Hoja1!$P553=1),"SI","NO")</f>
        <v>SI</v>
      </c>
      <c r="U553" s="59" t="str">
        <f>IF(OR(Hoja1!$K553=1,Hoja1!$L553=1,Hoja1!$M553=1,Hoja1!$N553=1,Hoja1!$O553=1,Hoja1!$P553=1),"SI","NO")</f>
        <v>SI</v>
      </c>
      <c r="V553" s="60">
        <v>0.0</v>
      </c>
      <c r="W553" s="61">
        <v>0.0</v>
      </c>
      <c r="X553" s="61">
        <v>0.0</v>
      </c>
      <c r="Y553" s="60">
        <v>0.0</v>
      </c>
      <c r="Z553" s="61">
        <v>0.0</v>
      </c>
      <c r="AA553" s="61">
        <v>0.0</v>
      </c>
      <c r="AB553" s="60">
        <v>0.0</v>
      </c>
      <c r="AC553" s="61">
        <v>0.0</v>
      </c>
      <c r="AD553" s="61">
        <v>0.0</v>
      </c>
      <c r="AE553" s="60">
        <v>0.0</v>
      </c>
      <c r="AF553" s="61">
        <v>0.0</v>
      </c>
      <c r="AG553" s="61">
        <v>0.0</v>
      </c>
      <c r="AH553" s="60">
        <v>0.0</v>
      </c>
      <c r="AI553" s="61">
        <v>0.0</v>
      </c>
      <c r="AJ553" s="61">
        <v>0.0</v>
      </c>
      <c r="AK553" s="60">
        <v>0.0</v>
      </c>
      <c r="AL553" s="61">
        <v>0.0</v>
      </c>
      <c r="AM553" s="61">
        <v>0.0</v>
      </c>
      <c r="AN553" s="60">
        <v>0.0</v>
      </c>
      <c r="AO553" s="62">
        <v>27.0</v>
      </c>
      <c r="AP553" s="62">
        <v>20.0</v>
      </c>
      <c r="AQ553" s="60">
        <v>47.0</v>
      </c>
      <c r="AR553" s="60" t="str">
        <f>IF(Hoja1!$AQ553&gt;0,Hoja1!$AQ553,IF(Hoja1!$AN553&gt;0,Hoja1!$AN553,IF(Hoja1!$AK553&gt;0,Hoja1!$AK553,IF(Hoja1!$AH553&gt;0,Hoja1!$AH553,IF(Hoja1!$AE553&gt;0,Hoja1!$AE553,IF(Hoja1!$AB553&gt;0,Hoja1!$AB553,IF(Hoja1!$Y553&gt;0,Hoja1!$Y553,IF(Hoja1!$V553&gt;0,Hoja1!$V553," ---"))))))))</f>
        <v>47</v>
      </c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>
        <v>7.0</v>
      </c>
      <c r="BD553" s="63">
        <v>1.0</v>
      </c>
      <c r="BE553" s="64"/>
      <c r="BF553" s="69"/>
      <c r="BG553" s="69"/>
      <c r="BH553" s="64"/>
      <c r="BI553" s="67" t="str">
        <f t="shared" si="185"/>
        <v>#REF!</v>
      </c>
      <c r="BJ553" s="68" t="str">
        <f t="shared" si="186"/>
        <v>#REF!</v>
      </c>
      <c r="BK553" s="69"/>
      <c r="BL553" s="69"/>
      <c r="BM553" s="64"/>
      <c r="BN553" s="67" t="str">
        <f t="shared" si="187"/>
        <v>#REF!</v>
      </c>
      <c r="BO553" s="68" t="str">
        <f t="shared" si="188"/>
        <v>#REF!</v>
      </c>
      <c r="BP553" s="65"/>
      <c r="BQ553" s="65"/>
      <c r="BR553" s="66"/>
      <c r="BS553" s="67" t="str">
        <f t="shared" si="189"/>
        <v>#REF!</v>
      </c>
      <c r="BT553" s="68" t="str">
        <f>'[1]DATA CONSOLIDADA 2018-2025 '!$BR553-Hoja1!$BO553</f>
        <v>#REF!</v>
      </c>
      <c r="BU553" s="69"/>
      <c r="BV553" s="65"/>
      <c r="BW553" s="66"/>
      <c r="BX553" s="67" t="str">
        <f t="shared" si="190"/>
        <v>#REF!</v>
      </c>
      <c r="BY553" s="68" t="str">
        <f t="shared" si="191"/>
        <v>#REF!</v>
      </c>
      <c r="BZ553" s="65"/>
      <c r="CA553" s="65"/>
      <c r="CB553" s="66"/>
      <c r="CC553" s="67" t="str">
        <f t="shared" si="192"/>
        <v>#REF!</v>
      </c>
      <c r="CD553" s="68" t="str">
        <f>'[1]DATA CONSOLIDADA 2018-2025 '!$CB553-Hoja1!$BW553</f>
        <v>#REF!</v>
      </c>
      <c r="CE553" s="70"/>
      <c r="CF553" s="70"/>
      <c r="CG553" s="71"/>
      <c r="CH553" s="67" t="str">
        <f t="shared" si="193"/>
        <v>#REF!</v>
      </c>
      <c r="CI553" s="68" t="str">
        <f>'[1]DATA CONSOLIDADA 2018-2025 '!$CG553-Hoja1!$CB553</f>
        <v>#REF!</v>
      </c>
      <c r="CJ553" s="64" t="str">
        <f t="shared" si="194"/>
        <v>#REF!</v>
      </c>
      <c r="CK553" s="64">
        <v>0.0</v>
      </c>
      <c r="CL553" s="64">
        <v>0.0</v>
      </c>
      <c r="CM553" s="64">
        <v>0.0</v>
      </c>
      <c r="CN553" s="64" t="str">
        <f t="shared" si="12"/>
        <v>#REF!</v>
      </c>
      <c r="CO553" s="68" t="str">
        <f>'[1]DATA CONSOLIDADA 2018-2025 '!$CM553-Hoja1!$CG553</f>
        <v>#REF!</v>
      </c>
      <c r="CP553" s="70"/>
      <c r="CQ553" s="70"/>
      <c r="CR553" s="70"/>
      <c r="CS553" s="70"/>
      <c r="CT553" s="70"/>
      <c r="CU553" s="70"/>
      <c r="CV553" s="64"/>
      <c r="CW553" s="64"/>
      <c r="CX553" s="64"/>
      <c r="CY553" s="64"/>
      <c r="CZ553" s="64"/>
      <c r="DA553" s="64"/>
      <c r="DB553" s="64"/>
      <c r="DC553" s="72">
        <v>0.0</v>
      </c>
      <c r="DD553" s="72">
        <v>0.0</v>
      </c>
      <c r="DE553" s="72">
        <v>0.0</v>
      </c>
      <c r="DF553" s="72">
        <v>0.0</v>
      </c>
      <c r="DG553" s="72">
        <v>0.0</v>
      </c>
      <c r="DH553" s="72">
        <v>0.0</v>
      </c>
      <c r="DI553" s="73">
        <v>2.0605272577E10</v>
      </c>
      <c r="DJ553" s="74" t="s">
        <v>1694</v>
      </c>
      <c r="DK553" s="74" t="s">
        <v>138</v>
      </c>
      <c r="DL553" s="75"/>
      <c r="DM553" s="75"/>
      <c r="DN553" s="75"/>
      <c r="DO553" s="75"/>
      <c r="DP553" s="75"/>
      <c r="DQ553" s="75"/>
      <c r="DR553" s="75"/>
      <c r="DS553" s="75"/>
      <c r="DT553" s="75"/>
      <c r="DU553" s="75"/>
      <c r="DV553" s="75"/>
      <c r="DW553" s="75"/>
      <c r="DX553" s="75"/>
      <c r="DY553" s="75"/>
      <c r="DZ553" s="75"/>
      <c r="EA553" s="75"/>
      <c r="EB553" s="75"/>
      <c r="EC553" s="75"/>
      <c r="ED553" s="75"/>
      <c r="EE553" s="75"/>
    </row>
    <row r="554" ht="47.25" hidden="1" customHeight="1">
      <c r="A554" s="55" t="s">
        <v>1696</v>
      </c>
      <c r="B554" s="55" t="s">
        <v>1697</v>
      </c>
      <c r="C554" s="55" t="s">
        <v>1697</v>
      </c>
      <c r="D554" s="55" t="s">
        <v>607</v>
      </c>
      <c r="E554" s="55" t="s">
        <v>1698</v>
      </c>
      <c r="F554" s="55" t="s">
        <v>607</v>
      </c>
      <c r="G554" s="55" t="s">
        <v>607</v>
      </c>
      <c r="H554" s="55" t="s">
        <v>1699</v>
      </c>
      <c r="I554" s="56"/>
      <c r="J554" s="56"/>
      <c r="K554" s="56"/>
      <c r="L554" s="56"/>
      <c r="M554" s="56"/>
      <c r="N554" s="56"/>
      <c r="O554" s="56"/>
      <c r="P554" s="56">
        <v>1.0</v>
      </c>
      <c r="Q554" s="56" t="s">
        <v>131</v>
      </c>
      <c r="R554" s="58" t="str">
        <f t="shared" si="1"/>
        <v>2025</v>
      </c>
      <c r="S554" s="59" t="str">
        <f>SUM(Hoja1!$I554:$P554)</f>
        <v>1</v>
      </c>
      <c r="T554" s="59" t="str">
        <f>IF(OR(Hoja1!$J554=1,Hoja1!$K554=1,Hoja1!$L554=1,Hoja1!$M554=1,Hoja1!$N554=1,Hoja1!$O554=1,Hoja1!$P554=1),"SI","NO")</f>
        <v>SI</v>
      </c>
      <c r="U554" s="59" t="str">
        <f>IF(OR(Hoja1!$K554=1,Hoja1!$L554=1,Hoja1!$M554=1,Hoja1!$N554=1,Hoja1!$O554=1,Hoja1!$P554=1),"SI","NO")</f>
        <v>SI</v>
      </c>
      <c r="V554" s="60">
        <v>0.0</v>
      </c>
      <c r="W554" s="61">
        <v>0.0</v>
      </c>
      <c r="X554" s="61">
        <v>0.0</v>
      </c>
      <c r="Y554" s="60">
        <v>0.0</v>
      </c>
      <c r="Z554" s="61">
        <v>0.0</v>
      </c>
      <c r="AA554" s="61">
        <v>0.0</v>
      </c>
      <c r="AB554" s="60">
        <v>0.0</v>
      </c>
      <c r="AC554" s="61">
        <v>0.0</v>
      </c>
      <c r="AD554" s="61">
        <v>0.0</v>
      </c>
      <c r="AE554" s="60">
        <v>0.0</v>
      </c>
      <c r="AF554" s="61">
        <v>0.0</v>
      </c>
      <c r="AG554" s="61">
        <v>0.0</v>
      </c>
      <c r="AH554" s="60">
        <v>0.0</v>
      </c>
      <c r="AI554" s="61">
        <v>0.0</v>
      </c>
      <c r="AJ554" s="61">
        <v>0.0</v>
      </c>
      <c r="AK554" s="60">
        <v>0.0</v>
      </c>
      <c r="AL554" s="61">
        <v>0.0</v>
      </c>
      <c r="AM554" s="61">
        <v>0.0</v>
      </c>
      <c r="AN554" s="60">
        <v>0.0</v>
      </c>
      <c r="AO554" s="62">
        <v>3.0</v>
      </c>
      <c r="AP554" s="62">
        <v>4.0</v>
      </c>
      <c r="AQ554" s="60">
        <v>7.0</v>
      </c>
      <c r="AR554" s="60" t="str">
        <f>IF(Hoja1!$AQ554&gt;0,Hoja1!$AQ554,IF(Hoja1!$AN554&gt;0,Hoja1!$AN554,IF(Hoja1!$AK554&gt;0,Hoja1!$AK554,IF(Hoja1!$AH554&gt;0,Hoja1!$AH554,IF(Hoja1!$AE554&gt;0,Hoja1!$AE554,IF(Hoja1!$AB554&gt;0,Hoja1!$AB554,IF(Hoja1!$Y554&gt;0,Hoja1!$Y554,IF(Hoja1!$V554&gt;0,Hoja1!$V554," ---"))))))))</f>
        <v>7</v>
      </c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>
        <v>8.0</v>
      </c>
      <c r="BD554" s="63">
        <v>1.0</v>
      </c>
      <c r="BE554" s="64"/>
      <c r="BF554" s="69"/>
      <c r="BG554" s="69"/>
      <c r="BH554" s="64"/>
      <c r="BI554" s="67" t="str">
        <f t="shared" si="185"/>
        <v>#REF!</v>
      </c>
      <c r="BJ554" s="68" t="str">
        <f t="shared" si="186"/>
        <v>#REF!</v>
      </c>
      <c r="BK554" s="69"/>
      <c r="BL554" s="69"/>
      <c r="BM554" s="64"/>
      <c r="BN554" s="67" t="str">
        <f t="shared" si="187"/>
        <v>#REF!</v>
      </c>
      <c r="BO554" s="68" t="str">
        <f t="shared" si="188"/>
        <v>#REF!</v>
      </c>
      <c r="BP554" s="65"/>
      <c r="BQ554" s="65"/>
      <c r="BR554" s="66"/>
      <c r="BS554" s="67" t="str">
        <f t="shared" si="189"/>
        <v>#REF!</v>
      </c>
      <c r="BT554" s="68" t="str">
        <f>'[1]DATA CONSOLIDADA 2018-2025 '!$BR554-Hoja1!$BO554</f>
        <v>#REF!</v>
      </c>
      <c r="BU554" s="69"/>
      <c r="BV554" s="65"/>
      <c r="BW554" s="66"/>
      <c r="BX554" s="67" t="str">
        <f t="shared" si="190"/>
        <v>#REF!</v>
      </c>
      <c r="BY554" s="68" t="str">
        <f t="shared" si="191"/>
        <v>#REF!</v>
      </c>
      <c r="BZ554" s="65"/>
      <c r="CA554" s="65"/>
      <c r="CB554" s="66"/>
      <c r="CC554" s="67" t="str">
        <f t="shared" si="192"/>
        <v>#REF!</v>
      </c>
      <c r="CD554" s="68" t="str">
        <f>'[1]DATA CONSOLIDADA 2018-2025 '!$CB554-Hoja1!$BW554</f>
        <v>#REF!</v>
      </c>
      <c r="CE554" s="70"/>
      <c r="CF554" s="70"/>
      <c r="CG554" s="71"/>
      <c r="CH554" s="67" t="str">
        <f t="shared" si="193"/>
        <v>#REF!</v>
      </c>
      <c r="CI554" s="68" t="str">
        <f>'[1]DATA CONSOLIDADA 2018-2025 '!$CG554-Hoja1!$CB554</f>
        <v>#REF!</v>
      </c>
      <c r="CJ554" s="64" t="str">
        <f t="shared" si="194"/>
        <v>#REF!</v>
      </c>
      <c r="CK554" s="64">
        <v>0.0</v>
      </c>
      <c r="CL554" s="64">
        <v>0.0</v>
      </c>
      <c r="CM554" s="64">
        <v>0.0</v>
      </c>
      <c r="CN554" s="64" t="str">
        <f t="shared" si="12"/>
        <v>#REF!</v>
      </c>
      <c r="CO554" s="68" t="str">
        <f>'[1]DATA CONSOLIDADA 2018-2025 '!$CM554-Hoja1!$CG554</f>
        <v>#REF!</v>
      </c>
      <c r="CP554" s="70"/>
      <c r="CQ554" s="70"/>
      <c r="CR554" s="70"/>
      <c r="CS554" s="70"/>
      <c r="CT554" s="70"/>
      <c r="CU554" s="70"/>
      <c r="CV554" s="64"/>
      <c r="CW554" s="64"/>
      <c r="CX554" s="64"/>
      <c r="CY554" s="64"/>
      <c r="CZ554" s="64"/>
      <c r="DA554" s="64"/>
      <c r="DB554" s="64"/>
      <c r="DC554" s="72">
        <v>0.0</v>
      </c>
      <c r="DD554" s="72">
        <v>0.0</v>
      </c>
      <c r="DE554" s="72">
        <v>0.0</v>
      </c>
      <c r="DF554" s="72">
        <v>0.0</v>
      </c>
      <c r="DG554" s="72">
        <v>0.0</v>
      </c>
      <c r="DH554" s="72">
        <v>0.0</v>
      </c>
      <c r="DI554" s="73">
        <v>2.0612473626E10</v>
      </c>
      <c r="DJ554" s="74" t="s">
        <v>1696</v>
      </c>
      <c r="DK554" s="74" t="s">
        <v>138</v>
      </c>
      <c r="DL554" s="75"/>
      <c r="DM554" s="75"/>
      <c r="DN554" s="75"/>
      <c r="DO554" s="75"/>
      <c r="DP554" s="75"/>
      <c r="DQ554" s="75"/>
      <c r="DR554" s="75"/>
      <c r="DS554" s="75"/>
      <c r="DT554" s="75"/>
      <c r="DU554" s="75"/>
      <c r="DV554" s="75"/>
      <c r="DW554" s="75"/>
      <c r="DX554" s="75"/>
      <c r="DY554" s="75"/>
      <c r="DZ554" s="75"/>
      <c r="EA554" s="75"/>
      <c r="EB554" s="75"/>
      <c r="EC554" s="75"/>
      <c r="ED554" s="75"/>
      <c r="EE554" s="75"/>
    </row>
    <row r="555" ht="47.25" hidden="1" customHeight="1">
      <c r="A555" s="55" t="s">
        <v>1700</v>
      </c>
      <c r="B555" s="55" t="s">
        <v>621</v>
      </c>
      <c r="C555" s="55" t="s">
        <v>1695</v>
      </c>
      <c r="D555" s="55" t="s">
        <v>607</v>
      </c>
      <c r="E555" s="55" t="s">
        <v>1701</v>
      </c>
      <c r="F555" s="55" t="s">
        <v>607</v>
      </c>
      <c r="G555" s="55" t="s">
        <v>1702</v>
      </c>
      <c r="H555" s="55" t="s">
        <v>1703</v>
      </c>
      <c r="I555" s="56"/>
      <c r="J555" s="56"/>
      <c r="K555" s="56"/>
      <c r="L555" s="56"/>
      <c r="M555" s="56"/>
      <c r="N555" s="56"/>
      <c r="O555" s="56"/>
      <c r="P555" s="56">
        <v>1.0</v>
      </c>
      <c r="Q555" s="56" t="s">
        <v>131</v>
      </c>
      <c r="R555" s="58" t="str">
        <f t="shared" si="1"/>
        <v>2025</v>
      </c>
      <c r="S555" s="59" t="str">
        <f>SUM(Hoja1!$I555:$P555)</f>
        <v>1</v>
      </c>
      <c r="T555" s="59" t="str">
        <f>IF(OR(Hoja1!$J555=1,Hoja1!$K555=1,Hoja1!$L555=1,Hoja1!$M555=1,Hoja1!$N555=1,Hoja1!$O555=1,Hoja1!$P555=1),"SI","NO")</f>
        <v>SI</v>
      </c>
      <c r="U555" s="59" t="str">
        <f>IF(OR(Hoja1!$K555=1,Hoja1!$L555=1,Hoja1!$M555=1,Hoja1!$N555=1,Hoja1!$O555=1,Hoja1!$P555=1),"SI","NO")</f>
        <v>SI</v>
      </c>
      <c r="V555" s="60">
        <v>0.0</v>
      </c>
      <c r="W555" s="61">
        <v>0.0</v>
      </c>
      <c r="X555" s="61">
        <v>0.0</v>
      </c>
      <c r="Y555" s="60">
        <v>0.0</v>
      </c>
      <c r="Z555" s="61">
        <v>0.0</v>
      </c>
      <c r="AA555" s="61">
        <v>0.0</v>
      </c>
      <c r="AB555" s="60">
        <v>0.0</v>
      </c>
      <c r="AC555" s="61">
        <v>0.0</v>
      </c>
      <c r="AD555" s="61">
        <v>0.0</v>
      </c>
      <c r="AE555" s="60">
        <v>0.0</v>
      </c>
      <c r="AF555" s="61">
        <v>0.0</v>
      </c>
      <c r="AG555" s="61">
        <v>0.0</v>
      </c>
      <c r="AH555" s="60">
        <v>0.0</v>
      </c>
      <c r="AI555" s="61">
        <v>0.0</v>
      </c>
      <c r="AJ555" s="61">
        <v>0.0</v>
      </c>
      <c r="AK555" s="60">
        <v>0.0</v>
      </c>
      <c r="AL555" s="61">
        <v>0.0</v>
      </c>
      <c r="AM555" s="61">
        <v>0.0</v>
      </c>
      <c r="AN555" s="60">
        <v>0.0</v>
      </c>
      <c r="AO555" s="62">
        <v>0.0</v>
      </c>
      <c r="AP555" s="62">
        <v>11.0</v>
      </c>
      <c r="AQ555" s="60">
        <v>11.0</v>
      </c>
      <c r="AR555" s="60" t="str">
        <f>IF(Hoja1!$AQ555&gt;0,Hoja1!$AQ555,IF(Hoja1!$AN555&gt;0,Hoja1!$AN555,IF(Hoja1!$AK555&gt;0,Hoja1!$AK555,IF(Hoja1!$AH555&gt;0,Hoja1!$AH555,IF(Hoja1!$AE555&gt;0,Hoja1!$AE555,IF(Hoja1!$AB555&gt;0,Hoja1!$AB555,IF(Hoja1!$Y555&gt;0,Hoja1!$Y555,IF(Hoja1!$V555&gt;0,Hoja1!$V555," ---"))))))))</f>
        <v>11</v>
      </c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>
        <v>14.0</v>
      </c>
      <c r="BD555" s="63">
        <v>1.0</v>
      </c>
      <c r="BE555" s="64"/>
      <c r="BF555" s="69"/>
      <c r="BG555" s="69"/>
      <c r="BH555" s="64"/>
      <c r="BI555" s="67" t="str">
        <f t="shared" si="185"/>
        <v>#REF!</v>
      </c>
      <c r="BJ555" s="68" t="str">
        <f t="shared" si="186"/>
        <v>#REF!</v>
      </c>
      <c r="BK555" s="69"/>
      <c r="BL555" s="69"/>
      <c r="BM555" s="64"/>
      <c r="BN555" s="67" t="str">
        <f t="shared" si="187"/>
        <v>#REF!</v>
      </c>
      <c r="BO555" s="68" t="str">
        <f t="shared" si="188"/>
        <v>#REF!</v>
      </c>
      <c r="BP555" s="65"/>
      <c r="BQ555" s="65"/>
      <c r="BR555" s="66"/>
      <c r="BS555" s="67" t="str">
        <f t="shared" si="189"/>
        <v>#REF!</v>
      </c>
      <c r="BT555" s="68" t="str">
        <f>'[1]DATA CONSOLIDADA 2018-2025 '!$BR555-Hoja1!$BO555</f>
        <v>#REF!</v>
      </c>
      <c r="BU555" s="69"/>
      <c r="BV555" s="65"/>
      <c r="BW555" s="66"/>
      <c r="BX555" s="67" t="str">
        <f t="shared" si="190"/>
        <v>#REF!</v>
      </c>
      <c r="BY555" s="68" t="str">
        <f t="shared" si="191"/>
        <v>#REF!</v>
      </c>
      <c r="BZ555" s="65"/>
      <c r="CA555" s="65"/>
      <c r="CB555" s="66"/>
      <c r="CC555" s="67" t="str">
        <f t="shared" si="192"/>
        <v>#REF!</v>
      </c>
      <c r="CD555" s="68" t="str">
        <f>'[1]DATA CONSOLIDADA 2018-2025 '!$CB555-Hoja1!$BW555</f>
        <v>#REF!</v>
      </c>
      <c r="CE555" s="70"/>
      <c r="CF555" s="70"/>
      <c r="CG555" s="71"/>
      <c r="CH555" s="67" t="str">
        <f t="shared" si="193"/>
        <v>#REF!</v>
      </c>
      <c r="CI555" s="68" t="str">
        <f>'[1]DATA CONSOLIDADA 2018-2025 '!$CG555-Hoja1!$CB555</f>
        <v>#REF!</v>
      </c>
      <c r="CJ555" s="64" t="str">
        <f t="shared" si="194"/>
        <v>#REF!</v>
      </c>
      <c r="CK555" s="64">
        <v>6451.65</v>
      </c>
      <c r="CL555" s="64">
        <v>0.0</v>
      </c>
      <c r="CM555" s="64">
        <v>6451.65</v>
      </c>
      <c r="CN555" s="64" t="str">
        <f t="shared" si="12"/>
        <v>#REF!</v>
      </c>
      <c r="CO555" s="68" t="str">
        <f>'[1]DATA CONSOLIDADA 2018-2025 '!$CM555-Hoja1!$CG555</f>
        <v>#REF!</v>
      </c>
      <c r="CP555" s="70"/>
      <c r="CQ555" s="70"/>
      <c r="CR555" s="70"/>
      <c r="CS555" s="70"/>
      <c r="CT555" s="70"/>
      <c r="CU555" s="70"/>
      <c r="CV555" s="64"/>
      <c r="CW555" s="64"/>
      <c r="CX555" s="64"/>
      <c r="CY555" s="64"/>
      <c r="CZ555" s="64"/>
      <c r="DA555" s="64"/>
      <c r="DB555" s="64"/>
      <c r="DC555" s="72">
        <v>0.0</v>
      </c>
      <c r="DD555" s="72">
        <v>0.0</v>
      </c>
      <c r="DE555" s="72">
        <v>6451.65</v>
      </c>
      <c r="DF555" s="72">
        <v>0.0</v>
      </c>
      <c r="DG555" s="72">
        <v>0.0</v>
      </c>
      <c r="DH555" s="72">
        <v>6451.65</v>
      </c>
      <c r="DI555" s="73">
        <v>2.0608865927E10</v>
      </c>
      <c r="DJ555" s="74" t="s">
        <v>1700</v>
      </c>
      <c r="DK555" s="74" t="s">
        <v>306</v>
      </c>
      <c r="DL555" s="75"/>
      <c r="DM555" s="75"/>
      <c r="DN555" s="75"/>
      <c r="DO555" s="75"/>
      <c r="DP555" s="75"/>
      <c r="DQ555" s="75"/>
      <c r="DR555" s="75"/>
      <c r="DS555" s="75"/>
      <c r="DT555" s="75"/>
      <c r="DU555" s="75"/>
      <c r="DV555" s="75"/>
      <c r="DW555" s="75"/>
      <c r="DX555" s="75"/>
      <c r="DY555" s="75"/>
      <c r="DZ555" s="75"/>
      <c r="EA555" s="75"/>
      <c r="EB555" s="75"/>
      <c r="EC555" s="75"/>
      <c r="ED555" s="75"/>
      <c r="EE555" s="75"/>
    </row>
    <row r="556" ht="47.25" hidden="1" customHeight="1">
      <c r="A556" s="55" t="s">
        <v>1704</v>
      </c>
      <c r="B556" s="55" t="s">
        <v>455</v>
      </c>
      <c r="C556" s="55" t="s">
        <v>1705</v>
      </c>
      <c r="D556" s="55" t="s">
        <v>889</v>
      </c>
      <c r="E556" s="55" t="s">
        <v>1706</v>
      </c>
      <c r="F556" s="55" t="s">
        <v>889</v>
      </c>
      <c r="G556" s="55" t="s">
        <v>900</v>
      </c>
      <c r="H556" s="55" t="s">
        <v>1707</v>
      </c>
      <c r="I556" s="56"/>
      <c r="J556" s="56"/>
      <c r="K556" s="56"/>
      <c r="L556" s="56"/>
      <c r="M556" s="56"/>
      <c r="N556" s="56"/>
      <c r="O556" s="56"/>
      <c r="P556" s="56">
        <v>1.0</v>
      </c>
      <c r="Q556" s="56" t="s">
        <v>131</v>
      </c>
      <c r="R556" s="58" t="str">
        <f t="shared" si="1"/>
        <v>2025</v>
      </c>
      <c r="S556" s="59" t="str">
        <f>SUM(Hoja1!$I556:$P556)</f>
        <v>1</v>
      </c>
      <c r="T556" s="59" t="str">
        <f>IF(OR(Hoja1!$J556=1,Hoja1!$K556=1,Hoja1!$L556=1,Hoja1!$M556=1,Hoja1!$N556=1,Hoja1!$O556=1,Hoja1!$P556=1),"SI","NO")</f>
        <v>SI</v>
      </c>
      <c r="U556" s="59" t="str">
        <f>IF(OR(Hoja1!$K556=1,Hoja1!$L556=1,Hoja1!$M556=1,Hoja1!$N556=1,Hoja1!$O556=1,Hoja1!$P556=1),"SI","NO")</f>
        <v>SI</v>
      </c>
      <c r="V556" s="60">
        <v>0.0</v>
      </c>
      <c r="W556" s="61">
        <v>0.0</v>
      </c>
      <c r="X556" s="61">
        <v>0.0</v>
      </c>
      <c r="Y556" s="60">
        <v>0.0</v>
      </c>
      <c r="Z556" s="61">
        <v>0.0</v>
      </c>
      <c r="AA556" s="61">
        <v>0.0</v>
      </c>
      <c r="AB556" s="60">
        <v>0.0</v>
      </c>
      <c r="AC556" s="61">
        <v>0.0</v>
      </c>
      <c r="AD556" s="61">
        <v>0.0</v>
      </c>
      <c r="AE556" s="60">
        <v>0.0</v>
      </c>
      <c r="AF556" s="61">
        <v>0.0</v>
      </c>
      <c r="AG556" s="61">
        <v>0.0</v>
      </c>
      <c r="AH556" s="60">
        <v>0.0</v>
      </c>
      <c r="AI556" s="61">
        <v>0.0</v>
      </c>
      <c r="AJ556" s="61">
        <v>0.0</v>
      </c>
      <c r="AK556" s="60">
        <v>0.0</v>
      </c>
      <c r="AL556" s="61">
        <v>0.0</v>
      </c>
      <c r="AM556" s="61">
        <v>0.0</v>
      </c>
      <c r="AN556" s="60">
        <v>0.0</v>
      </c>
      <c r="AO556" s="62">
        <v>4.0</v>
      </c>
      <c r="AP556" s="62">
        <v>15.0</v>
      </c>
      <c r="AQ556" s="60">
        <v>19.0</v>
      </c>
      <c r="AR556" s="60" t="str">
        <f>IF(Hoja1!$AQ556&gt;0,Hoja1!$AQ556,IF(Hoja1!$AN556&gt;0,Hoja1!$AN556,IF(Hoja1!$AK556&gt;0,Hoja1!$AK556,IF(Hoja1!$AH556&gt;0,Hoja1!$AH556,IF(Hoja1!$AE556&gt;0,Hoja1!$AE556,IF(Hoja1!$AB556&gt;0,Hoja1!$AB556,IF(Hoja1!$Y556&gt;0,Hoja1!$Y556,IF(Hoja1!$V556&gt;0,Hoja1!$V556," ---"))))))))</f>
        <v>19</v>
      </c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>
        <v>30.0</v>
      </c>
      <c r="BD556" s="63">
        <v>6.0</v>
      </c>
      <c r="BE556" s="64"/>
      <c r="BF556" s="69"/>
      <c r="BG556" s="69"/>
      <c r="BH556" s="64"/>
      <c r="BI556" s="67" t="str">
        <f t="shared" si="185"/>
        <v>#REF!</v>
      </c>
      <c r="BJ556" s="68" t="str">
        <f t="shared" si="186"/>
        <v>#REF!</v>
      </c>
      <c r="BK556" s="69"/>
      <c r="BL556" s="69"/>
      <c r="BM556" s="64"/>
      <c r="BN556" s="67" t="str">
        <f t="shared" si="187"/>
        <v>#REF!</v>
      </c>
      <c r="BO556" s="68" t="str">
        <f t="shared" si="188"/>
        <v>#REF!</v>
      </c>
      <c r="BP556" s="65"/>
      <c r="BQ556" s="65"/>
      <c r="BR556" s="66"/>
      <c r="BS556" s="67" t="str">
        <f t="shared" si="189"/>
        <v>#REF!</v>
      </c>
      <c r="BT556" s="68" t="str">
        <f>'[1]DATA CONSOLIDADA 2018-2025 '!$BR557-Hoja1!$BO556</f>
        <v>#REF!</v>
      </c>
      <c r="BU556" s="69"/>
      <c r="BV556" s="65"/>
      <c r="BW556" s="66"/>
      <c r="BX556" s="67" t="str">
        <f t="shared" si="190"/>
        <v>#REF!</v>
      </c>
      <c r="BY556" s="68" t="str">
        <f t="shared" si="191"/>
        <v>#REF!</v>
      </c>
      <c r="BZ556" s="65"/>
      <c r="CA556" s="65"/>
      <c r="CB556" s="66"/>
      <c r="CC556" s="67" t="str">
        <f t="shared" si="192"/>
        <v>#REF!</v>
      </c>
      <c r="CD556" s="68" t="str">
        <f>'[1]DATA CONSOLIDADA 2018-2025 '!$CB557-Hoja1!$BW556</f>
        <v>#REF!</v>
      </c>
      <c r="CE556" s="70"/>
      <c r="CF556" s="70"/>
      <c r="CG556" s="71"/>
      <c r="CH556" s="67" t="str">
        <f t="shared" si="193"/>
        <v>#REF!</v>
      </c>
      <c r="CI556" s="68" t="str">
        <f>'[1]DATA CONSOLIDADA 2018-2025 '!$CG557-Hoja1!$CB556</f>
        <v>#REF!</v>
      </c>
      <c r="CJ556" s="64" t="str">
        <f t="shared" ref="CJ556:CJ557" si="195">'[1]DATA CONSOLIDADA 2018-2025 '!$BE557+'[1]DATA CONSOLIDADA 2018-2025 '!$BH557+'[1]DATA CONSOLIDADA 2018-2025 '!$BM557+'[1]DATA CONSOLIDADA 2018-2025 '!$BR557+'[1]DATA CONSOLIDADA 2018-2025 '!$BW557+'[1]DATA CONSOLIDADA 2018-2025 '!$CB557+'[1]DATA CONSOLIDADA 2018-2025 '!$CG557</f>
        <v>#REF!</v>
      </c>
      <c r="CK556" s="64">
        <v>57830.0</v>
      </c>
      <c r="CL556" s="64">
        <v>0.0</v>
      </c>
      <c r="CM556" s="64">
        <v>57830.0</v>
      </c>
      <c r="CN556" s="64" t="str">
        <f t="shared" si="12"/>
        <v>#REF!</v>
      </c>
      <c r="CO556" s="68" t="str">
        <f>'[1]DATA CONSOLIDADA 2018-2025 '!$CM556-Hoja1!$CG556</f>
        <v>#REF!</v>
      </c>
      <c r="CP556" s="70"/>
      <c r="CQ556" s="70"/>
      <c r="CR556" s="70"/>
      <c r="CS556" s="70"/>
      <c r="CT556" s="70"/>
      <c r="CU556" s="70"/>
      <c r="CV556" s="64"/>
      <c r="CW556" s="64"/>
      <c r="CX556" s="64"/>
      <c r="CY556" s="64"/>
      <c r="CZ556" s="64"/>
      <c r="DA556" s="64"/>
      <c r="DB556" s="64"/>
      <c r="DC556" s="72">
        <v>0.0</v>
      </c>
      <c r="DD556" s="72">
        <v>57830.0</v>
      </c>
      <c r="DE556" s="72">
        <v>0.0</v>
      </c>
      <c r="DF556" s="72">
        <v>0.0</v>
      </c>
      <c r="DG556" s="72">
        <v>0.0</v>
      </c>
      <c r="DH556" s="72">
        <v>57830.0</v>
      </c>
      <c r="DI556" s="73">
        <v>2.0609411423E10</v>
      </c>
      <c r="DJ556" s="74" t="s">
        <v>1704</v>
      </c>
      <c r="DK556" s="74" t="s">
        <v>138</v>
      </c>
      <c r="DL556" s="75"/>
      <c r="DM556" s="75"/>
      <c r="DN556" s="75"/>
      <c r="DO556" s="75"/>
      <c r="DP556" s="75"/>
      <c r="DQ556" s="75"/>
      <c r="DR556" s="75"/>
      <c r="DS556" s="75"/>
      <c r="DT556" s="75"/>
      <c r="DU556" s="75"/>
      <c r="DV556" s="75"/>
      <c r="DW556" s="75"/>
      <c r="DX556" s="75"/>
      <c r="DY556" s="75"/>
      <c r="DZ556" s="75"/>
      <c r="EA556" s="75"/>
      <c r="EB556" s="75"/>
      <c r="EC556" s="75"/>
      <c r="ED556" s="75"/>
      <c r="EE556" s="75"/>
    </row>
    <row r="557" ht="47.25" hidden="1" customHeight="1">
      <c r="A557" s="55" t="s">
        <v>1708</v>
      </c>
      <c r="B557" s="55" t="s">
        <v>455</v>
      </c>
      <c r="C557" s="55" t="s">
        <v>1705</v>
      </c>
      <c r="D557" s="55" t="s">
        <v>889</v>
      </c>
      <c r="E557" s="55" t="s">
        <v>1709</v>
      </c>
      <c r="F557" s="55" t="s">
        <v>889</v>
      </c>
      <c r="G557" s="55" t="s">
        <v>900</v>
      </c>
      <c r="H557" s="55" t="s">
        <v>1710</v>
      </c>
      <c r="I557" s="56"/>
      <c r="J557" s="56"/>
      <c r="K557" s="56"/>
      <c r="L557" s="56"/>
      <c r="M557" s="56"/>
      <c r="N557" s="56"/>
      <c r="O557" s="56"/>
      <c r="P557" s="56">
        <v>1.0</v>
      </c>
      <c r="Q557" s="56" t="s">
        <v>131</v>
      </c>
      <c r="R557" s="58" t="str">
        <f t="shared" si="1"/>
        <v>2025</v>
      </c>
      <c r="S557" s="59" t="str">
        <f>SUM(Hoja1!$I557:$P557)</f>
        <v>1</v>
      </c>
      <c r="T557" s="59" t="str">
        <f>IF(OR(Hoja1!$J557=1,Hoja1!$K557=1,Hoja1!$L557=1,Hoja1!$M557=1,Hoja1!$N557=1,Hoja1!$O557=1,Hoja1!$P557=1),"SI","NO")</f>
        <v>SI</v>
      </c>
      <c r="U557" s="59" t="str">
        <f>IF(OR(Hoja1!$K557=1,Hoja1!$L557=1,Hoja1!$M557=1,Hoja1!$N557=1,Hoja1!$O557=1,Hoja1!$P557=1),"SI","NO")</f>
        <v>SI</v>
      </c>
      <c r="V557" s="60">
        <v>0.0</v>
      </c>
      <c r="W557" s="61">
        <v>0.0</v>
      </c>
      <c r="X557" s="61">
        <v>0.0</v>
      </c>
      <c r="Y557" s="60">
        <v>0.0</v>
      </c>
      <c r="Z557" s="61">
        <v>0.0</v>
      </c>
      <c r="AA557" s="61">
        <v>0.0</v>
      </c>
      <c r="AB557" s="60">
        <v>0.0</v>
      </c>
      <c r="AC557" s="61">
        <v>0.0</v>
      </c>
      <c r="AD557" s="61">
        <v>0.0</v>
      </c>
      <c r="AE557" s="60">
        <v>0.0</v>
      </c>
      <c r="AF557" s="61">
        <v>0.0</v>
      </c>
      <c r="AG557" s="61">
        <v>0.0</v>
      </c>
      <c r="AH557" s="60">
        <v>0.0</v>
      </c>
      <c r="AI557" s="61">
        <v>0.0</v>
      </c>
      <c r="AJ557" s="61">
        <v>0.0</v>
      </c>
      <c r="AK557" s="60">
        <v>0.0</v>
      </c>
      <c r="AL557" s="61">
        <v>0.0</v>
      </c>
      <c r="AM557" s="61">
        <v>0.0</v>
      </c>
      <c r="AN557" s="60">
        <v>0.0</v>
      </c>
      <c r="AO557" s="62">
        <v>16.0</v>
      </c>
      <c r="AP557" s="62">
        <v>1.0</v>
      </c>
      <c r="AQ557" s="60">
        <v>17.0</v>
      </c>
      <c r="AR557" s="60" t="str">
        <f>IF(Hoja1!$AQ557&gt;0,Hoja1!$AQ557,IF(Hoja1!$AN557&gt;0,Hoja1!$AN557,IF(Hoja1!$AK557&gt;0,Hoja1!$AK557,IF(Hoja1!$AH557&gt;0,Hoja1!$AH557,IF(Hoja1!$AE557&gt;0,Hoja1!$AE557,IF(Hoja1!$AB557&gt;0,Hoja1!$AB557,IF(Hoja1!$Y557&gt;0,Hoja1!$Y557,IF(Hoja1!$V557&gt;0,Hoja1!$V557," ---"))))))))</f>
        <v>17</v>
      </c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>
        <v>29.0</v>
      </c>
      <c r="BD557" s="63">
        <v>7.0</v>
      </c>
      <c r="BE557" s="64"/>
      <c r="BF557" s="69"/>
      <c r="BG557" s="69"/>
      <c r="BH557" s="64"/>
      <c r="BI557" s="67" t="str">
        <f t="shared" si="185"/>
        <v>#REF!</v>
      </c>
      <c r="BJ557" s="68" t="str">
        <f t="shared" si="186"/>
        <v>#REF!</v>
      </c>
      <c r="BK557" s="69"/>
      <c r="BL557" s="69"/>
      <c r="BM557" s="64"/>
      <c r="BN557" s="67" t="str">
        <f t="shared" si="187"/>
        <v>#REF!</v>
      </c>
      <c r="BO557" s="68" t="str">
        <f t="shared" si="188"/>
        <v>#REF!</v>
      </c>
      <c r="BP557" s="65"/>
      <c r="BQ557" s="65"/>
      <c r="BR557" s="66"/>
      <c r="BS557" s="67" t="str">
        <f t="shared" si="189"/>
        <v>#REF!</v>
      </c>
      <c r="BT557" s="68" t="str">
        <f>'[1]DATA CONSOLIDADA 2018-2025 '!$BR558-Hoja1!$BO557</f>
        <v>#REF!</v>
      </c>
      <c r="BU557" s="69"/>
      <c r="BV557" s="65"/>
      <c r="BW557" s="66"/>
      <c r="BX557" s="67" t="str">
        <f t="shared" si="190"/>
        <v>#REF!</v>
      </c>
      <c r="BY557" s="68" t="str">
        <f t="shared" si="191"/>
        <v>#REF!</v>
      </c>
      <c r="BZ557" s="65"/>
      <c r="CA557" s="65"/>
      <c r="CB557" s="66"/>
      <c r="CC557" s="67" t="str">
        <f t="shared" si="192"/>
        <v>#REF!</v>
      </c>
      <c r="CD557" s="68" t="str">
        <f>'[1]DATA CONSOLIDADA 2018-2025 '!$CB558-Hoja1!$BW557</f>
        <v>#REF!</v>
      </c>
      <c r="CE557" s="70"/>
      <c r="CF557" s="70"/>
      <c r="CG557" s="71"/>
      <c r="CH557" s="67" t="str">
        <f t="shared" si="193"/>
        <v>#REF!</v>
      </c>
      <c r="CI557" s="68" t="str">
        <f>'[1]DATA CONSOLIDADA 2018-2025 '!$CG558-Hoja1!$CB557</f>
        <v>#REF!</v>
      </c>
      <c r="CJ557" s="64" t="str">
        <f t="shared" si="195"/>
        <v>#REF!</v>
      </c>
      <c r="CK557" s="64">
        <v>56300.0</v>
      </c>
      <c r="CL557" s="64">
        <v>0.0</v>
      </c>
      <c r="CM557" s="64">
        <v>56300.0</v>
      </c>
      <c r="CN557" s="64" t="str">
        <f t="shared" si="12"/>
        <v>#REF!</v>
      </c>
      <c r="CO557" s="68" t="str">
        <f>'[1]DATA CONSOLIDADA 2018-2025 '!$CM557-Hoja1!$CG557</f>
        <v>#REF!</v>
      </c>
      <c r="CP557" s="70"/>
      <c r="CQ557" s="70"/>
      <c r="CR557" s="70"/>
      <c r="CS557" s="70"/>
      <c r="CT557" s="70"/>
      <c r="CU557" s="70"/>
      <c r="CV557" s="64"/>
      <c r="CW557" s="64"/>
      <c r="CX557" s="64"/>
      <c r="CY557" s="64"/>
      <c r="CZ557" s="64"/>
      <c r="DA557" s="64"/>
      <c r="DB557" s="64"/>
      <c r="DC557" s="72">
        <v>0.0</v>
      </c>
      <c r="DD557" s="72">
        <v>56300.0</v>
      </c>
      <c r="DE557" s="72">
        <v>0.0</v>
      </c>
      <c r="DF557" s="72">
        <v>0.0</v>
      </c>
      <c r="DG557" s="72">
        <v>0.0</v>
      </c>
      <c r="DH557" s="72">
        <v>56300.0</v>
      </c>
      <c r="DI557" s="73">
        <v>2.0611055669E10</v>
      </c>
      <c r="DJ557" s="74" t="s">
        <v>1708</v>
      </c>
      <c r="DK557" s="74" t="s">
        <v>138</v>
      </c>
      <c r="DL557" s="75"/>
      <c r="DM557" s="75"/>
      <c r="DN557" s="75"/>
      <c r="DO557" s="75"/>
      <c r="DP557" s="75"/>
      <c r="DQ557" s="75"/>
      <c r="DR557" s="75"/>
      <c r="DS557" s="75"/>
      <c r="DT557" s="75"/>
      <c r="DU557" s="75"/>
      <c r="DV557" s="75"/>
      <c r="DW557" s="75"/>
      <c r="DX557" s="75"/>
      <c r="DY557" s="75"/>
      <c r="DZ557" s="75"/>
      <c r="EA557" s="75"/>
      <c r="EB557" s="75"/>
      <c r="EC557" s="75"/>
      <c r="ED557" s="75"/>
      <c r="EE557" s="75"/>
    </row>
    <row r="558" ht="47.25" hidden="1" customHeight="1">
      <c r="A558" s="55" t="s">
        <v>1711</v>
      </c>
      <c r="B558" s="55" t="s">
        <v>455</v>
      </c>
      <c r="C558" s="55" t="s">
        <v>1705</v>
      </c>
      <c r="D558" s="55" t="s">
        <v>889</v>
      </c>
      <c r="E558" s="55" t="s">
        <v>1709</v>
      </c>
      <c r="F558" s="55" t="s">
        <v>889</v>
      </c>
      <c r="G558" s="55" t="s">
        <v>900</v>
      </c>
      <c r="H558" s="55" t="s">
        <v>1710</v>
      </c>
      <c r="I558" s="56"/>
      <c r="J558" s="56"/>
      <c r="K558" s="56"/>
      <c r="L558" s="56"/>
      <c r="M558" s="56"/>
      <c r="N558" s="56"/>
      <c r="O558" s="56"/>
      <c r="P558" s="56">
        <v>1.0</v>
      </c>
      <c r="Q558" s="56" t="s">
        <v>131</v>
      </c>
      <c r="R558" s="58" t="str">
        <f t="shared" si="1"/>
        <v>2025</v>
      </c>
      <c r="S558" s="59" t="str">
        <f>SUM(Hoja1!$I558:$P558)</f>
        <v>1</v>
      </c>
      <c r="T558" s="59" t="str">
        <f>IF(OR(Hoja1!$J558=1,Hoja1!$K558=1,Hoja1!$L558=1,Hoja1!$M558=1,Hoja1!$N558=1,Hoja1!$O558=1,Hoja1!$P558=1),"SI","NO")</f>
        <v>SI</v>
      </c>
      <c r="U558" s="59" t="str">
        <f>IF(OR(Hoja1!$K558=1,Hoja1!$L558=1,Hoja1!$M558=1,Hoja1!$N558=1,Hoja1!$O558=1,Hoja1!$P558=1),"SI","NO")</f>
        <v>SI</v>
      </c>
      <c r="V558" s="60">
        <v>0.0</v>
      </c>
      <c r="W558" s="61">
        <v>0.0</v>
      </c>
      <c r="X558" s="61">
        <v>0.0</v>
      </c>
      <c r="Y558" s="60">
        <v>0.0</v>
      </c>
      <c r="Z558" s="61">
        <v>0.0</v>
      </c>
      <c r="AA558" s="61">
        <v>0.0</v>
      </c>
      <c r="AB558" s="60">
        <v>0.0</v>
      </c>
      <c r="AC558" s="61">
        <v>0.0</v>
      </c>
      <c r="AD558" s="61">
        <v>0.0</v>
      </c>
      <c r="AE558" s="60">
        <v>0.0</v>
      </c>
      <c r="AF558" s="61">
        <v>0.0</v>
      </c>
      <c r="AG558" s="61">
        <v>0.0</v>
      </c>
      <c r="AH558" s="60">
        <v>0.0</v>
      </c>
      <c r="AI558" s="61">
        <v>0.0</v>
      </c>
      <c r="AJ558" s="61">
        <v>0.0</v>
      </c>
      <c r="AK558" s="60">
        <v>0.0</v>
      </c>
      <c r="AL558" s="61">
        <v>0.0</v>
      </c>
      <c r="AM558" s="61">
        <v>0.0</v>
      </c>
      <c r="AN558" s="60">
        <v>0.0</v>
      </c>
      <c r="AO558" s="62">
        <v>9.0</v>
      </c>
      <c r="AP558" s="62">
        <v>11.0</v>
      </c>
      <c r="AQ558" s="60">
        <v>20.0</v>
      </c>
      <c r="AR558" s="60" t="str">
        <f>IF(Hoja1!$AQ558&gt;0,Hoja1!$AQ558,IF(Hoja1!$AN558&gt;0,Hoja1!$AN558,IF(Hoja1!$AK558&gt;0,Hoja1!$AK558,IF(Hoja1!$AH558&gt;0,Hoja1!$AH558,IF(Hoja1!$AE558&gt;0,Hoja1!$AE558,IF(Hoja1!$AB558&gt;0,Hoja1!$AB558,IF(Hoja1!$Y558&gt;0,Hoja1!$Y558,IF(Hoja1!$V558&gt;0,Hoja1!$V558," ---"))))))))</f>
        <v>20</v>
      </c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>
        <v>30.0</v>
      </c>
      <c r="BD558" s="63">
        <v>6.0</v>
      </c>
      <c r="BE558" s="64"/>
      <c r="BF558" s="69"/>
      <c r="BG558" s="69"/>
      <c r="BH558" s="64"/>
      <c r="BI558" s="67" t="str">
        <f t="shared" si="185"/>
        <v>#REF!</v>
      </c>
      <c r="BJ558" s="68" t="str">
        <f t="shared" si="186"/>
        <v>#REF!</v>
      </c>
      <c r="BK558" s="69"/>
      <c r="BL558" s="69"/>
      <c r="BM558" s="64"/>
      <c r="BN558" s="67" t="str">
        <f t="shared" si="187"/>
        <v>#REF!</v>
      </c>
      <c r="BO558" s="68" t="str">
        <f t="shared" si="188"/>
        <v>#REF!</v>
      </c>
      <c r="BP558" s="65"/>
      <c r="BQ558" s="65"/>
      <c r="BR558" s="66"/>
      <c r="BS558" s="67" t="str">
        <f t="shared" si="189"/>
        <v>#REF!</v>
      </c>
      <c r="BT558" s="68" t="str">
        <f>'[1]DATA CONSOLIDADA 2018-2025 '!$BR574-Hoja1!$BO558</f>
        <v>#REF!</v>
      </c>
      <c r="BU558" s="69"/>
      <c r="BV558" s="65"/>
      <c r="BW558" s="66"/>
      <c r="BX558" s="67" t="str">
        <f t="shared" si="190"/>
        <v>#REF!</v>
      </c>
      <c r="BY558" s="68" t="str">
        <f t="shared" si="191"/>
        <v>#REF!</v>
      </c>
      <c r="BZ558" s="65"/>
      <c r="CA558" s="65"/>
      <c r="CB558" s="66"/>
      <c r="CC558" s="67" t="str">
        <f t="shared" si="192"/>
        <v>#REF!</v>
      </c>
      <c r="CD558" s="68" t="str">
        <f>'[1]DATA CONSOLIDADA 2018-2025 '!$CB574-Hoja1!$BW558</f>
        <v>#REF!</v>
      </c>
      <c r="CE558" s="70"/>
      <c r="CF558" s="70"/>
      <c r="CG558" s="71"/>
      <c r="CH558" s="67" t="str">
        <f t="shared" si="193"/>
        <v>#REF!</v>
      </c>
      <c r="CI558" s="68" t="str">
        <f>'[1]DATA CONSOLIDADA 2018-2025 '!$CG574-Hoja1!$CB558</f>
        <v>#REF!</v>
      </c>
      <c r="CJ558" s="64" t="str">
        <f>'[1]DATA CONSOLIDADA 2018-2025 '!$BE574+'[1]DATA CONSOLIDADA 2018-2025 '!$BH574+'[1]DATA CONSOLIDADA 2018-2025 '!$BM574+'[1]DATA CONSOLIDADA 2018-2025 '!$BR574+'[1]DATA CONSOLIDADA 2018-2025 '!$BW574+'[1]DATA CONSOLIDADA 2018-2025 '!$CB574+'[1]DATA CONSOLIDADA 2018-2025 '!$CG574</f>
        <v>#REF!</v>
      </c>
      <c r="CK558" s="64">
        <v>109438.0</v>
      </c>
      <c r="CL558" s="64">
        <v>0.0</v>
      </c>
      <c r="CM558" s="64">
        <v>109438.0</v>
      </c>
      <c r="CN558" s="64" t="str">
        <f t="shared" si="12"/>
        <v>#REF!</v>
      </c>
      <c r="CO558" s="68" t="str">
        <f>'[1]DATA CONSOLIDADA 2018-2025 '!$CM558-Hoja1!$CG558</f>
        <v>#REF!</v>
      </c>
      <c r="CP558" s="70"/>
      <c r="CQ558" s="70"/>
      <c r="CR558" s="70"/>
      <c r="CS558" s="70"/>
      <c r="CT558" s="70"/>
      <c r="CU558" s="70"/>
      <c r="CV558" s="64"/>
      <c r="CW558" s="64"/>
      <c r="CX558" s="64"/>
      <c r="CY558" s="64"/>
      <c r="CZ558" s="64"/>
      <c r="DA558" s="64"/>
      <c r="DB558" s="64"/>
      <c r="DC558" s="72">
        <v>0.0</v>
      </c>
      <c r="DD558" s="72">
        <v>109438.0</v>
      </c>
      <c r="DE558" s="72">
        <v>0.0</v>
      </c>
      <c r="DF558" s="72">
        <v>0.0</v>
      </c>
      <c r="DG558" s="72">
        <v>0.0</v>
      </c>
      <c r="DH558" s="72">
        <v>109438.0</v>
      </c>
      <c r="DI558" s="73">
        <v>2.0609862492E10</v>
      </c>
      <c r="DJ558" s="74" t="s">
        <v>1711</v>
      </c>
      <c r="DK558" s="74" t="s">
        <v>138</v>
      </c>
      <c r="DL558" s="75"/>
      <c r="DM558" s="75"/>
      <c r="DN558" s="75"/>
      <c r="DO558" s="75"/>
      <c r="DP558" s="75"/>
      <c r="DQ558" s="75"/>
      <c r="DR558" s="75"/>
      <c r="DS558" s="75"/>
      <c r="DT558" s="75"/>
      <c r="DU558" s="75"/>
      <c r="DV558" s="75"/>
      <c r="DW558" s="75"/>
      <c r="DX558" s="75"/>
      <c r="DY558" s="75"/>
      <c r="DZ558" s="75"/>
      <c r="EA558" s="75"/>
      <c r="EB558" s="75"/>
      <c r="EC558" s="75"/>
      <c r="ED558" s="75"/>
      <c r="EE558" s="75"/>
    </row>
    <row r="559" ht="47.25" hidden="1" customHeight="1">
      <c r="A559" s="55" t="s">
        <v>1712</v>
      </c>
      <c r="B559" s="55" t="s">
        <v>439</v>
      </c>
      <c r="C559" s="55" t="s">
        <v>439</v>
      </c>
      <c r="D559" s="55" t="s">
        <v>1001</v>
      </c>
      <c r="E559" s="55" t="s">
        <v>1713</v>
      </c>
      <c r="F559" s="55" t="s">
        <v>1001</v>
      </c>
      <c r="G559" s="55" t="s">
        <v>1032</v>
      </c>
      <c r="H559" s="55" t="s">
        <v>1714</v>
      </c>
      <c r="I559" s="56"/>
      <c r="J559" s="56"/>
      <c r="K559" s="56"/>
      <c r="L559" s="56"/>
      <c r="M559" s="56"/>
      <c r="N559" s="56"/>
      <c r="O559" s="56"/>
      <c r="P559" s="56">
        <v>1.0</v>
      </c>
      <c r="Q559" s="56" t="s">
        <v>131</v>
      </c>
      <c r="R559" s="58" t="str">
        <f t="shared" si="1"/>
        <v>2025</v>
      </c>
      <c r="S559" s="59" t="str">
        <f>SUM(Hoja1!$I559:$P559)</f>
        <v>1</v>
      </c>
      <c r="T559" s="59" t="str">
        <f>IF(OR(Hoja1!$J559=1,Hoja1!$K559=1,Hoja1!$L559=1,Hoja1!$M559=1,Hoja1!$N559=1,Hoja1!$O559=1,Hoja1!$P559=1),"SI","NO")</f>
        <v>SI</v>
      </c>
      <c r="U559" s="59" t="str">
        <f>IF(OR(Hoja1!$K559=1,Hoja1!$L559=1,Hoja1!$M559=1,Hoja1!$N559=1,Hoja1!$O559=1,Hoja1!$P559=1),"SI","NO")</f>
        <v>SI</v>
      </c>
      <c r="V559" s="60">
        <v>0.0</v>
      </c>
      <c r="W559" s="61">
        <v>0.0</v>
      </c>
      <c r="X559" s="61">
        <v>0.0</v>
      </c>
      <c r="Y559" s="60">
        <v>0.0</v>
      </c>
      <c r="Z559" s="61">
        <v>0.0</v>
      </c>
      <c r="AA559" s="61">
        <v>0.0</v>
      </c>
      <c r="AB559" s="60">
        <v>0.0</v>
      </c>
      <c r="AC559" s="61">
        <v>0.0</v>
      </c>
      <c r="AD559" s="61">
        <v>0.0</v>
      </c>
      <c r="AE559" s="60">
        <v>0.0</v>
      </c>
      <c r="AF559" s="61">
        <v>0.0</v>
      </c>
      <c r="AG559" s="61">
        <v>0.0</v>
      </c>
      <c r="AH559" s="60">
        <v>0.0</v>
      </c>
      <c r="AI559" s="61">
        <v>0.0</v>
      </c>
      <c r="AJ559" s="61">
        <v>0.0</v>
      </c>
      <c r="AK559" s="60">
        <v>0.0</v>
      </c>
      <c r="AL559" s="61">
        <v>0.0</v>
      </c>
      <c r="AM559" s="61">
        <v>0.0</v>
      </c>
      <c r="AN559" s="60">
        <v>0.0</v>
      </c>
      <c r="AO559" s="62">
        <v>40.0</v>
      </c>
      <c r="AP559" s="62">
        <v>20.0</v>
      </c>
      <c r="AQ559" s="60">
        <v>60.0</v>
      </c>
      <c r="AR559" s="60" t="str">
        <f>IF(Hoja1!$AQ559&gt;0,Hoja1!$AQ559,IF(Hoja1!$AN559&gt;0,Hoja1!$AN559,IF(Hoja1!$AK559&gt;0,Hoja1!$AK559,IF(Hoja1!$AH559&gt;0,Hoja1!$AH559,IF(Hoja1!$AE559&gt;0,Hoja1!$AE559,IF(Hoja1!$AB559&gt;0,Hoja1!$AB559,IF(Hoja1!$Y559&gt;0,Hoja1!$Y559,IF(Hoja1!$V559&gt;0,Hoja1!$V559," ---"))))))))</f>
        <v>60</v>
      </c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>
        <v>37.0</v>
      </c>
      <c r="BD559" s="63">
        <v>1.0</v>
      </c>
      <c r="BE559" s="64"/>
      <c r="BF559" s="69"/>
      <c r="BG559" s="69"/>
      <c r="BH559" s="64"/>
      <c r="BI559" s="67" t="str">
        <f t="shared" si="185"/>
        <v>#REF!</v>
      </c>
      <c r="BJ559" s="68" t="str">
        <f t="shared" si="186"/>
        <v>#REF!</v>
      </c>
      <c r="BK559" s="69"/>
      <c r="BL559" s="69"/>
      <c r="BM559" s="64"/>
      <c r="BN559" s="67" t="str">
        <f t="shared" si="187"/>
        <v>#REF!</v>
      </c>
      <c r="BO559" s="68" t="str">
        <f t="shared" si="188"/>
        <v>#REF!</v>
      </c>
      <c r="BP559" s="65"/>
      <c r="BQ559" s="65"/>
      <c r="BR559" s="66"/>
      <c r="BS559" s="67" t="str">
        <f t="shared" si="189"/>
        <v>#REF!</v>
      </c>
      <c r="BT559" s="68" t="str">
        <f>'[1]DATA CONSOLIDADA 2018-2025 '!$BR559-Hoja1!$BO559</f>
        <v>#REF!</v>
      </c>
      <c r="BU559" s="69"/>
      <c r="BV559" s="65"/>
      <c r="BW559" s="66"/>
      <c r="BX559" s="67" t="str">
        <f t="shared" si="190"/>
        <v>#REF!</v>
      </c>
      <c r="BY559" s="68" t="str">
        <f t="shared" si="191"/>
        <v>#REF!</v>
      </c>
      <c r="BZ559" s="65"/>
      <c r="CA559" s="65"/>
      <c r="CB559" s="66"/>
      <c r="CC559" s="67" t="str">
        <f t="shared" si="192"/>
        <v>#REF!</v>
      </c>
      <c r="CD559" s="68" t="str">
        <f>'[1]DATA CONSOLIDADA 2018-2025 '!$CB559-Hoja1!$BW559</f>
        <v>#REF!</v>
      </c>
      <c r="CE559" s="70"/>
      <c r="CF559" s="70"/>
      <c r="CG559" s="71"/>
      <c r="CH559" s="67" t="str">
        <f t="shared" si="193"/>
        <v>#REF!</v>
      </c>
      <c r="CI559" s="68" t="str">
        <f>'[1]DATA CONSOLIDADA 2018-2025 '!$CG559-Hoja1!$CB559</f>
        <v>#REF!</v>
      </c>
      <c r="CJ559" s="64" t="str">
        <f t="shared" ref="CJ559:CJ573" si="196">'[1]DATA CONSOLIDADA 2018-2025 '!$BE559+'[1]DATA CONSOLIDADA 2018-2025 '!$BH559+'[1]DATA CONSOLIDADA 2018-2025 '!$BM559+'[1]DATA CONSOLIDADA 2018-2025 '!$BR559+'[1]DATA CONSOLIDADA 2018-2025 '!$BW559+'[1]DATA CONSOLIDADA 2018-2025 '!$CB559+'[1]DATA CONSOLIDADA 2018-2025 '!$CG559</f>
        <v>#REF!</v>
      </c>
      <c r="CK559" s="64">
        <v>6798.0</v>
      </c>
      <c r="CL559" s="64">
        <v>0.0</v>
      </c>
      <c r="CM559" s="64">
        <v>6798.0</v>
      </c>
      <c r="CN559" s="64" t="str">
        <f t="shared" si="12"/>
        <v>#REF!</v>
      </c>
      <c r="CO559" s="68" t="str">
        <f>'[1]DATA CONSOLIDADA 2018-2025 '!$CM559-Hoja1!$CG559</f>
        <v>#REF!</v>
      </c>
      <c r="CP559" s="70"/>
      <c r="CQ559" s="70"/>
      <c r="CR559" s="70"/>
      <c r="CS559" s="70"/>
      <c r="CT559" s="70"/>
      <c r="CU559" s="70"/>
      <c r="CV559" s="64"/>
      <c r="CW559" s="64"/>
      <c r="CX559" s="64"/>
      <c r="CY559" s="64"/>
      <c r="CZ559" s="64"/>
      <c r="DA559" s="64"/>
      <c r="DB559" s="64"/>
      <c r="DC559" s="72">
        <v>0.0</v>
      </c>
      <c r="DD559" s="72">
        <v>3399.0</v>
      </c>
      <c r="DE559" s="72">
        <v>3399.0</v>
      </c>
      <c r="DF559" s="72">
        <v>0.0</v>
      </c>
      <c r="DG559" s="72">
        <v>0.0</v>
      </c>
      <c r="DH559" s="72">
        <v>6798.0</v>
      </c>
      <c r="DI559" s="73">
        <v>2.0613233106E10</v>
      </c>
      <c r="DJ559" s="74" t="s">
        <v>1712</v>
      </c>
      <c r="DK559" s="74" t="s">
        <v>138</v>
      </c>
      <c r="DL559" s="75"/>
      <c r="DM559" s="75"/>
      <c r="DN559" s="75"/>
      <c r="DO559" s="75"/>
      <c r="DP559" s="75"/>
      <c r="DQ559" s="75"/>
      <c r="DR559" s="75"/>
      <c r="DS559" s="75"/>
      <c r="DT559" s="75"/>
      <c r="DU559" s="75"/>
      <c r="DV559" s="75"/>
      <c r="DW559" s="75"/>
      <c r="DX559" s="75"/>
      <c r="DY559" s="75"/>
      <c r="DZ559" s="75"/>
      <c r="EA559" s="75"/>
      <c r="EB559" s="75"/>
      <c r="EC559" s="75"/>
      <c r="ED559" s="75"/>
      <c r="EE559" s="75"/>
    </row>
    <row r="560" ht="47.25" hidden="1" customHeight="1">
      <c r="A560" s="55" t="s">
        <v>1715</v>
      </c>
      <c r="B560" s="55" t="s">
        <v>287</v>
      </c>
      <c r="C560" s="55" t="s">
        <v>1688</v>
      </c>
      <c r="D560" s="55" t="s">
        <v>1001</v>
      </c>
      <c r="E560" s="55" t="s">
        <v>1554</v>
      </c>
      <c r="F560" s="55" t="s">
        <v>1001</v>
      </c>
      <c r="G560" s="55" t="s">
        <v>1001</v>
      </c>
      <c r="H560" s="55" t="s">
        <v>1555</v>
      </c>
      <c r="I560" s="56"/>
      <c r="J560" s="56"/>
      <c r="K560" s="56"/>
      <c r="L560" s="56"/>
      <c r="M560" s="56"/>
      <c r="N560" s="56"/>
      <c r="O560" s="56"/>
      <c r="P560" s="56">
        <v>1.0</v>
      </c>
      <c r="Q560" s="56" t="s">
        <v>131</v>
      </c>
      <c r="R560" s="58" t="str">
        <f t="shared" si="1"/>
        <v>2025</v>
      </c>
      <c r="S560" s="59" t="str">
        <f>SUM(Hoja1!$I560:$P560)</f>
        <v>1</v>
      </c>
      <c r="T560" s="59" t="str">
        <f>IF(OR(Hoja1!$J560=1,Hoja1!$K560=1,Hoja1!$L560=1,Hoja1!$M560=1,Hoja1!$N560=1,Hoja1!$O560=1,Hoja1!$P560=1),"SI","NO")</f>
        <v>SI</v>
      </c>
      <c r="U560" s="59" t="str">
        <f>IF(OR(Hoja1!$K560=1,Hoja1!$L560=1,Hoja1!$M560=1,Hoja1!$N560=1,Hoja1!$O560=1,Hoja1!$P560=1),"SI","NO")</f>
        <v>SI</v>
      </c>
      <c r="V560" s="60">
        <v>0.0</v>
      </c>
      <c r="W560" s="61">
        <v>0.0</v>
      </c>
      <c r="X560" s="61">
        <v>0.0</v>
      </c>
      <c r="Y560" s="60">
        <v>0.0</v>
      </c>
      <c r="Z560" s="61">
        <v>0.0</v>
      </c>
      <c r="AA560" s="61">
        <v>0.0</v>
      </c>
      <c r="AB560" s="60">
        <v>0.0</v>
      </c>
      <c r="AC560" s="61">
        <v>0.0</v>
      </c>
      <c r="AD560" s="61">
        <v>0.0</v>
      </c>
      <c r="AE560" s="60">
        <v>0.0</v>
      </c>
      <c r="AF560" s="61">
        <v>0.0</v>
      </c>
      <c r="AG560" s="61">
        <v>0.0</v>
      </c>
      <c r="AH560" s="60">
        <v>0.0</v>
      </c>
      <c r="AI560" s="61">
        <v>0.0</v>
      </c>
      <c r="AJ560" s="61">
        <v>0.0</v>
      </c>
      <c r="AK560" s="60">
        <v>0.0</v>
      </c>
      <c r="AL560" s="61">
        <v>0.0</v>
      </c>
      <c r="AM560" s="61">
        <v>0.0</v>
      </c>
      <c r="AN560" s="60">
        <v>0.0</v>
      </c>
      <c r="AO560" s="62">
        <v>16.0</v>
      </c>
      <c r="AP560" s="62">
        <v>37.0</v>
      </c>
      <c r="AQ560" s="60">
        <v>53.0</v>
      </c>
      <c r="AR560" s="60" t="str">
        <f>IF(Hoja1!$AQ560&gt;0,Hoja1!$AQ560,IF(Hoja1!$AN560&gt;0,Hoja1!$AN560,IF(Hoja1!$AK560&gt;0,Hoja1!$AK560,IF(Hoja1!$AH560&gt;0,Hoja1!$AH560,IF(Hoja1!$AE560&gt;0,Hoja1!$AE560,IF(Hoja1!$AB560&gt;0,Hoja1!$AB560,IF(Hoja1!$Y560&gt;0,Hoja1!$Y560,IF(Hoja1!$V560&gt;0,Hoja1!$V560," ---"))))))))</f>
        <v>53</v>
      </c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>
        <v>20.0</v>
      </c>
      <c r="BD560" s="63">
        <v>3.0</v>
      </c>
      <c r="BE560" s="64"/>
      <c r="BF560" s="69"/>
      <c r="BG560" s="69"/>
      <c r="BH560" s="64"/>
      <c r="BI560" s="67" t="str">
        <f t="shared" si="185"/>
        <v>#REF!</v>
      </c>
      <c r="BJ560" s="68" t="str">
        <f t="shared" si="186"/>
        <v>#REF!</v>
      </c>
      <c r="BK560" s="69"/>
      <c r="BL560" s="69"/>
      <c r="BM560" s="64"/>
      <c r="BN560" s="67" t="str">
        <f t="shared" si="187"/>
        <v>#REF!</v>
      </c>
      <c r="BO560" s="68" t="str">
        <f t="shared" si="188"/>
        <v>#REF!</v>
      </c>
      <c r="BP560" s="65"/>
      <c r="BQ560" s="65"/>
      <c r="BR560" s="66"/>
      <c r="BS560" s="67" t="str">
        <f t="shared" si="189"/>
        <v>#REF!</v>
      </c>
      <c r="BT560" s="68" t="str">
        <f>'[1]DATA CONSOLIDADA 2018-2025 '!$BR560-Hoja1!$BO560</f>
        <v>#REF!</v>
      </c>
      <c r="BU560" s="69"/>
      <c r="BV560" s="65"/>
      <c r="BW560" s="66"/>
      <c r="BX560" s="67" t="str">
        <f t="shared" si="190"/>
        <v>#REF!</v>
      </c>
      <c r="BY560" s="68" t="str">
        <f t="shared" si="191"/>
        <v>#REF!</v>
      </c>
      <c r="BZ560" s="65"/>
      <c r="CA560" s="65"/>
      <c r="CB560" s="66"/>
      <c r="CC560" s="67" t="str">
        <f t="shared" si="192"/>
        <v>#REF!</v>
      </c>
      <c r="CD560" s="68" t="str">
        <f>'[1]DATA CONSOLIDADA 2018-2025 '!$CB560-Hoja1!$BW560</f>
        <v>#REF!</v>
      </c>
      <c r="CE560" s="70"/>
      <c r="CF560" s="70"/>
      <c r="CG560" s="71"/>
      <c r="CH560" s="67" t="str">
        <f t="shared" si="193"/>
        <v>#REF!</v>
      </c>
      <c r="CI560" s="68" t="str">
        <f>'[1]DATA CONSOLIDADA 2018-2025 '!$CG560-Hoja1!$CB560</f>
        <v>#REF!</v>
      </c>
      <c r="CJ560" s="64" t="str">
        <f t="shared" si="196"/>
        <v>#REF!</v>
      </c>
      <c r="CK560" s="64">
        <v>264380.0</v>
      </c>
      <c r="CL560" s="64">
        <v>0.0</v>
      </c>
      <c r="CM560" s="64">
        <v>264380.0</v>
      </c>
      <c r="CN560" s="64" t="str">
        <f t="shared" si="12"/>
        <v>#REF!</v>
      </c>
      <c r="CO560" s="68" t="str">
        <f>'[1]DATA CONSOLIDADA 2018-2025 '!$CM560-Hoja1!$CG560</f>
        <v>#REF!</v>
      </c>
      <c r="CP560" s="70"/>
      <c r="CQ560" s="70"/>
      <c r="CR560" s="70"/>
      <c r="CS560" s="70"/>
      <c r="CT560" s="70"/>
      <c r="CU560" s="70"/>
      <c r="CV560" s="64"/>
      <c r="CW560" s="64"/>
      <c r="CX560" s="64"/>
      <c r="CY560" s="64"/>
      <c r="CZ560" s="64"/>
      <c r="DA560" s="64"/>
      <c r="DB560" s="64"/>
      <c r="DC560" s="72">
        <v>0.0</v>
      </c>
      <c r="DD560" s="72">
        <v>264380.0</v>
      </c>
      <c r="DE560" s="72">
        <v>0.0</v>
      </c>
      <c r="DF560" s="72">
        <v>0.0</v>
      </c>
      <c r="DG560" s="72">
        <v>0.0</v>
      </c>
      <c r="DH560" s="72">
        <v>264380.0</v>
      </c>
      <c r="DI560" s="73">
        <v>2.0611472529E10</v>
      </c>
      <c r="DJ560" s="74" t="s">
        <v>1715</v>
      </c>
      <c r="DK560" s="74" t="s">
        <v>132</v>
      </c>
      <c r="DL560" s="75"/>
      <c r="DM560" s="75"/>
      <c r="DN560" s="75"/>
      <c r="DO560" s="75"/>
      <c r="DP560" s="75"/>
      <c r="DQ560" s="75"/>
      <c r="DR560" s="75"/>
      <c r="DS560" s="75"/>
      <c r="DT560" s="75"/>
      <c r="DU560" s="75"/>
      <c r="DV560" s="75"/>
      <c r="DW560" s="75"/>
      <c r="DX560" s="75"/>
      <c r="DY560" s="75"/>
      <c r="DZ560" s="75"/>
      <c r="EA560" s="75"/>
      <c r="EB560" s="75"/>
      <c r="EC560" s="75"/>
      <c r="ED560" s="75"/>
      <c r="EE560" s="75"/>
    </row>
    <row r="561" ht="47.25" hidden="1" customHeight="1">
      <c r="A561" s="55" t="s">
        <v>1716</v>
      </c>
      <c r="B561" s="55" t="s">
        <v>287</v>
      </c>
      <c r="C561" s="55" t="s">
        <v>1717</v>
      </c>
      <c r="D561" s="55" t="s">
        <v>1001</v>
      </c>
      <c r="E561" s="55" t="s">
        <v>1718</v>
      </c>
      <c r="F561" s="55" t="s">
        <v>1001</v>
      </c>
      <c r="G561" s="55" t="s">
        <v>1001</v>
      </c>
      <c r="H561" s="55" t="s">
        <v>1719</v>
      </c>
      <c r="I561" s="56"/>
      <c r="J561" s="56"/>
      <c r="K561" s="56"/>
      <c r="L561" s="56"/>
      <c r="M561" s="56"/>
      <c r="N561" s="56"/>
      <c r="O561" s="56"/>
      <c r="P561" s="56">
        <v>1.0</v>
      </c>
      <c r="Q561" s="56" t="s">
        <v>131</v>
      </c>
      <c r="R561" s="58" t="str">
        <f t="shared" si="1"/>
        <v>2025</v>
      </c>
      <c r="S561" s="59" t="str">
        <f>SUM(Hoja1!$I561:$P561)</f>
        <v>1</v>
      </c>
      <c r="T561" s="59" t="str">
        <f>IF(OR(Hoja1!$J561=1,Hoja1!$K561=1,Hoja1!$L561=1,Hoja1!$M561=1,Hoja1!$N561=1,Hoja1!$O561=1,Hoja1!$P561=1),"SI","NO")</f>
        <v>SI</v>
      </c>
      <c r="U561" s="59" t="str">
        <f>IF(OR(Hoja1!$K561=1,Hoja1!$L561=1,Hoja1!$M561=1,Hoja1!$N561=1,Hoja1!$O561=1,Hoja1!$P561=1),"SI","NO")</f>
        <v>SI</v>
      </c>
      <c r="V561" s="60">
        <v>0.0</v>
      </c>
      <c r="W561" s="61">
        <v>0.0</v>
      </c>
      <c r="X561" s="61">
        <v>0.0</v>
      </c>
      <c r="Y561" s="60">
        <v>0.0</v>
      </c>
      <c r="Z561" s="61">
        <v>0.0</v>
      </c>
      <c r="AA561" s="61">
        <v>0.0</v>
      </c>
      <c r="AB561" s="60">
        <v>0.0</v>
      </c>
      <c r="AC561" s="61">
        <v>0.0</v>
      </c>
      <c r="AD561" s="61">
        <v>0.0</v>
      </c>
      <c r="AE561" s="60">
        <v>0.0</v>
      </c>
      <c r="AF561" s="61">
        <v>0.0</v>
      </c>
      <c r="AG561" s="61">
        <v>0.0</v>
      </c>
      <c r="AH561" s="60">
        <v>0.0</v>
      </c>
      <c r="AI561" s="61">
        <v>0.0</v>
      </c>
      <c r="AJ561" s="61">
        <v>0.0</v>
      </c>
      <c r="AK561" s="60">
        <v>0.0</v>
      </c>
      <c r="AL561" s="61">
        <v>0.0</v>
      </c>
      <c r="AM561" s="61">
        <v>0.0</v>
      </c>
      <c r="AN561" s="60">
        <v>0.0</v>
      </c>
      <c r="AO561" s="62">
        <v>10.0</v>
      </c>
      <c r="AP561" s="62">
        <v>5.0</v>
      </c>
      <c r="AQ561" s="60">
        <v>15.0</v>
      </c>
      <c r="AR561" s="60" t="str">
        <f>IF(Hoja1!$AQ561&gt;0,Hoja1!$AQ561,IF(Hoja1!$AN561&gt;0,Hoja1!$AN561,IF(Hoja1!$AK561&gt;0,Hoja1!$AK561,IF(Hoja1!$AH561&gt;0,Hoja1!$AH561,IF(Hoja1!$AE561&gt;0,Hoja1!$AE561,IF(Hoja1!$AB561&gt;0,Hoja1!$AB561,IF(Hoja1!$Y561&gt;0,Hoja1!$Y561,IF(Hoja1!$V561&gt;0,Hoja1!$V561," ---"))))))))</f>
        <v>15</v>
      </c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>
        <v>17.0</v>
      </c>
      <c r="BD561" s="63">
        <v>3.0</v>
      </c>
      <c r="BE561" s="64"/>
      <c r="BF561" s="69"/>
      <c r="BG561" s="69"/>
      <c r="BH561" s="64"/>
      <c r="BI561" s="67" t="str">
        <f t="shared" si="185"/>
        <v>#REF!</v>
      </c>
      <c r="BJ561" s="68" t="str">
        <f t="shared" si="186"/>
        <v>#REF!</v>
      </c>
      <c r="BK561" s="69"/>
      <c r="BL561" s="69"/>
      <c r="BM561" s="64"/>
      <c r="BN561" s="67" t="str">
        <f t="shared" si="187"/>
        <v>#REF!</v>
      </c>
      <c r="BO561" s="68" t="str">
        <f t="shared" si="188"/>
        <v>#REF!</v>
      </c>
      <c r="BP561" s="65"/>
      <c r="BQ561" s="65"/>
      <c r="BR561" s="66"/>
      <c r="BS561" s="67" t="str">
        <f t="shared" si="189"/>
        <v>#REF!</v>
      </c>
      <c r="BT561" s="68" t="str">
        <f>'[1]DATA CONSOLIDADA 2018-2025 '!$BR561-Hoja1!$BO561</f>
        <v>#REF!</v>
      </c>
      <c r="BU561" s="69"/>
      <c r="BV561" s="65"/>
      <c r="BW561" s="66"/>
      <c r="BX561" s="67" t="str">
        <f t="shared" si="190"/>
        <v>#REF!</v>
      </c>
      <c r="BY561" s="68" t="str">
        <f t="shared" si="191"/>
        <v>#REF!</v>
      </c>
      <c r="BZ561" s="65"/>
      <c r="CA561" s="65"/>
      <c r="CB561" s="66"/>
      <c r="CC561" s="67" t="str">
        <f t="shared" si="192"/>
        <v>#REF!</v>
      </c>
      <c r="CD561" s="68" t="str">
        <f>'[1]DATA CONSOLIDADA 2018-2025 '!$CB561-Hoja1!$BW561</f>
        <v>#REF!</v>
      </c>
      <c r="CE561" s="70"/>
      <c r="CF561" s="70"/>
      <c r="CG561" s="71"/>
      <c r="CH561" s="67" t="str">
        <f t="shared" si="193"/>
        <v>#REF!</v>
      </c>
      <c r="CI561" s="68" t="str">
        <f>'[1]DATA CONSOLIDADA 2018-2025 '!$CG561-Hoja1!$CB561</f>
        <v>#REF!</v>
      </c>
      <c r="CJ561" s="64" t="str">
        <f t="shared" si="196"/>
        <v>#REF!</v>
      </c>
      <c r="CK561" s="64">
        <v>90165.0</v>
      </c>
      <c r="CL561" s="64">
        <v>0.0</v>
      </c>
      <c r="CM561" s="64">
        <v>90165.0</v>
      </c>
      <c r="CN561" s="64" t="str">
        <f t="shared" si="12"/>
        <v>#REF!</v>
      </c>
      <c r="CO561" s="68" t="str">
        <f>'[1]DATA CONSOLIDADA 2018-2025 '!$CM561-Hoja1!$CG561</f>
        <v>#REF!</v>
      </c>
      <c r="CP561" s="70"/>
      <c r="CQ561" s="70"/>
      <c r="CR561" s="70"/>
      <c r="CS561" s="70"/>
      <c r="CT561" s="70"/>
      <c r="CU561" s="70"/>
      <c r="CV561" s="64"/>
      <c r="CW561" s="64"/>
      <c r="CX561" s="64"/>
      <c r="CY561" s="64"/>
      <c r="CZ561" s="64"/>
      <c r="DA561" s="64"/>
      <c r="DB561" s="64"/>
      <c r="DC561" s="72">
        <v>0.0</v>
      </c>
      <c r="DD561" s="72">
        <v>90165.0</v>
      </c>
      <c r="DE561" s="72">
        <v>0.0</v>
      </c>
      <c r="DF561" s="72">
        <v>0.0</v>
      </c>
      <c r="DG561" s="72">
        <v>0.0</v>
      </c>
      <c r="DH561" s="72">
        <v>90165.0</v>
      </c>
      <c r="DI561" s="73">
        <v>2.0611444053E10</v>
      </c>
      <c r="DJ561" s="74" t="s">
        <v>1720</v>
      </c>
      <c r="DK561" s="74" t="s">
        <v>138</v>
      </c>
      <c r="DL561" s="75"/>
      <c r="DM561" s="75"/>
      <c r="DN561" s="75"/>
      <c r="DO561" s="75"/>
      <c r="DP561" s="75"/>
      <c r="DQ561" s="75"/>
      <c r="DR561" s="75"/>
      <c r="DS561" s="75"/>
      <c r="DT561" s="75"/>
      <c r="DU561" s="75"/>
      <c r="DV561" s="75"/>
      <c r="DW561" s="75"/>
      <c r="DX561" s="75"/>
      <c r="DY561" s="75"/>
      <c r="DZ561" s="75"/>
      <c r="EA561" s="75"/>
      <c r="EB561" s="75"/>
      <c r="EC561" s="75"/>
      <c r="ED561" s="75"/>
      <c r="EE561" s="75"/>
    </row>
    <row r="562" ht="47.25" hidden="1" customHeight="1">
      <c r="A562" s="55" t="s">
        <v>1721</v>
      </c>
      <c r="B562" s="55" t="s">
        <v>250</v>
      </c>
      <c r="C562" s="55" t="s">
        <v>250</v>
      </c>
      <c r="D562" s="55" t="s">
        <v>1001</v>
      </c>
      <c r="E562" s="55" t="s">
        <v>1722</v>
      </c>
      <c r="F562" s="55" t="s">
        <v>1001</v>
      </c>
      <c r="G562" s="55" t="s">
        <v>1547</v>
      </c>
      <c r="H562" s="55" t="s">
        <v>1723</v>
      </c>
      <c r="I562" s="56"/>
      <c r="J562" s="56"/>
      <c r="K562" s="56"/>
      <c r="L562" s="56"/>
      <c r="M562" s="56"/>
      <c r="N562" s="56"/>
      <c r="O562" s="56"/>
      <c r="P562" s="56">
        <v>1.0</v>
      </c>
      <c r="Q562" s="56" t="s">
        <v>131</v>
      </c>
      <c r="R562" s="58" t="str">
        <f t="shared" si="1"/>
        <v>2025</v>
      </c>
      <c r="S562" s="59" t="str">
        <f>SUM(Hoja1!$I562:$P562)</f>
        <v>1</v>
      </c>
      <c r="T562" s="59" t="str">
        <f>IF(OR(Hoja1!$J562=1,Hoja1!$K562=1,Hoja1!$L562=1,Hoja1!$M562=1,Hoja1!$N562=1,Hoja1!$O562=1,Hoja1!$P562=1),"SI","NO")</f>
        <v>SI</v>
      </c>
      <c r="U562" s="59" t="str">
        <f>IF(OR(Hoja1!$K562=1,Hoja1!$L562=1,Hoja1!$M562=1,Hoja1!$N562=1,Hoja1!$O562=1,Hoja1!$P562=1),"SI","NO")</f>
        <v>SI</v>
      </c>
      <c r="V562" s="60">
        <v>0.0</v>
      </c>
      <c r="W562" s="61">
        <v>0.0</v>
      </c>
      <c r="X562" s="61">
        <v>0.0</v>
      </c>
      <c r="Y562" s="60">
        <v>0.0</v>
      </c>
      <c r="Z562" s="61">
        <v>0.0</v>
      </c>
      <c r="AA562" s="61">
        <v>0.0</v>
      </c>
      <c r="AB562" s="60">
        <v>0.0</v>
      </c>
      <c r="AC562" s="61">
        <v>0.0</v>
      </c>
      <c r="AD562" s="61">
        <v>0.0</v>
      </c>
      <c r="AE562" s="60">
        <v>0.0</v>
      </c>
      <c r="AF562" s="61">
        <v>0.0</v>
      </c>
      <c r="AG562" s="61">
        <v>0.0</v>
      </c>
      <c r="AH562" s="60">
        <v>0.0</v>
      </c>
      <c r="AI562" s="61">
        <v>0.0</v>
      </c>
      <c r="AJ562" s="61">
        <v>0.0</v>
      </c>
      <c r="AK562" s="60">
        <v>0.0</v>
      </c>
      <c r="AL562" s="61">
        <v>0.0</v>
      </c>
      <c r="AM562" s="61">
        <v>0.0</v>
      </c>
      <c r="AN562" s="60">
        <v>0.0</v>
      </c>
      <c r="AO562" s="62">
        <v>69.0</v>
      </c>
      <c r="AP562" s="62">
        <v>34.0</v>
      </c>
      <c r="AQ562" s="60">
        <v>103.0</v>
      </c>
      <c r="AR562" s="60" t="str">
        <f>IF(Hoja1!$AQ562&gt;0,Hoja1!$AQ562,IF(Hoja1!$AN562&gt;0,Hoja1!$AN562,IF(Hoja1!$AK562&gt;0,Hoja1!$AK562,IF(Hoja1!$AH562&gt;0,Hoja1!$AH562,IF(Hoja1!$AE562&gt;0,Hoja1!$AE562,IF(Hoja1!$AB562&gt;0,Hoja1!$AB562,IF(Hoja1!$Y562&gt;0,Hoja1!$Y562,IF(Hoja1!$V562&gt;0,Hoja1!$V562," ---"))))))))</f>
        <v>103</v>
      </c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>
        <v>15.0</v>
      </c>
      <c r="BD562" s="63">
        <v>2.0</v>
      </c>
      <c r="BE562" s="64"/>
      <c r="BF562" s="69"/>
      <c r="BG562" s="69"/>
      <c r="BH562" s="64"/>
      <c r="BI562" s="67" t="str">
        <f t="shared" si="185"/>
        <v>#REF!</v>
      </c>
      <c r="BJ562" s="68" t="str">
        <f t="shared" si="186"/>
        <v>#REF!</v>
      </c>
      <c r="BK562" s="69"/>
      <c r="BL562" s="69"/>
      <c r="BM562" s="64"/>
      <c r="BN562" s="67" t="str">
        <f t="shared" si="187"/>
        <v>#REF!</v>
      </c>
      <c r="BO562" s="68" t="str">
        <f t="shared" si="188"/>
        <v>#REF!</v>
      </c>
      <c r="BP562" s="65"/>
      <c r="BQ562" s="65"/>
      <c r="BR562" s="66"/>
      <c r="BS562" s="67" t="str">
        <f t="shared" si="189"/>
        <v>#REF!</v>
      </c>
      <c r="BT562" s="68" t="str">
        <f>'[1]DATA CONSOLIDADA 2018-2025 '!$BR562-Hoja1!$BO562</f>
        <v>#REF!</v>
      </c>
      <c r="BU562" s="69"/>
      <c r="BV562" s="65"/>
      <c r="BW562" s="66"/>
      <c r="BX562" s="67" t="str">
        <f t="shared" si="190"/>
        <v>#REF!</v>
      </c>
      <c r="BY562" s="68" t="str">
        <f t="shared" si="191"/>
        <v>#REF!</v>
      </c>
      <c r="BZ562" s="65"/>
      <c r="CA562" s="65"/>
      <c r="CB562" s="66"/>
      <c r="CC562" s="67" t="str">
        <f t="shared" si="192"/>
        <v>#REF!</v>
      </c>
      <c r="CD562" s="68" t="str">
        <f>'[1]DATA CONSOLIDADA 2018-2025 '!$CB562-Hoja1!$BW562</f>
        <v>#REF!</v>
      </c>
      <c r="CE562" s="70"/>
      <c r="CF562" s="70"/>
      <c r="CG562" s="71"/>
      <c r="CH562" s="67" t="str">
        <f t="shared" si="193"/>
        <v>#REF!</v>
      </c>
      <c r="CI562" s="68" t="str">
        <f>'[1]DATA CONSOLIDADA 2018-2025 '!$CG562-Hoja1!$CB562</f>
        <v>#REF!</v>
      </c>
      <c r="CJ562" s="64" t="str">
        <f t="shared" si="196"/>
        <v>#REF!</v>
      </c>
      <c r="CK562" s="64">
        <v>1226278.82</v>
      </c>
      <c r="CL562" s="64">
        <v>0.0</v>
      </c>
      <c r="CM562" s="64">
        <v>1226278.82</v>
      </c>
      <c r="CN562" s="64" t="str">
        <f t="shared" si="12"/>
        <v>#REF!</v>
      </c>
      <c r="CO562" s="68" t="str">
        <f>'[1]DATA CONSOLIDADA 2018-2025 '!$CM562-Hoja1!$CG562</f>
        <v>#REF!</v>
      </c>
      <c r="CP562" s="70"/>
      <c r="CQ562" s="70"/>
      <c r="CR562" s="70"/>
      <c r="CS562" s="70"/>
      <c r="CT562" s="70"/>
      <c r="CU562" s="70"/>
      <c r="CV562" s="64"/>
      <c r="CW562" s="64"/>
      <c r="CX562" s="64"/>
      <c r="CY562" s="64"/>
      <c r="CZ562" s="64"/>
      <c r="DA562" s="64"/>
      <c r="DB562" s="64"/>
      <c r="DC562" s="72">
        <v>0.0</v>
      </c>
      <c r="DD562" s="72">
        <v>1226278.82</v>
      </c>
      <c r="DE562" s="72">
        <v>0.0</v>
      </c>
      <c r="DF562" s="72">
        <v>0.0</v>
      </c>
      <c r="DG562" s="72">
        <v>0.0</v>
      </c>
      <c r="DH562" s="72">
        <v>1226278.82</v>
      </c>
      <c r="DI562" s="73">
        <v>2.0611141298E10</v>
      </c>
      <c r="DJ562" s="74" t="s">
        <v>1721</v>
      </c>
      <c r="DK562" s="74" t="s">
        <v>132</v>
      </c>
      <c r="DL562" s="75"/>
      <c r="DM562" s="75"/>
      <c r="DN562" s="75"/>
      <c r="DO562" s="75"/>
      <c r="DP562" s="75"/>
      <c r="DQ562" s="75"/>
      <c r="DR562" s="75"/>
      <c r="DS562" s="75"/>
      <c r="DT562" s="75"/>
      <c r="DU562" s="75"/>
      <c r="DV562" s="75"/>
      <c r="DW562" s="75"/>
      <c r="DX562" s="75"/>
      <c r="DY562" s="75"/>
      <c r="DZ562" s="75"/>
      <c r="EA562" s="75"/>
      <c r="EB562" s="75"/>
      <c r="EC562" s="75"/>
      <c r="ED562" s="75"/>
      <c r="EE562" s="75"/>
    </row>
    <row r="563" ht="47.25" hidden="1" customHeight="1">
      <c r="A563" s="55" t="s">
        <v>1724</v>
      </c>
      <c r="B563" s="55" t="s">
        <v>250</v>
      </c>
      <c r="C563" s="55" t="s">
        <v>250</v>
      </c>
      <c r="D563" s="55" t="s">
        <v>1001</v>
      </c>
      <c r="E563" s="55" t="s">
        <v>1006</v>
      </c>
      <c r="F563" s="55" t="s">
        <v>1001</v>
      </c>
      <c r="G563" s="55" t="s">
        <v>1007</v>
      </c>
      <c r="H563" s="55" t="s">
        <v>1008</v>
      </c>
      <c r="I563" s="56"/>
      <c r="J563" s="56"/>
      <c r="K563" s="56"/>
      <c r="L563" s="56"/>
      <c r="M563" s="56"/>
      <c r="N563" s="56"/>
      <c r="O563" s="56"/>
      <c r="P563" s="56">
        <v>1.0</v>
      </c>
      <c r="Q563" s="56" t="s">
        <v>131</v>
      </c>
      <c r="R563" s="58" t="str">
        <f t="shared" si="1"/>
        <v>2025</v>
      </c>
      <c r="S563" s="59" t="str">
        <f>SUM(Hoja1!$I563:$P563)</f>
        <v>1</v>
      </c>
      <c r="T563" s="59" t="str">
        <f>IF(OR(Hoja1!$J563=1,Hoja1!$K563=1,Hoja1!$L563=1,Hoja1!$M563=1,Hoja1!$N563=1,Hoja1!$O563=1,Hoja1!$P563=1),"SI","NO")</f>
        <v>SI</v>
      </c>
      <c r="U563" s="59" t="str">
        <f>IF(OR(Hoja1!$K563=1,Hoja1!$L563=1,Hoja1!$M563=1,Hoja1!$N563=1,Hoja1!$O563=1,Hoja1!$P563=1),"SI","NO")</f>
        <v>SI</v>
      </c>
      <c r="V563" s="60">
        <v>0.0</v>
      </c>
      <c r="W563" s="61">
        <v>0.0</v>
      </c>
      <c r="X563" s="61">
        <v>0.0</v>
      </c>
      <c r="Y563" s="60">
        <v>0.0</v>
      </c>
      <c r="Z563" s="61">
        <v>0.0</v>
      </c>
      <c r="AA563" s="61">
        <v>0.0</v>
      </c>
      <c r="AB563" s="60">
        <v>0.0</v>
      </c>
      <c r="AC563" s="61">
        <v>0.0</v>
      </c>
      <c r="AD563" s="61">
        <v>0.0</v>
      </c>
      <c r="AE563" s="60">
        <v>0.0</v>
      </c>
      <c r="AF563" s="61">
        <v>0.0</v>
      </c>
      <c r="AG563" s="61">
        <v>0.0</v>
      </c>
      <c r="AH563" s="60">
        <v>0.0</v>
      </c>
      <c r="AI563" s="61">
        <v>0.0</v>
      </c>
      <c r="AJ563" s="61">
        <v>0.0</v>
      </c>
      <c r="AK563" s="60">
        <v>0.0</v>
      </c>
      <c r="AL563" s="61">
        <v>0.0</v>
      </c>
      <c r="AM563" s="61">
        <v>0.0</v>
      </c>
      <c r="AN563" s="60">
        <v>0.0</v>
      </c>
      <c r="AO563" s="62">
        <v>10.0</v>
      </c>
      <c r="AP563" s="62">
        <v>10.0</v>
      </c>
      <c r="AQ563" s="60">
        <v>20.0</v>
      </c>
      <c r="AR563" s="60" t="str">
        <f>IF(Hoja1!$AQ563&gt;0,Hoja1!$AQ563,IF(Hoja1!$AN563&gt;0,Hoja1!$AN563,IF(Hoja1!$AK563&gt;0,Hoja1!$AK563,IF(Hoja1!$AH563&gt;0,Hoja1!$AH563,IF(Hoja1!$AE563&gt;0,Hoja1!$AE563,IF(Hoja1!$AB563&gt;0,Hoja1!$AB563,IF(Hoja1!$Y563&gt;0,Hoja1!$Y563,IF(Hoja1!$V563&gt;0,Hoja1!$V563," ---"))))))))</f>
        <v>20</v>
      </c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>
        <v>15.0</v>
      </c>
      <c r="BD563" s="63">
        <v>2.0</v>
      </c>
      <c r="BE563" s="64"/>
      <c r="BF563" s="69"/>
      <c r="BG563" s="69"/>
      <c r="BH563" s="64"/>
      <c r="BI563" s="67" t="str">
        <f t="shared" si="185"/>
        <v>#REF!</v>
      </c>
      <c r="BJ563" s="68" t="str">
        <f t="shared" si="186"/>
        <v>#REF!</v>
      </c>
      <c r="BK563" s="69"/>
      <c r="BL563" s="69"/>
      <c r="BM563" s="64"/>
      <c r="BN563" s="67" t="str">
        <f t="shared" si="187"/>
        <v>#REF!</v>
      </c>
      <c r="BO563" s="68" t="str">
        <f t="shared" si="188"/>
        <v>#REF!</v>
      </c>
      <c r="BP563" s="65"/>
      <c r="BQ563" s="65"/>
      <c r="BR563" s="66"/>
      <c r="BS563" s="67" t="str">
        <f t="shared" si="189"/>
        <v>#REF!</v>
      </c>
      <c r="BT563" s="68" t="str">
        <f>'[1]DATA CONSOLIDADA 2018-2025 '!$BR563-Hoja1!$BO563</f>
        <v>#REF!</v>
      </c>
      <c r="BU563" s="69"/>
      <c r="BV563" s="65"/>
      <c r="BW563" s="66"/>
      <c r="BX563" s="67" t="str">
        <f t="shared" si="190"/>
        <v>#REF!</v>
      </c>
      <c r="BY563" s="68" t="str">
        <f t="shared" si="191"/>
        <v>#REF!</v>
      </c>
      <c r="BZ563" s="65"/>
      <c r="CA563" s="65"/>
      <c r="CB563" s="66"/>
      <c r="CC563" s="67" t="str">
        <f t="shared" si="192"/>
        <v>#REF!</v>
      </c>
      <c r="CD563" s="68" t="str">
        <f>'[1]DATA CONSOLIDADA 2018-2025 '!$CB563-Hoja1!$BW563</f>
        <v>#REF!</v>
      </c>
      <c r="CE563" s="70"/>
      <c r="CF563" s="70"/>
      <c r="CG563" s="71"/>
      <c r="CH563" s="67" t="str">
        <f t="shared" si="193"/>
        <v>#REF!</v>
      </c>
      <c r="CI563" s="68" t="str">
        <f>'[1]DATA CONSOLIDADA 2018-2025 '!$CG563-Hoja1!$CB563</f>
        <v>#REF!</v>
      </c>
      <c r="CJ563" s="64" t="str">
        <f t="shared" si="196"/>
        <v>#REF!</v>
      </c>
      <c r="CK563" s="64">
        <v>345202.85</v>
      </c>
      <c r="CL563" s="64">
        <v>0.0</v>
      </c>
      <c r="CM563" s="64">
        <v>345202.85</v>
      </c>
      <c r="CN563" s="64" t="str">
        <f t="shared" si="12"/>
        <v>#REF!</v>
      </c>
      <c r="CO563" s="68" t="str">
        <f>'[1]DATA CONSOLIDADA 2018-2025 '!$CM563-Hoja1!$CG563</f>
        <v>#REF!</v>
      </c>
      <c r="CP563" s="70"/>
      <c r="CQ563" s="70"/>
      <c r="CR563" s="70"/>
      <c r="CS563" s="70"/>
      <c r="CT563" s="70"/>
      <c r="CU563" s="70"/>
      <c r="CV563" s="64"/>
      <c r="CW563" s="64"/>
      <c r="CX563" s="64"/>
      <c r="CY563" s="64"/>
      <c r="CZ563" s="64"/>
      <c r="DA563" s="64"/>
      <c r="DB563" s="64"/>
      <c r="DC563" s="72">
        <v>0.0</v>
      </c>
      <c r="DD563" s="72">
        <v>345202.85</v>
      </c>
      <c r="DE563" s="72">
        <v>0.0</v>
      </c>
      <c r="DF563" s="72">
        <v>0.0</v>
      </c>
      <c r="DG563" s="72">
        <v>0.0</v>
      </c>
      <c r="DH563" s="72">
        <v>345202.85</v>
      </c>
      <c r="DI563" s="73">
        <v>2.0607580023E10</v>
      </c>
      <c r="DJ563" s="74" t="s">
        <v>1724</v>
      </c>
      <c r="DK563" s="74" t="s">
        <v>138</v>
      </c>
      <c r="DL563" s="75"/>
      <c r="DM563" s="75"/>
      <c r="DN563" s="75"/>
      <c r="DO563" s="75"/>
      <c r="DP563" s="75"/>
      <c r="DQ563" s="75"/>
      <c r="DR563" s="75"/>
      <c r="DS563" s="75"/>
      <c r="DT563" s="75"/>
      <c r="DU563" s="75"/>
      <c r="DV563" s="75"/>
      <c r="DW563" s="75"/>
      <c r="DX563" s="75"/>
      <c r="DY563" s="75"/>
      <c r="DZ563" s="75"/>
      <c r="EA563" s="75"/>
      <c r="EB563" s="75"/>
      <c r="EC563" s="75"/>
      <c r="ED563" s="75"/>
      <c r="EE563" s="75"/>
    </row>
    <row r="564" ht="47.25" hidden="1" customHeight="1">
      <c r="A564" s="55" t="s">
        <v>1725</v>
      </c>
      <c r="B564" s="55" t="s">
        <v>287</v>
      </c>
      <c r="C564" s="55" t="s">
        <v>1688</v>
      </c>
      <c r="D564" s="55" t="s">
        <v>1001</v>
      </c>
      <c r="E564" s="55" t="s">
        <v>1015</v>
      </c>
      <c r="F564" s="55" t="s">
        <v>1001</v>
      </c>
      <c r="G564" s="55" t="s">
        <v>1007</v>
      </c>
      <c r="H564" s="55" t="s">
        <v>1016</v>
      </c>
      <c r="I564" s="56"/>
      <c r="J564" s="56"/>
      <c r="K564" s="56"/>
      <c r="L564" s="56"/>
      <c r="M564" s="56"/>
      <c r="N564" s="56"/>
      <c r="O564" s="56"/>
      <c r="P564" s="56">
        <v>1.0</v>
      </c>
      <c r="Q564" s="56" t="s">
        <v>131</v>
      </c>
      <c r="R564" s="58" t="str">
        <f t="shared" si="1"/>
        <v>2025</v>
      </c>
      <c r="S564" s="59" t="str">
        <f>SUM(Hoja1!$I564:$P564)</f>
        <v>1</v>
      </c>
      <c r="T564" s="59" t="str">
        <f>IF(OR(Hoja1!$J564=1,Hoja1!$K564=1,Hoja1!$L564=1,Hoja1!$M564=1,Hoja1!$N564=1,Hoja1!$O564=1,Hoja1!$P564=1),"SI","NO")</f>
        <v>SI</v>
      </c>
      <c r="U564" s="59" t="str">
        <f>IF(OR(Hoja1!$K564=1,Hoja1!$L564=1,Hoja1!$M564=1,Hoja1!$N564=1,Hoja1!$O564=1,Hoja1!$P564=1),"SI","NO")</f>
        <v>SI</v>
      </c>
      <c r="V564" s="60">
        <v>0.0</v>
      </c>
      <c r="W564" s="61">
        <v>0.0</v>
      </c>
      <c r="X564" s="61">
        <v>0.0</v>
      </c>
      <c r="Y564" s="60">
        <v>0.0</v>
      </c>
      <c r="Z564" s="61">
        <v>0.0</v>
      </c>
      <c r="AA564" s="61">
        <v>0.0</v>
      </c>
      <c r="AB564" s="60">
        <v>0.0</v>
      </c>
      <c r="AC564" s="61">
        <v>0.0</v>
      </c>
      <c r="AD564" s="61">
        <v>0.0</v>
      </c>
      <c r="AE564" s="60">
        <v>0.0</v>
      </c>
      <c r="AF564" s="61">
        <v>0.0</v>
      </c>
      <c r="AG564" s="61">
        <v>0.0</v>
      </c>
      <c r="AH564" s="60">
        <v>0.0</v>
      </c>
      <c r="AI564" s="61">
        <v>0.0</v>
      </c>
      <c r="AJ564" s="61">
        <v>0.0</v>
      </c>
      <c r="AK564" s="60">
        <v>0.0</v>
      </c>
      <c r="AL564" s="61">
        <v>0.0</v>
      </c>
      <c r="AM564" s="61">
        <v>0.0</v>
      </c>
      <c r="AN564" s="60">
        <v>0.0</v>
      </c>
      <c r="AO564" s="62">
        <v>24.0</v>
      </c>
      <c r="AP564" s="62">
        <v>62.0</v>
      </c>
      <c r="AQ564" s="60">
        <v>86.0</v>
      </c>
      <c r="AR564" s="60" t="str">
        <f>IF(Hoja1!$AQ564&gt;0,Hoja1!$AQ564,IF(Hoja1!$AN564&gt;0,Hoja1!$AN564,IF(Hoja1!$AK564&gt;0,Hoja1!$AK564,IF(Hoja1!$AH564&gt;0,Hoja1!$AH564,IF(Hoja1!$AE564&gt;0,Hoja1!$AE564,IF(Hoja1!$AB564&gt;0,Hoja1!$AB564,IF(Hoja1!$Y564&gt;0,Hoja1!$Y564,IF(Hoja1!$V564&gt;0,Hoja1!$V564," ---"))))))))</f>
        <v>86</v>
      </c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>
        <v>18.0</v>
      </c>
      <c r="BD564" s="63">
        <v>2.0</v>
      </c>
      <c r="BE564" s="64"/>
      <c r="BF564" s="69"/>
      <c r="BG564" s="69"/>
      <c r="BH564" s="64"/>
      <c r="BI564" s="67" t="str">
        <f t="shared" si="185"/>
        <v>#REF!</v>
      </c>
      <c r="BJ564" s="68" t="str">
        <f t="shared" si="186"/>
        <v>#REF!</v>
      </c>
      <c r="BK564" s="69"/>
      <c r="BL564" s="69"/>
      <c r="BM564" s="64"/>
      <c r="BN564" s="67" t="str">
        <f t="shared" si="187"/>
        <v>#REF!</v>
      </c>
      <c r="BO564" s="68" t="str">
        <f t="shared" si="188"/>
        <v>#REF!</v>
      </c>
      <c r="BP564" s="65"/>
      <c r="BQ564" s="65"/>
      <c r="BR564" s="66"/>
      <c r="BS564" s="67" t="str">
        <f t="shared" si="189"/>
        <v>#REF!</v>
      </c>
      <c r="BT564" s="68" t="str">
        <f>'[1]DATA CONSOLIDADA 2018-2025 '!$BR564-Hoja1!$BO564</f>
        <v>#REF!</v>
      </c>
      <c r="BU564" s="69"/>
      <c r="BV564" s="65"/>
      <c r="BW564" s="66"/>
      <c r="BX564" s="67" t="str">
        <f t="shared" si="190"/>
        <v>#REF!</v>
      </c>
      <c r="BY564" s="68" t="str">
        <f t="shared" si="191"/>
        <v>#REF!</v>
      </c>
      <c r="BZ564" s="65"/>
      <c r="CA564" s="65"/>
      <c r="CB564" s="66"/>
      <c r="CC564" s="67" t="str">
        <f t="shared" si="192"/>
        <v>#REF!</v>
      </c>
      <c r="CD564" s="68" t="str">
        <f>'[1]DATA CONSOLIDADA 2018-2025 '!$CB564-Hoja1!$BW564</f>
        <v>#REF!</v>
      </c>
      <c r="CE564" s="70"/>
      <c r="CF564" s="70"/>
      <c r="CG564" s="71"/>
      <c r="CH564" s="67" t="str">
        <f t="shared" si="193"/>
        <v>#REF!</v>
      </c>
      <c r="CI564" s="68" t="str">
        <f>'[1]DATA CONSOLIDADA 2018-2025 '!$CG564-Hoja1!$CB564</f>
        <v>#REF!</v>
      </c>
      <c r="CJ564" s="64" t="str">
        <f t="shared" si="196"/>
        <v>#REF!</v>
      </c>
      <c r="CK564" s="64">
        <v>664790.0</v>
      </c>
      <c r="CL564" s="64">
        <v>0.0</v>
      </c>
      <c r="CM564" s="64">
        <v>664790.0</v>
      </c>
      <c r="CN564" s="64" t="str">
        <f t="shared" si="12"/>
        <v>#REF!</v>
      </c>
      <c r="CO564" s="68" t="str">
        <f>'[1]DATA CONSOLIDADA 2018-2025 '!$CM564-Hoja1!$CG564</f>
        <v>#REF!</v>
      </c>
      <c r="CP564" s="70"/>
      <c r="CQ564" s="70"/>
      <c r="CR564" s="70"/>
      <c r="CS564" s="70"/>
      <c r="CT564" s="70"/>
      <c r="CU564" s="70"/>
      <c r="CV564" s="64"/>
      <c r="CW564" s="64"/>
      <c r="CX564" s="64"/>
      <c r="CY564" s="64"/>
      <c r="CZ564" s="64"/>
      <c r="DA564" s="64"/>
      <c r="DB564" s="64"/>
      <c r="DC564" s="72">
        <v>0.0</v>
      </c>
      <c r="DD564" s="72">
        <v>664790.0</v>
      </c>
      <c r="DE564" s="72">
        <v>0.0</v>
      </c>
      <c r="DF564" s="72">
        <v>0.0</v>
      </c>
      <c r="DG564" s="72">
        <v>0.0</v>
      </c>
      <c r="DH564" s="72">
        <v>664790.0</v>
      </c>
      <c r="DI564" s="73">
        <v>2.044879131E10</v>
      </c>
      <c r="DJ564" s="74" t="s">
        <v>1725</v>
      </c>
      <c r="DK564" s="74" t="s">
        <v>132</v>
      </c>
      <c r="DL564" s="75"/>
      <c r="DM564" s="75"/>
      <c r="DN564" s="75"/>
      <c r="DO564" s="75"/>
      <c r="DP564" s="75"/>
      <c r="DQ564" s="75"/>
      <c r="DR564" s="75"/>
      <c r="DS564" s="75"/>
      <c r="DT564" s="75"/>
      <c r="DU564" s="75"/>
      <c r="DV564" s="75"/>
      <c r="DW564" s="75"/>
      <c r="DX564" s="75"/>
      <c r="DY564" s="75"/>
      <c r="DZ564" s="75"/>
      <c r="EA564" s="75"/>
      <c r="EB564" s="75"/>
      <c r="EC564" s="75"/>
      <c r="ED564" s="75"/>
      <c r="EE564" s="75"/>
    </row>
    <row r="565" ht="47.25" hidden="1" customHeight="1">
      <c r="A565" s="55" t="s">
        <v>1726</v>
      </c>
      <c r="B565" s="55" t="s">
        <v>250</v>
      </c>
      <c r="C565" s="55" t="s">
        <v>250</v>
      </c>
      <c r="D565" s="55" t="s">
        <v>1001</v>
      </c>
      <c r="E565" s="55" t="s">
        <v>1727</v>
      </c>
      <c r="F565" s="55" t="s">
        <v>1001</v>
      </c>
      <c r="G565" s="55" t="s">
        <v>1570</v>
      </c>
      <c r="H565" s="55" t="s">
        <v>1728</v>
      </c>
      <c r="I565" s="56"/>
      <c r="J565" s="56"/>
      <c r="K565" s="56"/>
      <c r="L565" s="56"/>
      <c r="M565" s="56"/>
      <c r="N565" s="56"/>
      <c r="O565" s="56"/>
      <c r="P565" s="56">
        <v>1.0</v>
      </c>
      <c r="Q565" s="56" t="s">
        <v>131</v>
      </c>
      <c r="R565" s="58" t="str">
        <f t="shared" si="1"/>
        <v>2025</v>
      </c>
      <c r="S565" s="59" t="str">
        <f>SUM(Hoja1!$I565:$P565)</f>
        <v>1</v>
      </c>
      <c r="T565" s="59" t="str">
        <f>IF(OR(Hoja1!$J565=1,Hoja1!$K565=1,Hoja1!$L565=1,Hoja1!$M565=1,Hoja1!$N565=1,Hoja1!$O565=1,Hoja1!$P565=1),"SI","NO")</f>
        <v>SI</v>
      </c>
      <c r="U565" s="59" t="str">
        <f>IF(OR(Hoja1!$K565=1,Hoja1!$L565=1,Hoja1!$M565=1,Hoja1!$N565=1,Hoja1!$O565=1,Hoja1!$P565=1),"SI","NO")</f>
        <v>SI</v>
      </c>
      <c r="V565" s="60">
        <v>0.0</v>
      </c>
      <c r="W565" s="61">
        <v>0.0</v>
      </c>
      <c r="X565" s="61">
        <v>0.0</v>
      </c>
      <c r="Y565" s="60">
        <v>0.0</v>
      </c>
      <c r="Z565" s="61">
        <v>0.0</v>
      </c>
      <c r="AA565" s="61">
        <v>0.0</v>
      </c>
      <c r="AB565" s="60">
        <v>0.0</v>
      </c>
      <c r="AC565" s="61">
        <v>0.0</v>
      </c>
      <c r="AD565" s="61">
        <v>0.0</v>
      </c>
      <c r="AE565" s="60">
        <v>0.0</v>
      </c>
      <c r="AF565" s="61">
        <v>0.0</v>
      </c>
      <c r="AG565" s="61">
        <v>0.0</v>
      </c>
      <c r="AH565" s="60">
        <v>0.0</v>
      </c>
      <c r="AI565" s="61">
        <v>0.0</v>
      </c>
      <c r="AJ565" s="61">
        <v>0.0</v>
      </c>
      <c r="AK565" s="60">
        <v>0.0</v>
      </c>
      <c r="AL565" s="61">
        <v>0.0</v>
      </c>
      <c r="AM565" s="61">
        <v>0.0</v>
      </c>
      <c r="AN565" s="60">
        <v>0.0</v>
      </c>
      <c r="AO565" s="62">
        <v>10.0</v>
      </c>
      <c r="AP565" s="62">
        <v>7.0</v>
      </c>
      <c r="AQ565" s="60">
        <v>17.0</v>
      </c>
      <c r="AR565" s="60" t="str">
        <f>IF(Hoja1!$AQ565&gt;0,Hoja1!$AQ565,IF(Hoja1!$AN565&gt;0,Hoja1!$AN565,IF(Hoja1!$AK565&gt;0,Hoja1!$AK565,IF(Hoja1!$AH565&gt;0,Hoja1!$AH565,IF(Hoja1!$AE565&gt;0,Hoja1!$AE565,IF(Hoja1!$AB565&gt;0,Hoja1!$AB565,IF(Hoja1!$Y565&gt;0,Hoja1!$Y565,IF(Hoja1!$V565&gt;0,Hoja1!$V565," ---"))))))))</f>
        <v>17</v>
      </c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>
        <v>15.0</v>
      </c>
      <c r="BD565" s="63">
        <v>2.0</v>
      </c>
      <c r="BE565" s="64"/>
      <c r="BF565" s="69"/>
      <c r="BG565" s="69"/>
      <c r="BH565" s="64"/>
      <c r="BI565" s="67" t="str">
        <f t="shared" si="185"/>
        <v>#REF!</v>
      </c>
      <c r="BJ565" s="68" t="str">
        <f t="shared" si="186"/>
        <v>#REF!</v>
      </c>
      <c r="BK565" s="69"/>
      <c r="BL565" s="69"/>
      <c r="BM565" s="64"/>
      <c r="BN565" s="67" t="str">
        <f t="shared" si="187"/>
        <v>#REF!</v>
      </c>
      <c r="BO565" s="68" t="str">
        <f t="shared" si="188"/>
        <v>#REF!</v>
      </c>
      <c r="BP565" s="65"/>
      <c r="BQ565" s="65"/>
      <c r="BR565" s="66"/>
      <c r="BS565" s="67" t="str">
        <f t="shared" si="189"/>
        <v>#REF!</v>
      </c>
      <c r="BT565" s="68" t="str">
        <f>'[1]DATA CONSOLIDADA 2018-2025 '!$BR565-Hoja1!$BO565</f>
        <v>#REF!</v>
      </c>
      <c r="BU565" s="69"/>
      <c r="BV565" s="65"/>
      <c r="BW565" s="66"/>
      <c r="BX565" s="67" t="str">
        <f t="shared" si="190"/>
        <v>#REF!</v>
      </c>
      <c r="BY565" s="68" t="str">
        <f t="shared" si="191"/>
        <v>#REF!</v>
      </c>
      <c r="BZ565" s="65"/>
      <c r="CA565" s="65"/>
      <c r="CB565" s="66"/>
      <c r="CC565" s="67" t="str">
        <f t="shared" si="192"/>
        <v>#REF!</v>
      </c>
      <c r="CD565" s="68" t="str">
        <f>'[1]DATA CONSOLIDADA 2018-2025 '!$CB565-Hoja1!$BW565</f>
        <v>#REF!</v>
      </c>
      <c r="CE565" s="70"/>
      <c r="CF565" s="70"/>
      <c r="CG565" s="71"/>
      <c r="CH565" s="67" t="str">
        <f t="shared" si="193"/>
        <v>#REF!</v>
      </c>
      <c r="CI565" s="68" t="str">
        <f>'[1]DATA CONSOLIDADA 2018-2025 '!$CG565-Hoja1!$CB565</f>
        <v>#REF!</v>
      </c>
      <c r="CJ565" s="64" t="str">
        <f t="shared" si="196"/>
        <v>#REF!</v>
      </c>
      <c r="CK565" s="64">
        <v>228581.3</v>
      </c>
      <c r="CL565" s="64">
        <v>0.0</v>
      </c>
      <c r="CM565" s="64">
        <v>228581.3</v>
      </c>
      <c r="CN565" s="64" t="str">
        <f t="shared" si="12"/>
        <v>#REF!</v>
      </c>
      <c r="CO565" s="68" t="str">
        <f>'[1]DATA CONSOLIDADA 2018-2025 '!$CM565-Hoja1!$CG565</f>
        <v>#REF!</v>
      </c>
      <c r="CP565" s="70"/>
      <c r="CQ565" s="70"/>
      <c r="CR565" s="70"/>
      <c r="CS565" s="70"/>
      <c r="CT565" s="70"/>
      <c r="CU565" s="70"/>
      <c r="CV565" s="64"/>
      <c r="CW565" s="64"/>
      <c r="CX565" s="64"/>
      <c r="CY565" s="64"/>
      <c r="CZ565" s="64"/>
      <c r="DA565" s="64"/>
      <c r="DB565" s="64"/>
      <c r="DC565" s="72">
        <v>0.0</v>
      </c>
      <c r="DD565" s="72">
        <v>228581.3</v>
      </c>
      <c r="DE565" s="72">
        <v>0.0</v>
      </c>
      <c r="DF565" s="72">
        <v>0.0</v>
      </c>
      <c r="DG565" s="72">
        <v>0.0</v>
      </c>
      <c r="DH565" s="72">
        <v>228581.3</v>
      </c>
      <c r="DI565" s="73">
        <v>2.0447688281E10</v>
      </c>
      <c r="DJ565" s="74" t="s">
        <v>1729</v>
      </c>
      <c r="DK565" s="74" t="s">
        <v>138</v>
      </c>
      <c r="DL565" s="75"/>
      <c r="DM565" s="75"/>
      <c r="DN565" s="75"/>
      <c r="DO565" s="75"/>
      <c r="DP565" s="75"/>
      <c r="DQ565" s="75"/>
      <c r="DR565" s="75"/>
      <c r="DS565" s="75"/>
      <c r="DT565" s="75"/>
      <c r="DU565" s="75"/>
      <c r="DV565" s="75"/>
      <c r="DW565" s="75"/>
      <c r="DX565" s="75"/>
      <c r="DY565" s="75"/>
      <c r="DZ565" s="75"/>
      <c r="EA565" s="75"/>
      <c r="EB565" s="75"/>
      <c r="EC565" s="75"/>
      <c r="ED565" s="75"/>
      <c r="EE565" s="75"/>
    </row>
    <row r="566" ht="47.25" hidden="1" customHeight="1">
      <c r="A566" s="55" t="s">
        <v>1730</v>
      </c>
      <c r="B566" s="55" t="s">
        <v>1731</v>
      </c>
      <c r="C566" s="55" t="s">
        <v>1732</v>
      </c>
      <c r="D566" s="55" t="s">
        <v>127</v>
      </c>
      <c r="E566" s="55" t="s">
        <v>1733</v>
      </c>
      <c r="F566" s="55" t="s">
        <v>127</v>
      </c>
      <c r="G566" s="55" t="s">
        <v>148</v>
      </c>
      <c r="H566" s="55" t="s">
        <v>1734</v>
      </c>
      <c r="I566" s="56"/>
      <c r="J566" s="56"/>
      <c r="K566" s="56"/>
      <c r="L566" s="56"/>
      <c r="M566" s="56"/>
      <c r="N566" s="56"/>
      <c r="O566" s="56"/>
      <c r="P566" s="56">
        <v>1.0</v>
      </c>
      <c r="Q566" s="56" t="s">
        <v>131</v>
      </c>
      <c r="R566" s="58" t="str">
        <f t="shared" si="1"/>
        <v>2025</v>
      </c>
      <c r="S566" s="59" t="str">
        <f>SUM(Hoja1!$I566:$P566)</f>
        <v>1</v>
      </c>
      <c r="T566" s="59" t="str">
        <f>IF(OR(Hoja1!$J566=1,Hoja1!$K566=1,Hoja1!$L566=1,Hoja1!$M566=1,Hoja1!$N566=1,Hoja1!$O566=1,Hoja1!$P566=1),"SI","NO")</f>
        <v>SI</v>
      </c>
      <c r="U566" s="59" t="str">
        <f>IF(OR(Hoja1!$K566=1,Hoja1!$L566=1,Hoja1!$M566=1,Hoja1!$N566=1,Hoja1!$O566=1,Hoja1!$P566=1),"SI","NO")</f>
        <v>SI</v>
      </c>
      <c r="V566" s="60">
        <v>0.0</v>
      </c>
      <c r="W566" s="61">
        <v>0.0</v>
      </c>
      <c r="X566" s="61">
        <v>0.0</v>
      </c>
      <c r="Y566" s="60">
        <v>0.0</v>
      </c>
      <c r="Z566" s="61">
        <v>0.0</v>
      </c>
      <c r="AA566" s="61">
        <v>0.0</v>
      </c>
      <c r="AB566" s="60">
        <v>0.0</v>
      </c>
      <c r="AC566" s="61">
        <v>0.0</v>
      </c>
      <c r="AD566" s="61">
        <v>0.0</v>
      </c>
      <c r="AE566" s="60">
        <v>0.0</v>
      </c>
      <c r="AF566" s="61">
        <v>0.0</v>
      </c>
      <c r="AG566" s="61">
        <v>0.0</v>
      </c>
      <c r="AH566" s="60">
        <v>0.0</v>
      </c>
      <c r="AI566" s="61">
        <v>0.0</v>
      </c>
      <c r="AJ566" s="61">
        <v>0.0</v>
      </c>
      <c r="AK566" s="60">
        <v>0.0</v>
      </c>
      <c r="AL566" s="61">
        <v>0.0</v>
      </c>
      <c r="AM566" s="61">
        <v>0.0</v>
      </c>
      <c r="AN566" s="60">
        <v>0.0</v>
      </c>
      <c r="AO566" s="62">
        <v>61.0</v>
      </c>
      <c r="AP566" s="62">
        <v>26.0</v>
      </c>
      <c r="AQ566" s="60">
        <v>87.0</v>
      </c>
      <c r="AR566" s="60" t="str">
        <f>IF(Hoja1!$AQ566&gt;0,Hoja1!$AQ566,IF(Hoja1!$AN566&gt;0,Hoja1!$AN566,IF(Hoja1!$AK566&gt;0,Hoja1!$AK566,IF(Hoja1!$AH566&gt;0,Hoja1!$AH566,IF(Hoja1!$AE566&gt;0,Hoja1!$AE566,IF(Hoja1!$AB566&gt;0,Hoja1!$AB566,IF(Hoja1!$Y566&gt;0,Hoja1!$Y566,IF(Hoja1!$V566&gt;0,Hoja1!$V566," ---"))))))))</f>
        <v>87</v>
      </c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>
        <v>9.0</v>
      </c>
      <c r="BD566" s="63">
        <v>3.0</v>
      </c>
      <c r="BE566" s="64"/>
      <c r="BF566" s="69"/>
      <c r="BG566" s="69"/>
      <c r="BH566" s="64"/>
      <c r="BI566" s="67" t="str">
        <f t="shared" ref="BI566:BI572" si="197">IF('[1]DATA CONSOLIDADA 2018-2025 '!$BH588&gt;'[1]DATA CONSOLIDADA 2018-2025 '!$AN588,"Incremento",IF('[1]DATA CONSOLIDADA 2018-2025 '!$AN588='[1]DATA CONSOLIDADA 2018-2025 '!$BH588,"Sin incremento",IF('[1]DATA CONSOLIDADA 2018-2025 '!$BH588&lt;'[1]DATA CONSOLIDADA 2018-2025 '!$AN588,"Disminución"," ---")))</f>
        <v>#REF!</v>
      </c>
      <c r="BJ566" s="68" t="str">
        <f t="shared" ref="BJ566:BJ572" si="198">'[1]DATA CONSOLIDADA 2018-2025 '!$BH588-'[1]DATA CONSOLIDADA 2018-2025 '!$BE588</f>
        <v>#REF!</v>
      </c>
      <c r="BK566" s="69"/>
      <c r="BL566" s="69"/>
      <c r="BM566" s="64"/>
      <c r="BN566" s="67" t="str">
        <f t="shared" ref="BN566:BN572" si="199">IF('[1]DATA CONSOLIDADA 2018-2025 '!$BM588&gt;'[1]DATA CONSOLIDADA 2018-2025 '!$BH588,"Incremento",IF('[1]DATA CONSOLIDADA 2018-2025 '!$BH588='[1]DATA CONSOLIDADA 2018-2025 '!$BM588,"Sin incremento",IF('[1]DATA CONSOLIDADA 2018-2025 '!$BM588&lt;'[1]DATA CONSOLIDADA 2018-2025 '!$BH588,"Disminución"," ---")))</f>
        <v>#REF!</v>
      </c>
      <c r="BO566" s="68" t="str">
        <f t="shared" ref="BO566:BO572" si="200">'[1]DATA CONSOLIDADA 2018-2025 '!$BM588-'[1]DATA CONSOLIDADA 2018-2025 '!$BH588</f>
        <v>#REF!</v>
      </c>
      <c r="BP566" s="65"/>
      <c r="BQ566" s="65"/>
      <c r="BR566" s="66"/>
      <c r="BS566" s="67" t="str">
        <f t="shared" ref="BS566:BS572" si="201">IF('[1]DATA CONSOLIDADA 2018-2025 '!$BR588&gt;'[1]DATA CONSOLIDADA 2018-2025 '!$BM588,"Incremento",IF('[1]DATA CONSOLIDADA 2018-2025 '!$BM588='[1]DATA CONSOLIDADA 2018-2025 '!$BR588,"Sin incremento",IF('[1]DATA CONSOLIDADA 2018-2025 '!$BR588&lt;'[1]DATA CONSOLIDADA 2018-2025 '!$BM588,"Disminución"," ---")))</f>
        <v>#REF!</v>
      </c>
      <c r="BT566" s="68" t="str">
        <f>'[1]DATA CONSOLIDADA 2018-2025 '!$BR566-Hoja1!$BO566</f>
        <v>#REF!</v>
      </c>
      <c r="BU566" s="69"/>
      <c r="BV566" s="65"/>
      <c r="BW566" s="66"/>
      <c r="BX566" s="67" t="str">
        <f t="shared" ref="BX566:BX572" si="202">IF('[1]DATA CONSOLIDADA 2018-2025 '!$BW588&gt;'[1]DATA CONSOLIDADA 2018-2025 '!$BR588,"Incremento",IF('[1]DATA CONSOLIDADA 2018-2025 '!$BR588='[1]DATA CONSOLIDADA 2018-2025 '!$BW588,"Sin incremento",IF('[1]DATA CONSOLIDADA 2018-2025 '!$BW588&lt;'[1]DATA CONSOLIDADA 2018-2025 '!$BR588,"Disminución"," ---")))</f>
        <v>#REF!</v>
      </c>
      <c r="BY566" s="68" t="str">
        <f t="shared" ref="BY566:BY572" si="203">'[1]DATA CONSOLIDADA 2018-2025 '!$BW588-'[1]DATA CONSOLIDADA 2018-2025 '!$BR588</f>
        <v>#REF!</v>
      </c>
      <c r="BZ566" s="65"/>
      <c r="CA566" s="65"/>
      <c r="CB566" s="66"/>
      <c r="CC566" s="67" t="str">
        <f t="shared" ref="CC566:CC572" si="204">IF('[1]DATA CONSOLIDADA 2018-2025 '!$CB588&gt;'[1]DATA CONSOLIDADA 2018-2025 '!$BW588,"Incremento",IF('[1]DATA CONSOLIDADA 2018-2025 '!$BW588='[1]DATA CONSOLIDADA 2018-2025 '!$CB588,"Sin incremento",IF('[1]DATA CONSOLIDADA 2018-2025 '!$CB588&lt;'[1]DATA CONSOLIDADA 2018-2025 '!$BW588,"Disminución"," ---")))</f>
        <v>#REF!</v>
      </c>
      <c r="CD566" s="68" t="str">
        <f>'[1]DATA CONSOLIDADA 2018-2025 '!$CB566-Hoja1!$BW566</f>
        <v>#REF!</v>
      </c>
      <c r="CE566" s="70"/>
      <c r="CF566" s="70"/>
      <c r="CG566" s="71"/>
      <c r="CH566" s="67" t="str">
        <f t="shared" ref="CH566:CH572" si="205">IF('[1]DATA CONSOLIDADA 2018-2025 '!$CG588&gt;'[1]DATA CONSOLIDADA 2018-2025 '!$CB588,"Incremento",IF('[1]DATA CONSOLIDADA 2018-2025 '!$CB588='[1]DATA CONSOLIDADA 2018-2025 '!$CG588,"Sin incremento",IF('[1]DATA CONSOLIDADA 2018-2025 '!$CG588&lt;'[1]DATA CONSOLIDADA 2018-2025 '!$CB588,"Disminución"," ---")))</f>
        <v>#REF!</v>
      </c>
      <c r="CI566" s="68" t="str">
        <f>'[1]DATA CONSOLIDADA 2018-2025 '!$CG566-Hoja1!$CB566</f>
        <v>#REF!</v>
      </c>
      <c r="CJ566" s="64" t="str">
        <f t="shared" si="196"/>
        <v>#REF!</v>
      </c>
      <c r="CK566" s="64">
        <v>13557.0</v>
      </c>
      <c r="CL566" s="64">
        <v>0.0</v>
      </c>
      <c r="CM566" s="64">
        <v>13557.0</v>
      </c>
      <c r="CN566" s="64" t="str">
        <f t="shared" si="12"/>
        <v>#REF!</v>
      </c>
      <c r="CO566" s="68" t="str">
        <f>'[1]DATA CONSOLIDADA 2018-2025 '!$CM566-Hoja1!$CG566</f>
        <v>#REF!</v>
      </c>
      <c r="CP566" s="70"/>
      <c r="CQ566" s="70"/>
      <c r="CR566" s="70"/>
      <c r="CS566" s="70"/>
      <c r="CT566" s="70"/>
      <c r="CU566" s="70"/>
      <c r="CV566" s="64"/>
      <c r="CW566" s="64"/>
      <c r="CX566" s="64"/>
      <c r="CY566" s="64"/>
      <c r="CZ566" s="64"/>
      <c r="DA566" s="64"/>
      <c r="DB566" s="64"/>
      <c r="DC566" s="72">
        <v>0.0</v>
      </c>
      <c r="DD566" s="72">
        <v>0.0</v>
      </c>
      <c r="DE566" s="72">
        <v>13557.0</v>
      </c>
      <c r="DF566" s="72">
        <v>0.0</v>
      </c>
      <c r="DG566" s="72">
        <v>0.0</v>
      </c>
      <c r="DH566" s="72">
        <v>13557.0</v>
      </c>
      <c r="DI566" s="73">
        <v>2.0612652075E10</v>
      </c>
      <c r="DJ566" s="74" t="s">
        <v>1735</v>
      </c>
      <c r="DK566" s="74" t="s">
        <v>132</v>
      </c>
      <c r="DL566" s="75"/>
      <c r="DM566" s="75"/>
      <c r="DN566" s="75"/>
      <c r="DO566" s="75"/>
      <c r="DP566" s="75"/>
      <c r="DQ566" s="75"/>
      <c r="DR566" s="75"/>
      <c r="DS566" s="75"/>
      <c r="DT566" s="75"/>
      <c r="DU566" s="75"/>
      <c r="DV566" s="75"/>
      <c r="DW566" s="75"/>
      <c r="DX566" s="75"/>
      <c r="DY566" s="75"/>
      <c r="DZ566" s="75"/>
      <c r="EA566" s="75"/>
      <c r="EB566" s="75"/>
      <c r="EC566" s="75"/>
      <c r="ED566" s="75"/>
      <c r="EE566" s="75"/>
    </row>
    <row r="567" ht="47.25" hidden="1" customHeight="1">
      <c r="A567" s="55" t="s">
        <v>1736</v>
      </c>
      <c r="B567" s="55" t="s">
        <v>1731</v>
      </c>
      <c r="C567" s="55" t="s">
        <v>1737</v>
      </c>
      <c r="D567" s="55" t="s">
        <v>127</v>
      </c>
      <c r="E567" s="55" t="s">
        <v>1733</v>
      </c>
      <c r="F567" s="55" t="s">
        <v>127</v>
      </c>
      <c r="G567" s="55" t="s">
        <v>148</v>
      </c>
      <c r="H567" s="55" t="s">
        <v>1734</v>
      </c>
      <c r="I567" s="56"/>
      <c r="J567" s="56"/>
      <c r="K567" s="56"/>
      <c r="L567" s="56"/>
      <c r="M567" s="56"/>
      <c r="N567" s="56"/>
      <c r="O567" s="56"/>
      <c r="P567" s="56">
        <v>1.0</v>
      </c>
      <c r="Q567" s="56" t="s">
        <v>131</v>
      </c>
      <c r="R567" s="58" t="str">
        <f t="shared" si="1"/>
        <v>2025</v>
      </c>
      <c r="S567" s="59" t="str">
        <f>SUM(Hoja1!$I567:$P567)</f>
        <v>1</v>
      </c>
      <c r="T567" s="59" t="str">
        <f>IF(OR(Hoja1!$J567=1,Hoja1!$K567=1,Hoja1!$L567=1,Hoja1!$M567=1,Hoja1!$N567=1,Hoja1!$O567=1,Hoja1!$P567=1),"SI","NO")</f>
        <v>SI</v>
      </c>
      <c r="U567" s="59" t="str">
        <f>IF(OR(Hoja1!$K567=1,Hoja1!$L567=1,Hoja1!$M567=1,Hoja1!$N567=1,Hoja1!$O567=1,Hoja1!$P567=1),"SI","NO")</f>
        <v>SI</v>
      </c>
      <c r="V567" s="60">
        <v>0.0</v>
      </c>
      <c r="W567" s="61">
        <v>0.0</v>
      </c>
      <c r="X567" s="61">
        <v>0.0</v>
      </c>
      <c r="Y567" s="60">
        <v>0.0</v>
      </c>
      <c r="Z567" s="61">
        <v>0.0</v>
      </c>
      <c r="AA567" s="61">
        <v>0.0</v>
      </c>
      <c r="AB567" s="60">
        <v>0.0</v>
      </c>
      <c r="AC567" s="61">
        <v>0.0</v>
      </c>
      <c r="AD567" s="61">
        <v>0.0</v>
      </c>
      <c r="AE567" s="60">
        <v>0.0</v>
      </c>
      <c r="AF567" s="61">
        <v>0.0</v>
      </c>
      <c r="AG567" s="61">
        <v>0.0</v>
      </c>
      <c r="AH567" s="60">
        <v>0.0</v>
      </c>
      <c r="AI567" s="61">
        <v>0.0</v>
      </c>
      <c r="AJ567" s="61">
        <v>0.0</v>
      </c>
      <c r="AK567" s="60">
        <v>0.0</v>
      </c>
      <c r="AL567" s="61">
        <v>0.0</v>
      </c>
      <c r="AM567" s="61">
        <v>0.0</v>
      </c>
      <c r="AN567" s="60">
        <v>0.0</v>
      </c>
      <c r="AO567" s="62">
        <v>18.0</v>
      </c>
      <c r="AP567" s="62">
        <v>7.0</v>
      </c>
      <c r="AQ567" s="60">
        <v>25.0</v>
      </c>
      <c r="AR567" s="60" t="str">
        <f>IF(Hoja1!$AQ567&gt;0,Hoja1!$AQ567,IF(Hoja1!$AN567&gt;0,Hoja1!$AN567,IF(Hoja1!$AK567&gt;0,Hoja1!$AK567,IF(Hoja1!$AH567&gt;0,Hoja1!$AH567,IF(Hoja1!$AE567&gt;0,Hoja1!$AE567,IF(Hoja1!$AB567&gt;0,Hoja1!$AB567,IF(Hoja1!$Y567&gt;0,Hoja1!$Y567,IF(Hoja1!$V567&gt;0,Hoja1!$V567," ---"))))))))</f>
        <v>25</v>
      </c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>
        <v>9.0</v>
      </c>
      <c r="BD567" s="63">
        <v>3.0</v>
      </c>
      <c r="BE567" s="64"/>
      <c r="BF567" s="69"/>
      <c r="BG567" s="69"/>
      <c r="BH567" s="64"/>
      <c r="BI567" s="67" t="str">
        <f t="shared" si="197"/>
        <v>#REF!</v>
      </c>
      <c r="BJ567" s="68" t="str">
        <f t="shared" si="198"/>
        <v>#REF!</v>
      </c>
      <c r="BK567" s="69"/>
      <c r="BL567" s="69"/>
      <c r="BM567" s="64"/>
      <c r="BN567" s="67" t="str">
        <f t="shared" si="199"/>
        <v>#REF!</v>
      </c>
      <c r="BO567" s="68" t="str">
        <f t="shared" si="200"/>
        <v>#REF!</v>
      </c>
      <c r="BP567" s="65"/>
      <c r="BQ567" s="65"/>
      <c r="BR567" s="66"/>
      <c r="BS567" s="67" t="str">
        <f t="shared" si="201"/>
        <v>#REF!</v>
      </c>
      <c r="BT567" s="68" t="str">
        <f>'[1]DATA CONSOLIDADA 2018-2025 '!$BR567-Hoja1!$BO567</f>
        <v>#REF!</v>
      </c>
      <c r="BU567" s="69"/>
      <c r="BV567" s="65"/>
      <c r="BW567" s="66"/>
      <c r="BX567" s="67" t="str">
        <f t="shared" si="202"/>
        <v>#REF!</v>
      </c>
      <c r="BY567" s="68" t="str">
        <f t="shared" si="203"/>
        <v>#REF!</v>
      </c>
      <c r="BZ567" s="65"/>
      <c r="CA567" s="65"/>
      <c r="CB567" s="66"/>
      <c r="CC567" s="67" t="str">
        <f t="shared" si="204"/>
        <v>#REF!</v>
      </c>
      <c r="CD567" s="68" t="str">
        <f>'[1]DATA CONSOLIDADA 2018-2025 '!$CB567-Hoja1!$BW567</f>
        <v>#REF!</v>
      </c>
      <c r="CE567" s="70"/>
      <c r="CF567" s="70"/>
      <c r="CG567" s="71"/>
      <c r="CH567" s="67" t="str">
        <f t="shared" si="205"/>
        <v>#REF!</v>
      </c>
      <c r="CI567" s="68" t="str">
        <f>'[1]DATA CONSOLIDADA 2018-2025 '!$CG567-Hoja1!$CB567</f>
        <v>#REF!</v>
      </c>
      <c r="CJ567" s="64" t="str">
        <f t="shared" si="196"/>
        <v>#REF!</v>
      </c>
      <c r="CK567" s="64">
        <v>5020.0</v>
      </c>
      <c r="CL567" s="64">
        <v>0.0</v>
      </c>
      <c r="CM567" s="64">
        <v>5020.0</v>
      </c>
      <c r="CN567" s="64" t="str">
        <f t="shared" si="12"/>
        <v>#REF!</v>
      </c>
      <c r="CO567" s="68" t="str">
        <f>'[1]DATA CONSOLIDADA 2018-2025 '!$CM567-Hoja1!$CG567</f>
        <v>#REF!</v>
      </c>
      <c r="CP567" s="70"/>
      <c r="CQ567" s="70"/>
      <c r="CR567" s="70"/>
      <c r="CS567" s="70"/>
      <c r="CT567" s="70"/>
      <c r="CU567" s="70"/>
      <c r="CV567" s="64"/>
      <c r="CW567" s="64"/>
      <c r="CX567" s="64"/>
      <c r="CY567" s="64"/>
      <c r="CZ567" s="64"/>
      <c r="DA567" s="64"/>
      <c r="DB567" s="64"/>
      <c r="DC567" s="72">
        <v>0.0</v>
      </c>
      <c r="DD567" s="72">
        <v>0.0</v>
      </c>
      <c r="DE567" s="72">
        <v>5020.0</v>
      </c>
      <c r="DF567" s="72">
        <v>0.0</v>
      </c>
      <c r="DG567" s="72">
        <v>0.0</v>
      </c>
      <c r="DH567" s="72">
        <v>5020.0</v>
      </c>
      <c r="DI567" s="73">
        <v>2.0487558363E10</v>
      </c>
      <c r="DJ567" s="74" t="s">
        <v>1738</v>
      </c>
      <c r="DK567" s="74" t="s">
        <v>138</v>
      </c>
      <c r="DL567" s="75"/>
      <c r="DM567" s="75"/>
      <c r="DN567" s="75"/>
      <c r="DO567" s="75"/>
      <c r="DP567" s="75"/>
      <c r="DQ567" s="75"/>
      <c r="DR567" s="75"/>
      <c r="DS567" s="75"/>
      <c r="DT567" s="75"/>
      <c r="DU567" s="75"/>
      <c r="DV567" s="75"/>
      <c r="DW567" s="75"/>
      <c r="DX567" s="75"/>
      <c r="DY567" s="75"/>
      <c r="DZ567" s="75"/>
      <c r="EA567" s="75"/>
      <c r="EB567" s="75"/>
      <c r="EC567" s="75"/>
      <c r="ED567" s="75"/>
      <c r="EE567" s="75"/>
    </row>
    <row r="568" ht="47.25" hidden="1" customHeight="1">
      <c r="A568" s="55" t="s">
        <v>1739</v>
      </c>
      <c r="B568" s="55" t="s">
        <v>287</v>
      </c>
      <c r="C568" s="55" t="s">
        <v>1606</v>
      </c>
      <c r="D568" s="55" t="s">
        <v>127</v>
      </c>
      <c r="E568" s="55" t="s">
        <v>1740</v>
      </c>
      <c r="F568" s="55" t="s">
        <v>127</v>
      </c>
      <c r="G568" s="55" t="s">
        <v>1741</v>
      </c>
      <c r="H568" s="55" t="s">
        <v>1742</v>
      </c>
      <c r="I568" s="56"/>
      <c r="J568" s="56"/>
      <c r="K568" s="56"/>
      <c r="L568" s="56"/>
      <c r="M568" s="56"/>
      <c r="N568" s="56"/>
      <c r="O568" s="56"/>
      <c r="P568" s="56">
        <v>1.0</v>
      </c>
      <c r="Q568" s="56" t="s">
        <v>131</v>
      </c>
      <c r="R568" s="58" t="str">
        <f t="shared" si="1"/>
        <v>2025</v>
      </c>
      <c r="S568" s="59" t="str">
        <f>SUM(Hoja1!$I568:$P568)</f>
        <v>1</v>
      </c>
      <c r="T568" s="59" t="str">
        <f>IF(OR(Hoja1!$J568=1,Hoja1!$K568=1,Hoja1!$L568=1,Hoja1!$M568=1,Hoja1!$N568=1,Hoja1!$O568=1,Hoja1!$P568=1),"SI","NO")</f>
        <v>SI</v>
      </c>
      <c r="U568" s="59" t="str">
        <f>IF(OR(Hoja1!$K568=1,Hoja1!$L568=1,Hoja1!$M568=1,Hoja1!$N568=1,Hoja1!$O568=1,Hoja1!$P568=1),"SI","NO")</f>
        <v>SI</v>
      </c>
      <c r="V568" s="60">
        <v>0.0</v>
      </c>
      <c r="W568" s="61">
        <v>0.0</v>
      </c>
      <c r="X568" s="61">
        <v>0.0</v>
      </c>
      <c r="Y568" s="60">
        <v>0.0</v>
      </c>
      <c r="Z568" s="61">
        <v>0.0</v>
      </c>
      <c r="AA568" s="61">
        <v>0.0</v>
      </c>
      <c r="AB568" s="60">
        <v>0.0</v>
      </c>
      <c r="AC568" s="61">
        <v>0.0</v>
      </c>
      <c r="AD568" s="61">
        <v>0.0</v>
      </c>
      <c r="AE568" s="60">
        <v>0.0</v>
      </c>
      <c r="AF568" s="61">
        <v>0.0</v>
      </c>
      <c r="AG568" s="61">
        <v>0.0</v>
      </c>
      <c r="AH568" s="60">
        <v>0.0</v>
      </c>
      <c r="AI568" s="61">
        <v>0.0</v>
      </c>
      <c r="AJ568" s="61">
        <v>0.0</v>
      </c>
      <c r="AK568" s="60">
        <v>0.0</v>
      </c>
      <c r="AL568" s="61">
        <v>0.0</v>
      </c>
      <c r="AM568" s="61">
        <v>0.0</v>
      </c>
      <c r="AN568" s="60">
        <v>0.0</v>
      </c>
      <c r="AO568" s="62">
        <v>15.0</v>
      </c>
      <c r="AP568" s="62">
        <v>9.0</v>
      </c>
      <c r="AQ568" s="60">
        <v>24.0</v>
      </c>
      <c r="AR568" s="60" t="str">
        <f>IF(Hoja1!$AQ568&gt;0,Hoja1!$AQ568,IF(Hoja1!$AN568&gt;0,Hoja1!$AN568,IF(Hoja1!$AK568&gt;0,Hoja1!$AK568,IF(Hoja1!$AH568&gt;0,Hoja1!$AH568,IF(Hoja1!$AE568&gt;0,Hoja1!$AE568,IF(Hoja1!$AB568&gt;0,Hoja1!$AB568,IF(Hoja1!$Y568&gt;0,Hoja1!$Y568,IF(Hoja1!$V568&gt;0,Hoja1!$V568," ---"))))))))</f>
        <v>24</v>
      </c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>
        <v>3.0</v>
      </c>
      <c r="BD568" s="63">
        <v>0.0</v>
      </c>
      <c r="BE568" s="64"/>
      <c r="BF568" s="69"/>
      <c r="BG568" s="69"/>
      <c r="BH568" s="64"/>
      <c r="BI568" s="67" t="str">
        <f t="shared" si="197"/>
        <v>#REF!</v>
      </c>
      <c r="BJ568" s="68" t="str">
        <f t="shared" si="198"/>
        <v>#REF!</v>
      </c>
      <c r="BK568" s="69"/>
      <c r="BL568" s="69"/>
      <c r="BM568" s="64"/>
      <c r="BN568" s="67" t="str">
        <f t="shared" si="199"/>
        <v>#REF!</v>
      </c>
      <c r="BO568" s="68" t="str">
        <f t="shared" si="200"/>
        <v>#REF!</v>
      </c>
      <c r="BP568" s="65"/>
      <c r="BQ568" s="65"/>
      <c r="BR568" s="66"/>
      <c r="BS568" s="67" t="str">
        <f t="shared" si="201"/>
        <v>#REF!</v>
      </c>
      <c r="BT568" s="68" t="str">
        <f>'[1]DATA CONSOLIDADA 2018-2025 '!$BR568-Hoja1!$BO568</f>
        <v>#REF!</v>
      </c>
      <c r="BU568" s="69"/>
      <c r="BV568" s="65"/>
      <c r="BW568" s="66"/>
      <c r="BX568" s="67" t="str">
        <f t="shared" si="202"/>
        <v>#REF!</v>
      </c>
      <c r="BY568" s="68" t="str">
        <f t="shared" si="203"/>
        <v>#REF!</v>
      </c>
      <c r="BZ568" s="65"/>
      <c r="CA568" s="65"/>
      <c r="CB568" s="66"/>
      <c r="CC568" s="67" t="str">
        <f t="shared" si="204"/>
        <v>#REF!</v>
      </c>
      <c r="CD568" s="68" t="str">
        <f>'[1]DATA CONSOLIDADA 2018-2025 '!$CB568-Hoja1!$BW568</f>
        <v>#REF!</v>
      </c>
      <c r="CE568" s="70"/>
      <c r="CF568" s="70"/>
      <c r="CG568" s="71"/>
      <c r="CH568" s="67" t="str">
        <f t="shared" si="205"/>
        <v>#REF!</v>
      </c>
      <c r="CI568" s="68" t="str">
        <f>'[1]DATA CONSOLIDADA 2018-2025 '!$CG568-Hoja1!$CB568</f>
        <v>#REF!</v>
      </c>
      <c r="CJ568" s="64" t="str">
        <f t="shared" si="196"/>
        <v>#REF!</v>
      </c>
      <c r="CK568" s="64">
        <v>0.0</v>
      </c>
      <c r="CL568" s="64">
        <v>0.0</v>
      </c>
      <c r="CM568" s="64">
        <v>0.0</v>
      </c>
      <c r="CN568" s="64" t="str">
        <f t="shared" si="12"/>
        <v>#REF!</v>
      </c>
      <c r="CO568" s="68" t="str">
        <f>'[1]DATA CONSOLIDADA 2018-2025 '!$CM568-Hoja1!$CG568</f>
        <v>#REF!</v>
      </c>
      <c r="CP568" s="70"/>
      <c r="CQ568" s="70"/>
      <c r="CR568" s="70"/>
      <c r="CS568" s="70"/>
      <c r="CT568" s="70"/>
      <c r="CU568" s="70"/>
      <c r="CV568" s="64"/>
      <c r="CW568" s="64"/>
      <c r="CX568" s="64"/>
      <c r="CY568" s="64"/>
      <c r="CZ568" s="64"/>
      <c r="DA568" s="64"/>
      <c r="DB568" s="64"/>
      <c r="DC568" s="72">
        <v>0.0</v>
      </c>
      <c r="DD568" s="72">
        <v>0.0</v>
      </c>
      <c r="DE568" s="72">
        <v>0.0</v>
      </c>
      <c r="DF568" s="72">
        <v>0.0</v>
      </c>
      <c r="DG568" s="72">
        <v>0.0</v>
      </c>
      <c r="DH568" s="72">
        <v>0.0</v>
      </c>
      <c r="DI568" s="73">
        <v>2.0479728501E10</v>
      </c>
      <c r="DJ568" s="74" t="s">
        <v>1739</v>
      </c>
      <c r="DK568" s="74" t="s">
        <v>138</v>
      </c>
      <c r="DL568" s="75"/>
      <c r="DM568" s="75"/>
      <c r="DN568" s="75"/>
      <c r="DO568" s="75"/>
      <c r="DP568" s="75"/>
      <c r="DQ568" s="75"/>
      <c r="DR568" s="75"/>
      <c r="DS568" s="75"/>
      <c r="DT568" s="75"/>
      <c r="DU568" s="75"/>
      <c r="DV568" s="75"/>
      <c r="DW568" s="75"/>
      <c r="DX568" s="75"/>
      <c r="DY568" s="75"/>
      <c r="DZ568" s="75"/>
      <c r="EA568" s="75"/>
      <c r="EB568" s="75"/>
      <c r="EC568" s="75"/>
      <c r="ED568" s="75"/>
      <c r="EE568" s="75"/>
    </row>
    <row r="569" ht="47.25" hidden="1" customHeight="1">
      <c r="A569" s="55" t="s">
        <v>1743</v>
      </c>
      <c r="B569" s="55" t="s">
        <v>287</v>
      </c>
      <c r="C569" s="55" t="s">
        <v>1606</v>
      </c>
      <c r="D569" s="55" t="s">
        <v>127</v>
      </c>
      <c r="E569" s="55" t="s">
        <v>1744</v>
      </c>
      <c r="F569" s="55" t="s">
        <v>127</v>
      </c>
      <c r="G569" s="55" t="s">
        <v>1361</v>
      </c>
      <c r="H569" s="55" t="s">
        <v>429</v>
      </c>
      <c r="I569" s="56"/>
      <c r="J569" s="56"/>
      <c r="K569" s="56"/>
      <c r="L569" s="56"/>
      <c r="M569" s="56"/>
      <c r="N569" s="56"/>
      <c r="O569" s="56"/>
      <c r="P569" s="56">
        <v>1.0</v>
      </c>
      <c r="Q569" s="56" t="s">
        <v>131</v>
      </c>
      <c r="R569" s="58" t="str">
        <f t="shared" si="1"/>
        <v>2025</v>
      </c>
      <c r="S569" s="59" t="str">
        <f>SUM(Hoja1!$I569:$P569)</f>
        <v>1</v>
      </c>
      <c r="T569" s="59" t="str">
        <f>IF(OR(Hoja1!$J569=1,Hoja1!$K569=1,Hoja1!$L569=1,Hoja1!$M569=1,Hoja1!$N569=1,Hoja1!$O569=1,Hoja1!$P569=1),"SI","NO")</f>
        <v>SI</v>
      </c>
      <c r="U569" s="59" t="str">
        <f>IF(OR(Hoja1!$K569=1,Hoja1!$L569=1,Hoja1!$M569=1,Hoja1!$N569=1,Hoja1!$O569=1,Hoja1!$P569=1),"SI","NO")</f>
        <v>SI</v>
      </c>
      <c r="V569" s="60">
        <v>0.0</v>
      </c>
      <c r="W569" s="61">
        <v>0.0</v>
      </c>
      <c r="X569" s="61">
        <v>0.0</v>
      </c>
      <c r="Y569" s="60">
        <v>0.0</v>
      </c>
      <c r="Z569" s="61">
        <v>0.0</v>
      </c>
      <c r="AA569" s="61">
        <v>0.0</v>
      </c>
      <c r="AB569" s="60">
        <v>0.0</v>
      </c>
      <c r="AC569" s="61">
        <v>0.0</v>
      </c>
      <c r="AD569" s="61">
        <v>0.0</v>
      </c>
      <c r="AE569" s="60">
        <v>0.0</v>
      </c>
      <c r="AF569" s="61">
        <v>0.0</v>
      </c>
      <c r="AG569" s="61">
        <v>0.0</v>
      </c>
      <c r="AH569" s="60">
        <v>0.0</v>
      </c>
      <c r="AI569" s="61">
        <v>0.0</v>
      </c>
      <c r="AJ569" s="61">
        <v>0.0</v>
      </c>
      <c r="AK569" s="60">
        <v>0.0</v>
      </c>
      <c r="AL569" s="61">
        <v>0.0</v>
      </c>
      <c r="AM569" s="61">
        <v>0.0</v>
      </c>
      <c r="AN569" s="60">
        <v>0.0</v>
      </c>
      <c r="AO569" s="62">
        <v>27.0</v>
      </c>
      <c r="AP569" s="62">
        <v>13.0</v>
      </c>
      <c r="AQ569" s="60">
        <v>40.0</v>
      </c>
      <c r="AR569" s="60" t="str">
        <f>IF(Hoja1!$AQ569&gt;0,Hoja1!$AQ569,IF(Hoja1!$AN569&gt;0,Hoja1!$AN569,IF(Hoja1!$AK569&gt;0,Hoja1!$AK569,IF(Hoja1!$AH569&gt;0,Hoja1!$AH569,IF(Hoja1!$AE569&gt;0,Hoja1!$AE569,IF(Hoja1!$AB569&gt;0,Hoja1!$AB569,IF(Hoja1!$Y569&gt;0,Hoja1!$Y569,IF(Hoja1!$V569&gt;0,Hoja1!$V569," ---"))))))))</f>
        <v>40</v>
      </c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>
        <v>3.0</v>
      </c>
      <c r="BD569" s="63">
        <v>0.0</v>
      </c>
      <c r="BE569" s="64"/>
      <c r="BF569" s="69"/>
      <c r="BG569" s="69"/>
      <c r="BH569" s="64"/>
      <c r="BI569" s="67" t="str">
        <f t="shared" si="197"/>
        <v>#REF!</v>
      </c>
      <c r="BJ569" s="68" t="str">
        <f t="shared" si="198"/>
        <v>#REF!</v>
      </c>
      <c r="BK569" s="69"/>
      <c r="BL569" s="69"/>
      <c r="BM569" s="64"/>
      <c r="BN569" s="67" t="str">
        <f t="shared" si="199"/>
        <v>#REF!</v>
      </c>
      <c r="BO569" s="68" t="str">
        <f t="shared" si="200"/>
        <v>#REF!</v>
      </c>
      <c r="BP569" s="65"/>
      <c r="BQ569" s="65"/>
      <c r="BR569" s="66"/>
      <c r="BS569" s="67" t="str">
        <f t="shared" si="201"/>
        <v>#REF!</v>
      </c>
      <c r="BT569" s="68" t="str">
        <f>'[1]DATA CONSOLIDADA 2018-2025 '!$BR569-Hoja1!$BO569</f>
        <v>#REF!</v>
      </c>
      <c r="BU569" s="69"/>
      <c r="BV569" s="65"/>
      <c r="BW569" s="66"/>
      <c r="BX569" s="67" t="str">
        <f t="shared" si="202"/>
        <v>#REF!</v>
      </c>
      <c r="BY569" s="68" t="str">
        <f t="shared" si="203"/>
        <v>#REF!</v>
      </c>
      <c r="BZ569" s="65"/>
      <c r="CA569" s="65"/>
      <c r="CB569" s="66"/>
      <c r="CC569" s="67" t="str">
        <f t="shared" si="204"/>
        <v>#REF!</v>
      </c>
      <c r="CD569" s="68" t="str">
        <f>'[1]DATA CONSOLIDADA 2018-2025 '!$CB569-Hoja1!$BW569</f>
        <v>#REF!</v>
      </c>
      <c r="CE569" s="70"/>
      <c r="CF569" s="70"/>
      <c r="CG569" s="71"/>
      <c r="CH569" s="67" t="str">
        <f t="shared" si="205"/>
        <v>#REF!</v>
      </c>
      <c r="CI569" s="68" t="str">
        <f>'[1]DATA CONSOLIDADA 2018-2025 '!$CG569-Hoja1!$CB569</f>
        <v>#REF!</v>
      </c>
      <c r="CJ569" s="64" t="str">
        <f t="shared" si="196"/>
        <v>#REF!</v>
      </c>
      <c r="CK569" s="64">
        <v>56541.927500000005</v>
      </c>
      <c r="CL569" s="64">
        <v>0.0</v>
      </c>
      <c r="CM569" s="64">
        <v>56541.927500000005</v>
      </c>
      <c r="CN569" s="64" t="str">
        <f t="shared" si="12"/>
        <v>#REF!</v>
      </c>
      <c r="CO569" s="68" t="str">
        <f>'[1]DATA CONSOLIDADA 2018-2025 '!$CM569-Hoja1!$CG569</f>
        <v>#REF!</v>
      </c>
      <c r="CP569" s="70"/>
      <c r="CQ569" s="70"/>
      <c r="CR569" s="70"/>
      <c r="CS569" s="70"/>
      <c r="CT569" s="70"/>
      <c r="CU569" s="70"/>
      <c r="CV569" s="64"/>
      <c r="CW569" s="64"/>
      <c r="CX569" s="64"/>
      <c r="CY569" s="64"/>
      <c r="CZ569" s="64"/>
      <c r="DA569" s="64"/>
      <c r="DB569" s="64"/>
      <c r="DC569" s="72">
        <v>47494.3795</v>
      </c>
      <c r="DD569" s="72">
        <v>0.0</v>
      </c>
      <c r="DE569" s="72">
        <v>9047.548</v>
      </c>
      <c r="DF569" s="72">
        <v>0.0</v>
      </c>
      <c r="DG569" s="72">
        <v>0.0</v>
      </c>
      <c r="DH569" s="72">
        <v>56541.927500000005</v>
      </c>
      <c r="DI569" s="73">
        <v>2.0480118295E10</v>
      </c>
      <c r="DJ569" s="74" t="s">
        <v>1745</v>
      </c>
      <c r="DK569" s="74" t="s">
        <v>138</v>
      </c>
      <c r="DL569" s="75"/>
      <c r="DM569" s="75"/>
      <c r="DN569" s="75"/>
      <c r="DO569" s="75"/>
      <c r="DP569" s="75"/>
      <c r="DQ569" s="75"/>
      <c r="DR569" s="75"/>
      <c r="DS569" s="75"/>
      <c r="DT569" s="75"/>
      <c r="DU569" s="75"/>
      <c r="DV569" s="75"/>
      <c r="DW569" s="75"/>
      <c r="DX569" s="75"/>
      <c r="DY569" s="75"/>
      <c r="DZ569" s="75"/>
      <c r="EA569" s="75"/>
      <c r="EB569" s="75"/>
      <c r="EC569" s="75"/>
      <c r="ED569" s="75"/>
      <c r="EE569" s="75"/>
    </row>
    <row r="570" ht="47.25" hidden="1" customHeight="1">
      <c r="A570" s="55" t="s">
        <v>1746</v>
      </c>
      <c r="B570" s="55" t="s">
        <v>1210</v>
      </c>
      <c r="C570" s="55" t="s">
        <v>1210</v>
      </c>
      <c r="D570" s="55" t="s">
        <v>167</v>
      </c>
      <c r="E570" s="55" t="s">
        <v>1747</v>
      </c>
      <c r="F570" s="55" t="s">
        <v>167</v>
      </c>
      <c r="G570" s="55" t="s">
        <v>1748</v>
      </c>
      <c r="H570" s="55" t="s">
        <v>1748</v>
      </c>
      <c r="I570" s="56"/>
      <c r="J570" s="56"/>
      <c r="K570" s="56"/>
      <c r="L570" s="56"/>
      <c r="M570" s="56"/>
      <c r="N570" s="56"/>
      <c r="O570" s="56"/>
      <c r="P570" s="56">
        <v>1.0</v>
      </c>
      <c r="Q570" s="56" t="s">
        <v>131</v>
      </c>
      <c r="R570" s="58" t="str">
        <f t="shared" si="1"/>
        <v>2025</v>
      </c>
      <c r="S570" s="59" t="str">
        <f>SUM(Hoja1!$I570:$P570)</f>
        <v>1</v>
      </c>
      <c r="T570" s="59" t="str">
        <f>IF(OR(Hoja1!$J570=1,Hoja1!$K570=1,Hoja1!$L570=1,Hoja1!$M570=1,Hoja1!$N570=1,Hoja1!$O570=1,Hoja1!$P570=1),"SI","NO")</f>
        <v>SI</v>
      </c>
      <c r="U570" s="59" t="str">
        <f>IF(OR(Hoja1!$K570=1,Hoja1!$L570=1,Hoja1!$M570=1,Hoja1!$N570=1,Hoja1!$O570=1,Hoja1!$P570=1),"SI","NO")</f>
        <v>SI</v>
      </c>
      <c r="V570" s="60">
        <v>0.0</v>
      </c>
      <c r="W570" s="61">
        <v>0.0</v>
      </c>
      <c r="X570" s="61">
        <v>0.0</v>
      </c>
      <c r="Y570" s="60">
        <v>0.0</v>
      </c>
      <c r="Z570" s="61">
        <v>0.0</v>
      </c>
      <c r="AA570" s="61">
        <v>0.0</v>
      </c>
      <c r="AB570" s="60">
        <v>0.0</v>
      </c>
      <c r="AC570" s="61">
        <v>0.0</v>
      </c>
      <c r="AD570" s="61">
        <v>0.0</v>
      </c>
      <c r="AE570" s="60">
        <v>0.0</v>
      </c>
      <c r="AF570" s="61">
        <v>0.0</v>
      </c>
      <c r="AG570" s="61">
        <v>0.0</v>
      </c>
      <c r="AH570" s="60">
        <v>0.0</v>
      </c>
      <c r="AI570" s="61">
        <v>0.0</v>
      </c>
      <c r="AJ570" s="61">
        <v>0.0</v>
      </c>
      <c r="AK570" s="60">
        <v>0.0</v>
      </c>
      <c r="AL570" s="61">
        <v>0.0</v>
      </c>
      <c r="AM570" s="61">
        <v>0.0</v>
      </c>
      <c r="AN570" s="60">
        <v>0.0</v>
      </c>
      <c r="AO570" s="62">
        <v>24.0</v>
      </c>
      <c r="AP570" s="62">
        <v>8.0</v>
      </c>
      <c r="AQ570" s="60">
        <v>32.0</v>
      </c>
      <c r="AR570" s="60" t="str">
        <f>IF(Hoja1!$AQ570&gt;0,Hoja1!$AQ570,IF(Hoja1!$AN570&gt;0,Hoja1!$AN570,IF(Hoja1!$AK570&gt;0,Hoja1!$AK570,IF(Hoja1!$AH570&gt;0,Hoja1!$AH570,IF(Hoja1!$AE570&gt;0,Hoja1!$AE570,IF(Hoja1!$AB570&gt;0,Hoja1!$AB570,IF(Hoja1!$Y570&gt;0,Hoja1!$Y570,IF(Hoja1!$V570&gt;0,Hoja1!$V570," ---"))))))))</f>
        <v>32</v>
      </c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>
        <v>24.0</v>
      </c>
      <c r="BD570" s="63">
        <v>0.0</v>
      </c>
      <c r="BE570" s="64"/>
      <c r="BF570" s="69"/>
      <c r="BG570" s="69"/>
      <c r="BH570" s="64"/>
      <c r="BI570" s="67" t="str">
        <f t="shared" si="197"/>
        <v>#REF!</v>
      </c>
      <c r="BJ570" s="68" t="str">
        <f t="shared" si="198"/>
        <v>#REF!</v>
      </c>
      <c r="BK570" s="69"/>
      <c r="BL570" s="69"/>
      <c r="BM570" s="64"/>
      <c r="BN570" s="67" t="str">
        <f t="shared" si="199"/>
        <v>#REF!</v>
      </c>
      <c r="BO570" s="68" t="str">
        <f t="shared" si="200"/>
        <v>#REF!</v>
      </c>
      <c r="BP570" s="65"/>
      <c r="BQ570" s="65"/>
      <c r="BR570" s="66"/>
      <c r="BS570" s="67" t="str">
        <f t="shared" si="201"/>
        <v>#REF!</v>
      </c>
      <c r="BT570" s="68" t="str">
        <f>'[1]DATA CONSOLIDADA 2018-2025 '!$BR570-Hoja1!$BO570</f>
        <v>#REF!</v>
      </c>
      <c r="BU570" s="69"/>
      <c r="BV570" s="65"/>
      <c r="BW570" s="66"/>
      <c r="BX570" s="67" t="str">
        <f t="shared" si="202"/>
        <v>#REF!</v>
      </c>
      <c r="BY570" s="68" t="str">
        <f t="shared" si="203"/>
        <v>#REF!</v>
      </c>
      <c r="BZ570" s="65"/>
      <c r="CA570" s="65"/>
      <c r="CB570" s="66"/>
      <c r="CC570" s="67" t="str">
        <f t="shared" si="204"/>
        <v>#REF!</v>
      </c>
      <c r="CD570" s="68" t="str">
        <f>'[1]DATA CONSOLIDADA 2018-2025 '!$CB570-Hoja1!$BW570</f>
        <v>#REF!</v>
      </c>
      <c r="CE570" s="70"/>
      <c r="CF570" s="70"/>
      <c r="CG570" s="71"/>
      <c r="CH570" s="67" t="str">
        <f t="shared" si="205"/>
        <v>#REF!</v>
      </c>
      <c r="CI570" s="68" t="str">
        <f>'[1]DATA CONSOLIDADA 2018-2025 '!$CG570-Hoja1!$CB570</f>
        <v>#REF!</v>
      </c>
      <c r="CJ570" s="64" t="str">
        <f t="shared" si="196"/>
        <v>#REF!</v>
      </c>
      <c r="CK570" s="64">
        <v>133000.0</v>
      </c>
      <c r="CL570" s="64">
        <v>0.0</v>
      </c>
      <c r="CM570" s="64">
        <v>133000.0</v>
      </c>
      <c r="CN570" s="64" t="str">
        <f t="shared" si="12"/>
        <v>#REF!</v>
      </c>
      <c r="CO570" s="68" t="str">
        <f>'[1]DATA CONSOLIDADA 2018-2025 '!$CM570-Hoja1!$CG570</f>
        <v>#REF!</v>
      </c>
      <c r="CP570" s="70"/>
      <c r="CQ570" s="70"/>
      <c r="CR570" s="70"/>
      <c r="CS570" s="70"/>
      <c r="CT570" s="70"/>
      <c r="CU570" s="70"/>
      <c r="CV570" s="64"/>
      <c r="CW570" s="64"/>
      <c r="CX570" s="64"/>
      <c r="CY570" s="64"/>
      <c r="CZ570" s="64"/>
      <c r="DA570" s="64"/>
      <c r="DB570" s="64"/>
      <c r="DC570" s="72">
        <v>0.0</v>
      </c>
      <c r="DD570" s="72">
        <v>133000.0</v>
      </c>
      <c r="DE570" s="72">
        <v>0.0</v>
      </c>
      <c r="DF570" s="72">
        <v>0.0</v>
      </c>
      <c r="DG570" s="72">
        <v>0.0</v>
      </c>
      <c r="DH570" s="72">
        <v>133000.0</v>
      </c>
      <c r="DI570" s="73">
        <v>2.0612601462E10</v>
      </c>
      <c r="DJ570" s="74" t="s">
        <v>1749</v>
      </c>
      <c r="DK570" s="74" t="s">
        <v>132</v>
      </c>
      <c r="DL570" s="75"/>
      <c r="DM570" s="75"/>
      <c r="DN570" s="75"/>
      <c r="DO570" s="75"/>
      <c r="DP570" s="75"/>
      <c r="DQ570" s="75"/>
      <c r="DR570" s="75"/>
      <c r="DS570" s="75"/>
      <c r="DT570" s="75"/>
      <c r="DU570" s="75"/>
      <c r="DV570" s="75"/>
      <c r="DW570" s="75"/>
      <c r="DX570" s="75"/>
      <c r="DY570" s="75"/>
      <c r="DZ570" s="75"/>
      <c r="EA570" s="75"/>
      <c r="EB570" s="75"/>
      <c r="EC570" s="75"/>
      <c r="ED570" s="75"/>
      <c r="EE570" s="75"/>
    </row>
    <row r="571" ht="47.25" hidden="1" customHeight="1">
      <c r="A571" s="55" t="s">
        <v>1750</v>
      </c>
      <c r="B571" s="55" t="s">
        <v>1210</v>
      </c>
      <c r="C571" s="55" t="s">
        <v>1210</v>
      </c>
      <c r="D571" s="55" t="s">
        <v>167</v>
      </c>
      <c r="E571" s="55" t="s">
        <v>1751</v>
      </c>
      <c r="F571" s="55" t="s">
        <v>167</v>
      </c>
      <c r="G571" s="55" t="s">
        <v>1752</v>
      </c>
      <c r="H571" s="55" t="s">
        <v>1752</v>
      </c>
      <c r="I571" s="56"/>
      <c r="J571" s="56"/>
      <c r="K571" s="56"/>
      <c r="L571" s="56"/>
      <c r="M571" s="56"/>
      <c r="N571" s="56"/>
      <c r="O571" s="56"/>
      <c r="P571" s="56">
        <v>1.0</v>
      </c>
      <c r="Q571" s="56" t="s">
        <v>131</v>
      </c>
      <c r="R571" s="58" t="str">
        <f t="shared" si="1"/>
        <v>2025</v>
      </c>
      <c r="S571" s="59" t="str">
        <f>SUM(Hoja1!$I571:$P571)</f>
        <v>1</v>
      </c>
      <c r="T571" s="59" t="str">
        <f>IF(OR(Hoja1!$J571=1,Hoja1!$K571=1,Hoja1!$L571=1,Hoja1!$M571=1,Hoja1!$N571=1,Hoja1!$O571=1,Hoja1!$P571=1),"SI","NO")</f>
        <v>SI</v>
      </c>
      <c r="U571" s="59" t="str">
        <f>IF(OR(Hoja1!$K571=1,Hoja1!$L571=1,Hoja1!$M571=1,Hoja1!$N571=1,Hoja1!$O571=1,Hoja1!$P571=1),"SI","NO")</f>
        <v>SI</v>
      </c>
      <c r="V571" s="60">
        <v>0.0</v>
      </c>
      <c r="W571" s="61">
        <v>0.0</v>
      </c>
      <c r="X571" s="61">
        <v>0.0</v>
      </c>
      <c r="Y571" s="60">
        <v>0.0</v>
      </c>
      <c r="Z571" s="61">
        <v>0.0</v>
      </c>
      <c r="AA571" s="61">
        <v>0.0</v>
      </c>
      <c r="AB571" s="60">
        <v>0.0</v>
      </c>
      <c r="AC571" s="61">
        <v>0.0</v>
      </c>
      <c r="AD571" s="61">
        <v>0.0</v>
      </c>
      <c r="AE571" s="60">
        <v>0.0</v>
      </c>
      <c r="AF571" s="61">
        <v>0.0</v>
      </c>
      <c r="AG571" s="61">
        <v>0.0</v>
      </c>
      <c r="AH571" s="60">
        <v>0.0</v>
      </c>
      <c r="AI571" s="61">
        <v>0.0</v>
      </c>
      <c r="AJ571" s="61">
        <v>0.0</v>
      </c>
      <c r="AK571" s="60">
        <v>0.0</v>
      </c>
      <c r="AL571" s="61">
        <v>0.0</v>
      </c>
      <c r="AM571" s="61">
        <v>0.0</v>
      </c>
      <c r="AN571" s="60">
        <v>0.0</v>
      </c>
      <c r="AO571" s="62">
        <v>19.0</v>
      </c>
      <c r="AP571" s="62">
        <v>3.0</v>
      </c>
      <c r="AQ571" s="60">
        <v>22.0</v>
      </c>
      <c r="AR571" s="60" t="str">
        <f>IF(Hoja1!$AQ571&gt;0,Hoja1!$AQ571,IF(Hoja1!$AN571&gt;0,Hoja1!$AN571,IF(Hoja1!$AK571&gt;0,Hoja1!$AK571,IF(Hoja1!$AH571&gt;0,Hoja1!$AH571,IF(Hoja1!$AE571&gt;0,Hoja1!$AE571,IF(Hoja1!$AB571&gt;0,Hoja1!$AB571,IF(Hoja1!$Y571&gt;0,Hoja1!$Y571,IF(Hoja1!$V571&gt;0,Hoja1!$V571," ---"))))))))</f>
        <v>22</v>
      </c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>
        <v>24.0</v>
      </c>
      <c r="BD571" s="63">
        <v>0.0</v>
      </c>
      <c r="BE571" s="64"/>
      <c r="BF571" s="69"/>
      <c r="BG571" s="69"/>
      <c r="BH571" s="64"/>
      <c r="BI571" s="67" t="str">
        <f t="shared" si="197"/>
        <v>#REF!</v>
      </c>
      <c r="BJ571" s="68" t="str">
        <f t="shared" si="198"/>
        <v>#REF!</v>
      </c>
      <c r="BK571" s="69"/>
      <c r="BL571" s="69"/>
      <c r="BM571" s="64"/>
      <c r="BN571" s="67" t="str">
        <f t="shared" si="199"/>
        <v>#REF!</v>
      </c>
      <c r="BO571" s="68" t="str">
        <f t="shared" si="200"/>
        <v>#REF!</v>
      </c>
      <c r="BP571" s="65"/>
      <c r="BQ571" s="65"/>
      <c r="BR571" s="66"/>
      <c r="BS571" s="67" t="str">
        <f t="shared" si="201"/>
        <v>#REF!</v>
      </c>
      <c r="BT571" s="68" t="str">
        <f>'[1]DATA CONSOLIDADA 2018-2025 '!$BR571-Hoja1!$BO571</f>
        <v>#REF!</v>
      </c>
      <c r="BU571" s="69"/>
      <c r="BV571" s="65"/>
      <c r="BW571" s="66"/>
      <c r="BX571" s="67" t="str">
        <f t="shared" si="202"/>
        <v>#REF!</v>
      </c>
      <c r="BY571" s="68" t="str">
        <f t="shared" si="203"/>
        <v>#REF!</v>
      </c>
      <c r="BZ571" s="65"/>
      <c r="CA571" s="65"/>
      <c r="CB571" s="66"/>
      <c r="CC571" s="67" t="str">
        <f t="shared" si="204"/>
        <v>#REF!</v>
      </c>
      <c r="CD571" s="68" t="str">
        <f>'[1]DATA CONSOLIDADA 2018-2025 '!$CB571-Hoja1!$BW571</f>
        <v>#REF!</v>
      </c>
      <c r="CE571" s="70"/>
      <c r="CF571" s="70"/>
      <c r="CG571" s="71"/>
      <c r="CH571" s="67" t="str">
        <f t="shared" si="205"/>
        <v>#REF!</v>
      </c>
      <c r="CI571" s="68" t="str">
        <f>'[1]DATA CONSOLIDADA 2018-2025 '!$CG571-Hoja1!$CB571</f>
        <v>#REF!</v>
      </c>
      <c r="CJ571" s="64" t="str">
        <f t="shared" si="196"/>
        <v>#REF!</v>
      </c>
      <c r="CK571" s="64">
        <v>253650.0</v>
      </c>
      <c r="CL571" s="64">
        <v>0.0</v>
      </c>
      <c r="CM571" s="64">
        <v>253650.0</v>
      </c>
      <c r="CN571" s="64" t="str">
        <f t="shared" si="12"/>
        <v>#REF!</v>
      </c>
      <c r="CO571" s="68" t="str">
        <f>'[1]DATA CONSOLIDADA 2018-2025 '!$CM571-Hoja1!$CG571</f>
        <v>#REF!</v>
      </c>
      <c r="CP571" s="70"/>
      <c r="CQ571" s="70"/>
      <c r="CR571" s="70"/>
      <c r="CS571" s="70"/>
      <c r="CT571" s="70"/>
      <c r="CU571" s="70"/>
      <c r="CV571" s="64"/>
      <c r="CW571" s="64"/>
      <c r="CX571" s="64"/>
      <c r="CY571" s="64"/>
      <c r="CZ571" s="64"/>
      <c r="DA571" s="64"/>
      <c r="DB571" s="64"/>
      <c r="DC571" s="72">
        <v>0.0</v>
      </c>
      <c r="DD571" s="72">
        <v>253650.0</v>
      </c>
      <c r="DE571" s="72">
        <v>0.0</v>
      </c>
      <c r="DF571" s="72">
        <v>0.0</v>
      </c>
      <c r="DG571" s="72">
        <v>0.0</v>
      </c>
      <c r="DH571" s="72">
        <v>253650.0</v>
      </c>
      <c r="DI571" s="73">
        <v>2.0611153571E10</v>
      </c>
      <c r="DJ571" s="74" t="s">
        <v>1750</v>
      </c>
      <c r="DK571" s="74" t="s">
        <v>138</v>
      </c>
      <c r="DL571" s="75"/>
      <c r="DM571" s="75"/>
      <c r="DN571" s="75"/>
      <c r="DO571" s="75"/>
      <c r="DP571" s="75"/>
      <c r="DQ571" s="75"/>
      <c r="DR571" s="75"/>
      <c r="DS571" s="75"/>
      <c r="DT571" s="75"/>
      <c r="DU571" s="75"/>
      <c r="DV571" s="75"/>
      <c r="DW571" s="75"/>
      <c r="DX571" s="75"/>
      <c r="DY571" s="75"/>
      <c r="DZ571" s="75"/>
      <c r="EA571" s="75"/>
      <c r="EB571" s="75"/>
      <c r="EC571" s="75"/>
      <c r="ED571" s="75"/>
      <c r="EE571" s="75"/>
    </row>
    <row r="572" ht="47.25" hidden="1" customHeight="1">
      <c r="A572" s="55" t="s">
        <v>1753</v>
      </c>
      <c r="B572" s="55" t="s">
        <v>1210</v>
      </c>
      <c r="C572" s="55" t="s">
        <v>1210</v>
      </c>
      <c r="D572" s="55" t="s">
        <v>167</v>
      </c>
      <c r="E572" s="55" t="s">
        <v>1754</v>
      </c>
      <c r="F572" s="55" t="s">
        <v>167</v>
      </c>
      <c r="G572" s="55" t="s">
        <v>1752</v>
      </c>
      <c r="H572" s="55" t="s">
        <v>1755</v>
      </c>
      <c r="I572" s="56"/>
      <c r="J572" s="56"/>
      <c r="K572" s="56"/>
      <c r="L572" s="56"/>
      <c r="M572" s="56"/>
      <c r="N572" s="56"/>
      <c r="O572" s="56"/>
      <c r="P572" s="56">
        <v>1.0</v>
      </c>
      <c r="Q572" s="56" t="s">
        <v>131</v>
      </c>
      <c r="R572" s="58" t="str">
        <f t="shared" si="1"/>
        <v>2025</v>
      </c>
      <c r="S572" s="59" t="str">
        <f>SUM(Hoja1!$I572:$P572)</f>
        <v>1</v>
      </c>
      <c r="T572" s="59" t="str">
        <f>IF(OR(Hoja1!$J572=1,Hoja1!$K572=1,Hoja1!$L572=1,Hoja1!$M572=1,Hoja1!$N572=1,Hoja1!$O572=1,Hoja1!$P572=1),"SI","NO")</f>
        <v>SI</v>
      </c>
      <c r="U572" s="59" t="str">
        <f>IF(OR(Hoja1!$K572=1,Hoja1!$L572=1,Hoja1!$M572=1,Hoja1!$N572=1,Hoja1!$O572=1,Hoja1!$P572=1),"SI","NO")</f>
        <v>SI</v>
      </c>
      <c r="V572" s="60">
        <v>0.0</v>
      </c>
      <c r="W572" s="61">
        <v>0.0</v>
      </c>
      <c r="X572" s="61">
        <v>0.0</v>
      </c>
      <c r="Y572" s="60">
        <v>0.0</v>
      </c>
      <c r="Z572" s="61">
        <v>0.0</v>
      </c>
      <c r="AA572" s="61">
        <v>0.0</v>
      </c>
      <c r="AB572" s="60">
        <v>0.0</v>
      </c>
      <c r="AC572" s="61">
        <v>0.0</v>
      </c>
      <c r="AD572" s="61">
        <v>0.0</v>
      </c>
      <c r="AE572" s="60">
        <v>0.0</v>
      </c>
      <c r="AF572" s="61">
        <v>0.0</v>
      </c>
      <c r="AG572" s="61">
        <v>0.0</v>
      </c>
      <c r="AH572" s="60">
        <v>0.0</v>
      </c>
      <c r="AI572" s="61">
        <v>0.0</v>
      </c>
      <c r="AJ572" s="61">
        <v>0.0</v>
      </c>
      <c r="AK572" s="60">
        <v>0.0</v>
      </c>
      <c r="AL572" s="61">
        <v>0.0</v>
      </c>
      <c r="AM572" s="61">
        <v>0.0</v>
      </c>
      <c r="AN572" s="60">
        <v>0.0</v>
      </c>
      <c r="AO572" s="62">
        <v>11.0</v>
      </c>
      <c r="AP572" s="62">
        <v>7.0</v>
      </c>
      <c r="AQ572" s="60">
        <v>18.0</v>
      </c>
      <c r="AR572" s="60" t="str">
        <f>IF(Hoja1!$AQ572&gt;0,Hoja1!$AQ572,IF(Hoja1!$AN572&gt;0,Hoja1!$AN572,IF(Hoja1!$AK572&gt;0,Hoja1!$AK572,IF(Hoja1!$AH572&gt;0,Hoja1!$AH572,IF(Hoja1!$AE572&gt;0,Hoja1!$AE572,IF(Hoja1!$AB572&gt;0,Hoja1!$AB572,IF(Hoja1!$Y572&gt;0,Hoja1!$Y572,IF(Hoja1!$V572&gt;0,Hoja1!$V572," ---"))))))))</f>
        <v>18</v>
      </c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>
        <v>24.0</v>
      </c>
      <c r="BD572" s="63">
        <v>0.0</v>
      </c>
      <c r="BE572" s="64"/>
      <c r="BF572" s="69"/>
      <c r="BG572" s="69"/>
      <c r="BH572" s="64"/>
      <c r="BI572" s="67" t="str">
        <f t="shared" si="197"/>
        <v>#REF!</v>
      </c>
      <c r="BJ572" s="68" t="str">
        <f t="shared" si="198"/>
        <v>#REF!</v>
      </c>
      <c r="BK572" s="69"/>
      <c r="BL572" s="69"/>
      <c r="BM572" s="64"/>
      <c r="BN572" s="67" t="str">
        <f t="shared" si="199"/>
        <v>#REF!</v>
      </c>
      <c r="BO572" s="68" t="str">
        <f t="shared" si="200"/>
        <v>#REF!</v>
      </c>
      <c r="BP572" s="65"/>
      <c r="BQ572" s="65"/>
      <c r="BR572" s="66"/>
      <c r="BS572" s="67" t="str">
        <f t="shared" si="201"/>
        <v>#REF!</v>
      </c>
      <c r="BT572" s="68" t="str">
        <f>'[1]DATA CONSOLIDADA 2018-2025 '!$BR572-Hoja1!$BO572</f>
        <v>#REF!</v>
      </c>
      <c r="BU572" s="69"/>
      <c r="BV572" s="65"/>
      <c r="BW572" s="66"/>
      <c r="BX572" s="67" t="str">
        <f t="shared" si="202"/>
        <v>#REF!</v>
      </c>
      <c r="BY572" s="68" t="str">
        <f t="shared" si="203"/>
        <v>#REF!</v>
      </c>
      <c r="BZ572" s="65"/>
      <c r="CA572" s="65"/>
      <c r="CB572" s="66"/>
      <c r="CC572" s="67" t="str">
        <f t="shared" si="204"/>
        <v>#REF!</v>
      </c>
      <c r="CD572" s="68" t="str">
        <f>'[1]DATA CONSOLIDADA 2018-2025 '!$CB572-Hoja1!$BW572</f>
        <v>#REF!</v>
      </c>
      <c r="CE572" s="70"/>
      <c r="CF572" s="70"/>
      <c r="CG572" s="71"/>
      <c r="CH572" s="67" t="str">
        <f t="shared" si="205"/>
        <v>#REF!</v>
      </c>
      <c r="CI572" s="68" t="str">
        <f>'[1]DATA CONSOLIDADA 2018-2025 '!$CG572-Hoja1!$CB572</f>
        <v>#REF!</v>
      </c>
      <c r="CJ572" s="64" t="str">
        <f t="shared" si="196"/>
        <v>#REF!</v>
      </c>
      <c r="CK572" s="64">
        <v>185500.0</v>
      </c>
      <c r="CL572" s="64">
        <v>0.0</v>
      </c>
      <c r="CM572" s="64">
        <v>185500.0</v>
      </c>
      <c r="CN572" s="64" t="str">
        <f t="shared" si="12"/>
        <v>#REF!</v>
      </c>
      <c r="CO572" s="68" t="str">
        <f>'[1]DATA CONSOLIDADA 2018-2025 '!$CM572-Hoja1!$CG572</f>
        <v>#REF!</v>
      </c>
      <c r="CP572" s="70"/>
      <c r="CQ572" s="70"/>
      <c r="CR572" s="70"/>
      <c r="CS572" s="70"/>
      <c r="CT572" s="70"/>
      <c r="CU572" s="70"/>
      <c r="CV572" s="64"/>
      <c r="CW572" s="64"/>
      <c r="CX572" s="64"/>
      <c r="CY572" s="64"/>
      <c r="CZ572" s="64"/>
      <c r="DA572" s="64"/>
      <c r="DB572" s="64"/>
      <c r="DC572" s="72">
        <v>0.0</v>
      </c>
      <c r="DD572" s="72">
        <v>185500.0</v>
      </c>
      <c r="DE572" s="72">
        <v>0.0</v>
      </c>
      <c r="DF572" s="72">
        <v>0.0</v>
      </c>
      <c r="DG572" s="72">
        <v>0.0</v>
      </c>
      <c r="DH572" s="72">
        <v>185500.0</v>
      </c>
      <c r="DI572" s="73">
        <v>2.0602862764E10</v>
      </c>
      <c r="DJ572" s="74" t="s">
        <v>1756</v>
      </c>
      <c r="DK572" s="74" t="s">
        <v>138</v>
      </c>
      <c r="DL572" s="75"/>
      <c r="DM572" s="75"/>
      <c r="DN572" s="75"/>
      <c r="DO572" s="75"/>
      <c r="DP572" s="75"/>
      <c r="DQ572" s="75"/>
      <c r="DR572" s="75"/>
      <c r="DS572" s="75"/>
      <c r="DT572" s="75"/>
      <c r="DU572" s="75"/>
      <c r="DV572" s="75"/>
      <c r="DW572" s="75"/>
      <c r="DX572" s="75"/>
      <c r="DY572" s="75"/>
      <c r="DZ572" s="75"/>
      <c r="EA572" s="75"/>
      <c r="EB572" s="75"/>
      <c r="EC572" s="75"/>
      <c r="ED572" s="75"/>
      <c r="EE572" s="75"/>
    </row>
    <row r="573" ht="47.25" hidden="1" customHeight="1">
      <c r="A573" s="55" t="s">
        <v>1757</v>
      </c>
      <c r="B573" s="55" t="s">
        <v>236</v>
      </c>
      <c r="C573" s="55" t="s">
        <v>237</v>
      </c>
      <c r="D573" s="55" t="s">
        <v>227</v>
      </c>
      <c r="E573" s="55" t="s">
        <v>238</v>
      </c>
      <c r="F573" s="55" t="s">
        <v>227</v>
      </c>
      <c r="G573" s="55" t="s">
        <v>239</v>
      </c>
      <c r="H573" s="55" t="s">
        <v>240</v>
      </c>
      <c r="I573" s="56"/>
      <c r="J573" s="56"/>
      <c r="K573" s="56"/>
      <c r="L573" s="56"/>
      <c r="M573" s="56"/>
      <c r="N573" s="56"/>
      <c r="O573" s="56"/>
      <c r="P573" s="56">
        <v>1.0</v>
      </c>
      <c r="Q573" s="56" t="s">
        <v>131</v>
      </c>
      <c r="R573" s="58" t="str">
        <f t="shared" si="1"/>
        <v>2025</v>
      </c>
      <c r="S573" s="59" t="str">
        <f>SUM(Hoja1!$I573:$P573)</f>
        <v>1</v>
      </c>
      <c r="T573" s="59" t="str">
        <f>IF(OR(Hoja1!$J573=1,Hoja1!$K573=1,Hoja1!$L573=1,Hoja1!$M573=1,Hoja1!$N573=1,Hoja1!$O573=1,Hoja1!$P573=1),"SI","NO")</f>
        <v>SI</v>
      </c>
      <c r="U573" s="59" t="str">
        <f>IF(OR(Hoja1!$K573=1,Hoja1!$L573=1,Hoja1!$M573=1,Hoja1!$N573=1,Hoja1!$O573=1,Hoja1!$P573=1),"SI","NO")</f>
        <v>SI</v>
      </c>
      <c r="V573" s="60">
        <v>0.0</v>
      </c>
      <c r="W573" s="61">
        <v>0.0</v>
      </c>
      <c r="X573" s="61">
        <v>0.0</v>
      </c>
      <c r="Y573" s="60">
        <v>0.0</v>
      </c>
      <c r="Z573" s="61">
        <v>0.0</v>
      </c>
      <c r="AA573" s="61">
        <v>0.0</v>
      </c>
      <c r="AB573" s="60">
        <v>0.0</v>
      </c>
      <c r="AC573" s="61">
        <v>0.0</v>
      </c>
      <c r="AD573" s="61">
        <v>0.0</v>
      </c>
      <c r="AE573" s="60">
        <v>0.0</v>
      </c>
      <c r="AF573" s="61">
        <v>0.0</v>
      </c>
      <c r="AG573" s="61">
        <v>0.0</v>
      </c>
      <c r="AH573" s="60">
        <v>0.0</v>
      </c>
      <c r="AI573" s="61">
        <v>0.0</v>
      </c>
      <c r="AJ573" s="61">
        <v>0.0</v>
      </c>
      <c r="AK573" s="60">
        <v>0.0</v>
      </c>
      <c r="AL573" s="61">
        <v>0.0</v>
      </c>
      <c r="AM573" s="61">
        <v>0.0</v>
      </c>
      <c r="AN573" s="60">
        <v>0.0</v>
      </c>
      <c r="AO573" s="62">
        <v>64.0</v>
      </c>
      <c r="AP573" s="62">
        <v>36.0</v>
      </c>
      <c r="AQ573" s="60">
        <v>100.0</v>
      </c>
      <c r="AR573" s="60" t="str">
        <f>IF(Hoja1!$AQ573&gt;0,Hoja1!$AQ573,IF(Hoja1!$AN573&gt;0,Hoja1!$AN573,IF(Hoja1!$AK573&gt;0,Hoja1!$AK573,IF(Hoja1!$AH573&gt;0,Hoja1!$AH573,IF(Hoja1!$AE573&gt;0,Hoja1!$AE573,IF(Hoja1!$AB573&gt;0,Hoja1!$AB573,IF(Hoja1!$Y573&gt;0,Hoja1!$Y573,IF(Hoja1!$V573&gt;0,Hoja1!$V573," ---"))))))))</f>
        <v>100</v>
      </c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>
        <v>10.0</v>
      </c>
      <c r="BD573" s="63">
        <v>4.0</v>
      </c>
      <c r="BE573" s="64"/>
      <c r="BF573" s="69"/>
      <c r="BG573" s="69"/>
      <c r="BH573" s="64"/>
      <c r="BI573" s="67" t="str">
        <f t="shared" ref="BI573:BI576" si="206">IF('[1]DATA CONSOLIDADA 2018-2025 '!$BH566&gt;'[1]DATA CONSOLIDADA 2018-2025 '!$AN566,"Incremento",IF('[1]DATA CONSOLIDADA 2018-2025 '!$AN566='[1]DATA CONSOLIDADA 2018-2025 '!$BH566,"Sin incremento",IF('[1]DATA CONSOLIDADA 2018-2025 '!$BH566&lt;'[1]DATA CONSOLIDADA 2018-2025 '!$AN566,"Disminución"," ---")))</f>
        <v>#REF!</v>
      </c>
      <c r="BJ573" s="68" t="str">
        <f t="shared" ref="BJ573:BJ576" si="207">'[1]DATA CONSOLIDADA 2018-2025 '!$BH566-'[1]DATA CONSOLIDADA 2018-2025 '!$BE566</f>
        <v>#REF!</v>
      </c>
      <c r="BK573" s="69"/>
      <c r="BL573" s="69"/>
      <c r="BM573" s="64"/>
      <c r="BN573" s="67" t="str">
        <f t="shared" ref="BN573:BN576" si="208">IF('[1]DATA CONSOLIDADA 2018-2025 '!$BM566&gt;'[1]DATA CONSOLIDADA 2018-2025 '!$BH566,"Incremento",IF('[1]DATA CONSOLIDADA 2018-2025 '!$BH566='[1]DATA CONSOLIDADA 2018-2025 '!$BM566,"Sin incremento",IF('[1]DATA CONSOLIDADA 2018-2025 '!$BM566&lt;'[1]DATA CONSOLIDADA 2018-2025 '!$BH566,"Disminución"," ---")))</f>
        <v>#REF!</v>
      </c>
      <c r="BO573" s="68" t="str">
        <f t="shared" ref="BO573:BO576" si="209">'[1]DATA CONSOLIDADA 2018-2025 '!$BM566-'[1]DATA CONSOLIDADA 2018-2025 '!$BH566</f>
        <v>#REF!</v>
      </c>
      <c r="BP573" s="65"/>
      <c r="BQ573" s="65"/>
      <c r="BR573" s="66"/>
      <c r="BS573" s="67" t="str">
        <f t="shared" ref="BS573:BS576" si="210">IF('[1]DATA CONSOLIDADA 2018-2025 '!$BR566&gt;'[1]DATA CONSOLIDADA 2018-2025 '!$BM566,"Incremento",IF('[1]DATA CONSOLIDADA 2018-2025 '!$BM566='[1]DATA CONSOLIDADA 2018-2025 '!$BR566,"Sin incremento",IF('[1]DATA CONSOLIDADA 2018-2025 '!$BR566&lt;'[1]DATA CONSOLIDADA 2018-2025 '!$BM566,"Disminución"," ---")))</f>
        <v>#REF!</v>
      </c>
      <c r="BT573" s="68" t="str">
        <f>'[1]DATA CONSOLIDADA 2018-2025 '!$BR573-Hoja1!$BO573</f>
        <v>#REF!</v>
      </c>
      <c r="BU573" s="69"/>
      <c r="BV573" s="65"/>
      <c r="BW573" s="66"/>
      <c r="BX573" s="67" t="str">
        <f t="shared" ref="BX573:BX576" si="211">IF('[1]DATA CONSOLIDADA 2018-2025 '!$BW566&gt;'[1]DATA CONSOLIDADA 2018-2025 '!$BR566,"Incremento",IF('[1]DATA CONSOLIDADA 2018-2025 '!$BR566='[1]DATA CONSOLIDADA 2018-2025 '!$BW566,"Sin incremento",IF('[1]DATA CONSOLIDADA 2018-2025 '!$BW566&lt;'[1]DATA CONSOLIDADA 2018-2025 '!$BR566,"Disminución"," ---")))</f>
        <v>#REF!</v>
      </c>
      <c r="BY573" s="68" t="str">
        <f t="shared" ref="BY573:BY576" si="212">'[1]DATA CONSOLIDADA 2018-2025 '!$BW566-'[1]DATA CONSOLIDADA 2018-2025 '!$BR566</f>
        <v>#REF!</v>
      </c>
      <c r="BZ573" s="65"/>
      <c r="CA573" s="65"/>
      <c r="CB573" s="66"/>
      <c r="CC573" s="67" t="str">
        <f t="shared" ref="CC573:CC576" si="213">IF('[1]DATA CONSOLIDADA 2018-2025 '!$CB566&gt;'[1]DATA CONSOLIDADA 2018-2025 '!$BW566,"Incremento",IF('[1]DATA CONSOLIDADA 2018-2025 '!$BW566='[1]DATA CONSOLIDADA 2018-2025 '!$CB566,"Sin incremento",IF('[1]DATA CONSOLIDADA 2018-2025 '!$CB566&lt;'[1]DATA CONSOLIDADA 2018-2025 '!$BW566,"Disminución"," ---")))</f>
        <v>#REF!</v>
      </c>
      <c r="CD573" s="68" t="str">
        <f>'[1]DATA CONSOLIDADA 2018-2025 '!$CB573-Hoja1!$BW573</f>
        <v>#REF!</v>
      </c>
      <c r="CE573" s="70"/>
      <c r="CF573" s="70"/>
      <c r="CG573" s="71"/>
      <c r="CH573" s="67" t="str">
        <f t="shared" ref="CH573:CH576" si="214">IF('[1]DATA CONSOLIDADA 2018-2025 '!$CG566&gt;'[1]DATA CONSOLIDADA 2018-2025 '!$CB566,"Incremento",IF('[1]DATA CONSOLIDADA 2018-2025 '!$CB566='[1]DATA CONSOLIDADA 2018-2025 '!$CG566,"Sin incremento",IF('[1]DATA CONSOLIDADA 2018-2025 '!$CG566&lt;'[1]DATA CONSOLIDADA 2018-2025 '!$CB566,"Disminución"," ---")))</f>
        <v>#REF!</v>
      </c>
      <c r="CI573" s="68" t="str">
        <f>'[1]DATA CONSOLIDADA 2018-2025 '!$CG573-Hoja1!$CB573</f>
        <v>#REF!</v>
      </c>
      <c r="CJ573" s="64" t="str">
        <f t="shared" si="196"/>
        <v>#REF!</v>
      </c>
      <c r="CK573" s="64">
        <v>1017059.7</v>
      </c>
      <c r="CL573" s="64">
        <v>0.0</v>
      </c>
      <c r="CM573" s="64">
        <v>1017059.7</v>
      </c>
      <c r="CN573" s="64" t="str">
        <f t="shared" si="12"/>
        <v>#REF!</v>
      </c>
      <c r="CO573" s="68" t="str">
        <f>'[1]DATA CONSOLIDADA 2018-2025 '!$CM573-Hoja1!$CG573</f>
        <v>#REF!</v>
      </c>
      <c r="CP573" s="70"/>
      <c r="CQ573" s="70"/>
      <c r="CR573" s="70"/>
      <c r="CS573" s="70"/>
      <c r="CT573" s="70"/>
      <c r="CU573" s="70"/>
      <c r="CV573" s="64"/>
      <c r="CW573" s="64"/>
      <c r="CX573" s="64"/>
      <c r="CY573" s="64"/>
      <c r="CZ573" s="64"/>
      <c r="DA573" s="64"/>
      <c r="DB573" s="64"/>
      <c r="DC573" s="72">
        <v>0.0</v>
      </c>
      <c r="DD573" s="72">
        <v>0.0</v>
      </c>
      <c r="DE573" s="72">
        <v>1017059.7</v>
      </c>
      <c r="DF573" s="72">
        <v>0.0</v>
      </c>
      <c r="DG573" s="72">
        <v>0.0</v>
      </c>
      <c r="DH573" s="72">
        <v>1017059.7</v>
      </c>
      <c r="DI573" s="73">
        <v>2.0609542129E10</v>
      </c>
      <c r="DJ573" s="74" t="s">
        <v>1757</v>
      </c>
      <c r="DK573" s="74" t="s">
        <v>138</v>
      </c>
      <c r="DL573" s="75"/>
      <c r="DM573" s="75"/>
      <c r="DN573" s="75"/>
      <c r="DO573" s="75"/>
      <c r="DP573" s="75"/>
      <c r="DQ573" s="75"/>
      <c r="DR573" s="75"/>
      <c r="DS573" s="75"/>
      <c r="DT573" s="75"/>
      <c r="DU573" s="75"/>
      <c r="DV573" s="75"/>
      <c r="DW573" s="75"/>
      <c r="DX573" s="75"/>
      <c r="DY573" s="75"/>
      <c r="DZ573" s="75"/>
      <c r="EA573" s="75"/>
      <c r="EB573" s="75"/>
      <c r="EC573" s="75"/>
      <c r="ED573" s="75"/>
      <c r="EE573" s="75"/>
    </row>
    <row r="574" ht="47.25" hidden="1" customHeight="1">
      <c r="A574" s="55" t="s">
        <v>1758</v>
      </c>
      <c r="B574" s="55" t="s">
        <v>455</v>
      </c>
      <c r="C574" s="55" t="s">
        <v>1759</v>
      </c>
      <c r="D574" s="55" t="s">
        <v>340</v>
      </c>
      <c r="E574" s="55" t="s">
        <v>1760</v>
      </c>
      <c r="F574" s="55" t="s">
        <v>340</v>
      </c>
      <c r="G574" s="55" t="s">
        <v>1761</v>
      </c>
      <c r="H574" s="55" t="s">
        <v>1761</v>
      </c>
      <c r="I574" s="56"/>
      <c r="J574" s="56"/>
      <c r="K574" s="56"/>
      <c r="L574" s="56"/>
      <c r="M574" s="56"/>
      <c r="N574" s="56"/>
      <c r="O574" s="56"/>
      <c r="P574" s="56">
        <v>1.0</v>
      </c>
      <c r="Q574" s="56" t="s">
        <v>131</v>
      </c>
      <c r="R574" s="58" t="str">
        <f t="shared" si="1"/>
        <v>2025</v>
      </c>
      <c r="S574" s="59" t="str">
        <f>SUM(Hoja1!$I574:$P574)</f>
        <v>1</v>
      </c>
      <c r="T574" s="59" t="str">
        <f>IF(OR(Hoja1!$J574=1,Hoja1!$K574=1,Hoja1!$L574=1,Hoja1!$M574=1,Hoja1!$N574=1,Hoja1!$O574=1,Hoja1!$P574=1),"SI","NO")</f>
        <v>SI</v>
      </c>
      <c r="U574" s="59" t="str">
        <f>IF(OR(Hoja1!$K574=1,Hoja1!$L574=1,Hoja1!$M574=1,Hoja1!$N574=1,Hoja1!$O574=1,Hoja1!$P574=1),"SI","NO")</f>
        <v>SI</v>
      </c>
      <c r="V574" s="60">
        <v>0.0</v>
      </c>
      <c r="W574" s="61">
        <v>0.0</v>
      </c>
      <c r="X574" s="61">
        <v>0.0</v>
      </c>
      <c r="Y574" s="60">
        <v>0.0</v>
      </c>
      <c r="Z574" s="61">
        <v>0.0</v>
      </c>
      <c r="AA574" s="61">
        <v>0.0</v>
      </c>
      <c r="AB574" s="60">
        <v>0.0</v>
      </c>
      <c r="AC574" s="61">
        <v>0.0</v>
      </c>
      <c r="AD574" s="61">
        <v>0.0</v>
      </c>
      <c r="AE574" s="60">
        <v>0.0</v>
      </c>
      <c r="AF574" s="61">
        <v>0.0</v>
      </c>
      <c r="AG574" s="61">
        <v>0.0</v>
      </c>
      <c r="AH574" s="60">
        <v>0.0</v>
      </c>
      <c r="AI574" s="61">
        <v>0.0</v>
      </c>
      <c r="AJ574" s="61">
        <v>0.0</v>
      </c>
      <c r="AK574" s="60">
        <v>0.0</v>
      </c>
      <c r="AL574" s="61">
        <v>0.0</v>
      </c>
      <c r="AM574" s="61">
        <v>0.0</v>
      </c>
      <c r="AN574" s="60">
        <v>0.0</v>
      </c>
      <c r="AO574" s="62">
        <v>5.0</v>
      </c>
      <c r="AP574" s="62">
        <v>15.0</v>
      </c>
      <c r="AQ574" s="60">
        <v>20.0</v>
      </c>
      <c r="AR574" s="60" t="str">
        <f>IF(Hoja1!$AQ574&gt;0,Hoja1!$AQ574,IF(Hoja1!$AN574&gt;0,Hoja1!$AN574,IF(Hoja1!$AK574&gt;0,Hoja1!$AK574,IF(Hoja1!$AH574&gt;0,Hoja1!$AH574,IF(Hoja1!$AE574&gt;0,Hoja1!$AE574,IF(Hoja1!$AB574&gt;0,Hoja1!$AB574,IF(Hoja1!$Y574&gt;0,Hoja1!$Y574,IF(Hoja1!$V574&gt;0,Hoja1!$V574," ---"))))))))</f>
        <v>20</v>
      </c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>
        <v>28.0</v>
      </c>
      <c r="BD574" s="63">
        <v>3.0</v>
      </c>
      <c r="BE574" s="64"/>
      <c r="BF574" s="69"/>
      <c r="BG574" s="69"/>
      <c r="BH574" s="64"/>
      <c r="BI574" s="67" t="str">
        <f t="shared" si="206"/>
        <v>#REF!</v>
      </c>
      <c r="BJ574" s="68" t="str">
        <f t="shared" si="207"/>
        <v>#REF!</v>
      </c>
      <c r="BK574" s="69"/>
      <c r="BL574" s="69"/>
      <c r="BM574" s="64"/>
      <c r="BN574" s="67" t="str">
        <f t="shared" si="208"/>
        <v>#REF!</v>
      </c>
      <c r="BO574" s="68" t="str">
        <f t="shared" si="209"/>
        <v>#REF!</v>
      </c>
      <c r="BP574" s="65"/>
      <c r="BQ574" s="65"/>
      <c r="BR574" s="66"/>
      <c r="BS574" s="67" t="str">
        <f t="shared" si="210"/>
        <v>#REF!</v>
      </c>
      <c r="BT574" s="68" t="str">
        <f>'[1]DATA CONSOLIDADA 2018-2025 '!$BR417-Hoja1!$BO574</f>
        <v>#REF!</v>
      </c>
      <c r="BU574" s="69"/>
      <c r="BV574" s="65"/>
      <c r="BW574" s="66"/>
      <c r="BX574" s="67" t="str">
        <f t="shared" si="211"/>
        <v>#REF!</v>
      </c>
      <c r="BY574" s="68" t="str">
        <f t="shared" si="212"/>
        <v>#REF!</v>
      </c>
      <c r="BZ574" s="65"/>
      <c r="CA574" s="65"/>
      <c r="CB574" s="66"/>
      <c r="CC574" s="67" t="str">
        <f t="shared" si="213"/>
        <v>#REF!</v>
      </c>
      <c r="CD574" s="68" t="str">
        <f>'[1]DATA CONSOLIDADA 2018-2025 '!$CB417-Hoja1!$BW574</f>
        <v>#REF!</v>
      </c>
      <c r="CE574" s="70"/>
      <c r="CF574" s="70"/>
      <c r="CG574" s="71"/>
      <c r="CH574" s="67" t="str">
        <f t="shared" si="214"/>
        <v>#REF!</v>
      </c>
      <c r="CI574" s="68" t="str">
        <f>'[1]DATA CONSOLIDADA 2018-2025 '!$CG417-Hoja1!$CB574</f>
        <v>#REF!</v>
      </c>
      <c r="CJ574" s="64" t="str">
        <f t="shared" ref="CJ574:CJ575" si="215">'[1]DATA CONSOLIDADA 2018-2025 '!$BE417+'[1]DATA CONSOLIDADA 2018-2025 '!$BH417+'[1]DATA CONSOLIDADA 2018-2025 '!$BM417+'[1]DATA CONSOLIDADA 2018-2025 '!$BR417+'[1]DATA CONSOLIDADA 2018-2025 '!$BW417+'[1]DATA CONSOLIDADA 2018-2025 '!$CB417+'[1]DATA CONSOLIDADA 2018-2025 '!$CG417</f>
        <v>#REF!</v>
      </c>
      <c r="CK574" s="64">
        <v>3960.0</v>
      </c>
      <c r="CL574" s="64">
        <v>0.0</v>
      </c>
      <c r="CM574" s="64">
        <v>3960.0</v>
      </c>
      <c r="CN574" s="64" t="str">
        <f t="shared" si="12"/>
        <v>#REF!</v>
      </c>
      <c r="CO574" s="68" t="str">
        <f>'[1]DATA CONSOLIDADA 2018-2025 '!$CM574-Hoja1!$CG574</f>
        <v>#REF!</v>
      </c>
      <c r="CP574" s="70"/>
      <c r="CQ574" s="70"/>
      <c r="CR574" s="70"/>
      <c r="CS574" s="70"/>
      <c r="CT574" s="70"/>
      <c r="CU574" s="70"/>
      <c r="CV574" s="64"/>
      <c r="CW574" s="64"/>
      <c r="CX574" s="64"/>
      <c r="CY574" s="64"/>
      <c r="CZ574" s="64"/>
      <c r="DA574" s="64"/>
      <c r="DB574" s="64"/>
      <c r="DC574" s="72">
        <v>0.0</v>
      </c>
      <c r="DD574" s="72">
        <v>3960.0</v>
      </c>
      <c r="DE574" s="72">
        <v>0.0</v>
      </c>
      <c r="DF574" s="72">
        <v>0.0</v>
      </c>
      <c r="DG574" s="72">
        <v>0.0</v>
      </c>
      <c r="DH574" s="72">
        <v>3960.0</v>
      </c>
      <c r="DI574" s="73">
        <v>2.0609078074E10</v>
      </c>
      <c r="DJ574" s="74" t="s">
        <v>1762</v>
      </c>
      <c r="DK574" s="74" t="s">
        <v>138</v>
      </c>
      <c r="DL574" s="75"/>
      <c r="DM574" s="75"/>
      <c r="DN574" s="75"/>
      <c r="DO574" s="75"/>
      <c r="DP574" s="75"/>
      <c r="DQ574" s="75"/>
      <c r="DR574" s="75"/>
      <c r="DS574" s="75"/>
      <c r="DT574" s="75"/>
      <c r="DU574" s="75"/>
      <c r="DV574" s="75"/>
      <c r="DW574" s="75"/>
      <c r="DX574" s="75"/>
      <c r="DY574" s="75"/>
      <c r="DZ574" s="75"/>
      <c r="EA574" s="75"/>
      <c r="EB574" s="75"/>
      <c r="EC574" s="75"/>
      <c r="ED574" s="75"/>
      <c r="EE574" s="75"/>
    </row>
    <row r="575" ht="47.25" hidden="1" customHeight="1">
      <c r="A575" s="55" t="s">
        <v>1763</v>
      </c>
      <c r="B575" s="55" t="s">
        <v>455</v>
      </c>
      <c r="C575" s="55" t="s">
        <v>1759</v>
      </c>
      <c r="D575" s="55" t="s">
        <v>340</v>
      </c>
      <c r="E575" s="55" t="s">
        <v>1764</v>
      </c>
      <c r="F575" s="55" t="s">
        <v>340</v>
      </c>
      <c r="G575" s="55" t="s">
        <v>1761</v>
      </c>
      <c r="H575" s="55" t="s">
        <v>1765</v>
      </c>
      <c r="I575" s="56"/>
      <c r="J575" s="56"/>
      <c r="K575" s="56"/>
      <c r="L575" s="56"/>
      <c r="M575" s="56"/>
      <c r="N575" s="56"/>
      <c r="O575" s="56"/>
      <c r="P575" s="56">
        <v>1.0</v>
      </c>
      <c r="Q575" s="56" t="s">
        <v>131</v>
      </c>
      <c r="R575" s="58" t="str">
        <f t="shared" si="1"/>
        <v>2025</v>
      </c>
      <c r="S575" s="59" t="str">
        <f>SUM(Hoja1!$I575:$P575)</f>
        <v>1</v>
      </c>
      <c r="T575" s="59" t="str">
        <f>IF(OR(Hoja1!$J575=1,Hoja1!$K575=1,Hoja1!$L575=1,Hoja1!$M575=1,Hoja1!$N575=1,Hoja1!$O575=1,Hoja1!$P575=1),"SI","NO")</f>
        <v>SI</v>
      </c>
      <c r="U575" s="59" t="str">
        <f>IF(OR(Hoja1!$K575=1,Hoja1!$L575=1,Hoja1!$M575=1,Hoja1!$N575=1,Hoja1!$O575=1,Hoja1!$P575=1),"SI","NO")</f>
        <v>SI</v>
      </c>
      <c r="V575" s="60">
        <v>0.0</v>
      </c>
      <c r="W575" s="61">
        <v>0.0</v>
      </c>
      <c r="X575" s="61">
        <v>0.0</v>
      </c>
      <c r="Y575" s="60">
        <v>0.0</v>
      </c>
      <c r="Z575" s="61">
        <v>0.0</v>
      </c>
      <c r="AA575" s="61">
        <v>0.0</v>
      </c>
      <c r="AB575" s="60">
        <v>0.0</v>
      </c>
      <c r="AC575" s="61">
        <v>0.0</v>
      </c>
      <c r="AD575" s="61">
        <v>0.0</v>
      </c>
      <c r="AE575" s="60">
        <v>0.0</v>
      </c>
      <c r="AF575" s="61">
        <v>0.0</v>
      </c>
      <c r="AG575" s="61">
        <v>0.0</v>
      </c>
      <c r="AH575" s="60">
        <v>0.0</v>
      </c>
      <c r="AI575" s="61">
        <v>0.0</v>
      </c>
      <c r="AJ575" s="61">
        <v>0.0</v>
      </c>
      <c r="AK575" s="60">
        <v>0.0</v>
      </c>
      <c r="AL575" s="61">
        <v>0.0</v>
      </c>
      <c r="AM575" s="61">
        <v>0.0</v>
      </c>
      <c r="AN575" s="60">
        <v>0.0</v>
      </c>
      <c r="AO575" s="62">
        <v>11.0</v>
      </c>
      <c r="AP575" s="62">
        <v>9.0</v>
      </c>
      <c r="AQ575" s="60">
        <v>20.0</v>
      </c>
      <c r="AR575" s="60" t="str">
        <f>IF(Hoja1!$AQ575&gt;0,Hoja1!$AQ575,IF(Hoja1!$AN575&gt;0,Hoja1!$AN575,IF(Hoja1!$AK575&gt;0,Hoja1!$AK575,IF(Hoja1!$AH575&gt;0,Hoja1!$AH575,IF(Hoja1!$AE575&gt;0,Hoja1!$AE575,IF(Hoja1!$AB575&gt;0,Hoja1!$AB575,IF(Hoja1!$Y575&gt;0,Hoja1!$Y575,IF(Hoja1!$V575&gt;0,Hoja1!$V575," ---"))))))))</f>
        <v>20</v>
      </c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>
        <v>28.0</v>
      </c>
      <c r="BD575" s="63">
        <v>3.0</v>
      </c>
      <c r="BE575" s="64"/>
      <c r="BF575" s="69"/>
      <c r="BG575" s="69"/>
      <c r="BH575" s="64"/>
      <c r="BI575" s="67" t="str">
        <f t="shared" si="206"/>
        <v>#REF!</v>
      </c>
      <c r="BJ575" s="68" t="str">
        <f t="shared" si="207"/>
        <v>#REF!</v>
      </c>
      <c r="BK575" s="69"/>
      <c r="BL575" s="69"/>
      <c r="BM575" s="64"/>
      <c r="BN575" s="67" t="str">
        <f t="shared" si="208"/>
        <v>#REF!</v>
      </c>
      <c r="BO575" s="68" t="str">
        <f t="shared" si="209"/>
        <v>#REF!</v>
      </c>
      <c r="BP575" s="65"/>
      <c r="BQ575" s="65"/>
      <c r="BR575" s="66"/>
      <c r="BS575" s="67" t="str">
        <f t="shared" si="210"/>
        <v>#REF!</v>
      </c>
      <c r="BT575" s="68" t="str">
        <f>'[1]DATA CONSOLIDADA 2018-2025 '!$BR418-Hoja1!$BO575</f>
        <v>#REF!</v>
      </c>
      <c r="BU575" s="69"/>
      <c r="BV575" s="65"/>
      <c r="BW575" s="66"/>
      <c r="BX575" s="67" t="str">
        <f t="shared" si="211"/>
        <v>#REF!</v>
      </c>
      <c r="BY575" s="68" t="str">
        <f t="shared" si="212"/>
        <v>#REF!</v>
      </c>
      <c r="BZ575" s="65"/>
      <c r="CA575" s="65"/>
      <c r="CB575" s="66"/>
      <c r="CC575" s="67" t="str">
        <f t="shared" si="213"/>
        <v>#REF!</v>
      </c>
      <c r="CD575" s="68" t="str">
        <f>'[1]DATA CONSOLIDADA 2018-2025 '!$CB418-Hoja1!$BW575</f>
        <v>#REF!</v>
      </c>
      <c r="CE575" s="70"/>
      <c r="CF575" s="70"/>
      <c r="CG575" s="71"/>
      <c r="CH575" s="67" t="str">
        <f t="shared" si="214"/>
        <v>#REF!</v>
      </c>
      <c r="CI575" s="68" t="str">
        <f>'[1]DATA CONSOLIDADA 2018-2025 '!$CG418-Hoja1!$CB575</f>
        <v>#REF!</v>
      </c>
      <c r="CJ575" s="64" t="str">
        <f t="shared" si="215"/>
        <v>#REF!</v>
      </c>
      <c r="CK575" s="64">
        <v>0.0</v>
      </c>
      <c r="CL575" s="64">
        <v>0.0</v>
      </c>
      <c r="CM575" s="64">
        <v>0.0</v>
      </c>
      <c r="CN575" s="64" t="str">
        <f t="shared" si="12"/>
        <v>#REF!</v>
      </c>
      <c r="CO575" s="68" t="str">
        <f>'[1]DATA CONSOLIDADA 2018-2025 '!$CM575-Hoja1!$CG575</f>
        <v>#REF!</v>
      </c>
      <c r="CP575" s="70"/>
      <c r="CQ575" s="70"/>
      <c r="CR575" s="70"/>
      <c r="CS575" s="70"/>
      <c r="CT575" s="70"/>
      <c r="CU575" s="70"/>
      <c r="CV575" s="64"/>
      <c r="CW575" s="64"/>
      <c r="CX575" s="64"/>
      <c r="CY575" s="64"/>
      <c r="CZ575" s="64"/>
      <c r="DA575" s="64"/>
      <c r="DB575" s="64"/>
      <c r="DC575" s="72">
        <v>0.0</v>
      </c>
      <c r="DD575" s="72">
        <v>0.0</v>
      </c>
      <c r="DE575" s="72">
        <v>0.0</v>
      </c>
      <c r="DF575" s="72">
        <v>0.0</v>
      </c>
      <c r="DG575" s="72">
        <v>0.0</v>
      </c>
      <c r="DH575" s="72">
        <v>0.0</v>
      </c>
      <c r="DI575" s="73">
        <v>2.0609069555E10</v>
      </c>
      <c r="DJ575" s="74" t="s">
        <v>1766</v>
      </c>
      <c r="DK575" s="74" t="s">
        <v>138</v>
      </c>
      <c r="DL575" s="75"/>
      <c r="DM575" s="75"/>
      <c r="DN575" s="75"/>
      <c r="DO575" s="75"/>
      <c r="DP575" s="75"/>
      <c r="DQ575" s="75"/>
      <c r="DR575" s="75"/>
      <c r="DS575" s="75"/>
      <c r="DT575" s="75"/>
      <c r="DU575" s="75"/>
      <c r="DV575" s="75"/>
      <c r="DW575" s="75"/>
      <c r="DX575" s="75"/>
      <c r="DY575" s="75"/>
      <c r="DZ575" s="75"/>
      <c r="EA575" s="75"/>
      <c r="EB575" s="75"/>
      <c r="EC575" s="75"/>
      <c r="ED575" s="75"/>
      <c r="EE575" s="75"/>
    </row>
    <row r="576" ht="47.25" hidden="1" customHeight="1">
      <c r="A576" s="55" t="s">
        <v>1767</v>
      </c>
      <c r="B576" s="55" t="s">
        <v>287</v>
      </c>
      <c r="C576" s="55" t="s">
        <v>1665</v>
      </c>
      <c r="D576" s="55" t="s">
        <v>340</v>
      </c>
      <c r="E576" s="55" t="s">
        <v>345</v>
      </c>
      <c r="F576" s="55" t="s">
        <v>340</v>
      </c>
      <c r="G576" s="55" t="s">
        <v>346</v>
      </c>
      <c r="H576" s="55" t="s">
        <v>347</v>
      </c>
      <c r="I576" s="56"/>
      <c r="J576" s="56"/>
      <c r="K576" s="56"/>
      <c r="L576" s="56"/>
      <c r="M576" s="56"/>
      <c r="N576" s="56"/>
      <c r="O576" s="56"/>
      <c r="P576" s="56">
        <v>1.0</v>
      </c>
      <c r="Q576" s="56" t="s">
        <v>131</v>
      </c>
      <c r="R576" s="58" t="str">
        <f t="shared" si="1"/>
        <v>2025</v>
      </c>
      <c r="S576" s="59" t="str">
        <f>SUM(Hoja1!$I576:$P576)</f>
        <v>1</v>
      </c>
      <c r="T576" s="59" t="str">
        <f>IF(OR(Hoja1!$J576=1,Hoja1!$K576=1,Hoja1!$L576=1,Hoja1!$M576=1,Hoja1!$N576=1,Hoja1!$O576=1,Hoja1!$P576=1),"SI","NO")</f>
        <v>SI</v>
      </c>
      <c r="U576" s="59" t="str">
        <f>IF(OR(Hoja1!$K576=1,Hoja1!$L576=1,Hoja1!$M576=1,Hoja1!$N576=1,Hoja1!$O576=1,Hoja1!$P576=1),"SI","NO")</f>
        <v>SI</v>
      </c>
      <c r="V576" s="60">
        <v>0.0</v>
      </c>
      <c r="W576" s="61">
        <v>0.0</v>
      </c>
      <c r="X576" s="61">
        <v>0.0</v>
      </c>
      <c r="Y576" s="60">
        <v>0.0</v>
      </c>
      <c r="Z576" s="61">
        <v>0.0</v>
      </c>
      <c r="AA576" s="61">
        <v>0.0</v>
      </c>
      <c r="AB576" s="60">
        <v>0.0</v>
      </c>
      <c r="AC576" s="61">
        <v>0.0</v>
      </c>
      <c r="AD576" s="61">
        <v>0.0</v>
      </c>
      <c r="AE576" s="60">
        <v>0.0</v>
      </c>
      <c r="AF576" s="61">
        <v>0.0</v>
      </c>
      <c r="AG576" s="61">
        <v>0.0</v>
      </c>
      <c r="AH576" s="60">
        <v>0.0</v>
      </c>
      <c r="AI576" s="61">
        <v>0.0</v>
      </c>
      <c r="AJ576" s="61">
        <v>0.0</v>
      </c>
      <c r="AK576" s="60">
        <v>0.0</v>
      </c>
      <c r="AL576" s="61">
        <v>0.0</v>
      </c>
      <c r="AM576" s="61">
        <v>0.0</v>
      </c>
      <c r="AN576" s="60">
        <v>0.0</v>
      </c>
      <c r="AO576" s="62">
        <v>7.0</v>
      </c>
      <c r="AP576" s="62">
        <v>3.0</v>
      </c>
      <c r="AQ576" s="60">
        <v>10.0</v>
      </c>
      <c r="AR576" s="60" t="str">
        <f>IF(Hoja1!$AQ576&gt;0,Hoja1!$AQ576,IF(Hoja1!$AN576&gt;0,Hoja1!$AN576,IF(Hoja1!$AK576&gt;0,Hoja1!$AK576,IF(Hoja1!$AH576&gt;0,Hoja1!$AH576,IF(Hoja1!$AE576&gt;0,Hoja1!$AE576,IF(Hoja1!$AB576&gt;0,Hoja1!$AB576,IF(Hoja1!$Y576&gt;0,Hoja1!$Y576,IF(Hoja1!$V576&gt;0,Hoja1!$V576," ---"))))))))</f>
        <v>10</v>
      </c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>
        <v>31.0</v>
      </c>
      <c r="BD576" s="63">
        <v>1.0</v>
      </c>
      <c r="BE576" s="64"/>
      <c r="BF576" s="69"/>
      <c r="BG576" s="69"/>
      <c r="BH576" s="64"/>
      <c r="BI576" s="67" t="str">
        <f t="shared" si="206"/>
        <v>#REF!</v>
      </c>
      <c r="BJ576" s="68" t="str">
        <f t="shared" si="207"/>
        <v>#REF!</v>
      </c>
      <c r="BK576" s="69"/>
      <c r="BL576" s="69"/>
      <c r="BM576" s="64"/>
      <c r="BN576" s="67" t="str">
        <f t="shared" si="208"/>
        <v>#REF!</v>
      </c>
      <c r="BO576" s="68" t="str">
        <f t="shared" si="209"/>
        <v>#REF!</v>
      </c>
      <c r="BP576" s="65"/>
      <c r="BQ576" s="65"/>
      <c r="BR576" s="66"/>
      <c r="BS576" s="67" t="str">
        <f t="shared" si="210"/>
        <v>#REF!</v>
      </c>
      <c r="BT576" s="68" t="str">
        <f>'[1]DATA CONSOLIDADA 2018-2025 '!$BR576-Hoja1!$BO576</f>
        <v>#REF!</v>
      </c>
      <c r="BU576" s="69"/>
      <c r="BV576" s="65"/>
      <c r="BW576" s="66"/>
      <c r="BX576" s="67" t="str">
        <f t="shared" si="211"/>
        <v>#REF!</v>
      </c>
      <c r="BY576" s="68" t="str">
        <f t="shared" si="212"/>
        <v>#REF!</v>
      </c>
      <c r="BZ576" s="65"/>
      <c r="CA576" s="65"/>
      <c r="CB576" s="66"/>
      <c r="CC576" s="67" t="str">
        <f t="shared" si="213"/>
        <v>#REF!</v>
      </c>
      <c r="CD576" s="68" t="str">
        <f>'[1]DATA CONSOLIDADA 2018-2025 '!$CB576-Hoja1!$BW576</f>
        <v>#REF!</v>
      </c>
      <c r="CE576" s="70"/>
      <c r="CF576" s="70"/>
      <c r="CG576" s="71"/>
      <c r="CH576" s="67" t="str">
        <f t="shared" si="214"/>
        <v>#REF!</v>
      </c>
      <c r="CI576" s="68" t="str">
        <f>'[1]DATA CONSOLIDADA 2018-2025 '!$CG576-Hoja1!$CB576</f>
        <v>#REF!</v>
      </c>
      <c r="CJ576" s="64" t="str">
        <f t="shared" ref="CJ576:CJ596" si="216">'[1]DATA CONSOLIDADA 2018-2025 '!$BE576+'[1]DATA CONSOLIDADA 2018-2025 '!$BH576+'[1]DATA CONSOLIDADA 2018-2025 '!$BM576+'[1]DATA CONSOLIDADA 2018-2025 '!$BR576+'[1]DATA CONSOLIDADA 2018-2025 '!$BW576+'[1]DATA CONSOLIDADA 2018-2025 '!$CB576+'[1]DATA CONSOLIDADA 2018-2025 '!$CG576</f>
        <v>#REF!</v>
      </c>
      <c r="CK576" s="64">
        <v>4235.0</v>
      </c>
      <c r="CL576" s="64">
        <v>0.0</v>
      </c>
      <c r="CM576" s="64">
        <v>4235.0</v>
      </c>
      <c r="CN576" s="64" t="str">
        <f t="shared" si="12"/>
        <v>#REF!</v>
      </c>
      <c r="CO576" s="68" t="str">
        <f>'[1]DATA CONSOLIDADA 2018-2025 '!$CM576-Hoja1!$CG576</f>
        <v>#REF!</v>
      </c>
      <c r="CP576" s="70"/>
      <c r="CQ576" s="70"/>
      <c r="CR576" s="70"/>
      <c r="CS576" s="70"/>
      <c r="CT576" s="70"/>
      <c r="CU576" s="70"/>
      <c r="CV576" s="64"/>
      <c r="CW576" s="64"/>
      <c r="CX576" s="64"/>
      <c r="CY576" s="64"/>
      <c r="CZ576" s="64"/>
      <c r="DA576" s="64"/>
      <c r="DB576" s="64"/>
      <c r="DC576" s="72">
        <v>0.0</v>
      </c>
      <c r="DD576" s="72">
        <v>4235.0</v>
      </c>
      <c r="DE576" s="72">
        <v>0.0</v>
      </c>
      <c r="DF576" s="72">
        <v>0.0</v>
      </c>
      <c r="DG576" s="72">
        <v>0.0</v>
      </c>
      <c r="DH576" s="72">
        <v>4235.0</v>
      </c>
      <c r="DI576" s="73">
        <v>2.06091665E10</v>
      </c>
      <c r="DJ576" s="74" t="s">
        <v>1768</v>
      </c>
      <c r="DK576" s="74" t="s">
        <v>138</v>
      </c>
      <c r="DL576" s="75"/>
      <c r="DM576" s="75"/>
      <c r="DN576" s="75"/>
      <c r="DO576" s="75"/>
      <c r="DP576" s="75"/>
      <c r="DQ576" s="75"/>
      <c r="DR576" s="75"/>
      <c r="DS576" s="75"/>
      <c r="DT576" s="75"/>
      <c r="DU576" s="75"/>
      <c r="DV576" s="75"/>
      <c r="DW576" s="75"/>
      <c r="DX576" s="75"/>
      <c r="DY576" s="75"/>
      <c r="DZ576" s="75"/>
      <c r="EA576" s="75"/>
      <c r="EB576" s="75"/>
      <c r="EC576" s="75"/>
      <c r="ED576" s="75"/>
      <c r="EE576" s="75"/>
    </row>
    <row r="577" ht="47.25" hidden="1" customHeight="1">
      <c r="A577" s="55" t="s">
        <v>1769</v>
      </c>
      <c r="B577" s="55" t="s">
        <v>166</v>
      </c>
      <c r="C577" s="55" t="s">
        <v>166</v>
      </c>
      <c r="D577" s="55" t="s">
        <v>408</v>
      </c>
      <c r="E577" s="55" t="s">
        <v>456</v>
      </c>
      <c r="F577" s="55" t="s">
        <v>408</v>
      </c>
      <c r="G577" s="55" t="s">
        <v>457</v>
      </c>
      <c r="H577" s="55" t="s">
        <v>458</v>
      </c>
      <c r="I577" s="56"/>
      <c r="J577" s="56"/>
      <c r="K577" s="56"/>
      <c r="L577" s="56"/>
      <c r="M577" s="56"/>
      <c r="N577" s="56"/>
      <c r="O577" s="56"/>
      <c r="P577" s="56">
        <v>1.0</v>
      </c>
      <c r="Q577" s="56" t="s">
        <v>131</v>
      </c>
      <c r="R577" s="58" t="str">
        <f t="shared" si="1"/>
        <v>2025</v>
      </c>
      <c r="S577" s="59" t="str">
        <f>SUM(Hoja1!$I577:$P577)</f>
        <v>1</v>
      </c>
      <c r="T577" s="59" t="str">
        <f>IF(OR(Hoja1!$J577=1,Hoja1!$K577=1,Hoja1!$L577=1,Hoja1!$M577=1,Hoja1!$N577=1,Hoja1!$O577=1,Hoja1!$P577=1),"SI","NO")</f>
        <v>SI</v>
      </c>
      <c r="U577" s="59" t="str">
        <f>IF(OR(Hoja1!$K577=1,Hoja1!$L577=1,Hoja1!$M577=1,Hoja1!$N577=1,Hoja1!$O577=1,Hoja1!$P577=1),"SI","NO")</f>
        <v>SI</v>
      </c>
      <c r="V577" s="60">
        <v>0.0</v>
      </c>
      <c r="W577" s="61">
        <v>0.0</v>
      </c>
      <c r="X577" s="61">
        <v>0.0</v>
      </c>
      <c r="Y577" s="60">
        <v>0.0</v>
      </c>
      <c r="Z577" s="61">
        <v>0.0</v>
      </c>
      <c r="AA577" s="61">
        <v>0.0</v>
      </c>
      <c r="AB577" s="60">
        <v>0.0</v>
      </c>
      <c r="AC577" s="61">
        <v>0.0</v>
      </c>
      <c r="AD577" s="61">
        <v>0.0</v>
      </c>
      <c r="AE577" s="60">
        <v>0.0</v>
      </c>
      <c r="AF577" s="61">
        <v>0.0</v>
      </c>
      <c r="AG577" s="61">
        <v>0.0</v>
      </c>
      <c r="AH577" s="60">
        <v>0.0</v>
      </c>
      <c r="AI577" s="61">
        <v>0.0</v>
      </c>
      <c r="AJ577" s="61">
        <v>0.0</v>
      </c>
      <c r="AK577" s="60">
        <v>0.0</v>
      </c>
      <c r="AL577" s="61">
        <v>0.0</v>
      </c>
      <c r="AM577" s="61">
        <v>0.0</v>
      </c>
      <c r="AN577" s="60">
        <v>0.0</v>
      </c>
      <c r="AO577" s="62">
        <v>37.0</v>
      </c>
      <c r="AP577" s="62">
        <v>15.0</v>
      </c>
      <c r="AQ577" s="60">
        <v>52.0</v>
      </c>
      <c r="AR577" s="60" t="str">
        <f>IF(Hoja1!$AQ577&gt;0,Hoja1!$AQ577,IF(Hoja1!$AN577&gt;0,Hoja1!$AN577,IF(Hoja1!$AK577&gt;0,Hoja1!$AK577,IF(Hoja1!$AH577&gt;0,Hoja1!$AH577,IF(Hoja1!$AE577&gt;0,Hoja1!$AE577,IF(Hoja1!$AB577&gt;0,Hoja1!$AB577,IF(Hoja1!$Y577&gt;0,Hoja1!$Y577,IF(Hoja1!$V577&gt;0,Hoja1!$V577," ---"))))))))</f>
        <v>52</v>
      </c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>
        <v>15.0</v>
      </c>
      <c r="BD577" s="63">
        <v>2.0</v>
      </c>
      <c r="BE577" s="64"/>
      <c r="BF577" s="69"/>
      <c r="BG577" s="69"/>
      <c r="BH577" s="64"/>
      <c r="BI577" s="67" t="str">
        <f t="shared" ref="BI577:BI578" si="217">IF('[1]DATA CONSOLIDADA 2018-2025 '!$BH595&gt;'[1]DATA CONSOLIDADA 2018-2025 '!$AN595,"Incremento",IF('[1]DATA CONSOLIDADA 2018-2025 '!$AN595='[1]DATA CONSOLIDADA 2018-2025 '!$BH595,"Sin incremento",IF('[1]DATA CONSOLIDADA 2018-2025 '!$BH595&lt;'[1]DATA CONSOLIDADA 2018-2025 '!$AN595,"Disminución"," ---")))</f>
        <v>#REF!</v>
      </c>
      <c r="BJ577" s="68" t="str">
        <f t="shared" ref="BJ577:BJ578" si="218">'[1]DATA CONSOLIDADA 2018-2025 '!$BH595-'[1]DATA CONSOLIDADA 2018-2025 '!$BE595</f>
        <v>#REF!</v>
      </c>
      <c r="BK577" s="69"/>
      <c r="BL577" s="69"/>
      <c r="BM577" s="64"/>
      <c r="BN577" s="67" t="str">
        <f t="shared" ref="BN577:BN578" si="219">IF('[1]DATA CONSOLIDADA 2018-2025 '!$BM595&gt;'[1]DATA CONSOLIDADA 2018-2025 '!$BH595,"Incremento",IF('[1]DATA CONSOLIDADA 2018-2025 '!$BH595='[1]DATA CONSOLIDADA 2018-2025 '!$BM595,"Sin incremento",IF('[1]DATA CONSOLIDADA 2018-2025 '!$BM595&lt;'[1]DATA CONSOLIDADA 2018-2025 '!$BH595,"Disminución"," ---")))</f>
        <v>#REF!</v>
      </c>
      <c r="BO577" s="68" t="str">
        <f t="shared" ref="BO577:BO578" si="220">'[1]DATA CONSOLIDADA 2018-2025 '!$BM595-'[1]DATA CONSOLIDADA 2018-2025 '!$BH595</f>
        <v>#REF!</v>
      </c>
      <c r="BP577" s="65"/>
      <c r="BQ577" s="65"/>
      <c r="BR577" s="66"/>
      <c r="BS577" s="67" t="str">
        <f t="shared" ref="BS577:BS578" si="221">IF('[1]DATA CONSOLIDADA 2018-2025 '!$BR595&gt;'[1]DATA CONSOLIDADA 2018-2025 '!$BM595,"Incremento",IF('[1]DATA CONSOLIDADA 2018-2025 '!$BM595='[1]DATA CONSOLIDADA 2018-2025 '!$BR595,"Sin incremento",IF('[1]DATA CONSOLIDADA 2018-2025 '!$BR595&lt;'[1]DATA CONSOLIDADA 2018-2025 '!$BM595,"Disminución"," ---")))</f>
        <v>#REF!</v>
      </c>
      <c r="BT577" s="68" t="str">
        <f>'[1]DATA CONSOLIDADA 2018-2025 '!$BR577-Hoja1!$BO577</f>
        <v>#REF!</v>
      </c>
      <c r="BU577" s="69"/>
      <c r="BV577" s="65"/>
      <c r="BW577" s="66"/>
      <c r="BX577" s="67" t="str">
        <f t="shared" ref="BX577:BX578" si="222">IF('[1]DATA CONSOLIDADA 2018-2025 '!$BW595&gt;'[1]DATA CONSOLIDADA 2018-2025 '!$BR595,"Incremento",IF('[1]DATA CONSOLIDADA 2018-2025 '!$BR595='[1]DATA CONSOLIDADA 2018-2025 '!$BW595,"Sin incremento",IF('[1]DATA CONSOLIDADA 2018-2025 '!$BW595&lt;'[1]DATA CONSOLIDADA 2018-2025 '!$BR595,"Disminución"," ---")))</f>
        <v>#REF!</v>
      </c>
      <c r="BY577" s="68" t="str">
        <f t="shared" ref="BY577:BY578" si="223">'[1]DATA CONSOLIDADA 2018-2025 '!$BW595-'[1]DATA CONSOLIDADA 2018-2025 '!$BR595</f>
        <v>#REF!</v>
      </c>
      <c r="BZ577" s="65"/>
      <c r="CA577" s="65"/>
      <c r="CB577" s="66"/>
      <c r="CC577" s="67" t="str">
        <f t="shared" ref="CC577:CC578" si="224">IF('[1]DATA CONSOLIDADA 2018-2025 '!$CB595&gt;'[1]DATA CONSOLIDADA 2018-2025 '!$BW595,"Incremento",IF('[1]DATA CONSOLIDADA 2018-2025 '!$BW595='[1]DATA CONSOLIDADA 2018-2025 '!$CB595,"Sin incremento",IF('[1]DATA CONSOLIDADA 2018-2025 '!$CB595&lt;'[1]DATA CONSOLIDADA 2018-2025 '!$BW595,"Disminución"," ---")))</f>
        <v>#REF!</v>
      </c>
      <c r="CD577" s="68" t="str">
        <f>'[1]DATA CONSOLIDADA 2018-2025 '!$CB577-Hoja1!$BW577</f>
        <v>#REF!</v>
      </c>
      <c r="CE577" s="70"/>
      <c r="CF577" s="70"/>
      <c r="CG577" s="71"/>
      <c r="CH577" s="67" t="str">
        <f t="shared" ref="CH577:CH578" si="225">IF('[1]DATA CONSOLIDADA 2018-2025 '!$CG595&gt;'[1]DATA CONSOLIDADA 2018-2025 '!$CB595,"Incremento",IF('[1]DATA CONSOLIDADA 2018-2025 '!$CB595='[1]DATA CONSOLIDADA 2018-2025 '!$CG595,"Sin incremento",IF('[1]DATA CONSOLIDADA 2018-2025 '!$CG595&lt;'[1]DATA CONSOLIDADA 2018-2025 '!$CB595,"Disminución"," ---")))</f>
        <v>#REF!</v>
      </c>
      <c r="CI577" s="68" t="str">
        <f>'[1]DATA CONSOLIDADA 2018-2025 '!$CG577-Hoja1!$CB577</f>
        <v>#REF!</v>
      </c>
      <c r="CJ577" s="64" t="str">
        <f t="shared" si="216"/>
        <v>#REF!</v>
      </c>
      <c r="CK577" s="64">
        <v>30132.0</v>
      </c>
      <c r="CL577" s="64">
        <v>0.0</v>
      </c>
      <c r="CM577" s="64">
        <v>30132.0</v>
      </c>
      <c r="CN577" s="64" t="str">
        <f t="shared" si="12"/>
        <v>#REF!</v>
      </c>
      <c r="CO577" s="68" t="str">
        <f>'[1]DATA CONSOLIDADA 2018-2025 '!$CM577-Hoja1!$CG577</f>
        <v>#REF!</v>
      </c>
      <c r="CP577" s="70"/>
      <c r="CQ577" s="70"/>
      <c r="CR577" s="70"/>
      <c r="CS577" s="70"/>
      <c r="CT577" s="70"/>
      <c r="CU577" s="70"/>
      <c r="CV577" s="64"/>
      <c r="CW577" s="64"/>
      <c r="CX577" s="64"/>
      <c r="CY577" s="64"/>
      <c r="CZ577" s="64"/>
      <c r="DA577" s="64"/>
      <c r="DB577" s="64"/>
      <c r="DC577" s="72">
        <v>0.0</v>
      </c>
      <c r="DD577" s="72">
        <v>30132.0</v>
      </c>
      <c r="DE577" s="72">
        <v>0.0</v>
      </c>
      <c r="DF577" s="72">
        <v>0.0</v>
      </c>
      <c r="DG577" s="72">
        <v>0.0</v>
      </c>
      <c r="DH577" s="72">
        <v>30132.0</v>
      </c>
      <c r="DI577" s="73">
        <v>2.0611650524E10</v>
      </c>
      <c r="DJ577" s="74" t="s">
        <v>1770</v>
      </c>
      <c r="DK577" s="74" t="s">
        <v>138</v>
      </c>
      <c r="DL577" s="75"/>
      <c r="DM577" s="75"/>
      <c r="DN577" s="75"/>
      <c r="DO577" s="75"/>
      <c r="DP577" s="75"/>
      <c r="DQ577" s="75"/>
      <c r="DR577" s="75"/>
      <c r="DS577" s="75"/>
      <c r="DT577" s="75"/>
      <c r="DU577" s="75"/>
      <c r="DV577" s="75"/>
      <c r="DW577" s="75"/>
      <c r="DX577" s="75"/>
      <c r="DY577" s="75"/>
      <c r="DZ577" s="75"/>
      <c r="EA577" s="75"/>
      <c r="EB577" s="75"/>
      <c r="EC577" s="75"/>
      <c r="ED577" s="75"/>
      <c r="EE577" s="75"/>
    </row>
    <row r="578" ht="47.25" hidden="1" customHeight="1">
      <c r="A578" s="55" t="s">
        <v>1771</v>
      </c>
      <c r="B578" s="55" t="s">
        <v>126</v>
      </c>
      <c r="C578" s="55" t="s">
        <v>1588</v>
      </c>
      <c r="D578" s="55" t="s">
        <v>408</v>
      </c>
      <c r="E578" s="55" t="s">
        <v>1410</v>
      </c>
      <c r="F578" s="55" t="s">
        <v>408</v>
      </c>
      <c r="G578" s="55" t="s">
        <v>729</v>
      </c>
      <c r="H578" s="55" t="s">
        <v>729</v>
      </c>
      <c r="I578" s="56"/>
      <c r="J578" s="56"/>
      <c r="K578" s="56"/>
      <c r="L578" s="56"/>
      <c r="M578" s="56"/>
      <c r="N578" s="56"/>
      <c r="O578" s="56"/>
      <c r="P578" s="56">
        <v>1.0</v>
      </c>
      <c r="Q578" s="56" t="s">
        <v>131</v>
      </c>
      <c r="R578" s="58" t="str">
        <f t="shared" si="1"/>
        <v>2025</v>
      </c>
      <c r="S578" s="59" t="str">
        <f>SUM(Hoja1!$I578:$P578)</f>
        <v>1</v>
      </c>
      <c r="T578" s="59" t="str">
        <f>IF(OR(Hoja1!$J578=1,Hoja1!$K578=1,Hoja1!$L578=1,Hoja1!$M578=1,Hoja1!$N578=1,Hoja1!$O578=1,Hoja1!$P578=1),"SI","NO")</f>
        <v>SI</v>
      </c>
      <c r="U578" s="59" t="str">
        <f>IF(OR(Hoja1!$K578=1,Hoja1!$L578=1,Hoja1!$M578=1,Hoja1!$N578=1,Hoja1!$O578=1,Hoja1!$P578=1),"SI","NO")</f>
        <v>SI</v>
      </c>
      <c r="V578" s="60">
        <v>0.0</v>
      </c>
      <c r="W578" s="61">
        <v>0.0</v>
      </c>
      <c r="X578" s="61">
        <v>0.0</v>
      </c>
      <c r="Y578" s="60">
        <v>0.0</v>
      </c>
      <c r="Z578" s="61">
        <v>0.0</v>
      </c>
      <c r="AA578" s="61">
        <v>0.0</v>
      </c>
      <c r="AB578" s="60">
        <v>0.0</v>
      </c>
      <c r="AC578" s="61">
        <v>0.0</v>
      </c>
      <c r="AD578" s="61">
        <v>0.0</v>
      </c>
      <c r="AE578" s="60">
        <v>0.0</v>
      </c>
      <c r="AF578" s="61">
        <v>0.0</v>
      </c>
      <c r="AG578" s="61">
        <v>0.0</v>
      </c>
      <c r="AH578" s="60">
        <v>0.0</v>
      </c>
      <c r="AI578" s="61">
        <v>0.0</v>
      </c>
      <c r="AJ578" s="61">
        <v>0.0</v>
      </c>
      <c r="AK578" s="60">
        <v>0.0</v>
      </c>
      <c r="AL578" s="61">
        <v>0.0</v>
      </c>
      <c r="AM578" s="61">
        <v>0.0</v>
      </c>
      <c r="AN578" s="60">
        <v>0.0</v>
      </c>
      <c r="AO578" s="62">
        <v>145.0</v>
      </c>
      <c r="AP578" s="62">
        <v>50.0</v>
      </c>
      <c r="AQ578" s="60">
        <v>195.0</v>
      </c>
      <c r="AR578" s="60" t="str">
        <f>IF(Hoja1!$AQ578&gt;0,Hoja1!$AQ578,IF(Hoja1!$AN578&gt;0,Hoja1!$AN578,IF(Hoja1!$AK578&gt;0,Hoja1!$AK578,IF(Hoja1!$AH578&gt;0,Hoja1!$AH578,IF(Hoja1!$AE578&gt;0,Hoja1!$AE578,IF(Hoja1!$AB578&gt;0,Hoja1!$AB578,IF(Hoja1!$Y578&gt;0,Hoja1!$Y578,IF(Hoja1!$V578&gt;0,Hoja1!$V578," ---"))))))))</f>
        <v>195</v>
      </c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>
        <v>15.0</v>
      </c>
      <c r="BD578" s="63">
        <v>2.0</v>
      </c>
      <c r="BE578" s="64"/>
      <c r="BF578" s="69"/>
      <c r="BG578" s="69"/>
      <c r="BH578" s="64"/>
      <c r="BI578" s="67" t="str">
        <f t="shared" si="217"/>
        <v>#REF!</v>
      </c>
      <c r="BJ578" s="68" t="str">
        <f t="shared" si="218"/>
        <v>#REF!</v>
      </c>
      <c r="BK578" s="69"/>
      <c r="BL578" s="69"/>
      <c r="BM578" s="64"/>
      <c r="BN578" s="67" t="str">
        <f t="shared" si="219"/>
        <v>#REF!</v>
      </c>
      <c r="BO578" s="68" t="str">
        <f t="shared" si="220"/>
        <v>#REF!</v>
      </c>
      <c r="BP578" s="65"/>
      <c r="BQ578" s="65"/>
      <c r="BR578" s="66"/>
      <c r="BS578" s="67" t="str">
        <f t="shared" si="221"/>
        <v>#REF!</v>
      </c>
      <c r="BT578" s="68" t="str">
        <f>'[1]DATA CONSOLIDADA 2018-2025 '!$BR578-Hoja1!$BO578</f>
        <v>#REF!</v>
      </c>
      <c r="BU578" s="69"/>
      <c r="BV578" s="65"/>
      <c r="BW578" s="66"/>
      <c r="BX578" s="67" t="str">
        <f t="shared" si="222"/>
        <v>#REF!</v>
      </c>
      <c r="BY578" s="68" t="str">
        <f t="shared" si="223"/>
        <v>#REF!</v>
      </c>
      <c r="BZ578" s="65"/>
      <c r="CA578" s="65"/>
      <c r="CB578" s="66"/>
      <c r="CC578" s="67" t="str">
        <f t="shared" si="224"/>
        <v>#REF!</v>
      </c>
      <c r="CD578" s="68" t="str">
        <f>'[1]DATA CONSOLIDADA 2018-2025 '!$CB578-Hoja1!$BW578</f>
        <v>#REF!</v>
      </c>
      <c r="CE578" s="70"/>
      <c r="CF578" s="70"/>
      <c r="CG578" s="71"/>
      <c r="CH578" s="67" t="str">
        <f t="shared" si="225"/>
        <v>#REF!</v>
      </c>
      <c r="CI578" s="68" t="str">
        <f>'[1]DATA CONSOLIDADA 2018-2025 '!$CG578-Hoja1!$CB578</f>
        <v>#REF!</v>
      </c>
      <c r="CJ578" s="64" t="str">
        <f t="shared" si="216"/>
        <v>#REF!</v>
      </c>
      <c r="CK578" s="64">
        <v>0.0</v>
      </c>
      <c r="CL578" s="64">
        <v>2396608.5597</v>
      </c>
      <c r="CM578" s="64">
        <v>2396608.5597</v>
      </c>
      <c r="CN578" s="64" t="str">
        <f t="shared" si="12"/>
        <v>#REF!</v>
      </c>
      <c r="CO578" s="68" t="str">
        <f>'[1]DATA CONSOLIDADA 2018-2025 '!$CM578-Hoja1!$CG578</f>
        <v>#REF!</v>
      </c>
      <c r="CP578" s="70"/>
      <c r="CQ578" s="70"/>
      <c r="CR578" s="70"/>
      <c r="CS578" s="70"/>
      <c r="CT578" s="70"/>
      <c r="CU578" s="70"/>
      <c r="CV578" s="64"/>
      <c r="CW578" s="64"/>
      <c r="CX578" s="64"/>
      <c r="CY578" s="64"/>
      <c r="CZ578" s="64"/>
      <c r="DA578" s="64"/>
      <c r="DB578" s="64"/>
      <c r="DC578" s="72">
        <v>0.0</v>
      </c>
      <c r="DD578" s="72">
        <v>0.0</v>
      </c>
      <c r="DE578" s="72">
        <v>2396608.5597</v>
      </c>
      <c r="DF578" s="72">
        <v>0.0</v>
      </c>
      <c r="DG578" s="72">
        <v>0.0</v>
      </c>
      <c r="DH578" s="72">
        <v>2396608.5597</v>
      </c>
      <c r="DI578" s="73">
        <v>2.0479595276E10</v>
      </c>
      <c r="DJ578" s="74" t="s">
        <v>1771</v>
      </c>
      <c r="DK578" s="74" t="s">
        <v>132</v>
      </c>
      <c r="DL578" s="75"/>
      <c r="DM578" s="75"/>
      <c r="DN578" s="75"/>
      <c r="DO578" s="75"/>
      <c r="DP578" s="75"/>
      <c r="DQ578" s="75"/>
      <c r="DR578" s="75"/>
      <c r="DS578" s="75"/>
      <c r="DT578" s="75"/>
      <c r="DU578" s="75"/>
      <c r="DV578" s="75"/>
      <c r="DW578" s="75"/>
      <c r="DX578" s="75"/>
      <c r="DY578" s="75"/>
      <c r="DZ578" s="75"/>
      <c r="EA578" s="75"/>
      <c r="EB578" s="75"/>
      <c r="EC578" s="75"/>
      <c r="ED578" s="75"/>
      <c r="EE578" s="75"/>
    </row>
    <row r="579" ht="47.25" hidden="1" customHeight="1">
      <c r="A579" s="55" t="s">
        <v>1772</v>
      </c>
      <c r="B579" s="55" t="s">
        <v>126</v>
      </c>
      <c r="C579" s="55" t="s">
        <v>1773</v>
      </c>
      <c r="D579" s="55" t="s">
        <v>340</v>
      </c>
      <c r="E579" s="55" t="s">
        <v>617</v>
      </c>
      <c r="F579" s="55" t="s">
        <v>434</v>
      </c>
      <c r="G579" s="55" t="s">
        <v>435</v>
      </c>
      <c r="H579" s="55" t="s">
        <v>618</v>
      </c>
      <c r="I579" s="56"/>
      <c r="J579" s="56"/>
      <c r="K579" s="56"/>
      <c r="L579" s="56"/>
      <c r="M579" s="56"/>
      <c r="N579" s="56"/>
      <c r="O579" s="56"/>
      <c r="P579" s="56">
        <v>1.0</v>
      </c>
      <c r="Q579" s="56" t="s">
        <v>131</v>
      </c>
      <c r="R579" s="58" t="str">
        <f t="shared" si="1"/>
        <v>2025</v>
      </c>
      <c r="S579" s="59" t="str">
        <f>SUM(Hoja1!$I579:$P579)</f>
        <v>1</v>
      </c>
      <c r="T579" s="59" t="str">
        <f>IF(OR(Hoja1!$J579=1,Hoja1!$K579=1,Hoja1!$L579=1,Hoja1!$M579=1,Hoja1!$N579=1,Hoja1!$O579=1,Hoja1!$P579=1),"SI","NO")</f>
        <v>SI</v>
      </c>
      <c r="U579" s="59" t="str">
        <f>IF(OR(Hoja1!$K579=1,Hoja1!$L579=1,Hoja1!$M579=1,Hoja1!$N579=1,Hoja1!$O579=1,Hoja1!$P579=1),"SI","NO")</f>
        <v>SI</v>
      </c>
      <c r="V579" s="60">
        <v>0.0</v>
      </c>
      <c r="W579" s="61">
        <v>0.0</v>
      </c>
      <c r="X579" s="61">
        <v>0.0</v>
      </c>
      <c r="Y579" s="60">
        <v>0.0</v>
      </c>
      <c r="Z579" s="61">
        <v>0.0</v>
      </c>
      <c r="AA579" s="61">
        <v>0.0</v>
      </c>
      <c r="AB579" s="60">
        <v>0.0</v>
      </c>
      <c r="AC579" s="61">
        <v>0.0</v>
      </c>
      <c r="AD579" s="61">
        <v>0.0</v>
      </c>
      <c r="AE579" s="60">
        <v>0.0</v>
      </c>
      <c r="AF579" s="61">
        <v>0.0</v>
      </c>
      <c r="AG579" s="61">
        <v>0.0</v>
      </c>
      <c r="AH579" s="60">
        <v>0.0</v>
      </c>
      <c r="AI579" s="61">
        <v>0.0</v>
      </c>
      <c r="AJ579" s="61">
        <v>0.0</v>
      </c>
      <c r="AK579" s="60">
        <v>0.0</v>
      </c>
      <c r="AL579" s="61">
        <v>0.0</v>
      </c>
      <c r="AM579" s="61">
        <v>0.0</v>
      </c>
      <c r="AN579" s="60">
        <v>0.0</v>
      </c>
      <c r="AO579" s="62">
        <v>22.0</v>
      </c>
      <c r="AP579" s="62">
        <v>3.0</v>
      </c>
      <c r="AQ579" s="60">
        <v>25.0</v>
      </c>
      <c r="AR579" s="60" t="str">
        <f>IF(Hoja1!$AQ579&gt;0,Hoja1!$AQ579,IF(Hoja1!$AN579&gt;0,Hoja1!$AN579,IF(Hoja1!$AK579&gt;0,Hoja1!$AK579,IF(Hoja1!$AH579&gt;0,Hoja1!$AH579,IF(Hoja1!$AE579&gt;0,Hoja1!$AE579,IF(Hoja1!$AB579&gt;0,Hoja1!$AB579,IF(Hoja1!$Y579&gt;0,Hoja1!$Y579,IF(Hoja1!$V579&gt;0,Hoja1!$V579," ---"))))))))</f>
        <v>25</v>
      </c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>
        <v>29.0</v>
      </c>
      <c r="BD579" s="63">
        <v>0.0</v>
      </c>
      <c r="BE579" s="64"/>
      <c r="BF579" s="69"/>
      <c r="BG579" s="69"/>
      <c r="BH579" s="64"/>
      <c r="BI579" s="67" t="str">
        <f>IF('[1]DATA CONSOLIDADA 2018-2025 '!$BH570&gt;'[1]DATA CONSOLIDADA 2018-2025 '!$AN570,"Incremento",IF('[1]DATA CONSOLIDADA 2018-2025 '!$AN570='[1]DATA CONSOLIDADA 2018-2025 '!$BH570,"Sin incremento",IF('[1]DATA CONSOLIDADA 2018-2025 '!$BH570&lt;'[1]DATA CONSOLIDADA 2018-2025 '!$AN570,"Disminución"," ---")))</f>
        <v>#REF!</v>
      </c>
      <c r="BJ579" s="68" t="str">
        <f>'[1]DATA CONSOLIDADA 2018-2025 '!$BH570-'[1]DATA CONSOLIDADA 2018-2025 '!$BE570</f>
        <v>#REF!</v>
      </c>
      <c r="BK579" s="69"/>
      <c r="BL579" s="69"/>
      <c r="BM579" s="64"/>
      <c r="BN579" s="67" t="str">
        <f>IF('[1]DATA CONSOLIDADA 2018-2025 '!$BM570&gt;'[1]DATA CONSOLIDADA 2018-2025 '!$BH570,"Incremento",IF('[1]DATA CONSOLIDADA 2018-2025 '!$BH570='[1]DATA CONSOLIDADA 2018-2025 '!$BM570,"Sin incremento",IF('[1]DATA CONSOLIDADA 2018-2025 '!$BM570&lt;'[1]DATA CONSOLIDADA 2018-2025 '!$BH570,"Disminución"," ---")))</f>
        <v>#REF!</v>
      </c>
      <c r="BO579" s="68" t="str">
        <f>'[1]DATA CONSOLIDADA 2018-2025 '!$BM570-'[1]DATA CONSOLIDADA 2018-2025 '!$BH570</f>
        <v>#REF!</v>
      </c>
      <c r="BP579" s="65"/>
      <c r="BQ579" s="65"/>
      <c r="BR579" s="66"/>
      <c r="BS579" s="67" t="str">
        <f>IF('[1]DATA CONSOLIDADA 2018-2025 '!$BR570&gt;'[1]DATA CONSOLIDADA 2018-2025 '!$BM570,"Incremento",IF('[1]DATA CONSOLIDADA 2018-2025 '!$BM570='[1]DATA CONSOLIDADA 2018-2025 '!$BR570,"Sin incremento",IF('[1]DATA CONSOLIDADA 2018-2025 '!$BR570&lt;'[1]DATA CONSOLIDADA 2018-2025 '!$BM570,"Disminución"," ---")))</f>
        <v>#REF!</v>
      </c>
      <c r="BT579" s="68" t="str">
        <f>'[1]DATA CONSOLIDADA 2018-2025 '!$BR579-Hoja1!$BO579</f>
        <v>#REF!</v>
      </c>
      <c r="BU579" s="69"/>
      <c r="BV579" s="65"/>
      <c r="BW579" s="66"/>
      <c r="BX579" s="67" t="str">
        <f>IF('[1]DATA CONSOLIDADA 2018-2025 '!$BW570&gt;'[1]DATA CONSOLIDADA 2018-2025 '!$BR570,"Incremento",IF('[1]DATA CONSOLIDADA 2018-2025 '!$BR570='[1]DATA CONSOLIDADA 2018-2025 '!$BW570,"Sin incremento",IF('[1]DATA CONSOLIDADA 2018-2025 '!$BW570&lt;'[1]DATA CONSOLIDADA 2018-2025 '!$BR570,"Disminución"," ---")))</f>
        <v>#REF!</v>
      </c>
      <c r="BY579" s="68" t="str">
        <f>'[1]DATA CONSOLIDADA 2018-2025 '!$BW570-'[1]DATA CONSOLIDADA 2018-2025 '!$BR570</f>
        <v>#REF!</v>
      </c>
      <c r="BZ579" s="65"/>
      <c r="CA579" s="65"/>
      <c r="CB579" s="66"/>
      <c r="CC579" s="67" t="str">
        <f>IF('[1]DATA CONSOLIDADA 2018-2025 '!$CB570&gt;'[1]DATA CONSOLIDADA 2018-2025 '!$BW570,"Incremento",IF('[1]DATA CONSOLIDADA 2018-2025 '!$BW570='[1]DATA CONSOLIDADA 2018-2025 '!$CB570,"Sin incremento",IF('[1]DATA CONSOLIDADA 2018-2025 '!$CB570&lt;'[1]DATA CONSOLIDADA 2018-2025 '!$BW570,"Disminución"," ---")))</f>
        <v>#REF!</v>
      </c>
      <c r="CD579" s="68" t="str">
        <f>'[1]DATA CONSOLIDADA 2018-2025 '!$CB579-Hoja1!$BW579</f>
        <v>#REF!</v>
      </c>
      <c r="CE579" s="70"/>
      <c r="CF579" s="70"/>
      <c r="CG579" s="71"/>
      <c r="CH579" s="67" t="str">
        <f>IF('[1]DATA CONSOLIDADA 2018-2025 '!$CG570&gt;'[1]DATA CONSOLIDADA 2018-2025 '!$CB570,"Incremento",IF('[1]DATA CONSOLIDADA 2018-2025 '!$CB570='[1]DATA CONSOLIDADA 2018-2025 '!$CG570,"Sin incremento",IF('[1]DATA CONSOLIDADA 2018-2025 '!$CG570&lt;'[1]DATA CONSOLIDADA 2018-2025 '!$CB570,"Disminución"," ---")))</f>
        <v>#REF!</v>
      </c>
      <c r="CI579" s="68" t="str">
        <f>'[1]DATA CONSOLIDADA 2018-2025 '!$CG579-Hoja1!$CB579</f>
        <v>#REF!</v>
      </c>
      <c r="CJ579" s="64" t="str">
        <f t="shared" si="216"/>
        <v>#REF!</v>
      </c>
      <c r="CK579" s="64">
        <v>23402.0</v>
      </c>
      <c r="CL579" s="64">
        <v>0.0</v>
      </c>
      <c r="CM579" s="64">
        <v>23402.0</v>
      </c>
      <c r="CN579" s="64" t="str">
        <f t="shared" si="12"/>
        <v>#REF!</v>
      </c>
      <c r="CO579" s="68" t="str">
        <f>'[1]DATA CONSOLIDADA 2018-2025 '!$CM579-Hoja1!$CG579</f>
        <v>#REF!</v>
      </c>
      <c r="CP579" s="70"/>
      <c r="CQ579" s="70"/>
      <c r="CR579" s="70"/>
      <c r="CS579" s="70"/>
      <c r="CT579" s="70"/>
      <c r="CU579" s="70"/>
      <c r="CV579" s="64"/>
      <c r="CW579" s="64"/>
      <c r="CX579" s="64"/>
      <c r="CY579" s="64"/>
      <c r="CZ579" s="64"/>
      <c r="DA579" s="64"/>
      <c r="DB579" s="64"/>
      <c r="DC579" s="72">
        <v>0.0</v>
      </c>
      <c r="DD579" s="72">
        <v>0.0</v>
      </c>
      <c r="DE579" s="72">
        <v>23402.0</v>
      </c>
      <c r="DF579" s="72">
        <v>0.0</v>
      </c>
      <c r="DG579" s="72">
        <v>0.0</v>
      </c>
      <c r="DH579" s="72">
        <v>23402.0</v>
      </c>
      <c r="DI579" s="73">
        <v>2.0534524774E10</v>
      </c>
      <c r="DJ579" s="74" t="s">
        <v>1774</v>
      </c>
      <c r="DK579" s="74" t="s">
        <v>132</v>
      </c>
      <c r="DL579" s="75"/>
      <c r="DM579" s="75"/>
      <c r="DN579" s="75"/>
      <c r="DO579" s="75"/>
      <c r="DP579" s="75"/>
      <c r="DQ579" s="75"/>
      <c r="DR579" s="75"/>
      <c r="DS579" s="75"/>
      <c r="DT579" s="75"/>
      <c r="DU579" s="75"/>
      <c r="DV579" s="75"/>
      <c r="DW579" s="75"/>
      <c r="DX579" s="75"/>
      <c r="DY579" s="75"/>
      <c r="DZ579" s="75"/>
      <c r="EA579" s="75"/>
      <c r="EB579" s="75"/>
      <c r="EC579" s="75"/>
      <c r="ED579" s="75"/>
      <c r="EE579" s="75"/>
    </row>
    <row r="580" ht="47.25" hidden="1" customHeight="1">
      <c r="A580" s="55" t="s">
        <v>1775</v>
      </c>
      <c r="B580" s="55" t="s">
        <v>126</v>
      </c>
      <c r="C580" s="55" t="s">
        <v>126</v>
      </c>
      <c r="D580" s="55" t="s">
        <v>593</v>
      </c>
      <c r="E580" s="55" t="s">
        <v>603</v>
      </c>
      <c r="F580" s="55" t="s">
        <v>593</v>
      </c>
      <c r="G580" s="55" t="s">
        <v>604</v>
      </c>
      <c r="H580" s="55" t="s">
        <v>605</v>
      </c>
      <c r="I580" s="56">
        <v>1.0</v>
      </c>
      <c r="J580" s="56">
        <v>1.0</v>
      </c>
      <c r="K580" s="56"/>
      <c r="L580" s="56"/>
      <c r="M580" s="56"/>
      <c r="N580" s="56"/>
      <c r="O580" s="56"/>
      <c r="P580" s="56"/>
      <c r="Q580" s="56" t="s">
        <v>131</v>
      </c>
      <c r="R580" s="58" t="str">
        <f t="shared" si="1"/>
        <v>2018-2019</v>
      </c>
      <c r="S580" s="59" t="str">
        <f>SUM(Hoja1!$I580:$P580)</f>
        <v>2</v>
      </c>
      <c r="T580" s="59" t="str">
        <f>IF(OR(Hoja1!$J580=1,Hoja1!$K580=1,Hoja1!$L580=1,Hoja1!$M580=1,Hoja1!$N580=1,Hoja1!$O580=1,Hoja1!$P580=1),"SI","NO")</f>
        <v>SI</v>
      </c>
      <c r="U580" s="59" t="str">
        <f>IF(OR(Hoja1!$K580=1,Hoja1!$L580=1,Hoja1!$M580=1,Hoja1!$N580=1,Hoja1!$O580=1,Hoja1!$P580=1),"SI","NO")</f>
        <v>NO</v>
      </c>
      <c r="V580" s="60">
        <v>131.0</v>
      </c>
      <c r="W580" s="61">
        <v>109.0</v>
      </c>
      <c r="X580" s="61">
        <v>21.0</v>
      </c>
      <c r="Y580" s="60">
        <v>130.0</v>
      </c>
      <c r="Z580" s="61">
        <v>0.0</v>
      </c>
      <c r="AA580" s="61">
        <v>0.0</v>
      </c>
      <c r="AB580" s="60">
        <v>0.0</v>
      </c>
      <c r="AC580" s="61">
        <v>0.0</v>
      </c>
      <c r="AD580" s="61">
        <v>0.0</v>
      </c>
      <c r="AE580" s="60">
        <v>0.0</v>
      </c>
      <c r="AF580" s="61">
        <v>0.0</v>
      </c>
      <c r="AG580" s="61">
        <v>0.0</v>
      </c>
      <c r="AH580" s="60">
        <v>0.0</v>
      </c>
      <c r="AI580" s="61">
        <v>0.0</v>
      </c>
      <c r="AJ580" s="61">
        <v>0.0</v>
      </c>
      <c r="AK580" s="60">
        <v>0.0</v>
      </c>
      <c r="AL580" s="61">
        <v>0.0</v>
      </c>
      <c r="AM580" s="61">
        <v>0.0</v>
      </c>
      <c r="AN580" s="60">
        <v>0.0</v>
      </c>
      <c r="AO580" s="62">
        <v>0.0</v>
      </c>
      <c r="AP580" s="62">
        <v>0.0</v>
      </c>
      <c r="AQ580" s="60">
        <v>0.0</v>
      </c>
      <c r="AR580" s="60" t="str">
        <f>IF(Hoja1!$AQ580&gt;0,Hoja1!$AQ580,IF(Hoja1!$AN580&gt;0,Hoja1!$AN580,IF(Hoja1!$AK580&gt;0,Hoja1!$AK580,IF(Hoja1!$AH580&gt;0,Hoja1!$AH580,IF(Hoja1!$AE580&gt;0,Hoja1!$AE580,IF(Hoja1!$AB580&gt;0,Hoja1!$AB580,IF(Hoja1!$Y580&gt;0,Hoja1!$Y580,IF(Hoja1!$V580&gt;0,Hoja1!$V580," ---"))))))))</f>
        <v>130</v>
      </c>
      <c r="AS580" s="63">
        <v>0.0</v>
      </c>
      <c r="AT580" s="63">
        <v>0.0</v>
      </c>
      <c r="AU580" s="63">
        <v>0.0</v>
      </c>
      <c r="AV580" s="63">
        <v>0.0</v>
      </c>
      <c r="AW580" s="63">
        <v>0.0</v>
      </c>
      <c r="AX580" s="63">
        <v>0.0</v>
      </c>
      <c r="AY580" s="63">
        <v>0.0</v>
      </c>
      <c r="AZ580" s="63">
        <v>0.0</v>
      </c>
      <c r="BA580" s="63">
        <v>0.0</v>
      </c>
      <c r="BB580" s="63">
        <v>0.0</v>
      </c>
      <c r="BC580" s="63">
        <v>0.0</v>
      </c>
      <c r="BD580" s="63">
        <v>0.0</v>
      </c>
      <c r="BE580" s="64">
        <v>0.0</v>
      </c>
      <c r="BF580" s="65">
        <v>2970.0</v>
      </c>
      <c r="BG580" s="65">
        <v>0.0</v>
      </c>
      <c r="BH580" s="66">
        <v>2970.0</v>
      </c>
      <c r="BI580" s="67" t="str">
        <f>IF('[1]DATA CONSOLIDADA 2018-2025 '!$BH147&gt;'[1]DATA CONSOLIDADA 2018-2025 '!$AN147,"Incremento",IF('[1]DATA CONSOLIDADA 2018-2025 '!$AN147='[1]DATA CONSOLIDADA 2018-2025 '!$BH147,"Sin incremento",IF('[1]DATA CONSOLIDADA 2018-2025 '!$BH147&lt;'[1]DATA CONSOLIDADA 2018-2025 '!$AN147,"Disminución"," ---")))</f>
        <v>#REF!</v>
      </c>
      <c r="BJ580" s="68" t="str">
        <f>'[1]DATA CONSOLIDADA 2018-2025 '!$BH147-'[1]DATA CONSOLIDADA 2018-2025 '!$BE147</f>
        <v>#REF!</v>
      </c>
      <c r="BK580" s="65">
        <v>0.0</v>
      </c>
      <c r="BL580" s="65">
        <v>0.0</v>
      </c>
      <c r="BM580" s="66">
        <v>0.0</v>
      </c>
      <c r="BN580" s="67" t="str">
        <f>IF('[1]DATA CONSOLIDADA 2018-2025 '!$BM147&gt;'[1]DATA CONSOLIDADA 2018-2025 '!$BH147,"Incremento",IF('[1]DATA CONSOLIDADA 2018-2025 '!$BH147='[1]DATA CONSOLIDADA 2018-2025 '!$BM147,"Sin incremento",IF('[1]DATA CONSOLIDADA 2018-2025 '!$BM147&lt;'[1]DATA CONSOLIDADA 2018-2025 '!$BH147,"Disminución"," ---")))</f>
        <v>#REF!</v>
      </c>
      <c r="BO580" s="68" t="str">
        <f>'[1]DATA CONSOLIDADA 2018-2025 '!$BM147-'[1]DATA CONSOLIDADA 2018-2025 '!$BH147</f>
        <v>#REF!</v>
      </c>
      <c r="BP580" s="65">
        <v>0.0</v>
      </c>
      <c r="BQ580" s="65">
        <v>0.0</v>
      </c>
      <c r="BR580" s="66">
        <v>0.0</v>
      </c>
      <c r="BS580" s="67" t="str">
        <f>IF('[1]DATA CONSOLIDADA 2018-2025 '!$BR147&gt;'[1]DATA CONSOLIDADA 2018-2025 '!$BM147,"Incremento",IF('[1]DATA CONSOLIDADA 2018-2025 '!$BM147='[1]DATA CONSOLIDADA 2018-2025 '!$BR147,"Sin incremento",IF('[1]DATA CONSOLIDADA 2018-2025 '!$BR147&lt;'[1]DATA CONSOLIDADA 2018-2025 '!$BM147,"Disminución"," ---")))</f>
        <v>#REF!</v>
      </c>
      <c r="BT580" s="68" t="str">
        <f>'[1]DATA CONSOLIDADA 2018-2025 '!$BR580-Hoja1!$BO580</f>
        <v>#REF!</v>
      </c>
      <c r="BU580" s="65">
        <v>0.0</v>
      </c>
      <c r="BV580" s="65">
        <v>0.0</v>
      </c>
      <c r="BW580" s="66">
        <v>0.0</v>
      </c>
      <c r="BX580" s="67" t="str">
        <f>IF('[1]DATA CONSOLIDADA 2018-2025 '!$BW147&gt;'[1]DATA CONSOLIDADA 2018-2025 '!$BR147,"Incremento",IF('[1]DATA CONSOLIDADA 2018-2025 '!$BR147='[1]DATA CONSOLIDADA 2018-2025 '!$BW147,"Sin incremento",IF('[1]DATA CONSOLIDADA 2018-2025 '!$BW147&lt;'[1]DATA CONSOLIDADA 2018-2025 '!$BR147,"Disminución"," ---")))</f>
        <v>#REF!</v>
      </c>
      <c r="BY580" s="68" t="str">
        <f>'[1]DATA CONSOLIDADA 2018-2025 '!$BW147-'[1]DATA CONSOLIDADA 2018-2025 '!$BR147</f>
        <v>#REF!</v>
      </c>
      <c r="BZ580" s="65">
        <v>0.0</v>
      </c>
      <c r="CA580" s="65">
        <v>0.0</v>
      </c>
      <c r="CB580" s="66">
        <v>0.0</v>
      </c>
      <c r="CC580" s="67" t="str">
        <f>IF('[1]DATA CONSOLIDADA 2018-2025 '!$CB147&gt;'[1]DATA CONSOLIDADA 2018-2025 '!$BW147,"Incremento",IF('[1]DATA CONSOLIDADA 2018-2025 '!$BW147='[1]DATA CONSOLIDADA 2018-2025 '!$CB147,"Sin incremento",IF('[1]DATA CONSOLIDADA 2018-2025 '!$CB147&lt;'[1]DATA CONSOLIDADA 2018-2025 '!$BW147,"Disminución"," ---")))</f>
        <v>#REF!</v>
      </c>
      <c r="CD580" s="68" t="str">
        <f>'[1]DATA CONSOLIDADA 2018-2025 '!$CB580-Hoja1!$BW580</f>
        <v>#REF!</v>
      </c>
      <c r="CE580" s="70">
        <v>0.0</v>
      </c>
      <c r="CF580" s="70">
        <v>0.0</v>
      </c>
      <c r="CG580" s="71">
        <v>0.0</v>
      </c>
      <c r="CH580" s="67" t="str">
        <f>IF('[1]DATA CONSOLIDADA 2018-2025 '!$CG147&gt;'[1]DATA CONSOLIDADA 2018-2025 '!$CB147,"Incremento",IF('[1]DATA CONSOLIDADA 2018-2025 '!$CB147='[1]DATA CONSOLIDADA 2018-2025 '!$CG147,"Sin incremento",IF('[1]DATA CONSOLIDADA 2018-2025 '!$CG147&lt;'[1]DATA CONSOLIDADA 2018-2025 '!$CB147,"Disminución"," ---")))</f>
        <v>#REF!</v>
      </c>
      <c r="CI580" s="68" t="str">
        <f>'[1]DATA CONSOLIDADA 2018-2025 '!$CG580-Hoja1!$CB580</f>
        <v>#REF!</v>
      </c>
      <c r="CJ580" s="64" t="str">
        <f t="shared" si="216"/>
        <v>#REF!</v>
      </c>
      <c r="CK580" s="64">
        <v>0.0</v>
      </c>
      <c r="CL580" s="64">
        <v>0.0</v>
      </c>
      <c r="CM580" s="64">
        <v>0.0</v>
      </c>
      <c r="CN580" s="64" t="str">
        <f t="shared" si="12"/>
        <v>#REF!</v>
      </c>
      <c r="CO580" s="68" t="str">
        <f>'[1]DATA CONSOLIDADA 2018-2025 '!$CM580-Hoja1!$CG580</f>
        <v>#REF!</v>
      </c>
      <c r="CP580" s="70">
        <v>0.0</v>
      </c>
      <c r="CQ580" s="70">
        <v>0.0</v>
      </c>
      <c r="CR580" s="70">
        <v>0.0</v>
      </c>
      <c r="CS580" s="70">
        <v>0.0</v>
      </c>
      <c r="CT580" s="70">
        <v>0.0</v>
      </c>
      <c r="CU580" s="70">
        <v>0.0</v>
      </c>
      <c r="CV580" s="64">
        <v>0.0</v>
      </c>
      <c r="CW580" s="64">
        <v>0.0</v>
      </c>
      <c r="CX580" s="64">
        <v>0.0</v>
      </c>
      <c r="CY580" s="64">
        <v>0.0</v>
      </c>
      <c r="CZ580" s="64">
        <v>0.0</v>
      </c>
      <c r="DA580" s="64">
        <v>0.0</v>
      </c>
      <c r="DB580" s="64">
        <v>0.0</v>
      </c>
      <c r="DC580" s="72">
        <v>0.0</v>
      </c>
      <c r="DD580" s="72">
        <v>0.0</v>
      </c>
      <c r="DE580" s="72">
        <v>0.0</v>
      </c>
      <c r="DF580" s="72">
        <v>0.0</v>
      </c>
      <c r="DG580" s="72">
        <v>0.0</v>
      </c>
      <c r="DH580" s="72">
        <v>0.0</v>
      </c>
      <c r="DI580" s="73">
        <v>2.060133909E10</v>
      </c>
      <c r="DJ580" s="74" t="s">
        <v>1776</v>
      </c>
      <c r="DK580" s="74" t="s">
        <v>132</v>
      </c>
      <c r="DL580" s="75"/>
      <c r="DM580" s="75"/>
      <c r="DN580" s="75"/>
      <c r="DO580" s="75"/>
      <c r="DP580" s="75"/>
      <c r="DQ580" s="75"/>
      <c r="DR580" s="75"/>
      <c r="DS580" s="75"/>
      <c r="DT580" s="75"/>
      <c r="DU580" s="75"/>
      <c r="DV580" s="75"/>
      <c r="DW580" s="75"/>
      <c r="DX580" s="75"/>
      <c r="DY580" s="75"/>
      <c r="DZ580" s="75"/>
      <c r="EA580" s="75"/>
      <c r="EB580" s="75"/>
      <c r="EC580" s="75"/>
      <c r="ED580" s="75"/>
      <c r="EE580" s="75"/>
    </row>
    <row r="581" ht="47.25" hidden="1" customHeight="1">
      <c r="A581" s="55" t="s">
        <v>1777</v>
      </c>
      <c r="B581" s="55" t="s">
        <v>287</v>
      </c>
      <c r="C581" s="55" t="s">
        <v>1778</v>
      </c>
      <c r="D581" s="55" t="s">
        <v>434</v>
      </c>
      <c r="E581" s="55" t="s">
        <v>469</v>
      </c>
      <c r="F581" s="55" t="s">
        <v>434</v>
      </c>
      <c r="G581" s="55" t="s">
        <v>470</v>
      </c>
      <c r="H581" s="55" t="s">
        <v>471</v>
      </c>
      <c r="I581" s="56"/>
      <c r="J581" s="56"/>
      <c r="K581" s="56"/>
      <c r="L581" s="56"/>
      <c r="M581" s="56"/>
      <c r="N581" s="56"/>
      <c r="O581" s="56"/>
      <c r="P581" s="56">
        <v>1.0</v>
      </c>
      <c r="Q581" s="56" t="s">
        <v>131</v>
      </c>
      <c r="R581" s="58" t="str">
        <f t="shared" si="1"/>
        <v>2025</v>
      </c>
      <c r="S581" s="59" t="str">
        <f>SUM(Hoja1!$I581:$P581)</f>
        <v>1</v>
      </c>
      <c r="T581" s="59" t="str">
        <f>IF(OR(Hoja1!$J581=1,Hoja1!$K581=1,Hoja1!$L581=1,Hoja1!$M581=1,Hoja1!$N581=1,Hoja1!$O581=1,Hoja1!$P581=1),"SI","NO")</f>
        <v>SI</v>
      </c>
      <c r="U581" s="59" t="str">
        <f>IF(OR(Hoja1!$K581=1,Hoja1!$L581=1,Hoja1!$M581=1,Hoja1!$N581=1,Hoja1!$O581=1,Hoja1!$P581=1),"SI","NO")</f>
        <v>SI</v>
      </c>
      <c r="V581" s="60">
        <v>0.0</v>
      </c>
      <c r="W581" s="61">
        <v>0.0</v>
      </c>
      <c r="X581" s="61">
        <v>0.0</v>
      </c>
      <c r="Y581" s="60">
        <v>0.0</v>
      </c>
      <c r="Z581" s="61">
        <v>0.0</v>
      </c>
      <c r="AA581" s="61">
        <v>0.0</v>
      </c>
      <c r="AB581" s="60">
        <v>0.0</v>
      </c>
      <c r="AC581" s="61">
        <v>0.0</v>
      </c>
      <c r="AD581" s="61">
        <v>0.0</v>
      </c>
      <c r="AE581" s="60">
        <v>0.0</v>
      </c>
      <c r="AF581" s="61">
        <v>0.0</v>
      </c>
      <c r="AG581" s="61">
        <v>0.0</v>
      </c>
      <c r="AH581" s="60">
        <v>0.0</v>
      </c>
      <c r="AI581" s="61">
        <v>0.0</v>
      </c>
      <c r="AJ581" s="61">
        <v>0.0</v>
      </c>
      <c r="AK581" s="60">
        <v>0.0</v>
      </c>
      <c r="AL581" s="61">
        <v>0.0</v>
      </c>
      <c r="AM581" s="61">
        <v>0.0</v>
      </c>
      <c r="AN581" s="60">
        <v>0.0</v>
      </c>
      <c r="AO581" s="62">
        <v>18.0</v>
      </c>
      <c r="AP581" s="62">
        <v>12.0</v>
      </c>
      <c r="AQ581" s="60">
        <v>30.0</v>
      </c>
      <c r="AR581" s="60" t="str">
        <f>IF(Hoja1!$AQ581&gt;0,Hoja1!$AQ581,IF(Hoja1!$AN581&gt;0,Hoja1!$AN581,IF(Hoja1!$AK581&gt;0,Hoja1!$AK581,IF(Hoja1!$AH581&gt;0,Hoja1!$AH581,IF(Hoja1!$AE581&gt;0,Hoja1!$AE581,IF(Hoja1!$AB581&gt;0,Hoja1!$AB581,IF(Hoja1!$Y581&gt;0,Hoja1!$Y581,IF(Hoja1!$V581&gt;0,Hoja1!$V581," ---"))))))))</f>
        <v>30</v>
      </c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>
        <v>10.0</v>
      </c>
      <c r="BD581" s="63">
        <v>3.0</v>
      </c>
      <c r="BE581" s="64"/>
      <c r="BF581" s="69"/>
      <c r="BG581" s="69"/>
      <c r="BH581" s="64"/>
      <c r="BI581" s="67" t="str">
        <f t="shared" ref="BI581:BI582" si="226">IF('[1]DATA CONSOLIDADA 2018-2025 '!$BH572&gt;'[1]DATA CONSOLIDADA 2018-2025 '!$AN572,"Incremento",IF('[1]DATA CONSOLIDADA 2018-2025 '!$AN572='[1]DATA CONSOLIDADA 2018-2025 '!$BH572,"Sin incremento",IF('[1]DATA CONSOLIDADA 2018-2025 '!$BH572&lt;'[1]DATA CONSOLIDADA 2018-2025 '!$AN572,"Disminución"," ---")))</f>
        <v>#REF!</v>
      </c>
      <c r="BJ581" s="68" t="str">
        <f t="shared" ref="BJ581:BJ582" si="227">'[1]DATA CONSOLIDADA 2018-2025 '!$BH572-'[1]DATA CONSOLIDADA 2018-2025 '!$BE572</f>
        <v>#REF!</v>
      </c>
      <c r="BK581" s="69"/>
      <c r="BL581" s="69"/>
      <c r="BM581" s="64"/>
      <c r="BN581" s="67" t="str">
        <f t="shared" ref="BN581:BN582" si="228">IF('[1]DATA CONSOLIDADA 2018-2025 '!$BM572&gt;'[1]DATA CONSOLIDADA 2018-2025 '!$BH572,"Incremento",IF('[1]DATA CONSOLIDADA 2018-2025 '!$BH572='[1]DATA CONSOLIDADA 2018-2025 '!$BM572,"Sin incremento",IF('[1]DATA CONSOLIDADA 2018-2025 '!$BM572&lt;'[1]DATA CONSOLIDADA 2018-2025 '!$BH572,"Disminución"," ---")))</f>
        <v>#REF!</v>
      </c>
      <c r="BO581" s="68" t="str">
        <f t="shared" ref="BO581:BO582" si="229">'[1]DATA CONSOLIDADA 2018-2025 '!$BM572-'[1]DATA CONSOLIDADA 2018-2025 '!$BH572</f>
        <v>#REF!</v>
      </c>
      <c r="BP581" s="65"/>
      <c r="BQ581" s="65"/>
      <c r="BR581" s="66"/>
      <c r="BS581" s="67" t="str">
        <f t="shared" ref="BS581:BS582" si="230">IF('[1]DATA CONSOLIDADA 2018-2025 '!$BR572&gt;'[1]DATA CONSOLIDADA 2018-2025 '!$BM572,"Incremento",IF('[1]DATA CONSOLIDADA 2018-2025 '!$BM572='[1]DATA CONSOLIDADA 2018-2025 '!$BR572,"Sin incremento",IF('[1]DATA CONSOLIDADA 2018-2025 '!$BR572&lt;'[1]DATA CONSOLIDADA 2018-2025 '!$BM572,"Disminución"," ---")))</f>
        <v>#REF!</v>
      </c>
      <c r="BT581" s="68" t="str">
        <f>'[1]DATA CONSOLIDADA 2018-2025 '!$BR581-Hoja1!$BO581</f>
        <v>#REF!</v>
      </c>
      <c r="BU581" s="69"/>
      <c r="BV581" s="65"/>
      <c r="BW581" s="66"/>
      <c r="BX581" s="67" t="str">
        <f t="shared" ref="BX581:BX582" si="231">IF('[1]DATA CONSOLIDADA 2018-2025 '!$BW572&gt;'[1]DATA CONSOLIDADA 2018-2025 '!$BR572,"Incremento",IF('[1]DATA CONSOLIDADA 2018-2025 '!$BR572='[1]DATA CONSOLIDADA 2018-2025 '!$BW572,"Sin incremento",IF('[1]DATA CONSOLIDADA 2018-2025 '!$BW572&lt;'[1]DATA CONSOLIDADA 2018-2025 '!$BR572,"Disminución"," ---")))</f>
        <v>#REF!</v>
      </c>
      <c r="BY581" s="68" t="str">
        <f t="shared" ref="BY581:BY582" si="232">'[1]DATA CONSOLIDADA 2018-2025 '!$BW572-'[1]DATA CONSOLIDADA 2018-2025 '!$BR572</f>
        <v>#REF!</v>
      </c>
      <c r="BZ581" s="65"/>
      <c r="CA581" s="65"/>
      <c r="CB581" s="66"/>
      <c r="CC581" s="67" t="str">
        <f t="shared" ref="CC581:CC582" si="233">IF('[1]DATA CONSOLIDADA 2018-2025 '!$CB572&gt;'[1]DATA CONSOLIDADA 2018-2025 '!$BW572,"Incremento",IF('[1]DATA CONSOLIDADA 2018-2025 '!$BW572='[1]DATA CONSOLIDADA 2018-2025 '!$CB572,"Sin incremento",IF('[1]DATA CONSOLIDADA 2018-2025 '!$CB572&lt;'[1]DATA CONSOLIDADA 2018-2025 '!$BW572,"Disminución"," ---")))</f>
        <v>#REF!</v>
      </c>
      <c r="CD581" s="68" t="str">
        <f>'[1]DATA CONSOLIDADA 2018-2025 '!$CB581-Hoja1!$BW581</f>
        <v>#REF!</v>
      </c>
      <c r="CE581" s="70"/>
      <c r="CF581" s="70"/>
      <c r="CG581" s="71"/>
      <c r="CH581" s="67" t="str">
        <f t="shared" ref="CH581:CH582" si="234">IF('[1]DATA CONSOLIDADA 2018-2025 '!$CG572&gt;'[1]DATA CONSOLIDADA 2018-2025 '!$CB572,"Incremento",IF('[1]DATA CONSOLIDADA 2018-2025 '!$CB572='[1]DATA CONSOLIDADA 2018-2025 '!$CG572,"Sin incremento",IF('[1]DATA CONSOLIDADA 2018-2025 '!$CG572&lt;'[1]DATA CONSOLIDADA 2018-2025 '!$CB572,"Disminución"," ---")))</f>
        <v>#REF!</v>
      </c>
      <c r="CI581" s="68" t="str">
        <f>'[1]DATA CONSOLIDADA 2018-2025 '!$CG581-Hoja1!$CB581</f>
        <v>#REF!</v>
      </c>
      <c r="CJ581" s="64" t="str">
        <f t="shared" si="216"/>
        <v>#REF!</v>
      </c>
      <c r="CK581" s="64">
        <v>163626.0</v>
      </c>
      <c r="CL581" s="64">
        <v>0.0</v>
      </c>
      <c r="CM581" s="64">
        <v>163626.0</v>
      </c>
      <c r="CN581" s="64" t="str">
        <f t="shared" si="12"/>
        <v>#REF!</v>
      </c>
      <c r="CO581" s="68" t="str">
        <f>'[1]DATA CONSOLIDADA 2018-2025 '!$CM581-Hoja1!$CG581</f>
        <v>#REF!</v>
      </c>
      <c r="CP581" s="70"/>
      <c r="CQ581" s="70"/>
      <c r="CR581" s="70"/>
      <c r="CS581" s="70"/>
      <c r="CT581" s="70"/>
      <c r="CU581" s="70"/>
      <c r="CV581" s="64"/>
      <c r="CW581" s="64"/>
      <c r="CX581" s="64"/>
      <c r="CY581" s="64"/>
      <c r="CZ581" s="64"/>
      <c r="DA581" s="64"/>
      <c r="DB581" s="64"/>
      <c r="DC581" s="72">
        <v>0.0</v>
      </c>
      <c r="DD581" s="72">
        <v>163626.0</v>
      </c>
      <c r="DE581" s="72">
        <v>0.0</v>
      </c>
      <c r="DF581" s="72">
        <v>0.0</v>
      </c>
      <c r="DG581" s="72">
        <v>0.0</v>
      </c>
      <c r="DH581" s="72">
        <v>163626.0</v>
      </c>
      <c r="DI581" s="73">
        <v>2.0605304479E10</v>
      </c>
      <c r="DJ581" s="74" t="s">
        <v>1779</v>
      </c>
      <c r="DK581" s="74" t="s">
        <v>138</v>
      </c>
      <c r="DL581" s="75"/>
      <c r="DM581" s="75"/>
      <c r="DN581" s="75"/>
      <c r="DO581" s="75"/>
      <c r="DP581" s="75"/>
      <c r="DQ581" s="75"/>
      <c r="DR581" s="75"/>
      <c r="DS581" s="75"/>
      <c r="DT581" s="75"/>
      <c r="DU581" s="75"/>
      <c r="DV581" s="75"/>
      <c r="DW581" s="75"/>
      <c r="DX581" s="75"/>
      <c r="DY581" s="75"/>
      <c r="DZ581" s="75"/>
      <c r="EA581" s="75"/>
      <c r="EB581" s="75"/>
      <c r="EC581" s="75"/>
      <c r="ED581" s="75"/>
      <c r="EE581" s="75"/>
    </row>
    <row r="582" ht="47.25" hidden="1" customHeight="1">
      <c r="A582" s="55" t="s">
        <v>1780</v>
      </c>
      <c r="B582" s="55" t="s">
        <v>530</v>
      </c>
      <c r="C582" s="55" t="s">
        <v>530</v>
      </c>
      <c r="D582" s="55" t="s">
        <v>434</v>
      </c>
      <c r="E582" s="55" t="s">
        <v>487</v>
      </c>
      <c r="F582" s="55" t="s">
        <v>434</v>
      </c>
      <c r="G582" s="55" t="s">
        <v>435</v>
      </c>
      <c r="H582" s="55" t="s">
        <v>488</v>
      </c>
      <c r="I582" s="56"/>
      <c r="J582" s="56"/>
      <c r="K582" s="56"/>
      <c r="L582" s="56"/>
      <c r="M582" s="56"/>
      <c r="N582" s="56"/>
      <c r="O582" s="56"/>
      <c r="P582" s="56">
        <v>1.0</v>
      </c>
      <c r="Q582" s="56" t="s">
        <v>131</v>
      </c>
      <c r="R582" s="58" t="str">
        <f t="shared" si="1"/>
        <v>2025</v>
      </c>
      <c r="S582" s="59" t="str">
        <f>SUM(Hoja1!$I582:$P582)</f>
        <v>1</v>
      </c>
      <c r="T582" s="59" t="str">
        <f>IF(OR(Hoja1!$J582=1,Hoja1!$K582=1,Hoja1!$L582=1,Hoja1!$M582=1,Hoja1!$N582=1,Hoja1!$O582=1,Hoja1!$P582=1),"SI","NO")</f>
        <v>SI</v>
      </c>
      <c r="U582" s="59" t="str">
        <f>IF(OR(Hoja1!$K582=1,Hoja1!$L582=1,Hoja1!$M582=1,Hoja1!$N582=1,Hoja1!$O582=1,Hoja1!$P582=1),"SI","NO")</f>
        <v>SI</v>
      </c>
      <c r="V582" s="60">
        <v>0.0</v>
      </c>
      <c r="W582" s="61">
        <v>0.0</v>
      </c>
      <c r="X582" s="61">
        <v>0.0</v>
      </c>
      <c r="Y582" s="60">
        <v>0.0</v>
      </c>
      <c r="Z582" s="61">
        <v>0.0</v>
      </c>
      <c r="AA582" s="61">
        <v>0.0</v>
      </c>
      <c r="AB582" s="60">
        <v>0.0</v>
      </c>
      <c r="AC582" s="61">
        <v>0.0</v>
      </c>
      <c r="AD582" s="61">
        <v>0.0</v>
      </c>
      <c r="AE582" s="60">
        <v>0.0</v>
      </c>
      <c r="AF582" s="61">
        <v>0.0</v>
      </c>
      <c r="AG582" s="61">
        <v>0.0</v>
      </c>
      <c r="AH582" s="60">
        <v>0.0</v>
      </c>
      <c r="AI582" s="61">
        <v>0.0</v>
      </c>
      <c r="AJ582" s="61">
        <v>0.0</v>
      </c>
      <c r="AK582" s="60">
        <v>0.0</v>
      </c>
      <c r="AL582" s="61">
        <v>0.0</v>
      </c>
      <c r="AM582" s="61">
        <v>0.0</v>
      </c>
      <c r="AN582" s="60">
        <v>0.0</v>
      </c>
      <c r="AO582" s="62">
        <v>26.0</v>
      </c>
      <c r="AP582" s="62">
        <v>14.0</v>
      </c>
      <c r="AQ582" s="60">
        <v>40.0</v>
      </c>
      <c r="AR582" s="60" t="str">
        <f>IF(Hoja1!$AQ582&gt;0,Hoja1!$AQ582,IF(Hoja1!$AN582&gt;0,Hoja1!$AN582,IF(Hoja1!$AK582&gt;0,Hoja1!$AK582,IF(Hoja1!$AH582&gt;0,Hoja1!$AH582,IF(Hoja1!$AE582&gt;0,Hoja1!$AE582,IF(Hoja1!$AB582&gt;0,Hoja1!$AB582,IF(Hoja1!$Y582&gt;0,Hoja1!$Y582,IF(Hoja1!$V582&gt;0,Hoja1!$V582," ---"))))))))</f>
        <v>40</v>
      </c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>
        <v>20.0</v>
      </c>
      <c r="BD582" s="63">
        <v>4.0</v>
      </c>
      <c r="BE582" s="64"/>
      <c r="BF582" s="69"/>
      <c r="BG582" s="69"/>
      <c r="BH582" s="64"/>
      <c r="BI582" s="67" t="str">
        <f t="shared" si="226"/>
        <v>#REF!</v>
      </c>
      <c r="BJ582" s="68" t="str">
        <f t="shared" si="227"/>
        <v>#REF!</v>
      </c>
      <c r="BK582" s="69"/>
      <c r="BL582" s="69"/>
      <c r="BM582" s="64"/>
      <c r="BN582" s="67" t="str">
        <f t="shared" si="228"/>
        <v>#REF!</v>
      </c>
      <c r="BO582" s="68" t="str">
        <f t="shared" si="229"/>
        <v>#REF!</v>
      </c>
      <c r="BP582" s="65"/>
      <c r="BQ582" s="65"/>
      <c r="BR582" s="66"/>
      <c r="BS582" s="67" t="str">
        <f t="shared" si="230"/>
        <v>#REF!</v>
      </c>
      <c r="BT582" s="68" t="str">
        <f>'[1]DATA CONSOLIDADA 2018-2025 '!$BR582-Hoja1!$BO582</f>
        <v>#REF!</v>
      </c>
      <c r="BU582" s="69"/>
      <c r="BV582" s="65"/>
      <c r="BW582" s="66"/>
      <c r="BX582" s="67" t="str">
        <f t="shared" si="231"/>
        <v>#REF!</v>
      </c>
      <c r="BY582" s="68" t="str">
        <f t="shared" si="232"/>
        <v>#REF!</v>
      </c>
      <c r="BZ582" s="65"/>
      <c r="CA582" s="65"/>
      <c r="CB582" s="66"/>
      <c r="CC582" s="67" t="str">
        <f t="shared" si="233"/>
        <v>#REF!</v>
      </c>
      <c r="CD582" s="68" t="str">
        <f>'[1]DATA CONSOLIDADA 2018-2025 '!$CB582-Hoja1!$BW582</f>
        <v>#REF!</v>
      </c>
      <c r="CE582" s="70"/>
      <c r="CF582" s="70"/>
      <c r="CG582" s="71"/>
      <c r="CH582" s="67" t="str">
        <f t="shared" si="234"/>
        <v>#REF!</v>
      </c>
      <c r="CI582" s="68" t="str">
        <f>'[1]DATA CONSOLIDADA 2018-2025 '!$CG582-Hoja1!$CB582</f>
        <v>#REF!</v>
      </c>
      <c r="CJ582" s="64" t="str">
        <f t="shared" si="216"/>
        <v>#REF!</v>
      </c>
      <c r="CK582" s="64">
        <v>203638.00337999998</v>
      </c>
      <c r="CL582" s="64">
        <v>0.0</v>
      </c>
      <c r="CM582" s="64">
        <v>203638.00337999998</v>
      </c>
      <c r="CN582" s="64" t="str">
        <f t="shared" si="12"/>
        <v>#REF!</v>
      </c>
      <c r="CO582" s="68" t="str">
        <f>'[1]DATA CONSOLIDADA 2018-2025 '!$CM582-Hoja1!$CG582</f>
        <v>#REF!</v>
      </c>
      <c r="CP582" s="70"/>
      <c r="CQ582" s="70"/>
      <c r="CR582" s="70"/>
      <c r="CS582" s="70"/>
      <c r="CT582" s="70"/>
      <c r="CU582" s="70"/>
      <c r="CV582" s="64"/>
      <c r="CW582" s="64"/>
      <c r="CX582" s="64"/>
      <c r="CY582" s="64"/>
      <c r="CZ582" s="64"/>
      <c r="DA582" s="64"/>
      <c r="DB582" s="64"/>
      <c r="DC582" s="72">
        <v>0.0</v>
      </c>
      <c r="DD582" s="72">
        <v>203638.00337999998</v>
      </c>
      <c r="DE582" s="72">
        <v>0.0</v>
      </c>
      <c r="DF582" s="72">
        <v>0.0</v>
      </c>
      <c r="DG582" s="72">
        <v>0.0</v>
      </c>
      <c r="DH582" s="72">
        <v>203638.00337999998</v>
      </c>
      <c r="DI582" s="73">
        <v>2.0605210733E10</v>
      </c>
      <c r="DJ582" s="74" t="s">
        <v>1780</v>
      </c>
      <c r="DK582" s="74" t="s">
        <v>138</v>
      </c>
      <c r="DL582" s="75"/>
      <c r="DM582" s="75"/>
      <c r="DN582" s="75"/>
      <c r="DO582" s="75"/>
      <c r="DP582" s="75"/>
      <c r="DQ582" s="75"/>
      <c r="DR582" s="75"/>
      <c r="DS582" s="75"/>
      <c r="DT582" s="75"/>
      <c r="DU582" s="75"/>
      <c r="DV582" s="75"/>
      <c r="DW582" s="75"/>
      <c r="DX582" s="75"/>
      <c r="DY582" s="75"/>
      <c r="DZ582" s="75"/>
      <c r="EA582" s="75"/>
      <c r="EB582" s="75"/>
      <c r="EC582" s="75"/>
      <c r="ED582" s="75"/>
      <c r="EE582" s="75"/>
    </row>
    <row r="583" ht="47.25" hidden="1" customHeight="1">
      <c r="A583" s="55" t="s">
        <v>1781</v>
      </c>
      <c r="B583" s="55" t="s">
        <v>256</v>
      </c>
      <c r="C583" s="55" t="s">
        <v>272</v>
      </c>
      <c r="D583" s="55" t="s">
        <v>563</v>
      </c>
      <c r="E583" s="55" t="s">
        <v>1782</v>
      </c>
      <c r="F583" s="55" t="s">
        <v>563</v>
      </c>
      <c r="G583" s="55" t="s">
        <v>585</v>
      </c>
      <c r="H583" s="55" t="s">
        <v>1783</v>
      </c>
      <c r="I583" s="56"/>
      <c r="J583" s="56"/>
      <c r="K583" s="56"/>
      <c r="L583" s="56"/>
      <c r="M583" s="56"/>
      <c r="N583" s="56"/>
      <c r="O583" s="56"/>
      <c r="P583" s="56">
        <v>1.0</v>
      </c>
      <c r="Q583" s="56" t="s">
        <v>131</v>
      </c>
      <c r="R583" s="58" t="str">
        <f t="shared" si="1"/>
        <v>2025</v>
      </c>
      <c r="S583" s="59" t="str">
        <f>SUM(Hoja1!$I583:$P583)</f>
        <v>1</v>
      </c>
      <c r="T583" s="59" t="str">
        <f>IF(OR(Hoja1!$J583=1,Hoja1!$K583=1,Hoja1!$L583=1,Hoja1!$M583=1,Hoja1!$N583=1,Hoja1!$O583=1,Hoja1!$P583=1),"SI","NO")</f>
        <v>SI</v>
      </c>
      <c r="U583" s="59" t="str">
        <f>IF(OR(Hoja1!$K583=1,Hoja1!$L583=1,Hoja1!$M583=1,Hoja1!$N583=1,Hoja1!$O583=1,Hoja1!$P583=1),"SI","NO")</f>
        <v>SI</v>
      </c>
      <c r="V583" s="60">
        <v>0.0</v>
      </c>
      <c r="W583" s="61">
        <v>0.0</v>
      </c>
      <c r="X583" s="61">
        <v>0.0</v>
      </c>
      <c r="Y583" s="60">
        <v>0.0</v>
      </c>
      <c r="Z583" s="61">
        <v>0.0</v>
      </c>
      <c r="AA583" s="61">
        <v>0.0</v>
      </c>
      <c r="AB583" s="60">
        <v>0.0</v>
      </c>
      <c r="AC583" s="61">
        <v>0.0</v>
      </c>
      <c r="AD583" s="61">
        <v>0.0</v>
      </c>
      <c r="AE583" s="60">
        <v>0.0</v>
      </c>
      <c r="AF583" s="61">
        <v>0.0</v>
      </c>
      <c r="AG583" s="61">
        <v>0.0</v>
      </c>
      <c r="AH583" s="60">
        <v>0.0</v>
      </c>
      <c r="AI583" s="61">
        <v>0.0</v>
      </c>
      <c r="AJ583" s="61">
        <v>0.0</v>
      </c>
      <c r="AK583" s="60">
        <v>0.0</v>
      </c>
      <c r="AL583" s="61">
        <v>0.0</v>
      </c>
      <c r="AM583" s="61">
        <v>0.0</v>
      </c>
      <c r="AN583" s="60">
        <v>0.0</v>
      </c>
      <c r="AO583" s="62">
        <v>7.0</v>
      </c>
      <c r="AP583" s="62">
        <v>8.0</v>
      </c>
      <c r="AQ583" s="60">
        <v>15.0</v>
      </c>
      <c r="AR583" s="60" t="str">
        <f>IF(Hoja1!$AQ583&gt;0,Hoja1!$AQ583,IF(Hoja1!$AN583&gt;0,Hoja1!$AN583,IF(Hoja1!$AK583&gt;0,Hoja1!$AK583,IF(Hoja1!$AH583&gt;0,Hoja1!$AH583,IF(Hoja1!$AE583&gt;0,Hoja1!$AE583,IF(Hoja1!$AB583&gt;0,Hoja1!$AB583,IF(Hoja1!$Y583&gt;0,Hoja1!$Y583,IF(Hoja1!$V583&gt;0,Hoja1!$V583," ---"))))))))</f>
        <v>15</v>
      </c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>
        <v>35.0</v>
      </c>
      <c r="BD583" s="63">
        <v>5.0</v>
      </c>
      <c r="BE583" s="64"/>
      <c r="BF583" s="69"/>
      <c r="BG583" s="69"/>
      <c r="BH583" s="64"/>
      <c r="BI583" s="67" t="str">
        <f>IF('[1]DATA CONSOLIDADA 2018-2025 '!$BH597&gt;'[1]DATA CONSOLIDADA 2018-2025 '!$AN597,"Incremento",IF('[1]DATA CONSOLIDADA 2018-2025 '!$AN597='[1]DATA CONSOLIDADA 2018-2025 '!$BH597,"Sin incremento",IF('[1]DATA CONSOLIDADA 2018-2025 '!$BH597&lt;'[1]DATA CONSOLIDADA 2018-2025 '!$AN597,"Disminución"," ---")))</f>
        <v>#REF!</v>
      </c>
      <c r="BJ583" s="68" t="str">
        <f>'[1]DATA CONSOLIDADA 2018-2025 '!$BH597-'[1]DATA CONSOLIDADA 2018-2025 '!$BE597</f>
        <v>#REF!</v>
      </c>
      <c r="BK583" s="69"/>
      <c r="BL583" s="69"/>
      <c r="BM583" s="64"/>
      <c r="BN583" s="67" t="str">
        <f>IF('[1]DATA CONSOLIDADA 2018-2025 '!$BM597&gt;'[1]DATA CONSOLIDADA 2018-2025 '!$BH597,"Incremento",IF('[1]DATA CONSOLIDADA 2018-2025 '!$BH597='[1]DATA CONSOLIDADA 2018-2025 '!$BM597,"Sin incremento",IF('[1]DATA CONSOLIDADA 2018-2025 '!$BM597&lt;'[1]DATA CONSOLIDADA 2018-2025 '!$BH597,"Disminución"," ---")))</f>
        <v>#REF!</v>
      </c>
      <c r="BO583" s="68" t="str">
        <f>'[1]DATA CONSOLIDADA 2018-2025 '!$BM597-'[1]DATA CONSOLIDADA 2018-2025 '!$BH597</f>
        <v>#REF!</v>
      </c>
      <c r="BP583" s="65"/>
      <c r="BQ583" s="65"/>
      <c r="BR583" s="66"/>
      <c r="BS583" s="67" t="str">
        <f>IF('[1]DATA CONSOLIDADA 2018-2025 '!$BR597&gt;'[1]DATA CONSOLIDADA 2018-2025 '!$BM597,"Incremento",IF('[1]DATA CONSOLIDADA 2018-2025 '!$BM597='[1]DATA CONSOLIDADA 2018-2025 '!$BR597,"Sin incremento",IF('[1]DATA CONSOLIDADA 2018-2025 '!$BR597&lt;'[1]DATA CONSOLIDADA 2018-2025 '!$BM597,"Disminución"," ---")))</f>
        <v>#REF!</v>
      </c>
      <c r="BT583" s="68" t="str">
        <f>'[1]DATA CONSOLIDADA 2018-2025 '!$BR583-Hoja1!$BO583</f>
        <v>#REF!</v>
      </c>
      <c r="BU583" s="69"/>
      <c r="BV583" s="65"/>
      <c r="BW583" s="66"/>
      <c r="BX583" s="67" t="str">
        <f>IF('[1]DATA CONSOLIDADA 2018-2025 '!$BW597&gt;'[1]DATA CONSOLIDADA 2018-2025 '!$BR597,"Incremento",IF('[1]DATA CONSOLIDADA 2018-2025 '!$BR597='[1]DATA CONSOLIDADA 2018-2025 '!$BW597,"Sin incremento",IF('[1]DATA CONSOLIDADA 2018-2025 '!$BW597&lt;'[1]DATA CONSOLIDADA 2018-2025 '!$BR597,"Disminución"," ---")))</f>
        <v>#REF!</v>
      </c>
      <c r="BY583" s="68" t="str">
        <f>'[1]DATA CONSOLIDADA 2018-2025 '!$BW597-'[1]DATA CONSOLIDADA 2018-2025 '!$BR597</f>
        <v>#REF!</v>
      </c>
      <c r="BZ583" s="65"/>
      <c r="CA583" s="65"/>
      <c r="CB583" s="66"/>
      <c r="CC583" s="67" t="str">
        <f>IF('[1]DATA CONSOLIDADA 2018-2025 '!$CB597&gt;'[1]DATA CONSOLIDADA 2018-2025 '!$BW597,"Incremento",IF('[1]DATA CONSOLIDADA 2018-2025 '!$BW597='[1]DATA CONSOLIDADA 2018-2025 '!$CB597,"Sin incremento",IF('[1]DATA CONSOLIDADA 2018-2025 '!$CB597&lt;'[1]DATA CONSOLIDADA 2018-2025 '!$BW597,"Disminución"," ---")))</f>
        <v>#REF!</v>
      </c>
      <c r="CD583" s="68" t="str">
        <f>'[1]DATA CONSOLIDADA 2018-2025 '!$CB583-Hoja1!$BW583</f>
        <v>#REF!</v>
      </c>
      <c r="CE583" s="70"/>
      <c r="CF583" s="70"/>
      <c r="CG583" s="71"/>
      <c r="CH583" s="67" t="str">
        <f>IF('[1]DATA CONSOLIDADA 2018-2025 '!$CG597&gt;'[1]DATA CONSOLIDADA 2018-2025 '!$CB597,"Incremento",IF('[1]DATA CONSOLIDADA 2018-2025 '!$CB597='[1]DATA CONSOLIDADA 2018-2025 '!$CG597,"Sin incremento",IF('[1]DATA CONSOLIDADA 2018-2025 '!$CG597&lt;'[1]DATA CONSOLIDADA 2018-2025 '!$CB597,"Disminución"," ---")))</f>
        <v>#REF!</v>
      </c>
      <c r="CI583" s="68" t="str">
        <f>'[1]DATA CONSOLIDADA 2018-2025 '!$CG583-Hoja1!$CB583</f>
        <v>#REF!</v>
      </c>
      <c r="CJ583" s="64" t="str">
        <f t="shared" si="216"/>
        <v>#REF!</v>
      </c>
      <c r="CK583" s="64">
        <v>11250.0</v>
      </c>
      <c r="CL583" s="64">
        <v>0.0</v>
      </c>
      <c r="CM583" s="64">
        <v>11250.0</v>
      </c>
      <c r="CN583" s="64" t="str">
        <f t="shared" si="12"/>
        <v>#REF!</v>
      </c>
      <c r="CO583" s="68" t="str">
        <f>'[1]DATA CONSOLIDADA 2018-2025 '!$CM583-Hoja1!$CG583</f>
        <v>#REF!</v>
      </c>
      <c r="CP583" s="70"/>
      <c r="CQ583" s="70"/>
      <c r="CR583" s="70"/>
      <c r="CS583" s="70"/>
      <c r="CT583" s="70"/>
      <c r="CU583" s="70"/>
      <c r="CV583" s="64"/>
      <c r="CW583" s="64"/>
      <c r="CX583" s="64"/>
      <c r="CY583" s="64"/>
      <c r="CZ583" s="64"/>
      <c r="DA583" s="64"/>
      <c r="DB583" s="64"/>
      <c r="DC583" s="72">
        <v>0.0</v>
      </c>
      <c r="DD583" s="72">
        <v>0.0</v>
      </c>
      <c r="DE583" s="72">
        <v>11250.0</v>
      </c>
      <c r="DF583" s="72">
        <v>0.0</v>
      </c>
      <c r="DG583" s="72">
        <v>0.0</v>
      </c>
      <c r="DH583" s="72">
        <v>11250.0</v>
      </c>
      <c r="DI583" s="73">
        <v>2.0608571648E10</v>
      </c>
      <c r="DJ583" s="74" t="s">
        <v>1784</v>
      </c>
      <c r="DK583" s="74" t="s">
        <v>138</v>
      </c>
      <c r="DL583" s="75"/>
      <c r="DM583" s="75"/>
      <c r="DN583" s="75"/>
      <c r="DO583" s="75"/>
      <c r="DP583" s="75"/>
      <c r="DQ583" s="75"/>
      <c r="DR583" s="75"/>
      <c r="DS583" s="75"/>
      <c r="DT583" s="75"/>
      <c r="DU583" s="75"/>
      <c r="DV583" s="75"/>
      <c r="DW583" s="75"/>
      <c r="DX583" s="75"/>
      <c r="DY583" s="75"/>
      <c r="DZ583" s="75"/>
      <c r="EA583" s="75"/>
      <c r="EB583" s="75"/>
      <c r="EC583" s="75"/>
      <c r="ED583" s="75"/>
      <c r="EE583" s="75"/>
    </row>
    <row r="584" ht="47.25" customHeight="1">
      <c r="A584" s="55" t="s">
        <v>1785</v>
      </c>
      <c r="B584" s="55" t="s">
        <v>146</v>
      </c>
      <c r="C584" s="55" t="s">
        <v>146</v>
      </c>
      <c r="D584" s="55" t="s">
        <v>593</v>
      </c>
      <c r="E584" s="55" t="s">
        <v>1786</v>
      </c>
      <c r="F584" s="55" t="s">
        <v>1060</v>
      </c>
      <c r="G584" s="55" t="s">
        <v>1062</v>
      </c>
      <c r="H584" s="55" t="s">
        <v>1062</v>
      </c>
      <c r="I584" s="56"/>
      <c r="J584" s="56"/>
      <c r="K584" s="56"/>
      <c r="L584" s="56">
        <v>1.0</v>
      </c>
      <c r="M584" s="56">
        <v>1.0</v>
      </c>
      <c r="N584" s="56">
        <v>1.0</v>
      </c>
      <c r="O584" s="56"/>
      <c r="P584" s="56"/>
      <c r="Q584" s="56" t="s">
        <v>131</v>
      </c>
      <c r="R584" s="58" t="str">
        <f t="shared" si="1"/>
        <v>2021-2022-2023</v>
      </c>
      <c r="S584" s="59" t="str">
        <f>SUM(Hoja1!$I584:$P584)</f>
        <v>3</v>
      </c>
      <c r="T584" s="59" t="str">
        <f>IF(OR(Hoja1!$J584=1,Hoja1!$K584=1,Hoja1!$L584=1,Hoja1!$M584=1,Hoja1!$N584=1,Hoja1!$O584=1,Hoja1!$P584=1),"SI","NO")</f>
        <v>SI</v>
      </c>
      <c r="U584" s="59" t="str">
        <f>IF(OR(Hoja1!$K584=1,Hoja1!$L584=1,Hoja1!$M584=1,Hoja1!$N584=1,Hoja1!$O584=1,Hoja1!$P584=1),"SI","NO")</f>
        <v>SI</v>
      </c>
      <c r="V584" s="60">
        <v>0.0</v>
      </c>
      <c r="W584" s="61">
        <v>0.0</v>
      </c>
      <c r="X584" s="61">
        <v>0.0</v>
      </c>
      <c r="Y584" s="60">
        <v>0.0</v>
      </c>
      <c r="Z584" s="61">
        <v>0.0</v>
      </c>
      <c r="AA584" s="61">
        <v>0.0</v>
      </c>
      <c r="AB584" s="60">
        <v>0.0</v>
      </c>
      <c r="AC584" s="61">
        <v>289.0</v>
      </c>
      <c r="AD584" s="61">
        <v>87.0</v>
      </c>
      <c r="AE584" s="60">
        <v>376.0</v>
      </c>
      <c r="AF584" s="61">
        <v>289.0</v>
      </c>
      <c r="AG584" s="61">
        <v>87.0</v>
      </c>
      <c r="AH584" s="60">
        <v>376.0</v>
      </c>
      <c r="AI584" s="61">
        <v>289.0</v>
      </c>
      <c r="AJ584" s="61">
        <v>87.0</v>
      </c>
      <c r="AK584" s="60">
        <v>376.0</v>
      </c>
      <c r="AL584" s="61">
        <v>0.0</v>
      </c>
      <c r="AM584" s="61">
        <v>0.0</v>
      </c>
      <c r="AN584" s="60">
        <v>0.0</v>
      </c>
      <c r="AO584" s="62">
        <v>0.0</v>
      </c>
      <c r="AP584" s="62">
        <v>0.0</v>
      </c>
      <c r="AQ584" s="60">
        <v>0.0</v>
      </c>
      <c r="AR584" s="60" t="str">
        <f>IF(Hoja1!$AQ584&gt;0,Hoja1!$AQ584,IF(Hoja1!$AN584&gt;0,Hoja1!$AN584,IF(Hoja1!$AK584&gt;0,Hoja1!$AK584,IF(Hoja1!$AH584&gt;0,Hoja1!$AH584,IF(Hoja1!$AE584&gt;0,Hoja1!$AE584,IF(Hoja1!$AB584&gt;0,Hoja1!$AB584,IF(Hoja1!$Y584&gt;0,Hoja1!$Y584,IF(Hoja1!$V584&gt;0,Hoja1!$V584," ---"))))))))</f>
        <v>376</v>
      </c>
      <c r="AS584" s="63">
        <v>0.0</v>
      </c>
      <c r="AT584" s="63">
        <v>0.0</v>
      </c>
      <c r="AU584" s="63">
        <v>27.0</v>
      </c>
      <c r="AV584" s="63">
        <v>2.0</v>
      </c>
      <c r="AW584" s="63">
        <v>56.0</v>
      </c>
      <c r="AX584" s="63">
        <v>0.0</v>
      </c>
      <c r="AY584" s="63">
        <v>54.0</v>
      </c>
      <c r="AZ584" s="63">
        <v>2.0</v>
      </c>
      <c r="BA584" s="63">
        <v>0.0</v>
      </c>
      <c r="BB584" s="63">
        <v>0.0</v>
      </c>
      <c r="BC584" s="63">
        <v>0.0</v>
      </c>
      <c r="BD584" s="63">
        <v>0.0</v>
      </c>
      <c r="BE584" s="64">
        <v>0.0</v>
      </c>
      <c r="BF584" s="69">
        <v>0.0</v>
      </c>
      <c r="BG584" s="69">
        <v>0.0</v>
      </c>
      <c r="BH584" s="64">
        <v>0.0</v>
      </c>
      <c r="BI584" s="67" t="str">
        <f>IF('[1]DATA CONSOLIDADA 2018-2025 '!$BH302&gt;'[1]DATA CONSOLIDADA 2018-2025 '!$AN302,"Incremento",IF('[1]DATA CONSOLIDADA 2018-2025 '!$AN302='[1]DATA CONSOLIDADA 2018-2025 '!$BH302,"Sin incremento",IF('[1]DATA CONSOLIDADA 2018-2025 '!$BH302&lt;'[1]DATA CONSOLIDADA 2018-2025 '!$AN302,"Disminución"," ---")))</f>
        <v>#REF!</v>
      </c>
      <c r="BJ584" s="68" t="str">
        <f>'[1]DATA CONSOLIDADA 2018-2025 '!$BH302-'[1]DATA CONSOLIDADA 2018-2025 '!$BE302</f>
        <v>#REF!</v>
      </c>
      <c r="BK584" s="69">
        <v>0.0</v>
      </c>
      <c r="BL584" s="69">
        <v>0.0</v>
      </c>
      <c r="BM584" s="66">
        <v>0.0</v>
      </c>
      <c r="BN584" s="67" t="str">
        <f>IF('[1]DATA CONSOLIDADA 2018-2025 '!$BM302&gt;'[1]DATA CONSOLIDADA 2018-2025 '!$BH302,"Incremento",IF('[1]DATA CONSOLIDADA 2018-2025 '!$BH302='[1]DATA CONSOLIDADA 2018-2025 '!$BM302,"Sin incremento",IF('[1]DATA CONSOLIDADA 2018-2025 '!$BM302&lt;'[1]DATA CONSOLIDADA 2018-2025 '!$BH302,"Disminución"," ---")))</f>
        <v>#REF!</v>
      </c>
      <c r="BO584" s="68" t="str">
        <f>'[1]DATA CONSOLIDADA 2018-2025 '!$BM302-'[1]DATA CONSOLIDADA 2018-2025 '!$BH302</f>
        <v>#REF!</v>
      </c>
      <c r="BP584" s="65">
        <v>4566700.38</v>
      </c>
      <c r="BQ584" s="65">
        <v>0.0</v>
      </c>
      <c r="BR584" s="66">
        <v>4566700.38</v>
      </c>
      <c r="BS584" s="67" t="str">
        <f>IF('[1]DATA CONSOLIDADA 2018-2025 '!$BR302&gt;'[1]DATA CONSOLIDADA 2018-2025 '!$BM302,"Incremento",IF('[1]DATA CONSOLIDADA 2018-2025 '!$BM302='[1]DATA CONSOLIDADA 2018-2025 '!$BR302,"Sin incremento",IF('[1]DATA CONSOLIDADA 2018-2025 '!$BR302&lt;'[1]DATA CONSOLIDADA 2018-2025 '!$BM302,"Disminución"," ---")))</f>
        <v>#REF!</v>
      </c>
      <c r="BT584" s="68" t="str">
        <f>'[1]DATA CONSOLIDADA 2018-2025 '!$BR584-Hoja1!$BO584</f>
        <v>#REF!</v>
      </c>
      <c r="BU584" s="65">
        <v>3275617.93</v>
      </c>
      <c r="BV584" s="65">
        <v>0.0</v>
      </c>
      <c r="BW584" s="66">
        <v>3275617.93</v>
      </c>
      <c r="BX584" s="67" t="str">
        <f>IF('[1]DATA CONSOLIDADA 2018-2025 '!$BW302&gt;'[1]DATA CONSOLIDADA 2018-2025 '!$BR302,"Incremento",IF('[1]DATA CONSOLIDADA 2018-2025 '!$BR302='[1]DATA CONSOLIDADA 2018-2025 '!$BW302,"Sin incremento",IF('[1]DATA CONSOLIDADA 2018-2025 '!$BW302&lt;'[1]DATA CONSOLIDADA 2018-2025 '!$BR302,"Disminución"," ---")))</f>
        <v>#REF!</v>
      </c>
      <c r="BY584" s="68" t="str">
        <f>'[1]DATA CONSOLIDADA 2018-2025 '!$BW302-'[1]DATA CONSOLIDADA 2018-2025 '!$BR302</f>
        <v>#REF!</v>
      </c>
      <c r="BZ584" s="65">
        <v>1164789.82</v>
      </c>
      <c r="CA584" s="65">
        <v>330588.37</v>
      </c>
      <c r="CB584" s="66">
        <v>1495378.19</v>
      </c>
      <c r="CC584" s="67" t="str">
        <f>IF('[1]DATA CONSOLIDADA 2018-2025 '!$CB302&gt;'[1]DATA CONSOLIDADA 2018-2025 '!$BW302,"Incremento",IF('[1]DATA CONSOLIDADA 2018-2025 '!$BW302='[1]DATA CONSOLIDADA 2018-2025 '!$CB302,"Sin incremento",IF('[1]DATA CONSOLIDADA 2018-2025 '!$CB302&lt;'[1]DATA CONSOLIDADA 2018-2025 '!$BW302,"Disminución"," ---")))</f>
        <v>#REF!</v>
      </c>
      <c r="CD584" s="68" t="str">
        <f>'[1]DATA CONSOLIDADA 2018-2025 '!$CB584-Hoja1!$BW584</f>
        <v>#REF!</v>
      </c>
      <c r="CE584" s="70">
        <v>0.0</v>
      </c>
      <c r="CF584" s="70">
        <v>0.0</v>
      </c>
      <c r="CG584" s="71">
        <v>0.0</v>
      </c>
      <c r="CH584" s="67" t="str">
        <f>IF('[1]DATA CONSOLIDADA 2018-2025 '!$CG302&gt;'[1]DATA CONSOLIDADA 2018-2025 '!$CB302,"Incremento",IF('[1]DATA CONSOLIDADA 2018-2025 '!$CB302='[1]DATA CONSOLIDADA 2018-2025 '!$CG302,"Sin incremento",IF('[1]DATA CONSOLIDADA 2018-2025 '!$CG302&lt;'[1]DATA CONSOLIDADA 2018-2025 '!$CB302,"Disminución"," ---")))</f>
        <v>#REF!</v>
      </c>
      <c r="CI584" s="68" t="str">
        <f>'[1]DATA CONSOLIDADA 2018-2025 '!$CG584-Hoja1!$CB584</f>
        <v>#REF!</v>
      </c>
      <c r="CJ584" s="64" t="str">
        <f t="shared" si="216"/>
        <v>#REF!</v>
      </c>
      <c r="CK584" s="64">
        <v>0.0</v>
      </c>
      <c r="CL584" s="64">
        <v>0.0</v>
      </c>
      <c r="CM584" s="64">
        <v>0.0</v>
      </c>
      <c r="CN584" s="64" t="str">
        <f t="shared" si="12"/>
        <v>#REF!</v>
      </c>
      <c r="CO584" s="68" t="str">
        <f>'[1]DATA CONSOLIDADA 2018-2025 '!$CM584-Hoja1!$CG584</f>
        <v>#REF!</v>
      </c>
      <c r="CP584" s="70">
        <v>0.0</v>
      </c>
      <c r="CQ584" s="70">
        <v>0.0</v>
      </c>
      <c r="CR584" s="70">
        <v>0.0</v>
      </c>
      <c r="CS584" s="70">
        <v>1495378.1805165801</v>
      </c>
      <c r="CT584" s="70">
        <v>0.0</v>
      </c>
      <c r="CU584" s="70">
        <v>0.0</v>
      </c>
      <c r="CV584" s="64">
        <v>1495378.1805165801</v>
      </c>
      <c r="CW584" s="64">
        <v>0.0</v>
      </c>
      <c r="CX584" s="64">
        <v>0.0</v>
      </c>
      <c r="CY584" s="64">
        <v>0.0</v>
      </c>
      <c r="CZ584" s="64">
        <v>0.0</v>
      </c>
      <c r="DA584" s="64">
        <v>0.0</v>
      </c>
      <c r="DB584" s="64">
        <v>0.0</v>
      </c>
      <c r="DC584" s="72">
        <v>0.0</v>
      </c>
      <c r="DD584" s="72">
        <v>0.0</v>
      </c>
      <c r="DE584" s="72">
        <v>0.0</v>
      </c>
      <c r="DF584" s="72">
        <v>0.0</v>
      </c>
      <c r="DG584" s="72">
        <v>0.0</v>
      </c>
      <c r="DH584" s="72">
        <v>0.0</v>
      </c>
      <c r="DI584" s="73" t="s">
        <v>1787</v>
      </c>
      <c r="DJ584" s="74" t="s">
        <v>1788</v>
      </c>
      <c r="DK584" s="74" t="s">
        <v>132</v>
      </c>
      <c r="DL584" s="75"/>
      <c r="DM584" s="75"/>
      <c r="DN584" s="75"/>
      <c r="DO584" s="75"/>
      <c r="DP584" s="75"/>
      <c r="DQ584" s="75"/>
      <c r="DR584" s="75"/>
      <c r="DS584" s="75"/>
      <c r="DT584" s="75"/>
      <c r="DU584" s="75"/>
      <c r="DV584" s="75"/>
      <c r="DW584" s="75"/>
      <c r="DX584" s="75"/>
      <c r="DY584" s="75"/>
      <c r="DZ584" s="75"/>
      <c r="EA584" s="75"/>
      <c r="EB584" s="75"/>
      <c r="EC584" s="75"/>
      <c r="ED584" s="75"/>
      <c r="EE584" s="75"/>
    </row>
    <row r="585" ht="47.25" hidden="1" customHeight="1">
      <c r="A585" s="55" t="s">
        <v>1789</v>
      </c>
      <c r="B585" s="55" t="s">
        <v>126</v>
      </c>
      <c r="C585" s="55" t="s">
        <v>1588</v>
      </c>
      <c r="D585" s="55" t="s">
        <v>481</v>
      </c>
      <c r="E585" s="55" t="s">
        <v>672</v>
      </c>
      <c r="F585" s="55" t="s">
        <v>481</v>
      </c>
      <c r="G585" s="55" t="s">
        <v>673</v>
      </c>
      <c r="H585" s="55" t="s">
        <v>674</v>
      </c>
      <c r="I585" s="56"/>
      <c r="J585" s="56"/>
      <c r="K585" s="56"/>
      <c r="L585" s="56"/>
      <c r="M585" s="56"/>
      <c r="N585" s="56"/>
      <c r="O585" s="56"/>
      <c r="P585" s="56">
        <v>1.0</v>
      </c>
      <c r="Q585" s="56" t="s">
        <v>131</v>
      </c>
      <c r="R585" s="58" t="str">
        <f t="shared" si="1"/>
        <v>2025</v>
      </c>
      <c r="S585" s="59" t="str">
        <f>SUM(Hoja1!$I585:$P585)</f>
        <v>1</v>
      </c>
      <c r="T585" s="59" t="str">
        <f>IF(OR(Hoja1!$J585=1,Hoja1!$K585=1,Hoja1!$L585=1,Hoja1!$M585=1,Hoja1!$N585=1,Hoja1!$O585=1,Hoja1!$P585=1),"SI","NO")</f>
        <v>SI</v>
      </c>
      <c r="U585" s="59" t="str">
        <f>IF(OR(Hoja1!$K585=1,Hoja1!$L585=1,Hoja1!$M585=1,Hoja1!$N585=1,Hoja1!$O585=1,Hoja1!$P585=1),"SI","NO")</f>
        <v>SI</v>
      </c>
      <c r="V585" s="60">
        <v>0.0</v>
      </c>
      <c r="W585" s="61">
        <v>0.0</v>
      </c>
      <c r="X585" s="61">
        <v>0.0</v>
      </c>
      <c r="Y585" s="60">
        <v>0.0</v>
      </c>
      <c r="Z585" s="61">
        <v>0.0</v>
      </c>
      <c r="AA585" s="61">
        <v>0.0</v>
      </c>
      <c r="AB585" s="60">
        <v>0.0</v>
      </c>
      <c r="AC585" s="61">
        <v>0.0</v>
      </c>
      <c r="AD585" s="61">
        <v>0.0</v>
      </c>
      <c r="AE585" s="60">
        <v>0.0</v>
      </c>
      <c r="AF585" s="61">
        <v>0.0</v>
      </c>
      <c r="AG585" s="61">
        <v>0.0</v>
      </c>
      <c r="AH585" s="60">
        <v>0.0</v>
      </c>
      <c r="AI585" s="61">
        <v>0.0</v>
      </c>
      <c r="AJ585" s="61">
        <v>0.0</v>
      </c>
      <c r="AK585" s="60">
        <v>0.0</v>
      </c>
      <c r="AL585" s="61">
        <v>0.0</v>
      </c>
      <c r="AM585" s="61">
        <v>0.0</v>
      </c>
      <c r="AN585" s="60">
        <v>0.0</v>
      </c>
      <c r="AO585" s="62">
        <v>135.0</v>
      </c>
      <c r="AP585" s="62">
        <v>68.0</v>
      </c>
      <c r="AQ585" s="60">
        <v>203.0</v>
      </c>
      <c r="AR585" s="60" t="str">
        <f>IF(Hoja1!$AQ585&gt;0,Hoja1!$AQ585,IF(Hoja1!$AN585&gt;0,Hoja1!$AN585,IF(Hoja1!$AK585&gt;0,Hoja1!$AK585,IF(Hoja1!$AH585&gt;0,Hoja1!$AH585,IF(Hoja1!$AE585&gt;0,Hoja1!$AE585,IF(Hoja1!$AB585&gt;0,Hoja1!$AB585,IF(Hoja1!$Y585&gt;0,Hoja1!$Y585,IF(Hoja1!$V585&gt;0,Hoja1!$V585," ---"))))))))</f>
        <v>203</v>
      </c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>
        <v>10.0</v>
      </c>
      <c r="BD585" s="63">
        <v>0.0</v>
      </c>
      <c r="BE585" s="64"/>
      <c r="BF585" s="69"/>
      <c r="BG585" s="69"/>
      <c r="BH585" s="64"/>
      <c r="BI585" s="67" t="str">
        <f t="shared" ref="BI585:BI586" si="235">IF('[1]DATA CONSOLIDADA 2018-2025 '!$BH575&gt;'[1]DATA CONSOLIDADA 2018-2025 '!$AN575,"Incremento",IF('[1]DATA CONSOLIDADA 2018-2025 '!$AN575='[1]DATA CONSOLIDADA 2018-2025 '!$BH575,"Sin incremento",IF('[1]DATA CONSOLIDADA 2018-2025 '!$BH575&lt;'[1]DATA CONSOLIDADA 2018-2025 '!$AN575,"Disminución"," ---")))</f>
        <v>#REF!</v>
      </c>
      <c r="BJ585" s="68" t="str">
        <f t="shared" ref="BJ585:BJ586" si="236">'[1]DATA CONSOLIDADA 2018-2025 '!$BH575-'[1]DATA CONSOLIDADA 2018-2025 '!$BE575</f>
        <v>#REF!</v>
      </c>
      <c r="BK585" s="69"/>
      <c r="BL585" s="69"/>
      <c r="BM585" s="64"/>
      <c r="BN585" s="67" t="str">
        <f t="shared" ref="BN585:BN586" si="237">IF('[1]DATA CONSOLIDADA 2018-2025 '!$BM575&gt;'[1]DATA CONSOLIDADA 2018-2025 '!$BH575,"Incremento",IF('[1]DATA CONSOLIDADA 2018-2025 '!$BH575='[1]DATA CONSOLIDADA 2018-2025 '!$BM575,"Sin incremento",IF('[1]DATA CONSOLIDADA 2018-2025 '!$BM575&lt;'[1]DATA CONSOLIDADA 2018-2025 '!$BH575,"Disminución"," ---")))</f>
        <v>#REF!</v>
      </c>
      <c r="BO585" s="68" t="str">
        <f t="shared" ref="BO585:BO586" si="238">'[1]DATA CONSOLIDADA 2018-2025 '!$BM575-'[1]DATA CONSOLIDADA 2018-2025 '!$BH575</f>
        <v>#REF!</v>
      </c>
      <c r="BP585" s="65"/>
      <c r="BQ585" s="65"/>
      <c r="BR585" s="66"/>
      <c r="BS585" s="67" t="str">
        <f t="shared" ref="BS585:BS586" si="239">IF('[1]DATA CONSOLIDADA 2018-2025 '!$BR575&gt;'[1]DATA CONSOLIDADA 2018-2025 '!$BM575,"Incremento",IF('[1]DATA CONSOLIDADA 2018-2025 '!$BM575='[1]DATA CONSOLIDADA 2018-2025 '!$BR575,"Sin incremento",IF('[1]DATA CONSOLIDADA 2018-2025 '!$BR575&lt;'[1]DATA CONSOLIDADA 2018-2025 '!$BM575,"Disminución"," ---")))</f>
        <v>#REF!</v>
      </c>
      <c r="BT585" s="68" t="str">
        <f>'[1]DATA CONSOLIDADA 2018-2025 '!$BR585-Hoja1!$BO585</f>
        <v>#REF!</v>
      </c>
      <c r="BU585" s="69"/>
      <c r="BV585" s="65"/>
      <c r="BW585" s="66"/>
      <c r="BX585" s="67" t="str">
        <f t="shared" ref="BX585:BX586" si="240">IF('[1]DATA CONSOLIDADA 2018-2025 '!$BW575&gt;'[1]DATA CONSOLIDADA 2018-2025 '!$BR575,"Incremento",IF('[1]DATA CONSOLIDADA 2018-2025 '!$BR575='[1]DATA CONSOLIDADA 2018-2025 '!$BW575,"Sin incremento",IF('[1]DATA CONSOLIDADA 2018-2025 '!$BW575&lt;'[1]DATA CONSOLIDADA 2018-2025 '!$BR575,"Disminución"," ---")))</f>
        <v>#REF!</v>
      </c>
      <c r="BY585" s="68" t="str">
        <f t="shared" ref="BY585:BY586" si="241">'[1]DATA CONSOLIDADA 2018-2025 '!$BW575-'[1]DATA CONSOLIDADA 2018-2025 '!$BR575</f>
        <v>#REF!</v>
      </c>
      <c r="BZ585" s="65"/>
      <c r="CA585" s="65"/>
      <c r="CB585" s="66"/>
      <c r="CC585" s="67" t="str">
        <f t="shared" ref="CC585:CC586" si="242">IF('[1]DATA CONSOLIDADA 2018-2025 '!$CB575&gt;'[1]DATA CONSOLIDADA 2018-2025 '!$BW575,"Incremento",IF('[1]DATA CONSOLIDADA 2018-2025 '!$BW575='[1]DATA CONSOLIDADA 2018-2025 '!$CB575,"Sin incremento",IF('[1]DATA CONSOLIDADA 2018-2025 '!$CB575&lt;'[1]DATA CONSOLIDADA 2018-2025 '!$BW575,"Disminución"," ---")))</f>
        <v>#REF!</v>
      </c>
      <c r="CD585" s="68" t="str">
        <f>'[1]DATA CONSOLIDADA 2018-2025 '!$CB585-Hoja1!$BW585</f>
        <v>#REF!</v>
      </c>
      <c r="CE585" s="70"/>
      <c r="CF585" s="70"/>
      <c r="CG585" s="71"/>
      <c r="CH585" s="67" t="str">
        <f t="shared" ref="CH585:CH586" si="243">IF('[1]DATA CONSOLIDADA 2018-2025 '!$CG575&gt;'[1]DATA CONSOLIDADA 2018-2025 '!$CB575,"Incremento",IF('[1]DATA CONSOLIDADA 2018-2025 '!$CB575='[1]DATA CONSOLIDADA 2018-2025 '!$CG575,"Sin incremento",IF('[1]DATA CONSOLIDADA 2018-2025 '!$CG575&lt;'[1]DATA CONSOLIDADA 2018-2025 '!$CB575,"Disminución"," ---")))</f>
        <v>#REF!</v>
      </c>
      <c r="CI585" s="68" t="str">
        <f>'[1]DATA CONSOLIDADA 2018-2025 '!$CG585-Hoja1!$CB585</f>
        <v>#REF!</v>
      </c>
      <c r="CJ585" s="64" t="str">
        <f t="shared" si="216"/>
        <v>#REF!</v>
      </c>
      <c r="CK585" s="64">
        <v>2949954.6724525196</v>
      </c>
      <c r="CL585" s="64">
        <v>0.0</v>
      </c>
      <c r="CM585" s="64">
        <v>2949954.6724525196</v>
      </c>
      <c r="CN585" s="64" t="str">
        <f t="shared" si="12"/>
        <v>#REF!</v>
      </c>
      <c r="CO585" s="68" t="str">
        <f>'[1]DATA CONSOLIDADA 2018-2025 '!$CM585-Hoja1!$CG585</f>
        <v>#REF!</v>
      </c>
      <c r="CP585" s="70"/>
      <c r="CQ585" s="70"/>
      <c r="CR585" s="70"/>
      <c r="CS585" s="70"/>
      <c r="CT585" s="70"/>
      <c r="CU585" s="70"/>
      <c r="CV585" s="64"/>
      <c r="CW585" s="64"/>
      <c r="CX585" s="64"/>
      <c r="CY585" s="64"/>
      <c r="CZ585" s="64"/>
      <c r="DA585" s="64"/>
      <c r="DB585" s="64"/>
      <c r="DC585" s="72">
        <v>0.0</v>
      </c>
      <c r="DD585" s="72">
        <v>1542594.95982769</v>
      </c>
      <c r="DE585" s="72">
        <v>1407359.71262483</v>
      </c>
      <c r="DF585" s="72">
        <v>0.0</v>
      </c>
      <c r="DG585" s="72">
        <v>0.0</v>
      </c>
      <c r="DH585" s="72">
        <v>2949954.6724525196</v>
      </c>
      <c r="DI585" s="73">
        <v>2.0603862369E10</v>
      </c>
      <c r="DJ585" s="74" t="s">
        <v>1790</v>
      </c>
      <c r="DK585" s="74" t="s">
        <v>132</v>
      </c>
      <c r="DL585" s="75"/>
      <c r="DM585" s="75"/>
      <c r="DN585" s="75"/>
      <c r="DO585" s="75"/>
      <c r="DP585" s="75"/>
      <c r="DQ585" s="75"/>
      <c r="DR585" s="75"/>
      <c r="DS585" s="75"/>
      <c r="DT585" s="75"/>
      <c r="DU585" s="75"/>
      <c r="DV585" s="75"/>
      <c r="DW585" s="75"/>
      <c r="DX585" s="75"/>
      <c r="DY585" s="75"/>
      <c r="DZ585" s="75"/>
      <c r="EA585" s="75"/>
      <c r="EB585" s="75"/>
      <c r="EC585" s="75"/>
      <c r="ED585" s="75"/>
      <c r="EE585" s="75"/>
    </row>
    <row r="586" ht="47.25" hidden="1" customHeight="1">
      <c r="A586" s="55" t="s">
        <v>1791</v>
      </c>
      <c r="B586" s="55" t="s">
        <v>530</v>
      </c>
      <c r="C586" s="55" t="s">
        <v>530</v>
      </c>
      <c r="D586" s="55" t="s">
        <v>481</v>
      </c>
      <c r="E586" s="55" t="s">
        <v>672</v>
      </c>
      <c r="F586" s="55" t="s">
        <v>481</v>
      </c>
      <c r="G586" s="55" t="s">
        <v>673</v>
      </c>
      <c r="H586" s="55" t="s">
        <v>674</v>
      </c>
      <c r="I586" s="56"/>
      <c r="J586" s="56"/>
      <c r="K586" s="56"/>
      <c r="L586" s="56"/>
      <c r="M586" s="56"/>
      <c r="N586" s="56"/>
      <c r="O586" s="56"/>
      <c r="P586" s="56">
        <v>1.0</v>
      </c>
      <c r="Q586" s="56" t="s">
        <v>131</v>
      </c>
      <c r="R586" s="58" t="str">
        <f t="shared" si="1"/>
        <v>2025</v>
      </c>
      <c r="S586" s="59" t="str">
        <f>SUM(Hoja1!$I586:$P586)</f>
        <v>1</v>
      </c>
      <c r="T586" s="59" t="str">
        <f>IF(OR(Hoja1!$J586=1,Hoja1!$K586=1,Hoja1!$L586=1,Hoja1!$M586=1,Hoja1!$N586=1,Hoja1!$O586=1,Hoja1!$P586=1),"SI","NO")</f>
        <v>SI</v>
      </c>
      <c r="U586" s="59" t="str">
        <f>IF(OR(Hoja1!$K586=1,Hoja1!$L586=1,Hoja1!$M586=1,Hoja1!$N586=1,Hoja1!$O586=1,Hoja1!$P586=1),"SI","NO")</f>
        <v>SI</v>
      </c>
      <c r="V586" s="60">
        <v>0.0</v>
      </c>
      <c r="W586" s="61">
        <v>0.0</v>
      </c>
      <c r="X586" s="61">
        <v>0.0</v>
      </c>
      <c r="Y586" s="60">
        <v>0.0</v>
      </c>
      <c r="Z586" s="61">
        <v>0.0</v>
      </c>
      <c r="AA586" s="61">
        <v>0.0</v>
      </c>
      <c r="AB586" s="60">
        <v>0.0</v>
      </c>
      <c r="AC586" s="61">
        <v>0.0</v>
      </c>
      <c r="AD586" s="61">
        <v>0.0</v>
      </c>
      <c r="AE586" s="60">
        <v>0.0</v>
      </c>
      <c r="AF586" s="61">
        <v>0.0</v>
      </c>
      <c r="AG586" s="61">
        <v>0.0</v>
      </c>
      <c r="AH586" s="60">
        <v>0.0</v>
      </c>
      <c r="AI586" s="61">
        <v>0.0</v>
      </c>
      <c r="AJ586" s="61">
        <v>0.0</v>
      </c>
      <c r="AK586" s="60">
        <v>0.0</v>
      </c>
      <c r="AL586" s="61">
        <v>0.0</v>
      </c>
      <c r="AM586" s="61">
        <v>0.0</v>
      </c>
      <c r="AN586" s="60">
        <v>0.0</v>
      </c>
      <c r="AO586" s="62">
        <v>18.0</v>
      </c>
      <c r="AP586" s="62">
        <v>7.0</v>
      </c>
      <c r="AQ586" s="60">
        <v>25.0</v>
      </c>
      <c r="AR586" s="60" t="str">
        <f>IF(Hoja1!$AQ586&gt;0,Hoja1!$AQ586,IF(Hoja1!$AN586&gt;0,Hoja1!$AN586,IF(Hoja1!$AK586&gt;0,Hoja1!$AK586,IF(Hoja1!$AH586&gt;0,Hoja1!$AH586,IF(Hoja1!$AE586&gt;0,Hoja1!$AE586,IF(Hoja1!$AB586&gt;0,Hoja1!$AB586,IF(Hoja1!$Y586&gt;0,Hoja1!$Y586,IF(Hoja1!$V586&gt;0,Hoja1!$V586," ---"))))))))</f>
        <v>25</v>
      </c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>
        <v>12.0</v>
      </c>
      <c r="BD586" s="63">
        <v>0.0</v>
      </c>
      <c r="BE586" s="64"/>
      <c r="BF586" s="69"/>
      <c r="BG586" s="69"/>
      <c r="BH586" s="64"/>
      <c r="BI586" s="67" t="str">
        <f t="shared" si="235"/>
        <v>#REF!</v>
      </c>
      <c r="BJ586" s="68" t="str">
        <f t="shared" si="236"/>
        <v>#REF!</v>
      </c>
      <c r="BK586" s="69"/>
      <c r="BL586" s="69"/>
      <c r="BM586" s="64"/>
      <c r="BN586" s="67" t="str">
        <f t="shared" si="237"/>
        <v>#REF!</v>
      </c>
      <c r="BO586" s="68" t="str">
        <f t="shared" si="238"/>
        <v>#REF!</v>
      </c>
      <c r="BP586" s="65"/>
      <c r="BQ586" s="65"/>
      <c r="BR586" s="66"/>
      <c r="BS586" s="67" t="str">
        <f t="shared" si="239"/>
        <v>#REF!</v>
      </c>
      <c r="BT586" s="68" t="str">
        <f>'[1]DATA CONSOLIDADA 2018-2025 '!$BR586-Hoja1!$BO586</f>
        <v>#REF!</v>
      </c>
      <c r="BU586" s="69"/>
      <c r="BV586" s="65"/>
      <c r="BW586" s="66"/>
      <c r="BX586" s="67" t="str">
        <f t="shared" si="240"/>
        <v>#REF!</v>
      </c>
      <c r="BY586" s="68" t="str">
        <f t="shared" si="241"/>
        <v>#REF!</v>
      </c>
      <c r="BZ586" s="65"/>
      <c r="CA586" s="65"/>
      <c r="CB586" s="66"/>
      <c r="CC586" s="67" t="str">
        <f t="shared" si="242"/>
        <v>#REF!</v>
      </c>
      <c r="CD586" s="68" t="str">
        <f>'[1]DATA CONSOLIDADA 2018-2025 '!$CB586-Hoja1!$BW586</f>
        <v>#REF!</v>
      </c>
      <c r="CE586" s="70"/>
      <c r="CF586" s="70"/>
      <c r="CG586" s="71"/>
      <c r="CH586" s="67" t="str">
        <f t="shared" si="243"/>
        <v>#REF!</v>
      </c>
      <c r="CI586" s="68" t="str">
        <f>'[1]DATA CONSOLIDADA 2018-2025 '!$CG586-Hoja1!$CB586</f>
        <v>#REF!</v>
      </c>
      <c r="CJ586" s="64" t="str">
        <f t="shared" si="216"/>
        <v>#REF!</v>
      </c>
      <c r="CK586" s="64">
        <v>3030.0</v>
      </c>
      <c r="CL586" s="64">
        <v>0.0</v>
      </c>
      <c r="CM586" s="64">
        <v>3030.0</v>
      </c>
      <c r="CN586" s="64" t="str">
        <f t="shared" si="12"/>
        <v>#REF!</v>
      </c>
      <c r="CO586" s="68" t="str">
        <f>'[1]DATA CONSOLIDADA 2018-2025 '!$CM586-Hoja1!$CG586</f>
        <v>#REF!</v>
      </c>
      <c r="CP586" s="70"/>
      <c r="CQ586" s="70"/>
      <c r="CR586" s="70"/>
      <c r="CS586" s="70"/>
      <c r="CT586" s="70"/>
      <c r="CU586" s="70"/>
      <c r="CV586" s="64"/>
      <c r="CW586" s="64"/>
      <c r="CX586" s="64"/>
      <c r="CY586" s="64"/>
      <c r="CZ586" s="64"/>
      <c r="DA586" s="64"/>
      <c r="DB586" s="64"/>
      <c r="DC586" s="72">
        <v>0.0</v>
      </c>
      <c r="DD586" s="72">
        <v>3030.0</v>
      </c>
      <c r="DE586" s="72">
        <v>0.0</v>
      </c>
      <c r="DF586" s="72">
        <v>0.0</v>
      </c>
      <c r="DG586" s="72">
        <v>0.0</v>
      </c>
      <c r="DH586" s="72">
        <v>3030.0</v>
      </c>
      <c r="DI586" s="73">
        <v>2.0612751111E10</v>
      </c>
      <c r="DJ586" s="74" t="s">
        <v>1791</v>
      </c>
      <c r="DK586" s="74" t="s">
        <v>132</v>
      </c>
      <c r="DL586" s="75"/>
      <c r="DM586" s="75"/>
      <c r="DN586" s="75"/>
      <c r="DO586" s="75"/>
      <c r="DP586" s="75"/>
      <c r="DQ586" s="75"/>
      <c r="DR586" s="75"/>
      <c r="DS586" s="75"/>
      <c r="DT586" s="75"/>
      <c r="DU586" s="75"/>
      <c r="DV586" s="75"/>
      <c r="DW586" s="75"/>
      <c r="DX586" s="75"/>
      <c r="DY586" s="75"/>
      <c r="DZ586" s="75"/>
      <c r="EA586" s="75"/>
      <c r="EB586" s="75"/>
      <c r="EC586" s="75"/>
      <c r="ED586" s="75"/>
      <c r="EE586" s="75"/>
    </row>
    <row r="587" ht="47.25" hidden="1" customHeight="1">
      <c r="A587" s="55" t="s">
        <v>1792</v>
      </c>
      <c r="B587" s="55" t="s">
        <v>287</v>
      </c>
      <c r="C587" s="55" t="s">
        <v>1606</v>
      </c>
      <c r="D587" s="55" t="s">
        <v>785</v>
      </c>
      <c r="E587" s="55" t="s">
        <v>1500</v>
      </c>
      <c r="F587" s="55" t="s">
        <v>785</v>
      </c>
      <c r="G587" s="55" t="s">
        <v>787</v>
      </c>
      <c r="H587" s="55" t="s">
        <v>1501</v>
      </c>
      <c r="I587" s="56"/>
      <c r="J587" s="56"/>
      <c r="K587" s="56"/>
      <c r="L587" s="56"/>
      <c r="M587" s="56"/>
      <c r="N587" s="56"/>
      <c r="O587" s="56"/>
      <c r="P587" s="56">
        <v>1.0</v>
      </c>
      <c r="Q587" s="56" t="s">
        <v>131</v>
      </c>
      <c r="R587" s="58" t="str">
        <f t="shared" si="1"/>
        <v>2025</v>
      </c>
      <c r="S587" s="59" t="str">
        <f>SUM(Hoja1!$I587:$P587)</f>
        <v>1</v>
      </c>
      <c r="T587" s="59" t="str">
        <f>IF(OR(Hoja1!$J587=1,Hoja1!$K587=1,Hoja1!$L587=1,Hoja1!$M587=1,Hoja1!$N587=1,Hoja1!$O587=1,Hoja1!$P587=1),"SI","NO")</f>
        <v>SI</v>
      </c>
      <c r="U587" s="59" t="str">
        <f>IF(OR(Hoja1!$K587=1,Hoja1!$L587=1,Hoja1!$M587=1,Hoja1!$N587=1,Hoja1!$O587=1,Hoja1!$P587=1),"SI","NO")</f>
        <v>SI</v>
      </c>
      <c r="V587" s="60">
        <v>0.0</v>
      </c>
      <c r="W587" s="61">
        <v>0.0</v>
      </c>
      <c r="X587" s="61">
        <v>0.0</v>
      </c>
      <c r="Y587" s="60">
        <v>0.0</v>
      </c>
      <c r="Z587" s="61">
        <v>0.0</v>
      </c>
      <c r="AA587" s="61">
        <v>0.0</v>
      </c>
      <c r="AB587" s="60">
        <v>0.0</v>
      </c>
      <c r="AC587" s="61">
        <v>0.0</v>
      </c>
      <c r="AD587" s="61">
        <v>0.0</v>
      </c>
      <c r="AE587" s="60">
        <v>0.0</v>
      </c>
      <c r="AF587" s="61">
        <v>0.0</v>
      </c>
      <c r="AG587" s="61">
        <v>0.0</v>
      </c>
      <c r="AH587" s="60">
        <v>0.0</v>
      </c>
      <c r="AI587" s="61">
        <v>0.0</v>
      </c>
      <c r="AJ587" s="61">
        <v>0.0</v>
      </c>
      <c r="AK587" s="60">
        <v>0.0</v>
      </c>
      <c r="AL587" s="61">
        <v>0.0</v>
      </c>
      <c r="AM587" s="61">
        <v>0.0</v>
      </c>
      <c r="AN587" s="60">
        <v>0.0</v>
      </c>
      <c r="AO587" s="62">
        <v>2.0</v>
      </c>
      <c r="AP587" s="62">
        <v>11.0</v>
      </c>
      <c r="AQ587" s="60">
        <v>13.0</v>
      </c>
      <c r="AR587" s="60" t="str">
        <f>IF(Hoja1!$AQ587&gt;0,Hoja1!$AQ587,IF(Hoja1!$AN587&gt;0,Hoja1!$AN587,IF(Hoja1!$AK587&gt;0,Hoja1!$AK587,IF(Hoja1!$AH587&gt;0,Hoja1!$AH587,IF(Hoja1!$AE587&gt;0,Hoja1!$AE587,IF(Hoja1!$AB587&gt;0,Hoja1!$AB587,IF(Hoja1!$Y587&gt;0,Hoja1!$Y587,IF(Hoja1!$V587&gt;0,Hoja1!$V587," ---"))))))))</f>
        <v>13</v>
      </c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>
        <v>15.0</v>
      </c>
      <c r="BD587" s="63">
        <v>2.0</v>
      </c>
      <c r="BE587" s="64"/>
      <c r="BF587" s="69"/>
      <c r="BG587" s="69"/>
      <c r="BH587" s="64"/>
      <c r="BI587" s="67" t="str">
        <f>IF('[1]DATA CONSOLIDADA 2018-2025 '!$BH604&gt;'[1]DATA CONSOLIDADA 2018-2025 '!$AN604,"Incremento",IF('[1]DATA CONSOLIDADA 2018-2025 '!$AN604='[1]DATA CONSOLIDADA 2018-2025 '!$BH604,"Sin incremento",IF('[1]DATA CONSOLIDADA 2018-2025 '!$BH604&lt;'[1]DATA CONSOLIDADA 2018-2025 '!$AN604,"Disminución"," ---")))</f>
        <v>#REF!</v>
      </c>
      <c r="BJ587" s="68" t="str">
        <f>'[1]DATA CONSOLIDADA 2018-2025 '!$BH604-'[1]DATA CONSOLIDADA 2018-2025 '!$BE604</f>
        <v>#REF!</v>
      </c>
      <c r="BK587" s="69"/>
      <c r="BL587" s="69"/>
      <c r="BM587" s="64"/>
      <c r="BN587" s="67" t="str">
        <f>IF('[1]DATA CONSOLIDADA 2018-2025 '!$BM604&gt;'[1]DATA CONSOLIDADA 2018-2025 '!$BH604,"Incremento",IF('[1]DATA CONSOLIDADA 2018-2025 '!$BH604='[1]DATA CONSOLIDADA 2018-2025 '!$BM604,"Sin incremento",IF('[1]DATA CONSOLIDADA 2018-2025 '!$BM604&lt;'[1]DATA CONSOLIDADA 2018-2025 '!$BH604,"Disminución"," ---")))</f>
        <v>#REF!</v>
      </c>
      <c r="BO587" s="68" t="str">
        <f>'[1]DATA CONSOLIDADA 2018-2025 '!$BM604-'[1]DATA CONSOLIDADA 2018-2025 '!$BH604</f>
        <v>#REF!</v>
      </c>
      <c r="BP587" s="65"/>
      <c r="BQ587" s="65"/>
      <c r="BR587" s="66"/>
      <c r="BS587" s="67" t="str">
        <f>IF('[1]DATA CONSOLIDADA 2018-2025 '!$BR604&gt;'[1]DATA CONSOLIDADA 2018-2025 '!$BM604,"Incremento",IF('[1]DATA CONSOLIDADA 2018-2025 '!$BM604='[1]DATA CONSOLIDADA 2018-2025 '!$BR604,"Sin incremento",IF('[1]DATA CONSOLIDADA 2018-2025 '!$BR604&lt;'[1]DATA CONSOLIDADA 2018-2025 '!$BM604,"Disminución"," ---")))</f>
        <v>#REF!</v>
      </c>
      <c r="BT587" s="68" t="str">
        <f>'[1]DATA CONSOLIDADA 2018-2025 '!$BR587-Hoja1!$BO587</f>
        <v>#REF!</v>
      </c>
      <c r="BU587" s="69"/>
      <c r="BV587" s="65"/>
      <c r="BW587" s="66"/>
      <c r="BX587" s="67" t="str">
        <f>IF('[1]DATA CONSOLIDADA 2018-2025 '!$BW604&gt;'[1]DATA CONSOLIDADA 2018-2025 '!$BR604,"Incremento",IF('[1]DATA CONSOLIDADA 2018-2025 '!$BR604='[1]DATA CONSOLIDADA 2018-2025 '!$BW604,"Sin incremento",IF('[1]DATA CONSOLIDADA 2018-2025 '!$BW604&lt;'[1]DATA CONSOLIDADA 2018-2025 '!$BR604,"Disminución"," ---")))</f>
        <v>#REF!</v>
      </c>
      <c r="BY587" s="68" t="str">
        <f>'[1]DATA CONSOLIDADA 2018-2025 '!$BW604-'[1]DATA CONSOLIDADA 2018-2025 '!$BR604</f>
        <v>#REF!</v>
      </c>
      <c r="BZ587" s="65"/>
      <c r="CA587" s="65"/>
      <c r="CB587" s="66"/>
      <c r="CC587" s="67" t="str">
        <f>IF('[1]DATA CONSOLIDADA 2018-2025 '!$CB604&gt;'[1]DATA CONSOLIDADA 2018-2025 '!$BW604,"Incremento",IF('[1]DATA CONSOLIDADA 2018-2025 '!$BW604='[1]DATA CONSOLIDADA 2018-2025 '!$CB604,"Sin incremento",IF('[1]DATA CONSOLIDADA 2018-2025 '!$CB604&lt;'[1]DATA CONSOLIDADA 2018-2025 '!$BW604,"Disminución"," ---")))</f>
        <v>#REF!</v>
      </c>
      <c r="CD587" s="68" t="str">
        <f>'[1]DATA CONSOLIDADA 2018-2025 '!$CB587-Hoja1!$BW587</f>
        <v>#REF!</v>
      </c>
      <c r="CE587" s="70"/>
      <c r="CF587" s="70"/>
      <c r="CG587" s="71"/>
      <c r="CH587" s="67" t="str">
        <f>IF('[1]DATA CONSOLIDADA 2018-2025 '!$CG604&gt;'[1]DATA CONSOLIDADA 2018-2025 '!$CB604,"Incremento",IF('[1]DATA CONSOLIDADA 2018-2025 '!$CB604='[1]DATA CONSOLIDADA 2018-2025 '!$CG604,"Sin incremento",IF('[1]DATA CONSOLIDADA 2018-2025 '!$CG604&lt;'[1]DATA CONSOLIDADA 2018-2025 '!$CB604,"Disminución"," ---")))</f>
        <v>#REF!</v>
      </c>
      <c r="CI587" s="68" t="str">
        <f>'[1]DATA CONSOLIDADA 2018-2025 '!$CG587-Hoja1!$CB587</f>
        <v>#REF!</v>
      </c>
      <c r="CJ587" s="64" t="str">
        <f t="shared" si="216"/>
        <v>#REF!</v>
      </c>
      <c r="CK587" s="64">
        <v>45740.0</v>
      </c>
      <c r="CL587" s="64">
        <v>0.0</v>
      </c>
      <c r="CM587" s="64">
        <v>45740.0</v>
      </c>
      <c r="CN587" s="64" t="str">
        <f t="shared" si="12"/>
        <v>#REF!</v>
      </c>
      <c r="CO587" s="68" t="str">
        <f>'[1]DATA CONSOLIDADA 2018-2025 '!$CM587-Hoja1!$CG587</f>
        <v>#REF!</v>
      </c>
      <c r="CP587" s="70"/>
      <c r="CQ587" s="70"/>
      <c r="CR587" s="70"/>
      <c r="CS587" s="70"/>
      <c r="CT587" s="70"/>
      <c r="CU587" s="70"/>
      <c r="CV587" s="64"/>
      <c r="CW587" s="64"/>
      <c r="CX587" s="64"/>
      <c r="CY587" s="64"/>
      <c r="CZ587" s="64"/>
      <c r="DA587" s="64"/>
      <c r="DB587" s="64"/>
      <c r="DC587" s="72">
        <v>0.0</v>
      </c>
      <c r="DD587" s="72">
        <v>45740.0</v>
      </c>
      <c r="DE587" s="72">
        <v>0.0</v>
      </c>
      <c r="DF587" s="72">
        <v>0.0</v>
      </c>
      <c r="DG587" s="72">
        <v>0.0</v>
      </c>
      <c r="DH587" s="72">
        <v>45740.0</v>
      </c>
      <c r="DI587" s="73">
        <v>2.0612380571E10</v>
      </c>
      <c r="DJ587" s="74" t="s">
        <v>1792</v>
      </c>
      <c r="DK587" s="74" t="s">
        <v>138</v>
      </c>
      <c r="DL587" s="75"/>
      <c r="DM587" s="75"/>
      <c r="DN587" s="75"/>
      <c r="DO587" s="75"/>
      <c r="DP587" s="75"/>
      <c r="DQ587" s="75"/>
      <c r="DR587" s="75"/>
      <c r="DS587" s="75"/>
      <c r="DT587" s="75"/>
      <c r="DU587" s="75"/>
      <c r="DV587" s="75"/>
      <c r="DW587" s="75"/>
      <c r="DX587" s="75"/>
      <c r="DY587" s="75"/>
      <c r="DZ587" s="75"/>
      <c r="EA587" s="75"/>
      <c r="EB587" s="75"/>
      <c r="EC587" s="75"/>
      <c r="ED587" s="75"/>
      <c r="EE587" s="75"/>
    </row>
    <row r="588" ht="47.25" hidden="1" customHeight="1">
      <c r="A588" s="55" t="s">
        <v>1793</v>
      </c>
      <c r="B588" s="55" t="s">
        <v>1794</v>
      </c>
      <c r="C588" s="55" t="s">
        <v>1795</v>
      </c>
      <c r="D588" s="55" t="s">
        <v>785</v>
      </c>
      <c r="E588" s="55" t="s">
        <v>1796</v>
      </c>
      <c r="F588" s="55" t="s">
        <v>785</v>
      </c>
      <c r="G588" s="55" t="s">
        <v>1797</v>
      </c>
      <c r="H588" s="55" t="s">
        <v>1798</v>
      </c>
      <c r="I588" s="56"/>
      <c r="J588" s="56"/>
      <c r="K588" s="56"/>
      <c r="L588" s="56"/>
      <c r="M588" s="56"/>
      <c r="N588" s="56"/>
      <c r="O588" s="56"/>
      <c r="P588" s="56">
        <v>1.0</v>
      </c>
      <c r="Q588" s="56" t="s">
        <v>131</v>
      </c>
      <c r="R588" s="58" t="str">
        <f t="shared" si="1"/>
        <v>2025</v>
      </c>
      <c r="S588" s="59" t="str">
        <f>SUM(Hoja1!$I588:$P588)</f>
        <v>1</v>
      </c>
      <c r="T588" s="59" t="str">
        <f>IF(OR(Hoja1!$J588=1,Hoja1!$K588=1,Hoja1!$L588=1,Hoja1!$M588=1,Hoja1!$N588=1,Hoja1!$O588=1,Hoja1!$P588=1),"SI","NO")</f>
        <v>SI</v>
      </c>
      <c r="U588" s="59" t="str">
        <f>IF(OR(Hoja1!$K588=1,Hoja1!$L588=1,Hoja1!$M588=1,Hoja1!$N588=1,Hoja1!$O588=1,Hoja1!$P588=1),"SI","NO")</f>
        <v>SI</v>
      </c>
      <c r="V588" s="60">
        <v>0.0</v>
      </c>
      <c r="W588" s="61">
        <v>0.0</v>
      </c>
      <c r="X588" s="61">
        <v>0.0</v>
      </c>
      <c r="Y588" s="60">
        <v>0.0</v>
      </c>
      <c r="Z588" s="61">
        <v>0.0</v>
      </c>
      <c r="AA588" s="61">
        <v>0.0</v>
      </c>
      <c r="AB588" s="60">
        <v>0.0</v>
      </c>
      <c r="AC588" s="61">
        <v>0.0</v>
      </c>
      <c r="AD588" s="61">
        <v>0.0</v>
      </c>
      <c r="AE588" s="60">
        <v>0.0</v>
      </c>
      <c r="AF588" s="61">
        <v>0.0</v>
      </c>
      <c r="AG588" s="61">
        <v>0.0</v>
      </c>
      <c r="AH588" s="60">
        <v>0.0</v>
      </c>
      <c r="AI588" s="61">
        <v>0.0</v>
      </c>
      <c r="AJ588" s="61">
        <v>0.0</v>
      </c>
      <c r="AK588" s="60">
        <v>0.0</v>
      </c>
      <c r="AL588" s="61">
        <v>0.0</v>
      </c>
      <c r="AM588" s="61">
        <v>0.0</v>
      </c>
      <c r="AN588" s="60">
        <v>0.0</v>
      </c>
      <c r="AO588" s="62">
        <v>9.0</v>
      </c>
      <c r="AP588" s="62">
        <v>2.0</v>
      </c>
      <c r="AQ588" s="60">
        <v>11.0</v>
      </c>
      <c r="AR588" s="60" t="str">
        <f>IF(Hoja1!$AQ588&gt;0,Hoja1!$AQ588,IF(Hoja1!$AN588&gt;0,Hoja1!$AN588,IF(Hoja1!$AK588&gt;0,Hoja1!$AK588,IF(Hoja1!$AH588&gt;0,Hoja1!$AH588,IF(Hoja1!$AE588&gt;0,Hoja1!$AE588,IF(Hoja1!$AB588&gt;0,Hoja1!$AB588,IF(Hoja1!$Y588&gt;0,Hoja1!$Y588,IF(Hoja1!$V588&gt;0,Hoja1!$V588," ---"))))))))</f>
        <v>11</v>
      </c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>
        <v>23.0</v>
      </c>
      <c r="BD588" s="63">
        <v>4.0</v>
      </c>
      <c r="BE588" s="64"/>
      <c r="BF588" s="69"/>
      <c r="BG588" s="69"/>
      <c r="BH588" s="64"/>
      <c r="BI588" s="67" t="str">
        <f t="shared" ref="BI588:BI590" si="244">IF('[1]DATA CONSOLIDADA 2018-2025 '!$BH577&gt;'[1]DATA CONSOLIDADA 2018-2025 '!$AN577,"Incremento",IF('[1]DATA CONSOLIDADA 2018-2025 '!$AN577='[1]DATA CONSOLIDADA 2018-2025 '!$BH577,"Sin incremento",IF('[1]DATA CONSOLIDADA 2018-2025 '!$BH577&lt;'[1]DATA CONSOLIDADA 2018-2025 '!$AN577,"Disminución"," ---")))</f>
        <v>#REF!</v>
      </c>
      <c r="BJ588" s="68" t="str">
        <f t="shared" ref="BJ588:BJ590" si="245">'[1]DATA CONSOLIDADA 2018-2025 '!$BH577-'[1]DATA CONSOLIDADA 2018-2025 '!$BE577</f>
        <v>#REF!</v>
      </c>
      <c r="BK588" s="69"/>
      <c r="BL588" s="69"/>
      <c r="BM588" s="64"/>
      <c r="BN588" s="67" t="str">
        <f t="shared" ref="BN588:BN590" si="246">IF('[1]DATA CONSOLIDADA 2018-2025 '!$BM577&gt;'[1]DATA CONSOLIDADA 2018-2025 '!$BH577,"Incremento",IF('[1]DATA CONSOLIDADA 2018-2025 '!$BH577='[1]DATA CONSOLIDADA 2018-2025 '!$BM577,"Sin incremento",IF('[1]DATA CONSOLIDADA 2018-2025 '!$BM577&lt;'[1]DATA CONSOLIDADA 2018-2025 '!$BH577,"Disminución"," ---")))</f>
        <v>#REF!</v>
      </c>
      <c r="BO588" s="68" t="str">
        <f t="shared" ref="BO588:BO590" si="247">'[1]DATA CONSOLIDADA 2018-2025 '!$BM577-'[1]DATA CONSOLIDADA 2018-2025 '!$BH577</f>
        <v>#REF!</v>
      </c>
      <c r="BP588" s="65"/>
      <c r="BQ588" s="65"/>
      <c r="BR588" s="66"/>
      <c r="BS588" s="67" t="str">
        <f t="shared" ref="BS588:BS590" si="248">IF('[1]DATA CONSOLIDADA 2018-2025 '!$BR577&gt;'[1]DATA CONSOLIDADA 2018-2025 '!$BM577,"Incremento",IF('[1]DATA CONSOLIDADA 2018-2025 '!$BM577='[1]DATA CONSOLIDADA 2018-2025 '!$BR577,"Sin incremento",IF('[1]DATA CONSOLIDADA 2018-2025 '!$BR577&lt;'[1]DATA CONSOLIDADA 2018-2025 '!$BM577,"Disminución"," ---")))</f>
        <v>#REF!</v>
      </c>
      <c r="BT588" s="68" t="str">
        <f>'[1]DATA CONSOLIDADA 2018-2025 '!$BR588-Hoja1!$BO588</f>
        <v>#REF!</v>
      </c>
      <c r="BU588" s="69"/>
      <c r="BV588" s="65"/>
      <c r="BW588" s="66"/>
      <c r="BX588" s="67" t="str">
        <f t="shared" ref="BX588:BX590" si="249">IF('[1]DATA CONSOLIDADA 2018-2025 '!$BW577&gt;'[1]DATA CONSOLIDADA 2018-2025 '!$BR577,"Incremento",IF('[1]DATA CONSOLIDADA 2018-2025 '!$BR577='[1]DATA CONSOLIDADA 2018-2025 '!$BW577,"Sin incremento",IF('[1]DATA CONSOLIDADA 2018-2025 '!$BW577&lt;'[1]DATA CONSOLIDADA 2018-2025 '!$BR577,"Disminución"," ---")))</f>
        <v>#REF!</v>
      </c>
      <c r="BY588" s="68" t="str">
        <f t="shared" ref="BY588:BY590" si="250">'[1]DATA CONSOLIDADA 2018-2025 '!$BW577-'[1]DATA CONSOLIDADA 2018-2025 '!$BR577</f>
        <v>#REF!</v>
      </c>
      <c r="BZ588" s="65"/>
      <c r="CA588" s="65"/>
      <c r="CB588" s="66"/>
      <c r="CC588" s="67" t="str">
        <f t="shared" ref="CC588:CC590" si="251">IF('[1]DATA CONSOLIDADA 2018-2025 '!$CB577&gt;'[1]DATA CONSOLIDADA 2018-2025 '!$BW577,"Incremento",IF('[1]DATA CONSOLIDADA 2018-2025 '!$BW577='[1]DATA CONSOLIDADA 2018-2025 '!$CB577,"Sin incremento",IF('[1]DATA CONSOLIDADA 2018-2025 '!$CB577&lt;'[1]DATA CONSOLIDADA 2018-2025 '!$BW577,"Disminución"," ---")))</f>
        <v>#REF!</v>
      </c>
      <c r="CD588" s="68" t="str">
        <f>'[1]DATA CONSOLIDADA 2018-2025 '!$CB588-Hoja1!$BW588</f>
        <v>#REF!</v>
      </c>
      <c r="CE588" s="70"/>
      <c r="CF588" s="70"/>
      <c r="CG588" s="71"/>
      <c r="CH588" s="67" t="str">
        <f t="shared" ref="CH588:CH590" si="252">IF('[1]DATA CONSOLIDADA 2018-2025 '!$CG577&gt;'[1]DATA CONSOLIDADA 2018-2025 '!$CB577,"Incremento",IF('[1]DATA CONSOLIDADA 2018-2025 '!$CB577='[1]DATA CONSOLIDADA 2018-2025 '!$CG577,"Sin incremento",IF('[1]DATA CONSOLIDADA 2018-2025 '!$CG577&lt;'[1]DATA CONSOLIDADA 2018-2025 '!$CB577,"Disminución"," ---")))</f>
        <v>#REF!</v>
      </c>
      <c r="CI588" s="68" t="str">
        <f>'[1]DATA CONSOLIDADA 2018-2025 '!$CG588-Hoja1!$CB588</f>
        <v>#REF!</v>
      </c>
      <c r="CJ588" s="64" t="str">
        <f t="shared" si="216"/>
        <v>#REF!</v>
      </c>
      <c r="CK588" s="64">
        <v>0.0</v>
      </c>
      <c r="CL588" s="64">
        <v>0.0</v>
      </c>
      <c r="CM588" s="64">
        <v>0.0</v>
      </c>
      <c r="CN588" s="64" t="str">
        <f t="shared" si="12"/>
        <v>#REF!</v>
      </c>
      <c r="CO588" s="68" t="str">
        <f>'[1]DATA CONSOLIDADA 2018-2025 '!$CM588-Hoja1!$CG588</f>
        <v>#REF!</v>
      </c>
      <c r="CP588" s="70"/>
      <c r="CQ588" s="70"/>
      <c r="CR588" s="70"/>
      <c r="CS588" s="70"/>
      <c r="CT588" s="70"/>
      <c r="CU588" s="70"/>
      <c r="CV588" s="64"/>
      <c r="CW588" s="64"/>
      <c r="CX588" s="64"/>
      <c r="CY588" s="64"/>
      <c r="CZ588" s="64"/>
      <c r="DA588" s="64"/>
      <c r="DB588" s="64"/>
      <c r="DC588" s="72">
        <v>0.0</v>
      </c>
      <c r="DD588" s="72">
        <v>0.0</v>
      </c>
      <c r="DE588" s="72">
        <v>0.0</v>
      </c>
      <c r="DF588" s="72">
        <v>0.0</v>
      </c>
      <c r="DG588" s="72">
        <v>0.0</v>
      </c>
      <c r="DH588" s="72">
        <v>0.0</v>
      </c>
      <c r="DI588" s="73">
        <v>2.0608748921E10</v>
      </c>
      <c r="DJ588" s="74" t="s">
        <v>1793</v>
      </c>
      <c r="DK588" s="74" t="s">
        <v>138</v>
      </c>
      <c r="DL588" s="75"/>
      <c r="DM588" s="75"/>
      <c r="DN588" s="75"/>
      <c r="DO588" s="75"/>
      <c r="DP588" s="75"/>
      <c r="DQ588" s="75"/>
      <c r="DR588" s="75"/>
      <c r="DS588" s="75"/>
      <c r="DT588" s="75"/>
      <c r="DU588" s="75"/>
      <c r="DV588" s="75"/>
      <c r="DW588" s="75"/>
      <c r="DX588" s="75"/>
      <c r="DY588" s="75"/>
      <c r="DZ588" s="75"/>
      <c r="EA588" s="75"/>
      <c r="EB588" s="75"/>
      <c r="EC588" s="75"/>
      <c r="ED588" s="75"/>
      <c r="EE588" s="75"/>
    </row>
    <row r="589" ht="47.25" hidden="1" customHeight="1">
      <c r="A589" s="55" t="s">
        <v>1799</v>
      </c>
      <c r="B589" s="55" t="s">
        <v>1794</v>
      </c>
      <c r="C589" s="55" t="s">
        <v>1795</v>
      </c>
      <c r="D589" s="55" t="s">
        <v>785</v>
      </c>
      <c r="E589" s="55" t="s">
        <v>1500</v>
      </c>
      <c r="F589" s="55" t="s">
        <v>785</v>
      </c>
      <c r="G589" s="55" t="s">
        <v>787</v>
      </c>
      <c r="H589" s="55" t="s">
        <v>1501</v>
      </c>
      <c r="I589" s="56"/>
      <c r="J589" s="56"/>
      <c r="K589" s="56"/>
      <c r="L589" s="56"/>
      <c r="M589" s="56"/>
      <c r="N589" s="56"/>
      <c r="O589" s="56"/>
      <c r="P589" s="56">
        <v>1.0</v>
      </c>
      <c r="Q589" s="56" t="s">
        <v>131</v>
      </c>
      <c r="R589" s="58" t="str">
        <f t="shared" si="1"/>
        <v>2025</v>
      </c>
      <c r="S589" s="59" t="str">
        <f>SUM(Hoja1!$I589:$P589)</f>
        <v>1</v>
      </c>
      <c r="T589" s="59" t="str">
        <f>IF(OR(Hoja1!$J589=1,Hoja1!$K589=1,Hoja1!$L589=1,Hoja1!$M589=1,Hoja1!$N589=1,Hoja1!$O589=1,Hoja1!$P589=1),"SI","NO")</f>
        <v>SI</v>
      </c>
      <c r="U589" s="59" t="str">
        <f>IF(OR(Hoja1!$K589=1,Hoja1!$L589=1,Hoja1!$M589=1,Hoja1!$N589=1,Hoja1!$O589=1,Hoja1!$P589=1),"SI","NO")</f>
        <v>SI</v>
      </c>
      <c r="V589" s="60">
        <v>0.0</v>
      </c>
      <c r="W589" s="61">
        <v>0.0</v>
      </c>
      <c r="X589" s="61">
        <v>0.0</v>
      </c>
      <c r="Y589" s="60">
        <v>0.0</v>
      </c>
      <c r="Z589" s="61">
        <v>0.0</v>
      </c>
      <c r="AA589" s="61">
        <v>0.0</v>
      </c>
      <c r="AB589" s="60">
        <v>0.0</v>
      </c>
      <c r="AC589" s="61">
        <v>0.0</v>
      </c>
      <c r="AD589" s="61">
        <v>0.0</v>
      </c>
      <c r="AE589" s="60">
        <v>0.0</v>
      </c>
      <c r="AF589" s="61">
        <v>0.0</v>
      </c>
      <c r="AG589" s="61">
        <v>0.0</v>
      </c>
      <c r="AH589" s="60">
        <v>0.0</v>
      </c>
      <c r="AI589" s="61">
        <v>0.0</v>
      </c>
      <c r="AJ589" s="61">
        <v>0.0</v>
      </c>
      <c r="AK589" s="60">
        <v>0.0</v>
      </c>
      <c r="AL589" s="61">
        <v>0.0</v>
      </c>
      <c r="AM589" s="61">
        <v>0.0</v>
      </c>
      <c r="AN589" s="60">
        <v>0.0</v>
      </c>
      <c r="AO589" s="62">
        <v>10.0</v>
      </c>
      <c r="AP589" s="62">
        <v>11.0</v>
      </c>
      <c r="AQ589" s="60">
        <v>21.0</v>
      </c>
      <c r="AR589" s="60" t="str">
        <f>IF(Hoja1!$AQ589&gt;0,Hoja1!$AQ589,IF(Hoja1!$AN589&gt;0,Hoja1!$AN589,IF(Hoja1!$AK589&gt;0,Hoja1!$AK589,IF(Hoja1!$AH589&gt;0,Hoja1!$AH589,IF(Hoja1!$AE589&gt;0,Hoja1!$AE589,IF(Hoja1!$AB589&gt;0,Hoja1!$AB589,IF(Hoja1!$Y589&gt;0,Hoja1!$Y589,IF(Hoja1!$V589&gt;0,Hoja1!$V589," ---"))))))))</f>
        <v>21</v>
      </c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>
        <v>24.0</v>
      </c>
      <c r="BD589" s="63">
        <v>4.0</v>
      </c>
      <c r="BE589" s="64"/>
      <c r="BF589" s="69"/>
      <c r="BG589" s="69"/>
      <c r="BH589" s="64"/>
      <c r="BI589" s="67" t="str">
        <f t="shared" si="244"/>
        <v>#REF!</v>
      </c>
      <c r="BJ589" s="68" t="str">
        <f t="shared" si="245"/>
        <v>#REF!</v>
      </c>
      <c r="BK589" s="69"/>
      <c r="BL589" s="69"/>
      <c r="BM589" s="64"/>
      <c r="BN589" s="67" t="str">
        <f t="shared" si="246"/>
        <v>#REF!</v>
      </c>
      <c r="BO589" s="68" t="str">
        <f t="shared" si="247"/>
        <v>#REF!</v>
      </c>
      <c r="BP589" s="65"/>
      <c r="BQ589" s="65"/>
      <c r="BR589" s="66"/>
      <c r="BS589" s="67" t="str">
        <f t="shared" si="248"/>
        <v>#REF!</v>
      </c>
      <c r="BT589" s="68" t="str">
        <f>'[1]DATA CONSOLIDADA 2018-2025 '!$BR589-Hoja1!$BO589</f>
        <v>#REF!</v>
      </c>
      <c r="BU589" s="69"/>
      <c r="BV589" s="65"/>
      <c r="BW589" s="66"/>
      <c r="BX589" s="67" t="str">
        <f t="shared" si="249"/>
        <v>#REF!</v>
      </c>
      <c r="BY589" s="68" t="str">
        <f t="shared" si="250"/>
        <v>#REF!</v>
      </c>
      <c r="BZ589" s="65"/>
      <c r="CA589" s="65"/>
      <c r="CB589" s="66"/>
      <c r="CC589" s="67" t="str">
        <f t="shared" si="251"/>
        <v>#REF!</v>
      </c>
      <c r="CD589" s="68" t="str">
        <f>'[1]DATA CONSOLIDADA 2018-2025 '!$CB589-Hoja1!$BW589</f>
        <v>#REF!</v>
      </c>
      <c r="CE589" s="70"/>
      <c r="CF589" s="70"/>
      <c r="CG589" s="71"/>
      <c r="CH589" s="67" t="str">
        <f t="shared" si="252"/>
        <v>#REF!</v>
      </c>
      <c r="CI589" s="68" t="str">
        <f>'[1]DATA CONSOLIDADA 2018-2025 '!$CG589-Hoja1!$CB589</f>
        <v>#REF!</v>
      </c>
      <c r="CJ589" s="64" t="str">
        <f t="shared" si="216"/>
        <v>#REF!</v>
      </c>
      <c r="CK589" s="64">
        <v>0.0</v>
      </c>
      <c r="CL589" s="64">
        <v>0.0</v>
      </c>
      <c r="CM589" s="64">
        <v>0.0</v>
      </c>
      <c r="CN589" s="64" t="str">
        <f t="shared" si="12"/>
        <v>#REF!</v>
      </c>
      <c r="CO589" s="68" t="str">
        <f>'[1]DATA CONSOLIDADA 2018-2025 '!$CM589-Hoja1!$CG589</f>
        <v>#REF!</v>
      </c>
      <c r="CP589" s="70"/>
      <c r="CQ589" s="70"/>
      <c r="CR589" s="70"/>
      <c r="CS589" s="70"/>
      <c r="CT589" s="70"/>
      <c r="CU589" s="70"/>
      <c r="CV589" s="64"/>
      <c r="CW589" s="64"/>
      <c r="CX589" s="64"/>
      <c r="CY589" s="64"/>
      <c r="CZ589" s="64"/>
      <c r="DA589" s="64"/>
      <c r="DB589" s="64"/>
      <c r="DC589" s="72">
        <v>0.0</v>
      </c>
      <c r="DD589" s="72">
        <v>0.0</v>
      </c>
      <c r="DE589" s="72">
        <v>0.0</v>
      </c>
      <c r="DF589" s="72">
        <v>0.0</v>
      </c>
      <c r="DG589" s="72">
        <v>0.0</v>
      </c>
      <c r="DH589" s="72">
        <v>0.0</v>
      </c>
      <c r="DI589" s="73">
        <v>2.0612023655E10</v>
      </c>
      <c r="DJ589" s="74" t="s">
        <v>1799</v>
      </c>
      <c r="DK589" s="74" t="s">
        <v>138</v>
      </c>
      <c r="DL589" s="75"/>
      <c r="DM589" s="75"/>
      <c r="DN589" s="75"/>
      <c r="DO589" s="75"/>
      <c r="DP589" s="75"/>
      <c r="DQ589" s="75"/>
      <c r="DR589" s="75"/>
      <c r="DS589" s="75"/>
      <c r="DT589" s="75"/>
      <c r="DU589" s="75"/>
      <c r="DV589" s="75"/>
      <c r="DW589" s="75"/>
      <c r="DX589" s="75"/>
      <c r="DY589" s="75"/>
      <c r="DZ589" s="75"/>
      <c r="EA589" s="75"/>
      <c r="EB589" s="75"/>
      <c r="EC589" s="75"/>
      <c r="ED589" s="75"/>
      <c r="EE589" s="75"/>
    </row>
    <row r="590" ht="47.25" hidden="1" customHeight="1">
      <c r="A590" s="55" t="s">
        <v>1800</v>
      </c>
      <c r="B590" s="55" t="s">
        <v>1794</v>
      </c>
      <c r="C590" s="55" t="s">
        <v>1795</v>
      </c>
      <c r="D590" s="55" t="s">
        <v>785</v>
      </c>
      <c r="E590" s="55" t="s">
        <v>1801</v>
      </c>
      <c r="F590" s="55" t="s">
        <v>785</v>
      </c>
      <c r="G590" s="55" t="s">
        <v>1802</v>
      </c>
      <c r="H590" s="55" t="s">
        <v>1803</v>
      </c>
      <c r="I590" s="56"/>
      <c r="J590" s="56"/>
      <c r="K590" s="56"/>
      <c r="L590" s="56"/>
      <c r="M590" s="56"/>
      <c r="N590" s="56"/>
      <c r="O590" s="56"/>
      <c r="P590" s="56">
        <v>1.0</v>
      </c>
      <c r="Q590" s="56" t="s">
        <v>131</v>
      </c>
      <c r="R590" s="58" t="str">
        <f t="shared" si="1"/>
        <v>2025</v>
      </c>
      <c r="S590" s="59" t="str">
        <f>SUM(Hoja1!$I590:$P590)</f>
        <v>1</v>
      </c>
      <c r="T590" s="59" t="str">
        <f>IF(OR(Hoja1!$J590=1,Hoja1!$K590=1,Hoja1!$L590=1,Hoja1!$M590=1,Hoja1!$N590=1,Hoja1!$O590=1,Hoja1!$P590=1),"SI","NO")</f>
        <v>SI</v>
      </c>
      <c r="U590" s="59" t="str">
        <f>IF(OR(Hoja1!$K590=1,Hoja1!$L590=1,Hoja1!$M590=1,Hoja1!$N590=1,Hoja1!$O590=1,Hoja1!$P590=1),"SI","NO")</f>
        <v>SI</v>
      </c>
      <c r="V590" s="60">
        <v>0.0</v>
      </c>
      <c r="W590" s="61">
        <v>0.0</v>
      </c>
      <c r="X590" s="61">
        <v>0.0</v>
      </c>
      <c r="Y590" s="60">
        <v>0.0</v>
      </c>
      <c r="Z590" s="61">
        <v>0.0</v>
      </c>
      <c r="AA590" s="61">
        <v>0.0</v>
      </c>
      <c r="AB590" s="60">
        <v>0.0</v>
      </c>
      <c r="AC590" s="61">
        <v>0.0</v>
      </c>
      <c r="AD590" s="61">
        <v>0.0</v>
      </c>
      <c r="AE590" s="60">
        <v>0.0</v>
      </c>
      <c r="AF590" s="61">
        <v>0.0</v>
      </c>
      <c r="AG590" s="61">
        <v>0.0</v>
      </c>
      <c r="AH590" s="60">
        <v>0.0</v>
      </c>
      <c r="AI590" s="61">
        <v>0.0</v>
      </c>
      <c r="AJ590" s="61">
        <v>0.0</v>
      </c>
      <c r="AK590" s="60">
        <v>0.0</v>
      </c>
      <c r="AL590" s="61">
        <v>0.0</v>
      </c>
      <c r="AM590" s="61">
        <v>0.0</v>
      </c>
      <c r="AN590" s="60">
        <v>0.0</v>
      </c>
      <c r="AO590" s="62">
        <v>20.0</v>
      </c>
      <c r="AP590" s="62">
        <v>15.0</v>
      </c>
      <c r="AQ590" s="60">
        <v>35.0</v>
      </c>
      <c r="AR590" s="60" t="str">
        <f>IF(Hoja1!$AQ590&gt;0,Hoja1!$AQ590,IF(Hoja1!$AN590&gt;0,Hoja1!$AN590,IF(Hoja1!$AK590&gt;0,Hoja1!$AK590,IF(Hoja1!$AH590&gt;0,Hoja1!$AH590,IF(Hoja1!$AE590&gt;0,Hoja1!$AE590,IF(Hoja1!$AB590&gt;0,Hoja1!$AB590,IF(Hoja1!$Y590&gt;0,Hoja1!$Y590,IF(Hoja1!$V590&gt;0,Hoja1!$V590," ---"))))))))</f>
        <v>35</v>
      </c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>
        <v>24.0</v>
      </c>
      <c r="BD590" s="63">
        <v>4.0</v>
      </c>
      <c r="BE590" s="64"/>
      <c r="BF590" s="69"/>
      <c r="BG590" s="69"/>
      <c r="BH590" s="64"/>
      <c r="BI590" s="67" t="str">
        <f t="shared" si="244"/>
        <v>#REF!</v>
      </c>
      <c r="BJ590" s="68" t="str">
        <f t="shared" si="245"/>
        <v>#REF!</v>
      </c>
      <c r="BK590" s="69"/>
      <c r="BL590" s="69"/>
      <c r="BM590" s="64"/>
      <c r="BN590" s="67" t="str">
        <f t="shared" si="246"/>
        <v>#REF!</v>
      </c>
      <c r="BO590" s="68" t="str">
        <f t="shared" si="247"/>
        <v>#REF!</v>
      </c>
      <c r="BP590" s="65"/>
      <c r="BQ590" s="65"/>
      <c r="BR590" s="66"/>
      <c r="BS590" s="67" t="str">
        <f t="shared" si="248"/>
        <v>#REF!</v>
      </c>
      <c r="BT590" s="68" t="str">
        <f>'[1]DATA CONSOLIDADA 2018-2025 '!$BR590-Hoja1!$BO590</f>
        <v>#REF!</v>
      </c>
      <c r="BU590" s="69"/>
      <c r="BV590" s="65"/>
      <c r="BW590" s="66"/>
      <c r="BX590" s="67" t="str">
        <f t="shared" si="249"/>
        <v>#REF!</v>
      </c>
      <c r="BY590" s="68" t="str">
        <f t="shared" si="250"/>
        <v>#REF!</v>
      </c>
      <c r="BZ590" s="65"/>
      <c r="CA590" s="65"/>
      <c r="CB590" s="66"/>
      <c r="CC590" s="67" t="str">
        <f t="shared" si="251"/>
        <v>#REF!</v>
      </c>
      <c r="CD590" s="68" t="str">
        <f>'[1]DATA CONSOLIDADA 2018-2025 '!$CB590-Hoja1!$BW590</f>
        <v>#REF!</v>
      </c>
      <c r="CE590" s="70"/>
      <c r="CF590" s="70"/>
      <c r="CG590" s="71"/>
      <c r="CH590" s="67" t="str">
        <f t="shared" si="252"/>
        <v>#REF!</v>
      </c>
      <c r="CI590" s="68" t="str">
        <f>'[1]DATA CONSOLIDADA 2018-2025 '!$CG590-Hoja1!$CB590</f>
        <v>#REF!</v>
      </c>
      <c r="CJ590" s="64" t="str">
        <f t="shared" si="216"/>
        <v>#REF!</v>
      </c>
      <c r="CK590" s="64">
        <v>57207.0</v>
      </c>
      <c r="CL590" s="64">
        <v>0.0</v>
      </c>
      <c r="CM590" s="64">
        <v>57207.0</v>
      </c>
      <c r="CN590" s="64" t="str">
        <f t="shared" si="12"/>
        <v>#REF!</v>
      </c>
      <c r="CO590" s="68" t="str">
        <f>'[1]DATA CONSOLIDADA 2018-2025 '!$CM590-Hoja1!$CG590</f>
        <v>#REF!</v>
      </c>
      <c r="CP590" s="70"/>
      <c r="CQ590" s="70"/>
      <c r="CR590" s="70"/>
      <c r="CS590" s="70"/>
      <c r="CT590" s="70"/>
      <c r="CU590" s="70"/>
      <c r="CV590" s="64"/>
      <c r="CW590" s="64"/>
      <c r="CX590" s="64"/>
      <c r="CY590" s="64"/>
      <c r="CZ590" s="64"/>
      <c r="DA590" s="64"/>
      <c r="DB590" s="64"/>
      <c r="DC590" s="72">
        <v>0.0</v>
      </c>
      <c r="DD590" s="72">
        <v>57207.0</v>
      </c>
      <c r="DE590" s="72">
        <v>0.0</v>
      </c>
      <c r="DF590" s="72">
        <v>0.0</v>
      </c>
      <c r="DG590" s="72">
        <v>0.0</v>
      </c>
      <c r="DH590" s="72">
        <v>57207.0</v>
      </c>
      <c r="DI590" s="73">
        <v>2.048140254E10</v>
      </c>
      <c r="DJ590" s="74" t="s">
        <v>1804</v>
      </c>
      <c r="DK590" s="74" t="s">
        <v>138</v>
      </c>
      <c r="DL590" s="75"/>
      <c r="DM590" s="75"/>
      <c r="DN590" s="75"/>
      <c r="DO590" s="75"/>
      <c r="DP590" s="75"/>
      <c r="DQ590" s="75"/>
      <c r="DR590" s="75"/>
      <c r="DS590" s="75"/>
      <c r="DT590" s="75"/>
      <c r="DU590" s="75"/>
      <c r="DV590" s="75"/>
      <c r="DW590" s="75"/>
      <c r="DX590" s="75"/>
      <c r="DY590" s="75"/>
      <c r="DZ590" s="75"/>
      <c r="EA590" s="75"/>
      <c r="EB590" s="75"/>
      <c r="EC590" s="75"/>
      <c r="ED590" s="75"/>
      <c r="EE590" s="75"/>
    </row>
    <row r="591" ht="47.25" customHeight="1">
      <c r="A591" s="55" t="s">
        <v>1805</v>
      </c>
      <c r="B591" s="55" t="s">
        <v>146</v>
      </c>
      <c r="C591" s="55" t="s">
        <v>146</v>
      </c>
      <c r="D591" s="55" t="s">
        <v>1149</v>
      </c>
      <c r="E591" s="55" t="s">
        <v>1155</v>
      </c>
      <c r="F591" s="55" t="s">
        <v>1149</v>
      </c>
      <c r="G591" s="55" t="s">
        <v>1156</v>
      </c>
      <c r="H591" s="55" t="s">
        <v>1156</v>
      </c>
      <c r="I591" s="56">
        <v>1.0</v>
      </c>
      <c r="J591" s="56">
        <v>1.0</v>
      </c>
      <c r="K591" s="56"/>
      <c r="L591" s="56"/>
      <c r="M591" s="56"/>
      <c r="N591" s="56"/>
      <c r="O591" s="56"/>
      <c r="P591" s="56"/>
      <c r="Q591" s="56" t="s">
        <v>131</v>
      </c>
      <c r="R591" s="58" t="str">
        <f t="shared" si="1"/>
        <v>2018-2019</v>
      </c>
      <c r="S591" s="59" t="str">
        <f>SUM(Hoja1!$I591:$P591)</f>
        <v>2</v>
      </c>
      <c r="T591" s="59" t="str">
        <f>IF(OR(Hoja1!$J591=1,Hoja1!$K591=1,Hoja1!$L591=1,Hoja1!$M591=1,Hoja1!$N591=1,Hoja1!$O591=1,Hoja1!$P591=1),"SI","NO")</f>
        <v>SI</v>
      </c>
      <c r="U591" s="59" t="str">
        <f>IF(OR(Hoja1!$K591=1,Hoja1!$L591=1,Hoja1!$M591=1,Hoja1!$N591=1,Hoja1!$O591=1,Hoja1!$P591=1),"SI","NO")</f>
        <v>NO</v>
      </c>
      <c r="V591" s="60">
        <v>115.0</v>
      </c>
      <c r="W591" s="61">
        <v>0.0</v>
      </c>
      <c r="X591" s="61">
        <v>0.0</v>
      </c>
      <c r="Y591" s="60">
        <v>0.0</v>
      </c>
      <c r="Z591" s="61">
        <v>0.0</v>
      </c>
      <c r="AA591" s="61">
        <v>0.0</v>
      </c>
      <c r="AB591" s="60">
        <v>0.0</v>
      </c>
      <c r="AC591" s="61">
        <v>0.0</v>
      </c>
      <c r="AD591" s="61">
        <v>0.0</v>
      </c>
      <c r="AE591" s="60">
        <v>0.0</v>
      </c>
      <c r="AF591" s="61">
        <v>0.0</v>
      </c>
      <c r="AG591" s="61">
        <v>0.0</v>
      </c>
      <c r="AH591" s="60">
        <v>0.0</v>
      </c>
      <c r="AI591" s="61">
        <v>0.0</v>
      </c>
      <c r="AJ591" s="61">
        <v>0.0</v>
      </c>
      <c r="AK591" s="60">
        <v>0.0</v>
      </c>
      <c r="AL591" s="61">
        <v>0.0</v>
      </c>
      <c r="AM591" s="61">
        <v>0.0</v>
      </c>
      <c r="AN591" s="60">
        <v>0.0</v>
      </c>
      <c r="AO591" s="62">
        <v>0.0</v>
      </c>
      <c r="AP591" s="62">
        <v>0.0</v>
      </c>
      <c r="AQ591" s="60">
        <v>0.0</v>
      </c>
      <c r="AR591" s="60" t="str">
        <f>IF(Hoja1!$AQ591&gt;0,Hoja1!$AQ591,IF(Hoja1!$AN591&gt;0,Hoja1!$AN591,IF(Hoja1!$AK591&gt;0,Hoja1!$AK591,IF(Hoja1!$AH591&gt;0,Hoja1!$AH591,IF(Hoja1!$AE591&gt;0,Hoja1!$AE591,IF(Hoja1!$AB591&gt;0,Hoja1!$AB591,IF(Hoja1!$Y591&gt;0,Hoja1!$Y591,IF(Hoja1!$V591&gt;0,Hoja1!$V591," ---"))))))))</f>
        <v>115</v>
      </c>
      <c r="AS591" s="63">
        <v>0.0</v>
      </c>
      <c r="AT591" s="63">
        <v>0.0</v>
      </c>
      <c r="AU591" s="63">
        <v>0.0</v>
      </c>
      <c r="AV591" s="63">
        <v>0.0</v>
      </c>
      <c r="AW591" s="63">
        <v>0.0</v>
      </c>
      <c r="AX591" s="63">
        <v>0.0</v>
      </c>
      <c r="AY591" s="63">
        <v>0.0</v>
      </c>
      <c r="AZ591" s="63">
        <v>0.0</v>
      </c>
      <c r="BA591" s="63">
        <v>0.0</v>
      </c>
      <c r="BB591" s="63">
        <v>0.0</v>
      </c>
      <c r="BC591" s="63">
        <v>0.0</v>
      </c>
      <c r="BD591" s="63">
        <v>0.0</v>
      </c>
      <c r="BE591" s="64">
        <v>0.0</v>
      </c>
      <c r="BF591" s="65">
        <v>0.0</v>
      </c>
      <c r="BG591" s="65">
        <v>0.0</v>
      </c>
      <c r="BH591" s="66">
        <v>0.0</v>
      </c>
      <c r="BI591" s="67" t="str">
        <f>IF('[1]DATA CONSOLIDADA 2018-2025 '!$BH321&gt;'[1]DATA CONSOLIDADA 2018-2025 '!$AN321,"Incremento",IF('[1]DATA CONSOLIDADA 2018-2025 '!$AN321='[1]DATA CONSOLIDADA 2018-2025 '!$BH321,"Sin incremento",IF('[1]DATA CONSOLIDADA 2018-2025 '!$BH321&lt;'[1]DATA CONSOLIDADA 2018-2025 '!$AN321,"Disminución"," ---")))</f>
        <v>#REF!</v>
      </c>
      <c r="BJ591" s="68" t="str">
        <f>'[1]DATA CONSOLIDADA 2018-2025 '!$BH321-'[1]DATA CONSOLIDADA 2018-2025 '!$BE321</f>
        <v>#REF!</v>
      </c>
      <c r="BK591" s="65">
        <v>0.0</v>
      </c>
      <c r="BL591" s="65">
        <v>0.0</v>
      </c>
      <c r="BM591" s="66">
        <v>0.0</v>
      </c>
      <c r="BN591" s="67" t="str">
        <f>IF('[1]DATA CONSOLIDADA 2018-2025 '!$BM321&gt;'[1]DATA CONSOLIDADA 2018-2025 '!$BH321,"Incremento",IF('[1]DATA CONSOLIDADA 2018-2025 '!$BH321='[1]DATA CONSOLIDADA 2018-2025 '!$BM321,"Sin incremento",IF('[1]DATA CONSOLIDADA 2018-2025 '!$BM321&lt;'[1]DATA CONSOLIDADA 2018-2025 '!$BH321,"Disminución"," ---")))</f>
        <v>#REF!</v>
      </c>
      <c r="BO591" s="68" t="str">
        <f>'[1]DATA CONSOLIDADA 2018-2025 '!$BM321-'[1]DATA CONSOLIDADA 2018-2025 '!$BH321</f>
        <v>#REF!</v>
      </c>
      <c r="BP591" s="65">
        <v>0.0</v>
      </c>
      <c r="BQ591" s="65">
        <v>0.0</v>
      </c>
      <c r="BR591" s="66">
        <v>0.0</v>
      </c>
      <c r="BS591" s="67" t="str">
        <f>IF('[1]DATA CONSOLIDADA 2018-2025 '!$BR321&gt;'[1]DATA CONSOLIDADA 2018-2025 '!$BM321,"Incremento",IF('[1]DATA CONSOLIDADA 2018-2025 '!$BM321='[1]DATA CONSOLIDADA 2018-2025 '!$BR321,"Sin incremento",IF('[1]DATA CONSOLIDADA 2018-2025 '!$BR321&lt;'[1]DATA CONSOLIDADA 2018-2025 '!$BM321,"Disminución"," ---")))</f>
        <v>#REF!</v>
      </c>
      <c r="BT591" s="68" t="str">
        <f>'[1]DATA CONSOLIDADA 2018-2025 '!$BR591-Hoja1!$BO591</f>
        <v>#REF!</v>
      </c>
      <c r="BU591" s="65">
        <v>0.0</v>
      </c>
      <c r="BV591" s="65">
        <v>0.0</v>
      </c>
      <c r="BW591" s="66">
        <v>0.0</v>
      </c>
      <c r="BX591" s="67" t="str">
        <f>IF('[1]DATA CONSOLIDADA 2018-2025 '!$BW321&gt;'[1]DATA CONSOLIDADA 2018-2025 '!$BR321,"Incremento",IF('[1]DATA CONSOLIDADA 2018-2025 '!$BR321='[1]DATA CONSOLIDADA 2018-2025 '!$BW321,"Sin incremento",IF('[1]DATA CONSOLIDADA 2018-2025 '!$BW321&lt;'[1]DATA CONSOLIDADA 2018-2025 '!$BR321,"Disminución"," ---")))</f>
        <v>#REF!</v>
      </c>
      <c r="BY591" s="68" t="str">
        <f>'[1]DATA CONSOLIDADA 2018-2025 '!$BW321-'[1]DATA CONSOLIDADA 2018-2025 '!$BR321</f>
        <v>#REF!</v>
      </c>
      <c r="BZ591" s="65">
        <v>0.0</v>
      </c>
      <c r="CA591" s="65">
        <v>0.0</v>
      </c>
      <c r="CB591" s="66">
        <v>0.0</v>
      </c>
      <c r="CC591" s="67" t="str">
        <f>IF('[1]DATA CONSOLIDADA 2018-2025 '!$CB321&gt;'[1]DATA CONSOLIDADA 2018-2025 '!$BW321,"Incremento",IF('[1]DATA CONSOLIDADA 2018-2025 '!$BW321='[1]DATA CONSOLIDADA 2018-2025 '!$CB321,"Sin incremento",IF('[1]DATA CONSOLIDADA 2018-2025 '!$CB321&lt;'[1]DATA CONSOLIDADA 2018-2025 '!$BW321,"Disminución"," ---")))</f>
        <v>#REF!</v>
      </c>
      <c r="CD591" s="68" t="str">
        <f>'[1]DATA CONSOLIDADA 2018-2025 '!$CB591-Hoja1!$BW591</f>
        <v>#REF!</v>
      </c>
      <c r="CE591" s="70">
        <v>0.0</v>
      </c>
      <c r="CF591" s="70">
        <v>0.0</v>
      </c>
      <c r="CG591" s="71">
        <v>0.0</v>
      </c>
      <c r="CH591" s="67" t="str">
        <f>IF('[1]DATA CONSOLIDADA 2018-2025 '!$CG321&gt;'[1]DATA CONSOLIDADA 2018-2025 '!$CB321,"Incremento",IF('[1]DATA CONSOLIDADA 2018-2025 '!$CB321='[1]DATA CONSOLIDADA 2018-2025 '!$CG321,"Sin incremento",IF('[1]DATA CONSOLIDADA 2018-2025 '!$CG321&lt;'[1]DATA CONSOLIDADA 2018-2025 '!$CB321,"Disminución"," ---")))</f>
        <v>#REF!</v>
      </c>
      <c r="CI591" s="68" t="str">
        <f>'[1]DATA CONSOLIDADA 2018-2025 '!$CG591-Hoja1!$CB591</f>
        <v>#REF!</v>
      </c>
      <c r="CJ591" s="64" t="str">
        <f t="shared" si="216"/>
        <v>#REF!</v>
      </c>
      <c r="CK591" s="64">
        <v>0.0</v>
      </c>
      <c r="CL591" s="64">
        <v>0.0</v>
      </c>
      <c r="CM591" s="64">
        <v>0.0</v>
      </c>
      <c r="CN591" s="64" t="str">
        <f t="shared" si="12"/>
        <v>#REF!</v>
      </c>
      <c r="CO591" s="68" t="str">
        <f>'[1]DATA CONSOLIDADA 2018-2025 '!$CM591-Hoja1!$CG591</f>
        <v>#REF!</v>
      </c>
      <c r="CP591" s="70">
        <v>0.0</v>
      </c>
      <c r="CQ591" s="70">
        <v>0.0</v>
      </c>
      <c r="CR591" s="70">
        <v>0.0</v>
      </c>
      <c r="CS591" s="70">
        <v>0.0</v>
      </c>
      <c r="CT591" s="70">
        <v>0.0</v>
      </c>
      <c r="CU591" s="70">
        <v>0.0</v>
      </c>
      <c r="CV591" s="64">
        <v>0.0</v>
      </c>
      <c r="CW591" s="64">
        <v>0.0</v>
      </c>
      <c r="CX591" s="64">
        <v>0.0</v>
      </c>
      <c r="CY591" s="64">
        <v>0.0</v>
      </c>
      <c r="CZ591" s="64">
        <v>0.0</v>
      </c>
      <c r="DA591" s="64">
        <v>0.0</v>
      </c>
      <c r="DB591" s="64">
        <v>0.0</v>
      </c>
      <c r="DC591" s="72">
        <v>0.0</v>
      </c>
      <c r="DD591" s="72">
        <v>0.0</v>
      </c>
      <c r="DE591" s="72">
        <v>0.0</v>
      </c>
      <c r="DF591" s="72">
        <v>0.0</v>
      </c>
      <c r="DG591" s="72">
        <v>0.0</v>
      </c>
      <c r="DH591" s="72">
        <v>0.0</v>
      </c>
      <c r="DI591" s="73">
        <v>2.0601119316E10</v>
      </c>
      <c r="DJ591" s="74" t="s">
        <v>1805</v>
      </c>
      <c r="DK591" s="74" t="s">
        <v>132</v>
      </c>
      <c r="DL591" s="75"/>
      <c r="DM591" s="75"/>
      <c r="DN591" s="75"/>
      <c r="DO591" s="75"/>
      <c r="DP591" s="75"/>
      <c r="DQ591" s="75"/>
      <c r="DR591" s="75"/>
      <c r="DS591" s="75"/>
      <c r="DT591" s="75"/>
      <c r="DU591" s="75"/>
      <c r="DV591" s="75"/>
      <c r="DW591" s="75"/>
      <c r="DX591" s="75"/>
      <c r="DY591" s="75"/>
      <c r="DZ591" s="75"/>
      <c r="EA591" s="75"/>
      <c r="EB591" s="75"/>
      <c r="EC591" s="75"/>
      <c r="ED591" s="75"/>
      <c r="EE591" s="75"/>
    </row>
    <row r="592" ht="47.25" hidden="1" customHeight="1">
      <c r="A592" s="55" t="s">
        <v>1806</v>
      </c>
      <c r="B592" s="55" t="s">
        <v>819</v>
      </c>
      <c r="C592" s="55" t="s">
        <v>819</v>
      </c>
      <c r="D592" s="55" t="s">
        <v>607</v>
      </c>
      <c r="E592" s="55" t="s">
        <v>1807</v>
      </c>
      <c r="F592" s="55" t="s">
        <v>607</v>
      </c>
      <c r="G592" s="55" t="s">
        <v>609</v>
      </c>
      <c r="H592" s="55" t="s">
        <v>1808</v>
      </c>
      <c r="I592" s="56"/>
      <c r="J592" s="56"/>
      <c r="K592" s="56"/>
      <c r="L592" s="56"/>
      <c r="M592" s="56"/>
      <c r="N592" s="56"/>
      <c r="O592" s="56"/>
      <c r="P592" s="56">
        <v>1.0</v>
      </c>
      <c r="Q592" s="56" t="s">
        <v>131</v>
      </c>
      <c r="R592" s="58" t="str">
        <f t="shared" si="1"/>
        <v>2025</v>
      </c>
      <c r="S592" s="59" t="str">
        <f>SUM(Hoja1!$I592:$P592)</f>
        <v>1</v>
      </c>
      <c r="T592" s="59" t="str">
        <f>IF(OR(Hoja1!$J592=1,Hoja1!$K592=1,Hoja1!$L592=1,Hoja1!$M592=1,Hoja1!$N592=1,Hoja1!$O592=1,Hoja1!$P592=1),"SI","NO")</f>
        <v>SI</v>
      </c>
      <c r="U592" s="59" t="str">
        <f>IF(OR(Hoja1!$K592=1,Hoja1!$L592=1,Hoja1!$M592=1,Hoja1!$N592=1,Hoja1!$O592=1,Hoja1!$P592=1),"SI","NO")</f>
        <v>SI</v>
      </c>
      <c r="V592" s="60">
        <v>0.0</v>
      </c>
      <c r="W592" s="61">
        <v>0.0</v>
      </c>
      <c r="X592" s="61">
        <v>0.0</v>
      </c>
      <c r="Y592" s="60">
        <v>0.0</v>
      </c>
      <c r="Z592" s="61">
        <v>0.0</v>
      </c>
      <c r="AA592" s="61">
        <v>0.0</v>
      </c>
      <c r="AB592" s="60">
        <v>0.0</v>
      </c>
      <c r="AC592" s="61">
        <v>0.0</v>
      </c>
      <c r="AD592" s="61">
        <v>0.0</v>
      </c>
      <c r="AE592" s="60">
        <v>0.0</v>
      </c>
      <c r="AF592" s="61">
        <v>0.0</v>
      </c>
      <c r="AG592" s="61">
        <v>0.0</v>
      </c>
      <c r="AH592" s="60">
        <v>0.0</v>
      </c>
      <c r="AI592" s="61">
        <v>0.0</v>
      </c>
      <c r="AJ592" s="61">
        <v>0.0</v>
      </c>
      <c r="AK592" s="60">
        <v>0.0</v>
      </c>
      <c r="AL592" s="61">
        <v>0.0</v>
      </c>
      <c r="AM592" s="61">
        <v>0.0</v>
      </c>
      <c r="AN592" s="60">
        <v>0.0</v>
      </c>
      <c r="AO592" s="62">
        <v>22.0</v>
      </c>
      <c r="AP592" s="62">
        <v>14.0</v>
      </c>
      <c r="AQ592" s="60">
        <v>36.0</v>
      </c>
      <c r="AR592" s="60" t="str">
        <f>IF(Hoja1!$AQ592&gt;0,Hoja1!$AQ592,IF(Hoja1!$AN592&gt;0,Hoja1!$AN592,IF(Hoja1!$AK592&gt;0,Hoja1!$AK592,IF(Hoja1!$AH592&gt;0,Hoja1!$AH592,IF(Hoja1!$AE592&gt;0,Hoja1!$AE592,IF(Hoja1!$AB592&gt;0,Hoja1!$AB592,IF(Hoja1!$Y592&gt;0,Hoja1!$Y592,IF(Hoja1!$V592&gt;0,Hoja1!$V592," ---"))))))))</f>
        <v>36</v>
      </c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>
        <v>8.0</v>
      </c>
      <c r="BD592" s="63">
        <v>1.0</v>
      </c>
      <c r="BE592" s="64"/>
      <c r="BF592" s="69"/>
      <c r="BG592" s="69"/>
      <c r="BH592" s="64"/>
      <c r="BI592" s="67" t="str">
        <f t="shared" ref="BI592:BI595" si="253">IF('[1]DATA CONSOLIDADA 2018-2025 '!$BH581&gt;'[1]DATA CONSOLIDADA 2018-2025 '!$AN581,"Incremento",IF('[1]DATA CONSOLIDADA 2018-2025 '!$AN581='[1]DATA CONSOLIDADA 2018-2025 '!$BH581,"Sin incremento",IF('[1]DATA CONSOLIDADA 2018-2025 '!$BH581&lt;'[1]DATA CONSOLIDADA 2018-2025 '!$AN581,"Disminución"," ---")))</f>
        <v>#REF!</v>
      </c>
      <c r="BJ592" s="68" t="str">
        <f t="shared" ref="BJ592:BJ595" si="254">'[1]DATA CONSOLIDADA 2018-2025 '!$BH581-'[1]DATA CONSOLIDADA 2018-2025 '!$BE581</f>
        <v>#REF!</v>
      </c>
      <c r="BK592" s="69"/>
      <c r="BL592" s="69"/>
      <c r="BM592" s="64"/>
      <c r="BN592" s="67" t="str">
        <f t="shared" ref="BN592:BN595" si="255">IF('[1]DATA CONSOLIDADA 2018-2025 '!$BM581&gt;'[1]DATA CONSOLIDADA 2018-2025 '!$BH581,"Incremento",IF('[1]DATA CONSOLIDADA 2018-2025 '!$BH581='[1]DATA CONSOLIDADA 2018-2025 '!$BM581,"Sin incremento",IF('[1]DATA CONSOLIDADA 2018-2025 '!$BM581&lt;'[1]DATA CONSOLIDADA 2018-2025 '!$BH581,"Disminución"," ---")))</f>
        <v>#REF!</v>
      </c>
      <c r="BO592" s="68" t="str">
        <f t="shared" ref="BO592:BO595" si="256">'[1]DATA CONSOLIDADA 2018-2025 '!$BM581-'[1]DATA CONSOLIDADA 2018-2025 '!$BH581</f>
        <v>#REF!</v>
      </c>
      <c r="BP592" s="65"/>
      <c r="BQ592" s="65"/>
      <c r="BR592" s="66"/>
      <c r="BS592" s="67" t="str">
        <f t="shared" ref="BS592:BS595" si="257">IF('[1]DATA CONSOLIDADA 2018-2025 '!$BR581&gt;'[1]DATA CONSOLIDADA 2018-2025 '!$BM581,"Incremento",IF('[1]DATA CONSOLIDADA 2018-2025 '!$BM581='[1]DATA CONSOLIDADA 2018-2025 '!$BR581,"Sin incremento",IF('[1]DATA CONSOLIDADA 2018-2025 '!$BR581&lt;'[1]DATA CONSOLIDADA 2018-2025 '!$BM581,"Disminución"," ---")))</f>
        <v>#REF!</v>
      </c>
      <c r="BT592" s="68" t="str">
        <f>'[1]DATA CONSOLIDADA 2018-2025 '!$BR592-Hoja1!$BO592</f>
        <v>#REF!</v>
      </c>
      <c r="BU592" s="69"/>
      <c r="BV592" s="65"/>
      <c r="BW592" s="66"/>
      <c r="BX592" s="67" t="str">
        <f t="shared" ref="BX592:BX595" si="258">IF('[1]DATA CONSOLIDADA 2018-2025 '!$BW581&gt;'[1]DATA CONSOLIDADA 2018-2025 '!$BR581,"Incremento",IF('[1]DATA CONSOLIDADA 2018-2025 '!$BR581='[1]DATA CONSOLIDADA 2018-2025 '!$BW581,"Sin incremento",IF('[1]DATA CONSOLIDADA 2018-2025 '!$BW581&lt;'[1]DATA CONSOLIDADA 2018-2025 '!$BR581,"Disminución"," ---")))</f>
        <v>#REF!</v>
      </c>
      <c r="BY592" s="68" t="str">
        <f t="shared" ref="BY592:BY595" si="259">'[1]DATA CONSOLIDADA 2018-2025 '!$BW581-'[1]DATA CONSOLIDADA 2018-2025 '!$BR581</f>
        <v>#REF!</v>
      </c>
      <c r="BZ592" s="65"/>
      <c r="CA592" s="65"/>
      <c r="CB592" s="66"/>
      <c r="CC592" s="67" t="str">
        <f t="shared" ref="CC592:CC595" si="260">IF('[1]DATA CONSOLIDADA 2018-2025 '!$CB581&gt;'[1]DATA CONSOLIDADA 2018-2025 '!$BW581,"Incremento",IF('[1]DATA CONSOLIDADA 2018-2025 '!$BW581='[1]DATA CONSOLIDADA 2018-2025 '!$CB581,"Sin incremento",IF('[1]DATA CONSOLIDADA 2018-2025 '!$CB581&lt;'[1]DATA CONSOLIDADA 2018-2025 '!$BW581,"Disminución"," ---")))</f>
        <v>#REF!</v>
      </c>
      <c r="CD592" s="68" t="str">
        <f>'[1]DATA CONSOLIDADA 2018-2025 '!$CB592-Hoja1!$BW592</f>
        <v>#REF!</v>
      </c>
      <c r="CE592" s="70"/>
      <c r="CF592" s="70"/>
      <c r="CG592" s="71"/>
      <c r="CH592" s="67" t="str">
        <f t="shared" ref="CH592:CH595" si="261">IF('[1]DATA CONSOLIDADA 2018-2025 '!$CG581&gt;'[1]DATA CONSOLIDADA 2018-2025 '!$CB581,"Incremento",IF('[1]DATA CONSOLIDADA 2018-2025 '!$CB581='[1]DATA CONSOLIDADA 2018-2025 '!$CG581,"Sin incremento",IF('[1]DATA CONSOLIDADA 2018-2025 '!$CG581&lt;'[1]DATA CONSOLIDADA 2018-2025 '!$CB581,"Disminución"," ---")))</f>
        <v>#REF!</v>
      </c>
      <c r="CI592" s="68" t="str">
        <f>'[1]DATA CONSOLIDADA 2018-2025 '!$CG592-Hoja1!$CB592</f>
        <v>#REF!</v>
      </c>
      <c r="CJ592" s="64" t="str">
        <f t="shared" si="216"/>
        <v>#REF!</v>
      </c>
      <c r="CK592" s="64">
        <v>18371.399999999998</v>
      </c>
      <c r="CL592" s="64">
        <v>0.0</v>
      </c>
      <c r="CM592" s="64">
        <v>18371.399999999998</v>
      </c>
      <c r="CN592" s="64" t="str">
        <f t="shared" si="12"/>
        <v>#REF!</v>
      </c>
      <c r="CO592" s="68" t="str">
        <f>'[1]DATA CONSOLIDADA 2018-2025 '!$CM592-Hoja1!$CG592</f>
        <v>#REF!</v>
      </c>
      <c r="CP592" s="70"/>
      <c r="CQ592" s="70"/>
      <c r="CR592" s="70"/>
      <c r="CS592" s="70"/>
      <c r="CT592" s="70"/>
      <c r="CU592" s="70"/>
      <c r="CV592" s="64"/>
      <c r="CW592" s="64"/>
      <c r="CX592" s="64"/>
      <c r="CY592" s="64"/>
      <c r="CZ592" s="64"/>
      <c r="DA592" s="64"/>
      <c r="DB592" s="64"/>
      <c r="DC592" s="72">
        <v>0.0</v>
      </c>
      <c r="DD592" s="72">
        <v>4800.0</v>
      </c>
      <c r="DE592" s="72">
        <v>13571.400000000001</v>
      </c>
      <c r="DF592" s="72">
        <v>0.0</v>
      </c>
      <c r="DG592" s="72">
        <v>0.0</v>
      </c>
      <c r="DH592" s="72">
        <v>18371.4</v>
      </c>
      <c r="DI592" s="73">
        <v>2.0612982407E10</v>
      </c>
      <c r="DJ592" s="74" t="s">
        <v>1809</v>
      </c>
      <c r="DK592" s="74" t="s">
        <v>138</v>
      </c>
      <c r="DL592" s="75"/>
      <c r="DM592" s="75"/>
      <c r="DN592" s="75"/>
      <c r="DO592" s="75"/>
      <c r="DP592" s="75"/>
      <c r="DQ592" s="75"/>
      <c r="DR592" s="75"/>
      <c r="DS592" s="75"/>
      <c r="DT592" s="75"/>
      <c r="DU592" s="75"/>
      <c r="DV592" s="75"/>
      <c r="DW592" s="75"/>
      <c r="DX592" s="75"/>
      <c r="DY592" s="75"/>
      <c r="DZ592" s="75"/>
      <c r="EA592" s="75"/>
      <c r="EB592" s="75"/>
      <c r="EC592" s="75"/>
      <c r="ED592" s="75"/>
      <c r="EE592" s="75"/>
    </row>
    <row r="593" ht="47.25" hidden="1" customHeight="1">
      <c r="A593" s="55" t="s">
        <v>1810</v>
      </c>
      <c r="B593" s="55" t="s">
        <v>1305</v>
      </c>
      <c r="C593" s="55" t="s">
        <v>1811</v>
      </c>
      <c r="D593" s="55" t="s">
        <v>607</v>
      </c>
      <c r="E593" s="55" t="s">
        <v>836</v>
      </c>
      <c r="F593" s="55" t="s">
        <v>607</v>
      </c>
      <c r="G593" s="55" t="s">
        <v>609</v>
      </c>
      <c r="H593" s="55" t="s">
        <v>837</v>
      </c>
      <c r="I593" s="56"/>
      <c r="J593" s="56"/>
      <c r="K593" s="56"/>
      <c r="L593" s="56"/>
      <c r="M593" s="56"/>
      <c r="N593" s="56"/>
      <c r="O593" s="56"/>
      <c r="P593" s="56">
        <v>1.0</v>
      </c>
      <c r="Q593" s="56" t="s">
        <v>131</v>
      </c>
      <c r="R593" s="58" t="str">
        <f t="shared" si="1"/>
        <v>2025</v>
      </c>
      <c r="S593" s="59" t="str">
        <f>SUM(Hoja1!$I593:$P593)</f>
        <v>1</v>
      </c>
      <c r="T593" s="59" t="str">
        <f>IF(OR(Hoja1!$J593=1,Hoja1!$K593=1,Hoja1!$L593=1,Hoja1!$M593=1,Hoja1!$N593=1,Hoja1!$O593=1,Hoja1!$P593=1),"SI","NO")</f>
        <v>SI</v>
      </c>
      <c r="U593" s="59" t="str">
        <f>IF(OR(Hoja1!$K593=1,Hoja1!$L593=1,Hoja1!$M593=1,Hoja1!$N593=1,Hoja1!$O593=1,Hoja1!$P593=1),"SI","NO")</f>
        <v>SI</v>
      </c>
      <c r="V593" s="60">
        <v>0.0</v>
      </c>
      <c r="W593" s="61">
        <v>0.0</v>
      </c>
      <c r="X593" s="61">
        <v>0.0</v>
      </c>
      <c r="Y593" s="60">
        <v>0.0</v>
      </c>
      <c r="Z593" s="61">
        <v>0.0</v>
      </c>
      <c r="AA593" s="61">
        <v>0.0</v>
      </c>
      <c r="AB593" s="60">
        <v>0.0</v>
      </c>
      <c r="AC593" s="61">
        <v>0.0</v>
      </c>
      <c r="AD593" s="61">
        <v>0.0</v>
      </c>
      <c r="AE593" s="60">
        <v>0.0</v>
      </c>
      <c r="AF593" s="61">
        <v>0.0</v>
      </c>
      <c r="AG593" s="61">
        <v>0.0</v>
      </c>
      <c r="AH593" s="60">
        <v>0.0</v>
      </c>
      <c r="AI593" s="61">
        <v>0.0</v>
      </c>
      <c r="AJ593" s="61">
        <v>0.0</v>
      </c>
      <c r="AK593" s="60">
        <v>0.0</v>
      </c>
      <c r="AL593" s="61">
        <v>0.0</v>
      </c>
      <c r="AM593" s="61">
        <v>0.0</v>
      </c>
      <c r="AN593" s="60">
        <v>0.0</v>
      </c>
      <c r="AO593" s="62">
        <v>25.0</v>
      </c>
      <c r="AP593" s="62">
        <v>19.0</v>
      </c>
      <c r="AQ593" s="60">
        <v>44.0</v>
      </c>
      <c r="AR593" s="60" t="str">
        <f>IF(Hoja1!$AQ593&gt;0,Hoja1!$AQ593,IF(Hoja1!$AN593&gt;0,Hoja1!$AN593,IF(Hoja1!$AK593&gt;0,Hoja1!$AK593,IF(Hoja1!$AH593&gt;0,Hoja1!$AH593,IF(Hoja1!$AE593&gt;0,Hoja1!$AE593,IF(Hoja1!$AB593&gt;0,Hoja1!$AB593,IF(Hoja1!$Y593&gt;0,Hoja1!$Y593,IF(Hoja1!$V593&gt;0,Hoja1!$V593," ---"))))))))</f>
        <v>44</v>
      </c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>
        <v>9.0</v>
      </c>
      <c r="BD593" s="63">
        <v>0.0</v>
      </c>
      <c r="BE593" s="64"/>
      <c r="BF593" s="69"/>
      <c r="BG593" s="69"/>
      <c r="BH593" s="64"/>
      <c r="BI593" s="67" t="str">
        <f t="shared" si="253"/>
        <v>#REF!</v>
      </c>
      <c r="BJ593" s="68" t="str">
        <f t="shared" si="254"/>
        <v>#REF!</v>
      </c>
      <c r="BK593" s="69"/>
      <c r="BL593" s="69"/>
      <c r="BM593" s="64"/>
      <c r="BN593" s="67" t="str">
        <f t="shared" si="255"/>
        <v>#REF!</v>
      </c>
      <c r="BO593" s="68" t="str">
        <f t="shared" si="256"/>
        <v>#REF!</v>
      </c>
      <c r="BP593" s="65"/>
      <c r="BQ593" s="65"/>
      <c r="BR593" s="66"/>
      <c r="BS593" s="67" t="str">
        <f t="shared" si="257"/>
        <v>#REF!</v>
      </c>
      <c r="BT593" s="68" t="str">
        <f>'[1]DATA CONSOLIDADA 2018-2025 '!$BR593-Hoja1!$BO593</f>
        <v>#REF!</v>
      </c>
      <c r="BU593" s="69"/>
      <c r="BV593" s="65"/>
      <c r="BW593" s="66"/>
      <c r="BX593" s="67" t="str">
        <f t="shared" si="258"/>
        <v>#REF!</v>
      </c>
      <c r="BY593" s="68" t="str">
        <f t="shared" si="259"/>
        <v>#REF!</v>
      </c>
      <c r="BZ593" s="65"/>
      <c r="CA593" s="65"/>
      <c r="CB593" s="66"/>
      <c r="CC593" s="67" t="str">
        <f t="shared" si="260"/>
        <v>#REF!</v>
      </c>
      <c r="CD593" s="68" t="str">
        <f>'[1]DATA CONSOLIDADA 2018-2025 '!$CB593-Hoja1!$BW593</f>
        <v>#REF!</v>
      </c>
      <c r="CE593" s="70"/>
      <c r="CF593" s="70"/>
      <c r="CG593" s="71"/>
      <c r="CH593" s="67" t="str">
        <f t="shared" si="261"/>
        <v>#REF!</v>
      </c>
      <c r="CI593" s="68" t="str">
        <f>'[1]DATA CONSOLIDADA 2018-2025 '!$CG593-Hoja1!$CB593</f>
        <v>#REF!</v>
      </c>
      <c r="CJ593" s="64" t="str">
        <f t="shared" si="216"/>
        <v>#REF!</v>
      </c>
      <c r="CK593" s="64">
        <v>95510.0</v>
      </c>
      <c r="CL593" s="64">
        <v>0.0</v>
      </c>
      <c r="CM593" s="64">
        <v>95510.0</v>
      </c>
      <c r="CN593" s="64" t="str">
        <f t="shared" si="12"/>
        <v>#REF!</v>
      </c>
      <c r="CO593" s="68" t="str">
        <f>'[1]DATA CONSOLIDADA 2018-2025 '!$CM593-Hoja1!$CG593</f>
        <v>#REF!</v>
      </c>
      <c r="CP593" s="70"/>
      <c r="CQ593" s="70"/>
      <c r="CR593" s="70"/>
      <c r="CS593" s="70"/>
      <c r="CT593" s="70"/>
      <c r="CU593" s="70"/>
      <c r="CV593" s="64"/>
      <c r="CW593" s="64"/>
      <c r="CX593" s="64"/>
      <c r="CY593" s="64"/>
      <c r="CZ593" s="64"/>
      <c r="DA593" s="64"/>
      <c r="DB593" s="64"/>
      <c r="DC593" s="72">
        <v>0.0</v>
      </c>
      <c r="DD593" s="72">
        <v>310.0</v>
      </c>
      <c r="DE593" s="72">
        <v>95200.0</v>
      </c>
      <c r="DF593" s="72">
        <v>0.0</v>
      </c>
      <c r="DG593" s="72">
        <v>0.0</v>
      </c>
      <c r="DH593" s="72">
        <v>95510.0</v>
      </c>
      <c r="DI593" s="73">
        <v>2.0601320348E10</v>
      </c>
      <c r="DJ593" s="74" t="s">
        <v>1812</v>
      </c>
      <c r="DK593" s="74" t="s">
        <v>138</v>
      </c>
      <c r="DL593" s="75"/>
      <c r="DM593" s="75"/>
      <c r="DN593" s="75"/>
      <c r="DO593" s="75"/>
      <c r="DP593" s="75"/>
      <c r="DQ593" s="75"/>
      <c r="DR593" s="75"/>
      <c r="DS593" s="75"/>
      <c r="DT593" s="75"/>
      <c r="DU593" s="75"/>
      <c r="DV593" s="75"/>
      <c r="DW593" s="75"/>
      <c r="DX593" s="75"/>
      <c r="DY593" s="75"/>
      <c r="DZ593" s="75"/>
      <c r="EA593" s="75"/>
      <c r="EB593" s="75"/>
      <c r="EC593" s="75"/>
      <c r="ED593" s="75"/>
      <c r="EE593" s="75"/>
    </row>
    <row r="594" ht="47.25" customHeight="1">
      <c r="A594" s="55" t="s">
        <v>1813</v>
      </c>
      <c r="B594" s="55" t="s">
        <v>146</v>
      </c>
      <c r="C594" s="55" t="s">
        <v>432</v>
      </c>
      <c r="D594" s="55" t="s">
        <v>607</v>
      </c>
      <c r="E594" s="55" t="s">
        <v>608</v>
      </c>
      <c r="F594" s="55" t="s">
        <v>607</v>
      </c>
      <c r="G594" s="55" t="s">
        <v>609</v>
      </c>
      <c r="H594" s="55" t="s">
        <v>610</v>
      </c>
      <c r="I594" s="56"/>
      <c r="J594" s="56"/>
      <c r="K594" s="56"/>
      <c r="L594" s="56"/>
      <c r="M594" s="56"/>
      <c r="N594" s="56"/>
      <c r="O594" s="56"/>
      <c r="P594" s="56">
        <v>1.0</v>
      </c>
      <c r="Q594" s="56" t="s">
        <v>131</v>
      </c>
      <c r="R594" s="58" t="str">
        <f t="shared" si="1"/>
        <v>2025</v>
      </c>
      <c r="S594" s="59" t="str">
        <f>SUM(Hoja1!$I594:$P594)</f>
        <v>1</v>
      </c>
      <c r="T594" s="59" t="str">
        <f>IF(OR(Hoja1!$J594=1,Hoja1!$K594=1,Hoja1!$L594=1,Hoja1!$M594=1,Hoja1!$N594=1,Hoja1!$O594=1,Hoja1!$P594=1),"SI","NO")</f>
        <v>SI</v>
      </c>
      <c r="U594" s="59" t="str">
        <f>IF(OR(Hoja1!$K594=1,Hoja1!$L594=1,Hoja1!$M594=1,Hoja1!$N594=1,Hoja1!$O594=1,Hoja1!$P594=1),"SI","NO")</f>
        <v>SI</v>
      </c>
      <c r="V594" s="60">
        <v>0.0</v>
      </c>
      <c r="W594" s="61">
        <v>0.0</v>
      </c>
      <c r="X594" s="61">
        <v>0.0</v>
      </c>
      <c r="Y594" s="60">
        <v>0.0</v>
      </c>
      <c r="Z594" s="61">
        <v>0.0</v>
      </c>
      <c r="AA594" s="61">
        <v>0.0</v>
      </c>
      <c r="AB594" s="60">
        <v>0.0</v>
      </c>
      <c r="AC594" s="61">
        <v>0.0</v>
      </c>
      <c r="AD594" s="61">
        <v>0.0</v>
      </c>
      <c r="AE594" s="60">
        <v>0.0</v>
      </c>
      <c r="AF594" s="61">
        <v>0.0</v>
      </c>
      <c r="AG594" s="61">
        <v>0.0</v>
      </c>
      <c r="AH594" s="60">
        <v>0.0</v>
      </c>
      <c r="AI594" s="61">
        <v>0.0</v>
      </c>
      <c r="AJ594" s="61">
        <v>0.0</v>
      </c>
      <c r="AK594" s="60">
        <v>0.0</v>
      </c>
      <c r="AL594" s="61">
        <v>0.0</v>
      </c>
      <c r="AM594" s="61">
        <v>0.0</v>
      </c>
      <c r="AN594" s="60">
        <v>0.0</v>
      </c>
      <c r="AO594" s="62">
        <v>26.0</v>
      </c>
      <c r="AP594" s="62">
        <v>4.0</v>
      </c>
      <c r="AQ594" s="60">
        <v>30.0</v>
      </c>
      <c r="AR594" s="60" t="str">
        <f>IF(Hoja1!$AQ594&gt;0,Hoja1!$AQ594,IF(Hoja1!$AN594&gt;0,Hoja1!$AN594,IF(Hoja1!$AK594&gt;0,Hoja1!$AK594,IF(Hoja1!$AH594&gt;0,Hoja1!$AH594,IF(Hoja1!$AE594&gt;0,Hoja1!$AE594,IF(Hoja1!$AB594&gt;0,Hoja1!$AB594,IF(Hoja1!$Y594&gt;0,Hoja1!$Y594,IF(Hoja1!$V594&gt;0,Hoja1!$V594," ---"))))))))</f>
        <v>30</v>
      </c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>
        <v>5.0</v>
      </c>
      <c r="BD594" s="63">
        <v>0.0</v>
      </c>
      <c r="BE594" s="64"/>
      <c r="BF594" s="69"/>
      <c r="BG594" s="69"/>
      <c r="BH594" s="64"/>
      <c r="BI594" s="67" t="str">
        <f t="shared" si="253"/>
        <v>#REF!</v>
      </c>
      <c r="BJ594" s="68" t="str">
        <f t="shared" si="254"/>
        <v>#REF!</v>
      </c>
      <c r="BK594" s="69"/>
      <c r="BL594" s="69"/>
      <c r="BM594" s="64"/>
      <c r="BN594" s="67" t="str">
        <f t="shared" si="255"/>
        <v>#REF!</v>
      </c>
      <c r="BO594" s="68" t="str">
        <f t="shared" si="256"/>
        <v>#REF!</v>
      </c>
      <c r="BP594" s="65"/>
      <c r="BQ594" s="65"/>
      <c r="BR594" s="66"/>
      <c r="BS594" s="67" t="str">
        <f t="shared" si="257"/>
        <v>#REF!</v>
      </c>
      <c r="BT594" s="68" t="str">
        <f>'[1]DATA CONSOLIDADA 2018-2025 '!$BR594-Hoja1!$BO594</f>
        <v>#REF!</v>
      </c>
      <c r="BU594" s="69"/>
      <c r="BV594" s="65"/>
      <c r="BW594" s="66"/>
      <c r="BX594" s="67" t="str">
        <f t="shared" si="258"/>
        <v>#REF!</v>
      </c>
      <c r="BY594" s="68" t="str">
        <f t="shared" si="259"/>
        <v>#REF!</v>
      </c>
      <c r="BZ594" s="65"/>
      <c r="CA594" s="65"/>
      <c r="CB594" s="66"/>
      <c r="CC594" s="67" t="str">
        <f t="shared" si="260"/>
        <v>#REF!</v>
      </c>
      <c r="CD594" s="68" t="str">
        <f>'[1]DATA CONSOLIDADA 2018-2025 '!$CB594-Hoja1!$BW594</f>
        <v>#REF!</v>
      </c>
      <c r="CE594" s="70"/>
      <c r="CF594" s="70"/>
      <c r="CG594" s="71"/>
      <c r="CH594" s="67" t="str">
        <f t="shared" si="261"/>
        <v>#REF!</v>
      </c>
      <c r="CI594" s="68" t="str">
        <f>'[1]DATA CONSOLIDADA 2018-2025 '!$CG594-Hoja1!$CB594</f>
        <v>#REF!</v>
      </c>
      <c r="CJ594" s="64" t="str">
        <f t="shared" si="216"/>
        <v>#REF!</v>
      </c>
      <c r="CK594" s="64">
        <v>0.0</v>
      </c>
      <c r="CL594" s="64">
        <v>0.0</v>
      </c>
      <c r="CM594" s="64">
        <v>0.0</v>
      </c>
      <c r="CN594" s="64" t="str">
        <f t="shared" si="12"/>
        <v>#REF!</v>
      </c>
      <c r="CO594" s="68" t="str">
        <f>'[1]DATA CONSOLIDADA 2018-2025 '!$CM594-Hoja1!$CG594</f>
        <v>#REF!</v>
      </c>
      <c r="CP594" s="70"/>
      <c r="CQ594" s="70"/>
      <c r="CR594" s="70"/>
      <c r="CS594" s="70"/>
      <c r="CT594" s="70"/>
      <c r="CU594" s="70"/>
      <c r="CV594" s="64"/>
      <c r="CW594" s="64"/>
      <c r="CX594" s="64"/>
      <c r="CY594" s="64"/>
      <c r="CZ594" s="64"/>
      <c r="DA594" s="64"/>
      <c r="DB594" s="64"/>
      <c r="DC594" s="72">
        <v>0.0</v>
      </c>
      <c r="DD594" s="72">
        <v>0.0</v>
      </c>
      <c r="DE594" s="72">
        <v>0.0</v>
      </c>
      <c r="DF594" s="72">
        <v>0.0</v>
      </c>
      <c r="DG594" s="72">
        <v>0.0</v>
      </c>
      <c r="DH594" s="72">
        <v>0.0</v>
      </c>
      <c r="DI594" s="73">
        <v>2.0494145791E10</v>
      </c>
      <c r="DJ594" s="74" t="s">
        <v>1813</v>
      </c>
      <c r="DK594" s="74" t="s">
        <v>138</v>
      </c>
      <c r="DL594" s="75"/>
      <c r="DM594" s="75"/>
      <c r="DN594" s="75"/>
      <c r="DO594" s="75"/>
      <c r="DP594" s="75"/>
      <c r="DQ594" s="75"/>
      <c r="DR594" s="75"/>
      <c r="DS594" s="75"/>
      <c r="DT594" s="75"/>
      <c r="DU594" s="75"/>
      <c r="DV594" s="75"/>
      <c r="DW594" s="75"/>
      <c r="DX594" s="75"/>
      <c r="DY594" s="75"/>
      <c r="DZ594" s="75"/>
      <c r="EA594" s="75"/>
      <c r="EB594" s="75"/>
      <c r="EC594" s="75"/>
      <c r="ED594" s="75"/>
      <c r="EE594" s="75"/>
    </row>
    <row r="595" ht="47.25" hidden="1" customHeight="1">
      <c r="A595" s="55" t="s">
        <v>1814</v>
      </c>
      <c r="B595" s="55" t="s">
        <v>1197</v>
      </c>
      <c r="C595" s="55" t="s">
        <v>1197</v>
      </c>
      <c r="D595" s="55" t="s">
        <v>889</v>
      </c>
      <c r="E595" s="55" t="s">
        <v>1815</v>
      </c>
      <c r="F595" s="55" t="s">
        <v>889</v>
      </c>
      <c r="G595" s="55" t="s">
        <v>890</v>
      </c>
      <c r="H595" s="55" t="s">
        <v>1816</v>
      </c>
      <c r="I595" s="56"/>
      <c r="J595" s="56"/>
      <c r="K595" s="56"/>
      <c r="L595" s="56"/>
      <c r="M595" s="56"/>
      <c r="N595" s="56"/>
      <c r="O595" s="56"/>
      <c r="P595" s="56">
        <v>1.0</v>
      </c>
      <c r="Q595" s="56" t="s">
        <v>131</v>
      </c>
      <c r="R595" s="58" t="str">
        <f t="shared" si="1"/>
        <v>2025</v>
      </c>
      <c r="S595" s="59" t="str">
        <f>SUM(Hoja1!$I595:$P595)</f>
        <v>1</v>
      </c>
      <c r="T595" s="59" t="str">
        <f>IF(OR(Hoja1!$J595=1,Hoja1!$K595=1,Hoja1!$L595=1,Hoja1!$M595=1,Hoja1!$N595=1,Hoja1!$O595=1,Hoja1!$P595=1),"SI","NO")</f>
        <v>SI</v>
      </c>
      <c r="U595" s="59" t="str">
        <f>IF(OR(Hoja1!$K595=1,Hoja1!$L595=1,Hoja1!$M595=1,Hoja1!$N595=1,Hoja1!$O595=1,Hoja1!$P595=1),"SI","NO")</f>
        <v>SI</v>
      </c>
      <c r="V595" s="60">
        <v>0.0</v>
      </c>
      <c r="W595" s="61">
        <v>0.0</v>
      </c>
      <c r="X595" s="61">
        <v>0.0</v>
      </c>
      <c r="Y595" s="60">
        <v>0.0</v>
      </c>
      <c r="Z595" s="61">
        <v>0.0</v>
      </c>
      <c r="AA595" s="61">
        <v>0.0</v>
      </c>
      <c r="AB595" s="60">
        <v>0.0</v>
      </c>
      <c r="AC595" s="61">
        <v>0.0</v>
      </c>
      <c r="AD595" s="61">
        <v>0.0</v>
      </c>
      <c r="AE595" s="60">
        <v>0.0</v>
      </c>
      <c r="AF595" s="61">
        <v>0.0</v>
      </c>
      <c r="AG595" s="61">
        <v>0.0</v>
      </c>
      <c r="AH595" s="60">
        <v>0.0</v>
      </c>
      <c r="AI595" s="61">
        <v>0.0</v>
      </c>
      <c r="AJ595" s="61">
        <v>0.0</v>
      </c>
      <c r="AK595" s="60">
        <v>0.0</v>
      </c>
      <c r="AL595" s="61">
        <v>0.0</v>
      </c>
      <c r="AM595" s="61">
        <v>0.0</v>
      </c>
      <c r="AN595" s="60">
        <v>0.0</v>
      </c>
      <c r="AO595" s="62">
        <v>42.0</v>
      </c>
      <c r="AP595" s="62">
        <v>40.0</v>
      </c>
      <c r="AQ595" s="60">
        <v>82.0</v>
      </c>
      <c r="AR595" s="60" t="str">
        <f>IF(Hoja1!$AQ595&gt;0,Hoja1!$AQ595,IF(Hoja1!$AN595&gt;0,Hoja1!$AN595,IF(Hoja1!$AK595&gt;0,Hoja1!$AK595,IF(Hoja1!$AH595&gt;0,Hoja1!$AH595,IF(Hoja1!$AE595&gt;0,Hoja1!$AE595,IF(Hoja1!$AB595&gt;0,Hoja1!$AB595,IF(Hoja1!$Y595&gt;0,Hoja1!$Y595,IF(Hoja1!$V595&gt;0,Hoja1!$V595," ---"))))))))</f>
        <v>82</v>
      </c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>
        <v>20.0</v>
      </c>
      <c r="BD595" s="63">
        <v>4.0</v>
      </c>
      <c r="BE595" s="64"/>
      <c r="BF595" s="69"/>
      <c r="BG595" s="69"/>
      <c r="BH595" s="64"/>
      <c r="BI595" s="67" t="str">
        <f t="shared" si="253"/>
        <v>#REF!</v>
      </c>
      <c r="BJ595" s="68" t="str">
        <f t="shared" si="254"/>
        <v>#REF!</v>
      </c>
      <c r="BK595" s="69"/>
      <c r="BL595" s="69"/>
      <c r="BM595" s="64"/>
      <c r="BN595" s="67" t="str">
        <f t="shared" si="255"/>
        <v>#REF!</v>
      </c>
      <c r="BO595" s="68" t="str">
        <f t="shared" si="256"/>
        <v>#REF!</v>
      </c>
      <c r="BP595" s="65"/>
      <c r="BQ595" s="65"/>
      <c r="BR595" s="66"/>
      <c r="BS595" s="67" t="str">
        <f t="shared" si="257"/>
        <v>#REF!</v>
      </c>
      <c r="BT595" s="68" t="str">
        <f>'[1]DATA CONSOLIDADA 2018-2025 '!$BR595-Hoja1!$BO595</f>
        <v>#REF!</v>
      </c>
      <c r="BU595" s="69"/>
      <c r="BV595" s="65"/>
      <c r="BW595" s="66"/>
      <c r="BX595" s="67" t="str">
        <f t="shared" si="258"/>
        <v>#REF!</v>
      </c>
      <c r="BY595" s="68" t="str">
        <f t="shared" si="259"/>
        <v>#REF!</v>
      </c>
      <c r="BZ595" s="65"/>
      <c r="CA595" s="65"/>
      <c r="CB595" s="66"/>
      <c r="CC595" s="67" t="str">
        <f t="shared" si="260"/>
        <v>#REF!</v>
      </c>
      <c r="CD595" s="68" t="str">
        <f>'[1]DATA CONSOLIDADA 2018-2025 '!$CB595-Hoja1!$BW595</f>
        <v>#REF!</v>
      </c>
      <c r="CE595" s="70"/>
      <c r="CF595" s="70"/>
      <c r="CG595" s="71"/>
      <c r="CH595" s="67" t="str">
        <f t="shared" si="261"/>
        <v>#REF!</v>
      </c>
      <c r="CI595" s="68" t="str">
        <f>'[1]DATA CONSOLIDADA 2018-2025 '!$CG595-Hoja1!$CB595</f>
        <v>#REF!</v>
      </c>
      <c r="CJ595" s="64" t="str">
        <f t="shared" si="216"/>
        <v>#REF!</v>
      </c>
      <c r="CK595" s="64">
        <v>146550.0</v>
      </c>
      <c r="CL595" s="64">
        <v>0.0</v>
      </c>
      <c r="CM595" s="64">
        <v>146550.0</v>
      </c>
      <c r="CN595" s="64" t="str">
        <f t="shared" si="12"/>
        <v>#REF!</v>
      </c>
      <c r="CO595" s="68" t="str">
        <f>'[1]DATA CONSOLIDADA 2018-2025 '!$CM595-Hoja1!$CG595</f>
        <v>#REF!</v>
      </c>
      <c r="CP595" s="70"/>
      <c r="CQ595" s="70"/>
      <c r="CR595" s="70"/>
      <c r="CS595" s="70"/>
      <c r="CT595" s="70"/>
      <c r="CU595" s="70"/>
      <c r="CV595" s="64"/>
      <c r="CW595" s="64"/>
      <c r="CX595" s="64"/>
      <c r="CY595" s="64"/>
      <c r="CZ595" s="64"/>
      <c r="DA595" s="64"/>
      <c r="DB595" s="64"/>
      <c r="DC595" s="72">
        <v>0.0</v>
      </c>
      <c r="DD595" s="72">
        <v>146550.0</v>
      </c>
      <c r="DE595" s="72">
        <v>0.0</v>
      </c>
      <c r="DF595" s="72">
        <v>0.0</v>
      </c>
      <c r="DG595" s="72">
        <v>0.0</v>
      </c>
      <c r="DH595" s="72">
        <v>146550.0</v>
      </c>
      <c r="DI595" s="73">
        <v>2.061183157E10</v>
      </c>
      <c r="DJ595" s="74" t="s">
        <v>1814</v>
      </c>
      <c r="DK595" s="74" t="s">
        <v>138</v>
      </c>
      <c r="DL595" s="75"/>
      <c r="DM595" s="75"/>
      <c r="DN595" s="75"/>
      <c r="DO595" s="75"/>
      <c r="DP595" s="75"/>
      <c r="DQ595" s="75"/>
      <c r="DR595" s="75"/>
      <c r="DS595" s="75"/>
      <c r="DT595" s="75"/>
      <c r="DU595" s="75"/>
      <c r="DV595" s="75"/>
      <c r="DW595" s="75"/>
      <c r="DX595" s="75"/>
      <c r="DY595" s="75"/>
      <c r="DZ595" s="75"/>
      <c r="EA595" s="75"/>
      <c r="EB595" s="75"/>
      <c r="EC595" s="75"/>
      <c r="ED595" s="75"/>
      <c r="EE595" s="75"/>
    </row>
    <row r="596" ht="47.25" hidden="1" customHeight="1">
      <c r="A596" s="55" t="s">
        <v>1817</v>
      </c>
      <c r="B596" s="55" t="s">
        <v>250</v>
      </c>
      <c r="C596" s="55" t="s">
        <v>250</v>
      </c>
      <c r="D596" s="55" t="s">
        <v>889</v>
      </c>
      <c r="E596" s="55" t="s">
        <v>1706</v>
      </c>
      <c r="F596" s="55" t="s">
        <v>889</v>
      </c>
      <c r="G596" s="55" t="s">
        <v>900</v>
      </c>
      <c r="H596" s="55" t="s">
        <v>1707</v>
      </c>
      <c r="I596" s="56"/>
      <c r="J596" s="56"/>
      <c r="K596" s="56"/>
      <c r="L596" s="56"/>
      <c r="M596" s="56"/>
      <c r="N596" s="56"/>
      <c r="O596" s="56"/>
      <c r="P596" s="56">
        <v>1.0</v>
      </c>
      <c r="Q596" s="56" t="s">
        <v>131</v>
      </c>
      <c r="R596" s="58" t="str">
        <f t="shared" si="1"/>
        <v>2025</v>
      </c>
      <c r="S596" s="59" t="str">
        <f>SUM(Hoja1!$I596:$P596)</f>
        <v>1</v>
      </c>
      <c r="T596" s="59" t="str">
        <f>IF(OR(Hoja1!$J596=1,Hoja1!$K596=1,Hoja1!$L596=1,Hoja1!$M596=1,Hoja1!$N596=1,Hoja1!$O596=1,Hoja1!$P596=1),"SI","NO")</f>
        <v>SI</v>
      </c>
      <c r="U596" s="59" t="str">
        <f>IF(OR(Hoja1!$K596=1,Hoja1!$L596=1,Hoja1!$M596=1,Hoja1!$N596=1,Hoja1!$O596=1,Hoja1!$P596=1),"SI","NO")</f>
        <v>SI</v>
      </c>
      <c r="V596" s="60">
        <v>0.0</v>
      </c>
      <c r="W596" s="61">
        <v>0.0</v>
      </c>
      <c r="X596" s="61">
        <v>0.0</v>
      </c>
      <c r="Y596" s="60">
        <v>0.0</v>
      </c>
      <c r="Z596" s="61">
        <v>0.0</v>
      </c>
      <c r="AA596" s="61">
        <v>0.0</v>
      </c>
      <c r="AB596" s="60">
        <v>0.0</v>
      </c>
      <c r="AC596" s="61">
        <v>0.0</v>
      </c>
      <c r="AD596" s="61">
        <v>0.0</v>
      </c>
      <c r="AE596" s="60">
        <v>0.0</v>
      </c>
      <c r="AF596" s="61">
        <v>0.0</v>
      </c>
      <c r="AG596" s="61">
        <v>0.0</v>
      </c>
      <c r="AH596" s="60">
        <v>0.0</v>
      </c>
      <c r="AI596" s="61">
        <v>0.0</v>
      </c>
      <c r="AJ596" s="61">
        <v>0.0</v>
      </c>
      <c r="AK596" s="60">
        <v>0.0</v>
      </c>
      <c r="AL596" s="61">
        <v>0.0</v>
      </c>
      <c r="AM596" s="61">
        <v>0.0</v>
      </c>
      <c r="AN596" s="60">
        <v>0.0</v>
      </c>
      <c r="AO596" s="62">
        <v>6.0</v>
      </c>
      <c r="AP596" s="62">
        <v>21.0</v>
      </c>
      <c r="AQ596" s="60">
        <v>27.0</v>
      </c>
      <c r="AR596" s="60" t="str">
        <f>IF(Hoja1!$AQ596&gt;0,Hoja1!$AQ596,IF(Hoja1!$AN596&gt;0,Hoja1!$AN596,IF(Hoja1!$AK596&gt;0,Hoja1!$AK596,IF(Hoja1!$AH596&gt;0,Hoja1!$AH596,IF(Hoja1!$AE596&gt;0,Hoja1!$AE596,IF(Hoja1!$AB596&gt;0,Hoja1!$AB596,IF(Hoja1!$Y596&gt;0,Hoja1!$Y596,IF(Hoja1!$V596&gt;0,Hoja1!$V596," ---"))))))))</f>
        <v>27</v>
      </c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>
        <v>5.0</v>
      </c>
      <c r="BD596" s="63">
        <v>1.0</v>
      </c>
      <c r="BE596" s="64"/>
      <c r="BF596" s="69"/>
      <c r="BG596" s="69"/>
      <c r="BH596" s="64"/>
      <c r="BI596" s="67" t="str">
        <f>IF('[1]DATA CONSOLIDADA 2018-2025 '!$BH598&gt;'[1]DATA CONSOLIDADA 2018-2025 '!$AN598,"Incremento",IF('[1]DATA CONSOLIDADA 2018-2025 '!$AN598='[1]DATA CONSOLIDADA 2018-2025 '!$BH598,"Sin incremento",IF('[1]DATA CONSOLIDADA 2018-2025 '!$BH598&lt;'[1]DATA CONSOLIDADA 2018-2025 '!$AN598,"Disminución"," ---")))</f>
        <v>#REF!</v>
      </c>
      <c r="BJ596" s="68" t="str">
        <f>'[1]DATA CONSOLIDADA 2018-2025 '!$BH598-'[1]DATA CONSOLIDADA 2018-2025 '!$BE598</f>
        <v>#REF!</v>
      </c>
      <c r="BK596" s="69"/>
      <c r="BL596" s="69"/>
      <c r="BM596" s="64"/>
      <c r="BN596" s="67" t="str">
        <f>IF('[1]DATA CONSOLIDADA 2018-2025 '!$BM598&gt;'[1]DATA CONSOLIDADA 2018-2025 '!$BH598,"Incremento",IF('[1]DATA CONSOLIDADA 2018-2025 '!$BH598='[1]DATA CONSOLIDADA 2018-2025 '!$BM598,"Sin incremento",IF('[1]DATA CONSOLIDADA 2018-2025 '!$BM598&lt;'[1]DATA CONSOLIDADA 2018-2025 '!$BH598,"Disminución"," ---")))</f>
        <v>#REF!</v>
      </c>
      <c r="BO596" s="68" t="str">
        <f>'[1]DATA CONSOLIDADA 2018-2025 '!$BM598-'[1]DATA CONSOLIDADA 2018-2025 '!$BH598</f>
        <v>#REF!</v>
      </c>
      <c r="BP596" s="65"/>
      <c r="BQ596" s="65"/>
      <c r="BR596" s="66"/>
      <c r="BS596" s="67" t="str">
        <f>IF('[1]DATA CONSOLIDADA 2018-2025 '!$BR598&gt;'[1]DATA CONSOLIDADA 2018-2025 '!$BM598,"Incremento",IF('[1]DATA CONSOLIDADA 2018-2025 '!$BM598='[1]DATA CONSOLIDADA 2018-2025 '!$BR598,"Sin incremento",IF('[1]DATA CONSOLIDADA 2018-2025 '!$BR598&lt;'[1]DATA CONSOLIDADA 2018-2025 '!$BM598,"Disminución"," ---")))</f>
        <v>#REF!</v>
      </c>
      <c r="BT596" s="68" t="str">
        <f>'[1]DATA CONSOLIDADA 2018-2025 '!$BR596-Hoja1!$BO596</f>
        <v>#REF!</v>
      </c>
      <c r="BU596" s="69"/>
      <c r="BV596" s="65"/>
      <c r="BW596" s="66"/>
      <c r="BX596" s="67" t="str">
        <f>IF('[1]DATA CONSOLIDADA 2018-2025 '!$BW598&gt;'[1]DATA CONSOLIDADA 2018-2025 '!$BR598,"Incremento",IF('[1]DATA CONSOLIDADA 2018-2025 '!$BR598='[1]DATA CONSOLIDADA 2018-2025 '!$BW598,"Sin incremento",IF('[1]DATA CONSOLIDADA 2018-2025 '!$BW598&lt;'[1]DATA CONSOLIDADA 2018-2025 '!$BR598,"Disminución"," ---")))</f>
        <v>#REF!</v>
      </c>
      <c r="BY596" s="68" t="str">
        <f>'[1]DATA CONSOLIDADA 2018-2025 '!$BW598-'[1]DATA CONSOLIDADA 2018-2025 '!$BR598</f>
        <v>#REF!</v>
      </c>
      <c r="BZ596" s="65"/>
      <c r="CA596" s="65"/>
      <c r="CB596" s="66"/>
      <c r="CC596" s="67" t="str">
        <f>IF('[1]DATA CONSOLIDADA 2018-2025 '!$CB598&gt;'[1]DATA CONSOLIDADA 2018-2025 '!$BW598,"Incremento",IF('[1]DATA CONSOLIDADA 2018-2025 '!$BW598='[1]DATA CONSOLIDADA 2018-2025 '!$CB598,"Sin incremento",IF('[1]DATA CONSOLIDADA 2018-2025 '!$CB598&lt;'[1]DATA CONSOLIDADA 2018-2025 '!$BW598,"Disminución"," ---")))</f>
        <v>#REF!</v>
      </c>
      <c r="CD596" s="68" t="str">
        <f>'[1]DATA CONSOLIDADA 2018-2025 '!$CB596-Hoja1!$BW596</f>
        <v>#REF!</v>
      </c>
      <c r="CE596" s="70"/>
      <c r="CF596" s="70"/>
      <c r="CG596" s="71"/>
      <c r="CH596" s="67" t="str">
        <f>IF('[1]DATA CONSOLIDADA 2018-2025 '!$CG598&gt;'[1]DATA CONSOLIDADA 2018-2025 '!$CB598,"Incremento",IF('[1]DATA CONSOLIDADA 2018-2025 '!$CB598='[1]DATA CONSOLIDADA 2018-2025 '!$CG598,"Sin incremento",IF('[1]DATA CONSOLIDADA 2018-2025 '!$CG598&lt;'[1]DATA CONSOLIDADA 2018-2025 '!$CB598,"Disminución"," ---")))</f>
        <v>#REF!</v>
      </c>
      <c r="CI596" s="68" t="str">
        <f>'[1]DATA CONSOLIDADA 2018-2025 '!$CG596-Hoja1!$CB596</f>
        <v>#REF!</v>
      </c>
      <c r="CJ596" s="64" t="str">
        <f t="shared" si="216"/>
        <v>#REF!</v>
      </c>
      <c r="CK596" s="64">
        <v>27432.96</v>
      </c>
      <c r="CL596" s="64">
        <v>0.0</v>
      </c>
      <c r="CM596" s="64">
        <v>27432.96</v>
      </c>
      <c r="CN596" s="64" t="str">
        <f t="shared" si="12"/>
        <v>#REF!</v>
      </c>
      <c r="CO596" s="68" t="str">
        <f>'[1]DATA CONSOLIDADA 2018-2025 '!$CM596-Hoja1!$CG596</f>
        <v>#REF!</v>
      </c>
      <c r="CP596" s="70"/>
      <c r="CQ596" s="70"/>
      <c r="CR596" s="70"/>
      <c r="CS596" s="70"/>
      <c r="CT596" s="70"/>
      <c r="CU596" s="70"/>
      <c r="CV596" s="64"/>
      <c r="CW596" s="64"/>
      <c r="CX596" s="64"/>
      <c r="CY596" s="64"/>
      <c r="CZ596" s="64"/>
      <c r="DA596" s="64"/>
      <c r="DB596" s="64"/>
      <c r="DC596" s="72">
        <v>0.0</v>
      </c>
      <c r="DD596" s="72">
        <v>27432.96</v>
      </c>
      <c r="DE596" s="72">
        <v>0.0</v>
      </c>
      <c r="DF596" s="72">
        <v>0.0</v>
      </c>
      <c r="DG596" s="72">
        <v>0.0</v>
      </c>
      <c r="DH596" s="72">
        <v>27432.96</v>
      </c>
      <c r="DI596" s="73">
        <v>2.0611451602E10</v>
      </c>
      <c r="DJ596" s="74" t="s">
        <v>1817</v>
      </c>
      <c r="DK596" s="74" t="s">
        <v>138</v>
      </c>
      <c r="DL596" s="75"/>
      <c r="DM596" s="75"/>
      <c r="DN596" s="75"/>
      <c r="DO596" s="75"/>
      <c r="DP596" s="75"/>
      <c r="DQ596" s="75"/>
      <c r="DR596" s="75"/>
      <c r="DS596" s="75"/>
      <c r="DT596" s="75"/>
      <c r="DU596" s="75"/>
      <c r="DV596" s="75"/>
      <c r="DW596" s="75"/>
      <c r="DX596" s="75"/>
      <c r="DY596" s="75"/>
      <c r="DZ596" s="75"/>
      <c r="EA596" s="75"/>
      <c r="EB596" s="75"/>
      <c r="EC596" s="75"/>
      <c r="ED596" s="75"/>
      <c r="EE596" s="75"/>
    </row>
    <row r="597" ht="47.25" hidden="1" customHeight="1">
      <c r="A597" s="55" t="s">
        <v>1818</v>
      </c>
      <c r="B597" s="55" t="s">
        <v>455</v>
      </c>
      <c r="C597" s="55" t="s">
        <v>1609</v>
      </c>
      <c r="D597" s="55" t="s">
        <v>889</v>
      </c>
      <c r="E597" s="55" t="s">
        <v>1815</v>
      </c>
      <c r="F597" s="55" t="s">
        <v>889</v>
      </c>
      <c r="G597" s="55" t="s">
        <v>890</v>
      </c>
      <c r="H597" s="55" t="s">
        <v>1816</v>
      </c>
      <c r="I597" s="56"/>
      <c r="J597" s="56"/>
      <c r="K597" s="56"/>
      <c r="L597" s="56"/>
      <c r="M597" s="56"/>
      <c r="N597" s="56"/>
      <c r="O597" s="56"/>
      <c r="P597" s="56">
        <v>1.0</v>
      </c>
      <c r="Q597" s="56" t="s">
        <v>131</v>
      </c>
      <c r="R597" s="58" t="str">
        <f t="shared" si="1"/>
        <v>2025</v>
      </c>
      <c r="S597" s="59" t="str">
        <f>SUM(Hoja1!$I597:$P597)</f>
        <v>1</v>
      </c>
      <c r="T597" s="59" t="str">
        <f>IF(OR(Hoja1!$J597=1,Hoja1!$K597=1,Hoja1!$L597=1,Hoja1!$M597=1,Hoja1!$N597=1,Hoja1!$O597=1,Hoja1!$P597=1),"SI","NO")</f>
        <v>SI</v>
      </c>
      <c r="U597" s="59" t="str">
        <f>IF(OR(Hoja1!$K597=1,Hoja1!$L597=1,Hoja1!$M597=1,Hoja1!$N597=1,Hoja1!$O597=1,Hoja1!$P597=1),"SI","NO")</f>
        <v>SI</v>
      </c>
      <c r="V597" s="60">
        <v>0.0</v>
      </c>
      <c r="W597" s="61">
        <v>0.0</v>
      </c>
      <c r="X597" s="61">
        <v>0.0</v>
      </c>
      <c r="Y597" s="60">
        <v>0.0</v>
      </c>
      <c r="Z597" s="61">
        <v>0.0</v>
      </c>
      <c r="AA597" s="61">
        <v>0.0</v>
      </c>
      <c r="AB597" s="60">
        <v>0.0</v>
      </c>
      <c r="AC597" s="61">
        <v>0.0</v>
      </c>
      <c r="AD597" s="61">
        <v>0.0</v>
      </c>
      <c r="AE597" s="60">
        <v>0.0</v>
      </c>
      <c r="AF597" s="61">
        <v>0.0</v>
      </c>
      <c r="AG597" s="61">
        <v>0.0</v>
      </c>
      <c r="AH597" s="60">
        <v>0.0</v>
      </c>
      <c r="AI597" s="61">
        <v>0.0</v>
      </c>
      <c r="AJ597" s="61">
        <v>0.0</v>
      </c>
      <c r="AK597" s="60">
        <v>0.0</v>
      </c>
      <c r="AL597" s="61">
        <v>0.0</v>
      </c>
      <c r="AM597" s="61">
        <v>0.0</v>
      </c>
      <c r="AN597" s="60">
        <v>0.0</v>
      </c>
      <c r="AO597" s="62">
        <v>12.0</v>
      </c>
      <c r="AP597" s="62">
        <v>11.0</v>
      </c>
      <c r="AQ597" s="60">
        <v>23.0</v>
      </c>
      <c r="AR597" s="60" t="str">
        <f>IF(Hoja1!$AQ597&gt;0,Hoja1!$AQ597,IF(Hoja1!$AN597&gt;0,Hoja1!$AN597,IF(Hoja1!$AK597&gt;0,Hoja1!$AK597,IF(Hoja1!$AH597&gt;0,Hoja1!$AH597,IF(Hoja1!$AE597&gt;0,Hoja1!$AE597,IF(Hoja1!$AB597&gt;0,Hoja1!$AB597,IF(Hoja1!$Y597&gt;0,Hoja1!$Y597,IF(Hoja1!$V597&gt;0,Hoja1!$V597," ---"))))))))</f>
        <v>23</v>
      </c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>
        <v>20.0</v>
      </c>
      <c r="BD597" s="63">
        <v>4.0</v>
      </c>
      <c r="BE597" s="64"/>
      <c r="BF597" s="69"/>
      <c r="BG597" s="69"/>
      <c r="BH597" s="64"/>
      <c r="BI597" s="67" t="str">
        <f t="shared" ref="BI597:BI598" si="262">IF('[1]DATA CONSOLIDADA 2018-2025 '!$BH585&gt;'[1]DATA CONSOLIDADA 2018-2025 '!$AN585,"Incremento",IF('[1]DATA CONSOLIDADA 2018-2025 '!$AN585='[1]DATA CONSOLIDADA 2018-2025 '!$BH585,"Sin incremento",IF('[1]DATA CONSOLIDADA 2018-2025 '!$BH585&lt;'[1]DATA CONSOLIDADA 2018-2025 '!$AN585,"Disminución"," ---")))</f>
        <v>#REF!</v>
      </c>
      <c r="BJ597" s="68" t="str">
        <f t="shared" ref="BJ597:BJ598" si="263">'[1]DATA CONSOLIDADA 2018-2025 '!$BH585-'[1]DATA CONSOLIDADA 2018-2025 '!$BE585</f>
        <v>#REF!</v>
      </c>
      <c r="BK597" s="69"/>
      <c r="BL597" s="69"/>
      <c r="BM597" s="64"/>
      <c r="BN597" s="67" t="str">
        <f t="shared" ref="BN597:BN598" si="264">IF('[1]DATA CONSOLIDADA 2018-2025 '!$BM585&gt;'[1]DATA CONSOLIDADA 2018-2025 '!$BH585,"Incremento",IF('[1]DATA CONSOLIDADA 2018-2025 '!$BH585='[1]DATA CONSOLIDADA 2018-2025 '!$BM585,"Sin incremento",IF('[1]DATA CONSOLIDADA 2018-2025 '!$BM585&lt;'[1]DATA CONSOLIDADA 2018-2025 '!$BH585,"Disminución"," ---")))</f>
        <v>#REF!</v>
      </c>
      <c r="BO597" s="68" t="str">
        <f t="shared" ref="BO597:BO598" si="265">'[1]DATA CONSOLIDADA 2018-2025 '!$BM585-'[1]DATA CONSOLIDADA 2018-2025 '!$BH585</f>
        <v>#REF!</v>
      </c>
      <c r="BP597" s="65"/>
      <c r="BQ597" s="65"/>
      <c r="BR597" s="66"/>
      <c r="BS597" s="67" t="str">
        <f t="shared" ref="BS597:BS598" si="266">IF('[1]DATA CONSOLIDADA 2018-2025 '!$BR585&gt;'[1]DATA CONSOLIDADA 2018-2025 '!$BM585,"Incremento",IF('[1]DATA CONSOLIDADA 2018-2025 '!$BM585='[1]DATA CONSOLIDADA 2018-2025 '!$BR585,"Sin incremento",IF('[1]DATA CONSOLIDADA 2018-2025 '!$BR585&lt;'[1]DATA CONSOLIDADA 2018-2025 '!$BM585,"Disminución"," ---")))</f>
        <v>#REF!</v>
      </c>
      <c r="BT597" s="68" t="str">
        <f>'[1]DATA CONSOLIDADA 2018-2025 '!$BR575-Hoja1!$BO597</f>
        <v>#REF!</v>
      </c>
      <c r="BU597" s="69"/>
      <c r="BV597" s="65"/>
      <c r="BW597" s="66"/>
      <c r="BX597" s="67" t="str">
        <f t="shared" ref="BX597:BX598" si="267">IF('[1]DATA CONSOLIDADA 2018-2025 '!$BW585&gt;'[1]DATA CONSOLIDADA 2018-2025 '!$BR585,"Incremento",IF('[1]DATA CONSOLIDADA 2018-2025 '!$BR585='[1]DATA CONSOLIDADA 2018-2025 '!$BW585,"Sin incremento",IF('[1]DATA CONSOLIDADA 2018-2025 '!$BW585&lt;'[1]DATA CONSOLIDADA 2018-2025 '!$BR585,"Disminución"," ---")))</f>
        <v>#REF!</v>
      </c>
      <c r="BY597" s="68" t="str">
        <f t="shared" ref="BY597:BY598" si="268">'[1]DATA CONSOLIDADA 2018-2025 '!$BW585-'[1]DATA CONSOLIDADA 2018-2025 '!$BR585</f>
        <v>#REF!</v>
      </c>
      <c r="BZ597" s="65"/>
      <c r="CA597" s="65"/>
      <c r="CB597" s="66"/>
      <c r="CC597" s="67" t="str">
        <f t="shared" ref="CC597:CC598" si="269">IF('[1]DATA CONSOLIDADA 2018-2025 '!$CB585&gt;'[1]DATA CONSOLIDADA 2018-2025 '!$BW585,"Incremento",IF('[1]DATA CONSOLIDADA 2018-2025 '!$BW585='[1]DATA CONSOLIDADA 2018-2025 '!$CB585,"Sin incremento",IF('[1]DATA CONSOLIDADA 2018-2025 '!$CB585&lt;'[1]DATA CONSOLIDADA 2018-2025 '!$BW585,"Disminución"," ---")))</f>
        <v>#REF!</v>
      </c>
      <c r="CD597" s="68" t="str">
        <f>'[1]DATA CONSOLIDADA 2018-2025 '!$CB575-Hoja1!$BW597</f>
        <v>#REF!</v>
      </c>
      <c r="CE597" s="70"/>
      <c r="CF597" s="70"/>
      <c r="CG597" s="71"/>
      <c r="CH597" s="67" t="str">
        <f t="shared" ref="CH597:CH598" si="270">IF('[1]DATA CONSOLIDADA 2018-2025 '!$CG585&gt;'[1]DATA CONSOLIDADA 2018-2025 '!$CB585,"Incremento",IF('[1]DATA CONSOLIDADA 2018-2025 '!$CB585='[1]DATA CONSOLIDADA 2018-2025 '!$CG585,"Sin incremento",IF('[1]DATA CONSOLIDADA 2018-2025 '!$CG585&lt;'[1]DATA CONSOLIDADA 2018-2025 '!$CB585,"Disminución"," ---")))</f>
        <v>#REF!</v>
      </c>
      <c r="CI597" s="68" t="str">
        <f>'[1]DATA CONSOLIDADA 2018-2025 '!$CG575-Hoja1!$CB597</f>
        <v>#REF!</v>
      </c>
      <c r="CJ597" s="64" t="str">
        <f>'[1]DATA CONSOLIDADA 2018-2025 '!$BE575+'[1]DATA CONSOLIDADA 2018-2025 '!$BH575+'[1]DATA CONSOLIDADA 2018-2025 '!$BM575+'[1]DATA CONSOLIDADA 2018-2025 '!$BR575+'[1]DATA CONSOLIDADA 2018-2025 '!$BW575+'[1]DATA CONSOLIDADA 2018-2025 '!$CB575+'[1]DATA CONSOLIDADA 2018-2025 '!$CG575</f>
        <v>#REF!</v>
      </c>
      <c r="CK597" s="64">
        <v>86680.0</v>
      </c>
      <c r="CL597" s="64">
        <v>0.0</v>
      </c>
      <c r="CM597" s="64">
        <v>86680.0</v>
      </c>
      <c r="CN597" s="64" t="str">
        <f t="shared" si="12"/>
        <v>#REF!</v>
      </c>
      <c r="CO597" s="68" t="str">
        <f>'[1]DATA CONSOLIDADA 2018-2025 '!$CM597-Hoja1!$CG597</f>
        <v>#REF!</v>
      </c>
      <c r="CP597" s="70"/>
      <c r="CQ597" s="70"/>
      <c r="CR597" s="70"/>
      <c r="CS597" s="70"/>
      <c r="CT597" s="70"/>
      <c r="CU597" s="70"/>
      <c r="CV597" s="64"/>
      <c r="CW597" s="64"/>
      <c r="CX597" s="64"/>
      <c r="CY597" s="64"/>
      <c r="CZ597" s="64"/>
      <c r="DA597" s="64"/>
      <c r="DB597" s="64"/>
      <c r="DC597" s="72">
        <v>0.0</v>
      </c>
      <c r="DD597" s="72">
        <v>86680.0</v>
      </c>
      <c r="DE597" s="72">
        <v>0.0</v>
      </c>
      <c r="DF597" s="72">
        <v>0.0</v>
      </c>
      <c r="DG597" s="72">
        <v>0.0</v>
      </c>
      <c r="DH597" s="72">
        <v>86680.0</v>
      </c>
      <c r="DI597" s="73">
        <v>2.061251232E10</v>
      </c>
      <c r="DJ597" s="74" t="s">
        <v>1819</v>
      </c>
      <c r="DK597" s="74" t="s">
        <v>138</v>
      </c>
      <c r="DL597" s="75"/>
      <c r="DM597" s="75"/>
      <c r="DN597" s="75"/>
      <c r="DO597" s="75"/>
      <c r="DP597" s="75"/>
      <c r="DQ597" s="75"/>
      <c r="DR597" s="75"/>
      <c r="DS597" s="75"/>
      <c r="DT597" s="75"/>
      <c r="DU597" s="75"/>
      <c r="DV597" s="75"/>
      <c r="DW597" s="75"/>
      <c r="DX597" s="75"/>
      <c r="DY597" s="75"/>
      <c r="DZ597" s="75"/>
      <c r="EA597" s="75"/>
      <c r="EB597" s="75"/>
      <c r="EC597" s="75"/>
      <c r="ED597" s="75"/>
      <c r="EE597" s="75"/>
    </row>
    <row r="598" ht="47.25" hidden="1" customHeight="1">
      <c r="A598" s="55" t="s">
        <v>1820</v>
      </c>
      <c r="B598" s="55" t="s">
        <v>1821</v>
      </c>
      <c r="C598" s="55" t="s">
        <v>1822</v>
      </c>
      <c r="D598" s="55" t="s">
        <v>889</v>
      </c>
      <c r="E598" s="55" t="s">
        <v>1823</v>
      </c>
      <c r="F598" s="55" t="s">
        <v>889</v>
      </c>
      <c r="G598" s="55" t="s">
        <v>1824</v>
      </c>
      <c r="H598" s="55" t="s">
        <v>1825</v>
      </c>
      <c r="I598" s="56"/>
      <c r="J598" s="56"/>
      <c r="K598" s="56"/>
      <c r="L598" s="56"/>
      <c r="M598" s="56"/>
      <c r="N598" s="56"/>
      <c r="O598" s="56"/>
      <c r="P598" s="56">
        <v>1.0</v>
      </c>
      <c r="Q598" s="56" t="s">
        <v>131</v>
      </c>
      <c r="R598" s="58" t="str">
        <f t="shared" si="1"/>
        <v>2025</v>
      </c>
      <c r="S598" s="59" t="str">
        <f>SUM(Hoja1!$I598:$P598)</f>
        <v>1</v>
      </c>
      <c r="T598" s="59" t="str">
        <f>IF(OR(Hoja1!$J598=1,Hoja1!$K598=1,Hoja1!$L598=1,Hoja1!$M598=1,Hoja1!$N598=1,Hoja1!$O598=1,Hoja1!$P598=1),"SI","NO")</f>
        <v>SI</v>
      </c>
      <c r="U598" s="59" t="str">
        <f>IF(OR(Hoja1!$K598=1,Hoja1!$L598=1,Hoja1!$M598=1,Hoja1!$N598=1,Hoja1!$O598=1,Hoja1!$P598=1),"SI","NO")</f>
        <v>SI</v>
      </c>
      <c r="V598" s="60">
        <v>0.0</v>
      </c>
      <c r="W598" s="61">
        <v>0.0</v>
      </c>
      <c r="X598" s="61">
        <v>0.0</v>
      </c>
      <c r="Y598" s="60">
        <v>0.0</v>
      </c>
      <c r="Z598" s="61">
        <v>0.0</v>
      </c>
      <c r="AA598" s="61">
        <v>0.0</v>
      </c>
      <c r="AB598" s="60">
        <v>0.0</v>
      </c>
      <c r="AC598" s="61">
        <v>0.0</v>
      </c>
      <c r="AD598" s="61">
        <v>0.0</v>
      </c>
      <c r="AE598" s="60">
        <v>0.0</v>
      </c>
      <c r="AF598" s="61">
        <v>0.0</v>
      </c>
      <c r="AG598" s="61">
        <v>0.0</v>
      </c>
      <c r="AH598" s="60">
        <v>0.0</v>
      </c>
      <c r="AI598" s="61">
        <v>0.0</v>
      </c>
      <c r="AJ598" s="61">
        <v>0.0</v>
      </c>
      <c r="AK598" s="60">
        <v>0.0</v>
      </c>
      <c r="AL598" s="61">
        <v>0.0</v>
      </c>
      <c r="AM598" s="61">
        <v>0.0</v>
      </c>
      <c r="AN598" s="60">
        <v>0.0</v>
      </c>
      <c r="AO598" s="62">
        <v>11.0</v>
      </c>
      <c r="AP598" s="62">
        <v>14.0</v>
      </c>
      <c r="AQ598" s="60">
        <v>25.0</v>
      </c>
      <c r="AR598" s="60" t="str">
        <f>IF(Hoja1!$AQ598&gt;0,Hoja1!$AQ598,IF(Hoja1!$AN598&gt;0,Hoja1!$AN598,IF(Hoja1!$AK598&gt;0,Hoja1!$AK598,IF(Hoja1!$AH598&gt;0,Hoja1!$AH598,IF(Hoja1!$AE598&gt;0,Hoja1!$AE598,IF(Hoja1!$AB598&gt;0,Hoja1!$AB598,IF(Hoja1!$Y598&gt;0,Hoja1!$Y598,IF(Hoja1!$V598&gt;0,Hoja1!$V598," ---"))))))))</f>
        <v>25</v>
      </c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>
        <v>20.0</v>
      </c>
      <c r="BD598" s="63">
        <v>4.0</v>
      </c>
      <c r="BE598" s="64"/>
      <c r="BF598" s="69"/>
      <c r="BG598" s="69"/>
      <c r="BH598" s="64"/>
      <c r="BI598" s="67" t="str">
        <f t="shared" si="262"/>
        <v>#REF!</v>
      </c>
      <c r="BJ598" s="68" t="str">
        <f t="shared" si="263"/>
        <v>#REF!</v>
      </c>
      <c r="BK598" s="69"/>
      <c r="BL598" s="69"/>
      <c r="BM598" s="64"/>
      <c r="BN598" s="67" t="str">
        <f t="shared" si="264"/>
        <v>#REF!</v>
      </c>
      <c r="BO598" s="68" t="str">
        <f t="shared" si="265"/>
        <v>#REF!</v>
      </c>
      <c r="BP598" s="65"/>
      <c r="BQ598" s="65"/>
      <c r="BR598" s="66"/>
      <c r="BS598" s="67" t="str">
        <f t="shared" si="266"/>
        <v>#REF!</v>
      </c>
      <c r="BT598" s="68" t="str">
        <f>'[1]DATA CONSOLIDADA 2018-2025 '!$BR598-Hoja1!$BO598</f>
        <v>#REF!</v>
      </c>
      <c r="BU598" s="69"/>
      <c r="BV598" s="65"/>
      <c r="BW598" s="66"/>
      <c r="BX598" s="67" t="str">
        <f t="shared" si="267"/>
        <v>#REF!</v>
      </c>
      <c r="BY598" s="68" t="str">
        <f t="shared" si="268"/>
        <v>#REF!</v>
      </c>
      <c r="BZ598" s="65"/>
      <c r="CA598" s="65"/>
      <c r="CB598" s="66"/>
      <c r="CC598" s="67" t="str">
        <f t="shared" si="269"/>
        <v>#REF!</v>
      </c>
      <c r="CD598" s="68" t="str">
        <f>'[1]DATA CONSOLIDADA 2018-2025 '!$CB598-Hoja1!$BW598</f>
        <v>#REF!</v>
      </c>
      <c r="CE598" s="70"/>
      <c r="CF598" s="70"/>
      <c r="CG598" s="71"/>
      <c r="CH598" s="67" t="str">
        <f t="shared" si="270"/>
        <v>#REF!</v>
      </c>
      <c r="CI598" s="68" t="str">
        <f>'[1]DATA CONSOLIDADA 2018-2025 '!$CG598-Hoja1!$CB598</f>
        <v>#REF!</v>
      </c>
      <c r="CJ598" s="64" t="str">
        <f t="shared" ref="CJ598:CJ677" si="271">'[1]DATA CONSOLIDADA 2018-2025 '!$BE598+'[1]DATA CONSOLIDADA 2018-2025 '!$BH598+'[1]DATA CONSOLIDADA 2018-2025 '!$BM598+'[1]DATA CONSOLIDADA 2018-2025 '!$BR598+'[1]DATA CONSOLIDADA 2018-2025 '!$BW598+'[1]DATA CONSOLIDADA 2018-2025 '!$CB598+'[1]DATA CONSOLIDADA 2018-2025 '!$CG598</f>
        <v>#REF!</v>
      </c>
      <c r="CK598" s="64">
        <v>393912.0</v>
      </c>
      <c r="CL598" s="64">
        <v>0.0</v>
      </c>
      <c r="CM598" s="64">
        <v>393912.0</v>
      </c>
      <c r="CN598" s="64" t="str">
        <f t="shared" si="12"/>
        <v>#REF!</v>
      </c>
      <c r="CO598" s="68" t="str">
        <f>'[1]DATA CONSOLIDADA 2018-2025 '!$CM598-Hoja1!$CG598</f>
        <v>#REF!</v>
      </c>
      <c r="CP598" s="70"/>
      <c r="CQ598" s="70"/>
      <c r="CR598" s="70"/>
      <c r="CS598" s="70"/>
      <c r="CT598" s="70"/>
      <c r="CU598" s="70"/>
      <c r="CV598" s="64"/>
      <c r="CW598" s="64"/>
      <c r="CX598" s="64"/>
      <c r="CY598" s="64"/>
      <c r="CZ598" s="64"/>
      <c r="DA598" s="64"/>
      <c r="DB598" s="64"/>
      <c r="DC598" s="72">
        <v>0.0</v>
      </c>
      <c r="DD598" s="72">
        <v>393912.0</v>
      </c>
      <c r="DE598" s="72">
        <v>0.0</v>
      </c>
      <c r="DF598" s="72">
        <v>0.0</v>
      </c>
      <c r="DG598" s="72">
        <v>0.0</v>
      </c>
      <c r="DH598" s="72">
        <v>393912.0</v>
      </c>
      <c r="DI598" s="73">
        <v>2.0607660515E10</v>
      </c>
      <c r="DJ598" s="74" t="s">
        <v>1628</v>
      </c>
      <c r="DK598" s="74" t="s">
        <v>138</v>
      </c>
      <c r="DL598" s="75"/>
      <c r="DM598" s="75"/>
      <c r="DN598" s="75"/>
      <c r="DO598" s="75"/>
      <c r="DP598" s="75"/>
      <c r="DQ598" s="75"/>
      <c r="DR598" s="75"/>
      <c r="DS598" s="75"/>
      <c r="DT598" s="75"/>
      <c r="DU598" s="75"/>
      <c r="DV598" s="75"/>
      <c r="DW598" s="75"/>
      <c r="DX598" s="75"/>
      <c r="DY598" s="75"/>
      <c r="DZ598" s="75"/>
      <c r="EA598" s="75"/>
      <c r="EB598" s="75"/>
      <c r="EC598" s="75"/>
      <c r="ED598" s="75"/>
      <c r="EE598" s="75"/>
    </row>
    <row r="599" ht="47.25" customHeight="1">
      <c r="A599" s="55" t="s">
        <v>1826</v>
      </c>
      <c r="B599" s="55" t="s">
        <v>146</v>
      </c>
      <c r="C599" s="55" t="s">
        <v>432</v>
      </c>
      <c r="D599" s="55" t="s">
        <v>967</v>
      </c>
      <c r="E599" s="55" t="s">
        <v>1827</v>
      </c>
      <c r="F599" s="55" t="s">
        <v>967</v>
      </c>
      <c r="G599" s="55" t="s">
        <v>969</v>
      </c>
      <c r="H599" s="55" t="s">
        <v>1828</v>
      </c>
      <c r="I599" s="56"/>
      <c r="J599" s="56"/>
      <c r="K599" s="56"/>
      <c r="L599" s="56"/>
      <c r="M599" s="56"/>
      <c r="N599" s="56"/>
      <c r="O599" s="56"/>
      <c r="P599" s="56">
        <v>1.0</v>
      </c>
      <c r="Q599" s="56" t="s">
        <v>131</v>
      </c>
      <c r="R599" s="58" t="str">
        <f t="shared" si="1"/>
        <v>2025</v>
      </c>
      <c r="S599" s="59" t="str">
        <f>SUM(Hoja1!$I599:$P599)</f>
        <v>1</v>
      </c>
      <c r="T599" s="59" t="str">
        <f>IF(OR(Hoja1!$J599=1,Hoja1!$K599=1,Hoja1!$L599=1,Hoja1!$M599=1,Hoja1!$N599=1,Hoja1!$O599=1,Hoja1!$P599=1),"SI","NO")</f>
        <v>SI</v>
      </c>
      <c r="U599" s="59" t="str">
        <f>IF(OR(Hoja1!$K599=1,Hoja1!$L599=1,Hoja1!$M599=1,Hoja1!$N599=1,Hoja1!$O599=1,Hoja1!$P599=1),"SI","NO")</f>
        <v>SI</v>
      </c>
      <c r="V599" s="60">
        <v>0.0</v>
      </c>
      <c r="W599" s="61">
        <v>0.0</v>
      </c>
      <c r="X599" s="61">
        <v>0.0</v>
      </c>
      <c r="Y599" s="60">
        <v>0.0</v>
      </c>
      <c r="Z599" s="61">
        <v>0.0</v>
      </c>
      <c r="AA599" s="61">
        <v>0.0</v>
      </c>
      <c r="AB599" s="60">
        <v>0.0</v>
      </c>
      <c r="AC599" s="61">
        <v>0.0</v>
      </c>
      <c r="AD599" s="61">
        <v>0.0</v>
      </c>
      <c r="AE599" s="60">
        <v>0.0</v>
      </c>
      <c r="AF599" s="61">
        <v>0.0</v>
      </c>
      <c r="AG599" s="61">
        <v>0.0</v>
      </c>
      <c r="AH599" s="60">
        <v>0.0</v>
      </c>
      <c r="AI599" s="61">
        <v>0.0</v>
      </c>
      <c r="AJ599" s="61">
        <v>0.0</v>
      </c>
      <c r="AK599" s="60">
        <v>0.0</v>
      </c>
      <c r="AL599" s="61">
        <v>0.0</v>
      </c>
      <c r="AM599" s="61">
        <v>0.0</v>
      </c>
      <c r="AN599" s="60">
        <v>0.0</v>
      </c>
      <c r="AO599" s="62">
        <v>137.0</v>
      </c>
      <c r="AP599" s="62">
        <v>43.0</v>
      </c>
      <c r="AQ599" s="60">
        <v>180.0</v>
      </c>
      <c r="AR599" s="60" t="str">
        <f>IF(Hoja1!$AQ599&gt;0,Hoja1!$AQ599,IF(Hoja1!$AN599&gt;0,Hoja1!$AN599,IF(Hoja1!$AK599&gt;0,Hoja1!$AK599,IF(Hoja1!$AH599&gt;0,Hoja1!$AH599,IF(Hoja1!$AE599&gt;0,Hoja1!$AE599,IF(Hoja1!$AB599&gt;0,Hoja1!$AB599,IF(Hoja1!$Y599&gt;0,Hoja1!$Y599,IF(Hoja1!$V599&gt;0,Hoja1!$V599," ---"))))))))</f>
        <v>180</v>
      </c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>
        <v>85.0</v>
      </c>
      <c r="BD599" s="63">
        <v>5.0</v>
      </c>
      <c r="BE599" s="64"/>
      <c r="BF599" s="69"/>
      <c r="BG599" s="69"/>
      <c r="BH599" s="64"/>
      <c r="BI599" s="67" t="str">
        <f t="shared" ref="BI599:BI603" si="272">IF('[1]DATA CONSOLIDADA 2018-2025 '!$BH599&gt;'[1]DATA CONSOLIDADA 2018-2025 '!$AN599,"Incremento",IF('[1]DATA CONSOLIDADA 2018-2025 '!$AN599='[1]DATA CONSOLIDADA 2018-2025 '!$BH599,"Sin incremento",IF('[1]DATA CONSOLIDADA 2018-2025 '!$BH599&lt;'[1]DATA CONSOLIDADA 2018-2025 '!$AN599,"Disminución"," ---")))</f>
        <v>#REF!</v>
      </c>
      <c r="BJ599" s="68" t="str">
        <f t="shared" ref="BJ599:BJ603" si="273">'[1]DATA CONSOLIDADA 2018-2025 '!$BH599-'[1]DATA CONSOLIDADA 2018-2025 '!$BE599</f>
        <v>#REF!</v>
      </c>
      <c r="BK599" s="69"/>
      <c r="BL599" s="69"/>
      <c r="BM599" s="64"/>
      <c r="BN599" s="67" t="str">
        <f t="shared" ref="BN599:BN603" si="274">IF('[1]DATA CONSOLIDADA 2018-2025 '!$BM599&gt;'[1]DATA CONSOLIDADA 2018-2025 '!$BH599,"Incremento",IF('[1]DATA CONSOLIDADA 2018-2025 '!$BH599='[1]DATA CONSOLIDADA 2018-2025 '!$BM599,"Sin incremento",IF('[1]DATA CONSOLIDADA 2018-2025 '!$BM599&lt;'[1]DATA CONSOLIDADA 2018-2025 '!$BH599,"Disminución"," ---")))</f>
        <v>#REF!</v>
      </c>
      <c r="BO599" s="68" t="str">
        <f t="shared" ref="BO599:BO603" si="275">'[1]DATA CONSOLIDADA 2018-2025 '!$BM599-'[1]DATA CONSOLIDADA 2018-2025 '!$BH599</f>
        <v>#REF!</v>
      </c>
      <c r="BP599" s="65"/>
      <c r="BQ599" s="65"/>
      <c r="BR599" s="66"/>
      <c r="BS599" s="67" t="str">
        <f t="shared" ref="BS599:BS603" si="276">IF('[1]DATA CONSOLIDADA 2018-2025 '!$BR599&gt;'[1]DATA CONSOLIDADA 2018-2025 '!$BM599,"Incremento",IF('[1]DATA CONSOLIDADA 2018-2025 '!$BM599='[1]DATA CONSOLIDADA 2018-2025 '!$BR599,"Sin incremento",IF('[1]DATA CONSOLIDADA 2018-2025 '!$BR599&lt;'[1]DATA CONSOLIDADA 2018-2025 '!$BM599,"Disminución"," ---")))</f>
        <v>#REF!</v>
      </c>
      <c r="BT599" s="68" t="str">
        <f>'[1]DATA CONSOLIDADA 2018-2025 '!$BR599-Hoja1!$BO599</f>
        <v>#REF!</v>
      </c>
      <c r="BU599" s="69"/>
      <c r="BV599" s="65"/>
      <c r="BW599" s="66"/>
      <c r="BX599" s="67" t="str">
        <f t="shared" ref="BX599:BX603" si="277">IF('[1]DATA CONSOLIDADA 2018-2025 '!$BW599&gt;'[1]DATA CONSOLIDADA 2018-2025 '!$BR599,"Incremento",IF('[1]DATA CONSOLIDADA 2018-2025 '!$BR599='[1]DATA CONSOLIDADA 2018-2025 '!$BW599,"Sin incremento",IF('[1]DATA CONSOLIDADA 2018-2025 '!$BW599&lt;'[1]DATA CONSOLIDADA 2018-2025 '!$BR599,"Disminución"," ---")))</f>
        <v>#REF!</v>
      </c>
      <c r="BY599" s="68" t="str">
        <f t="shared" ref="BY599:BY603" si="278">'[1]DATA CONSOLIDADA 2018-2025 '!$BW599-'[1]DATA CONSOLIDADA 2018-2025 '!$BR599</f>
        <v>#REF!</v>
      </c>
      <c r="BZ599" s="65"/>
      <c r="CA599" s="65"/>
      <c r="CB599" s="66"/>
      <c r="CC599" s="67" t="str">
        <f t="shared" ref="CC599:CC603" si="279">IF('[1]DATA CONSOLIDADA 2018-2025 '!$CB599&gt;'[1]DATA CONSOLIDADA 2018-2025 '!$BW599,"Incremento",IF('[1]DATA CONSOLIDADA 2018-2025 '!$BW599='[1]DATA CONSOLIDADA 2018-2025 '!$CB599,"Sin incremento",IF('[1]DATA CONSOLIDADA 2018-2025 '!$CB599&lt;'[1]DATA CONSOLIDADA 2018-2025 '!$BW599,"Disminución"," ---")))</f>
        <v>#REF!</v>
      </c>
      <c r="CD599" s="68" t="str">
        <f>'[1]DATA CONSOLIDADA 2018-2025 '!$CB599-Hoja1!$BW599</f>
        <v>#REF!</v>
      </c>
      <c r="CE599" s="70"/>
      <c r="CF599" s="70"/>
      <c r="CG599" s="71"/>
      <c r="CH599" s="67" t="str">
        <f t="shared" ref="CH599:CH603" si="280">IF('[1]DATA CONSOLIDADA 2018-2025 '!$CG599&gt;'[1]DATA CONSOLIDADA 2018-2025 '!$CB599,"Incremento",IF('[1]DATA CONSOLIDADA 2018-2025 '!$CB599='[1]DATA CONSOLIDADA 2018-2025 '!$CG599,"Sin incremento",IF('[1]DATA CONSOLIDADA 2018-2025 '!$CG599&lt;'[1]DATA CONSOLIDADA 2018-2025 '!$CB599,"Disminución"," ---")))</f>
        <v>#REF!</v>
      </c>
      <c r="CI599" s="68" t="str">
        <f>'[1]DATA CONSOLIDADA 2018-2025 '!$CG599-Hoja1!$CB599</f>
        <v>#REF!</v>
      </c>
      <c r="CJ599" s="64" t="str">
        <f t="shared" si="271"/>
        <v>#REF!</v>
      </c>
      <c r="CK599" s="64">
        <v>220735.59990175</v>
      </c>
      <c r="CL599" s="64">
        <v>1068430.0</v>
      </c>
      <c r="CM599" s="64">
        <v>1289165.59990175</v>
      </c>
      <c r="CN599" s="64" t="str">
        <f t="shared" si="12"/>
        <v>#REF!</v>
      </c>
      <c r="CO599" s="68" t="str">
        <f>'[1]DATA CONSOLIDADA 2018-2025 '!$CM599-Hoja1!$CG599</f>
        <v>#REF!</v>
      </c>
      <c r="CP599" s="70"/>
      <c r="CQ599" s="70"/>
      <c r="CR599" s="70"/>
      <c r="CS599" s="70"/>
      <c r="CT599" s="70"/>
      <c r="CU599" s="70"/>
      <c r="CV599" s="64"/>
      <c r="CW599" s="64"/>
      <c r="CX599" s="64"/>
      <c r="CY599" s="64"/>
      <c r="CZ599" s="64"/>
      <c r="DA599" s="64"/>
      <c r="DB599" s="64"/>
      <c r="DC599" s="72">
        <v>127317.59990175001</v>
      </c>
      <c r="DD599" s="72">
        <v>0.0</v>
      </c>
      <c r="DE599" s="72">
        <v>1161848.0</v>
      </c>
      <c r="DF599" s="72">
        <v>0.0</v>
      </c>
      <c r="DG599" s="72">
        <v>0.0</v>
      </c>
      <c r="DH599" s="72">
        <v>1289165.59990175</v>
      </c>
      <c r="DI599" s="73">
        <v>2.0484163902E10</v>
      </c>
      <c r="DJ599" s="74" t="s">
        <v>1826</v>
      </c>
      <c r="DK599" s="74" t="s">
        <v>132</v>
      </c>
      <c r="DL599" s="75"/>
      <c r="DM599" s="75"/>
      <c r="DN599" s="75"/>
      <c r="DO599" s="75"/>
      <c r="DP599" s="75"/>
      <c r="DQ599" s="75"/>
      <c r="DR599" s="75"/>
      <c r="DS599" s="75"/>
      <c r="DT599" s="75"/>
      <c r="DU599" s="75"/>
      <c r="DV599" s="75"/>
      <c r="DW599" s="75"/>
      <c r="DX599" s="75"/>
      <c r="DY599" s="75"/>
      <c r="DZ599" s="75"/>
      <c r="EA599" s="75"/>
      <c r="EB599" s="75"/>
      <c r="EC599" s="75"/>
      <c r="ED599" s="75"/>
      <c r="EE599" s="75"/>
    </row>
    <row r="600" ht="47.25" customHeight="1">
      <c r="A600" s="55" t="s">
        <v>1829</v>
      </c>
      <c r="B600" s="55" t="s">
        <v>146</v>
      </c>
      <c r="C600" s="55" t="s">
        <v>432</v>
      </c>
      <c r="D600" s="55" t="s">
        <v>1001</v>
      </c>
      <c r="E600" s="55" t="s">
        <v>1044</v>
      </c>
      <c r="F600" s="55" t="s">
        <v>1001</v>
      </c>
      <c r="G600" s="55" t="s">
        <v>1026</v>
      </c>
      <c r="H600" s="55" t="s">
        <v>1045</v>
      </c>
      <c r="I600" s="56"/>
      <c r="J600" s="56"/>
      <c r="K600" s="56"/>
      <c r="L600" s="56"/>
      <c r="M600" s="56"/>
      <c r="N600" s="56"/>
      <c r="O600" s="56"/>
      <c r="P600" s="56">
        <v>1.0</v>
      </c>
      <c r="Q600" s="56" t="s">
        <v>131</v>
      </c>
      <c r="R600" s="58" t="str">
        <f t="shared" si="1"/>
        <v>2025</v>
      </c>
      <c r="S600" s="59" t="str">
        <f>SUM(Hoja1!$I600:$P600)</f>
        <v>1</v>
      </c>
      <c r="T600" s="59" t="str">
        <f>IF(OR(Hoja1!$J600=1,Hoja1!$K600=1,Hoja1!$L600=1,Hoja1!$M600=1,Hoja1!$N600=1,Hoja1!$O600=1,Hoja1!$P600=1),"SI","NO")</f>
        <v>SI</v>
      </c>
      <c r="U600" s="59" t="str">
        <f>IF(OR(Hoja1!$K600=1,Hoja1!$L600=1,Hoja1!$M600=1,Hoja1!$N600=1,Hoja1!$O600=1,Hoja1!$P600=1),"SI","NO")</f>
        <v>SI</v>
      </c>
      <c r="V600" s="60">
        <v>0.0</v>
      </c>
      <c r="W600" s="61">
        <v>0.0</v>
      </c>
      <c r="X600" s="61">
        <v>0.0</v>
      </c>
      <c r="Y600" s="60">
        <v>0.0</v>
      </c>
      <c r="Z600" s="61">
        <v>0.0</v>
      </c>
      <c r="AA600" s="61">
        <v>0.0</v>
      </c>
      <c r="AB600" s="60">
        <v>0.0</v>
      </c>
      <c r="AC600" s="61">
        <v>0.0</v>
      </c>
      <c r="AD600" s="61">
        <v>0.0</v>
      </c>
      <c r="AE600" s="60">
        <v>0.0</v>
      </c>
      <c r="AF600" s="61">
        <v>0.0</v>
      </c>
      <c r="AG600" s="61">
        <v>0.0</v>
      </c>
      <c r="AH600" s="60">
        <v>0.0</v>
      </c>
      <c r="AI600" s="61">
        <v>0.0</v>
      </c>
      <c r="AJ600" s="61">
        <v>0.0</v>
      </c>
      <c r="AK600" s="60">
        <v>0.0</v>
      </c>
      <c r="AL600" s="61">
        <v>0.0</v>
      </c>
      <c r="AM600" s="61">
        <v>0.0</v>
      </c>
      <c r="AN600" s="60">
        <v>0.0</v>
      </c>
      <c r="AO600" s="62">
        <v>10.0</v>
      </c>
      <c r="AP600" s="62">
        <v>20.0</v>
      </c>
      <c r="AQ600" s="60">
        <v>30.0</v>
      </c>
      <c r="AR600" s="60" t="str">
        <f>IF(Hoja1!$AQ600&gt;0,Hoja1!$AQ600,IF(Hoja1!$AN600&gt;0,Hoja1!$AN600,IF(Hoja1!$AK600&gt;0,Hoja1!$AK600,IF(Hoja1!$AH600&gt;0,Hoja1!$AH600,IF(Hoja1!$AE600&gt;0,Hoja1!$AE600,IF(Hoja1!$AB600&gt;0,Hoja1!$AB600,IF(Hoja1!$Y600&gt;0,Hoja1!$Y600,IF(Hoja1!$V600&gt;0,Hoja1!$V600," ---"))))))))</f>
        <v>30</v>
      </c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>
        <v>103.0</v>
      </c>
      <c r="BD600" s="63">
        <v>0.0</v>
      </c>
      <c r="BE600" s="64"/>
      <c r="BF600" s="69"/>
      <c r="BG600" s="69"/>
      <c r="BH600" s="64"/>
      <c r="BI600" s="67" t="str">
        <f t="shared" si="272"/>
        <v>#REF!</v>
      </c>
      <c r="BJ600" s="68" t="str">
        <f t="shared" si="273"/>
        <v>#REF!</v>
      </c>
      <c r="BK600" s="69"/>
      <c r="BL600" s="69"/>
      <c r="BM600" s="64"/>
      <c r="BN600" s="67" t="str">
        <f t="shared" si="274"/>
        <v>#REF!</v>
      </c>
      <c r="BO600" s="68" t="str">
        <f t="shared" si="275"/>
        <v>#REF!</v>
      </c>
      <c r="BP600" s="65"/>
      <c r="BQ600" s="65"/>
      <c r="BR600" s="66"/>
      <c r="BS600" s="67" t="str">
        <f t="shared" si="276"/>
        <v>#REF!</v>
      </c>
      <c r="BT600" s="68" t="str">
        <f>'[1]DATA CONSOLIDADA 2018-2025 '!$BR600-Hoja1!$BO600</f>
        <v>#REF!</v>
      </c>
      <c r="BU600" s="69"/>
      <c r="BV600" s="65"/>
      <c r="BW600" s="66"/>
      <c r="BX600" s="67" t="str">
        <f t="shared" si="277"/>
        <v>#REF!</v>
      </c>
      <c r="BY600" s="68" t="str">
        <f t="shared" si="278"/>
        <v>#REF!</v>
      </c>
      <c r="BZ600" s="65"/>
      <c r="CA600" s="65"/>
      <c r="CB600" s="66"/>
      <c r="CC600" s="67" t="str">
        <f t="shared" si="279"/>
        <v>#REF!</v>
      </c>
      <c r="CD600" s="68" t="str">
        <f>'[1]DATA CONSOLIDADA 2018-2025 '!$CB600-Hoja1!$BW600</f>
        <v>#REF!</v>
      </c>
      <c r="CE600" s="70"/>
      <c r="CF600" s="70"/>
      <c r="CG600" s="71"/>
      <c r="CH600" s="67" t="str">
        <f t="shared" si="280"/>
        <v>#REF!</v>
      </c>
      <c r="CI600" s="68" t="str">
        <f>'[1]DATA CONSOLIDADA 2018-2025 '!$CG600-Hoja1!$CB600</f>
        <v>#REF!</v>
      </c>
      <c r="CJ600" s="64" t="str">
        <f t="shared" si="271"/>
        <v>#REF!</v>
      </c>
      <c r="CK600" s="64">
        <v>49800.51158664</v>
      </c>
      <c r="CL600" s="64">
        <v>0.0</v>
      </c>
      <c r="CM600" s="64">
        <v>49800.51158664</v>
      </c>
      <c r="CN600" s="64" t="str">
        <f t="shared" si="12"/>
        <v>#REF!</v>
      </c>
      <c r="CO600" s="68" t="str">
        <f>'[1]DATA CONSOLIDADA 2018-2025 '!$CM600-Hoja1!$CG600</f>
        <v>#REF!</v>
      </c>
      <c r="CP600" s="70"/>
      <c r="CQ600" s="70"/>
      <c r="CR600" s="70"/>
      <c r="CS600" s="70"/>
      <c r="CT600" s="70"/>
      <c r="CU600" s="70"/>
      <c r="CV600" s="64"/>
      <c r="CW600" s="64"/>
      <c r="CX600" s="64"/>
      <c r="CY600" s="64"/>
      <c r="CZ600" s="64"/>
      <c r="DA600" s="64"/>
      <c r="DB600" s="64"/>
      <c r="DC600" s="72">
        <v>0.0</v>
      </c>
      <c r="DD600" s="72">
        <v>0.0</v>
      </c>
      <c r="DE600" s="72">
        <v>49800.51158664</v>
      </c>
      <c r="DF600" s="72">
        <v>0.0</v>
      </c>
      <c r="DG600" s="72">
        <v>0.0</v>
      </c>
      <c r="DH600" s="72">
        <v>49800.51158664</v>
      </c>
      <c r="DI600" s="73">
        <v>2.0447888701E10</v>
      </c>
      <c r="DJ600" s="74" t="s">
        <v>1829</v>
      </c>
      <c r="DK600" s="74" t="s">
        <v>132</v>
      </c>
      <c r="DL600" s="75"/>
      <c r="DM600" s="75"/>
      <c r="DN600" s="75"/>
      <c r="DO600" s="75"/>
      <c r="DP600" s="75"/>
      <c r="DQ600" s="75"/>
      <c r="DR600" s="75"/>
      <c r="DS600" s="75"/>
      <c r="DT600" s="75"/>
      <c r="DU600" s="75"/>
      <c r="DV600" s="75"/>
      <c r="DW600" s="75"/>
      <c r="DX600" s="75"/>
      <c r="DY600" s="75"/>
      <c r="DZ600" s="75"/>
      <c r="EA600" s="75"/>
      <c r="EB600" s="75"/>
      <c r="EC600" s="75"/>
      <c r="ED600" s="75"/>
      <c r="EE600" s="75"/>
    </row>
    <row r="601" ht="47.25" hidden="1" customHeight="1">
      <c r="A601" s="55" t="s">
        <v>1830</v>
      </c>
      <c r="B601" s="55" t="s">
        <v>126</v>
      </c>
      <c r="C601" s="55" t="s">
        <v>1588</v>
      </c>
      <c r="D601" s="55" t="s">
        <v>1831</v>
      </c>
      <c r="E601" s="55" t="s">
        <v>1107</v>
      </c>
      <c r="F601" s="55" t="s">
        <v>1060</v>
      </c>
      <c r="G601" s="55" t="s">
        <v>1081</v>
      </c>
      <c r="H601" s="55" t="s">
        <v>1081</v>
      </c>
      <c r="I601" s="56"/>
      <c r="J601" s="56"/>
      <c r="K601" s="56"/>
      <c r="L601" s="56"/>
      <c r="M601" s="56"/>
      <c r="N601" s="56"/>
      <c r="O601" s="56"/>
      <c r="P601" s="56">
        <v>1.0</v>
      </c>
      <c r="Q601" s="56" t="s">
        <v>131</v>
      </c>
      <c r="R601" s="58" t="str">
        <f t="shared" si="1"/>
        <v>2025</v>
      </c>
      <c r="S601" s="59" t="str">
        <f>SUM(Hoja1!$I601:$P601)</f>
        <v>1</v>
      </c>
      <c r="T601" s="59" t="str">
        <f>IF(OR(Hoja1!$J601=1,Hoja1!$K601=1,Hoja1!$L601=1,Hoja1!$M601=1,Hoja1!$N601=1,Hoja1!$O601=1,Hoja1!$P601=1),"SI","NO")</f>
        <v>SI</v>
      </c>
      <c r="U601" s="59" t="str">
        <f>IF(OR(Hoja1!$K601=1,Hoja1!$L601=1,Hoja1!$M601=1,Hoja1!$N601=1,Hoja1!$O601=1,Hoja1!$P601=1),"SI","NO")</f>
        <v>SI</v>
      </c>
      <c r="V601" s="60">
        <v>0.0</v>
      </c>
      <c r="W601" s="61">
        <v>0.0</v>
      </c>
      <c r="X601" s="61">
        <v>0.0</v>
      </c>
      <c r="Y601" s="60">
        <v>0.0</v>
      </c>
      <c r="Z601" s="61">
        <v>0.0</v>
      </c>
      <c r="AA601" s="61">
        <v>0.0</v>
      </c>
      <c r="AB601" s="60">
        <v>0.0</v>
      </c>
      <c r="AC601" s="61">
        <v>0.0</v>
      </c>
      <c r="AD601" s="61">
        <v>0.0</v>
      </c>
      <c r="AE601" s="60">
        <v>0.0</v>
      </c>
      <c r="AF601" s="61">
        <v>0.0</v>
      </c>
      <c r="AG601" s="61">
        <v>0.0</v>
      </c>
      <c r="AH601" s="60">
        <v>0.0</v>
      </c>
      <c r="AI601" s="61">
        <v>0.0</v>
      </c>
      <c r="AJ601" s="61">
        <v>0.0</v>
      </c>
      <c r="AK601" s="60">
        <v>0.0</v>
      </c>
      <c r="AL601" s="61">
        <v>0.0</v>
      </c>
      <c r="AM601" s="61">
        <v>0.0</v>
      </c>
      <c r="AN601" s="60">
        <v>0.0</v>
      </c>
      <c r="AO601" s="62">
        <v>407.0</v>
      </c>
      <c r="AP601" s="62">
        <v>200.0</v>
      </c>
      <c r="AQ601" s="60">
        <v>607.0</v>
      </c>
      <c r="AR601" s="60" t="str">
        <f>IF(Hoja1!$AQ601&gt;0,Hoja1!$AQ601,IF(Hoja1!$AN601&gt;0,Hoja1!$AN601,IF(Hoja1!$AK601&gt;0,Hoja1!$AK601,IF(Hoja1!$AH601&gt;0,Hoja1!$AH601,IF(Hoja1!$AE601&gt;0,Hoja1!$AE601,IF(Hoja1!$AB601&gt;0,Hoja1!$AB601,IF(Hoja1!$Y601&gt;0,Hoja1!$Y601,IF(Hoja1!$V601&gt;0,Hoja1!$V601," ---"))))))))</f>
        <v>607</v>
      </c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>
        <v>6.0</v>
      </c>
      <c r="BD601" s="63">
        <v>0.0</v>
      </c>
      <c r="BE601" s="64"/>
      <c r="BF601" s="69"/>
      <c r="BG601" s="69"/>
      <c r="BH601" s="64"/>
      <c r="BI601" s="67" t="str">
        <f t="shared" si="272"/>
        <v>#REF!</v>
      </c>
      <c r="BJ601" s="68" t="str">
        <f t="shared" si="273"/>
        <v>#REF!</v>
      </c>
      <c r="BK601" s="69"/>
      <c r="BL601" s="69"/>
      <c r="BM601" s="64"/>
      <c r="BN601" s="67" t="str">
        <f t="shared" si="274"/>
        <v>#REF!</v>
      </c>
      <c r="BO601" s="68" t="str">
        <f t="shared" si="275"/>
        <v>#REF!</v>
      </c>
      <c r="BP601" s="65"/>
      <c r="BQ601" s="65"/>
      <c r="BR601" s="66"/>
      <c r="BS601" s="67" t="str">
        <f t="shared" si="276"/>
        <v>#REF!</v>
      </c>
      <c r="BT601" s="68" t="str">
        <f>'[1]DATA CONSOLIDADA 2018-2025 '!$BR601-Hoja1!$BO601</f>
        <v>#REF!</v>
      </c>
      <c r="BU601" s="69"/>
      <c r="BV601" s="65"/>
      <c r="BW601" s="66"/>
      <c r="BX601" s="67" t="str">
        <f t="shared" si="277"/>
        <v>#REF!</v>
      </c>
      <c r="BY601" s="68" t="str">
        <f t="shared" si="278"/>
        <v>#REF!</v>
      </c>
      <c r="BZ601" s="65"/>
      <c r="CA601" s="65"/>
      <c r="CB601" s="66"/>
      <c r="CC601" s="67" t="str">
        <f t="shared" si="279"/>
        <v>#REF!</v>
      </c>
      <c r="CD601" s="68" t="str">
        <f>'[1]DATA CONSOLIDADA 2018-2025 '!$CB601-Hoja1!$BW601</f>
        <v>#REF!</v>
      </c>
      <c r="CE601" s="70"/>
      <c r="CF601" s="70"/>
      <c r="CG601" s="71"/>
      <c r="CH601" s="67" t="str">
        <f t="shared" si="280"/>
        <v>#REF!</v>
      </c>
      <c r="CI601" s="68" t="str">
        <f>'[1]DATA CONSOLIDADA 2018-2025 '!$CG601-Hoja1!$CB601</f>
        <v>#REF!</v>
      </c>
      <c r="CJ601" s="64" t="str">
        <f t="shared" si="271"/>
        <v>#REF!</v>
      </c>
      <c r="CK601" s="64">
        <v>374967.70016577997</v>
      </c>
      <c r="CL601" s="64">
        <v>2.564458331777142E7</v>
      </c>
      <c r="CM601" s="64">
        <v>2.60195510179372E7</v>
      </c>
      <c r="CN601" s="64" t="str">
        <f t="shared" si="12"/>
        <v>#REF!</v>
      </c>
      <c r="CO601" s="68" t="str">
        <f>'[1]DATA CONSOLIDADA 2018-2025 '!$CM601-Hoja1!$CG601</f>
        <v>#REF!</v>
      </c>
      <c r="CP601" s="70"/>
      <c r="CQ601" s="70"/>
      <c r="CR601" s="70"/>
      <c r="CS601" s="70"/>
      <c r="CT601" s="70"/>
      <c r="CU601" s="70"/>
      <c r="CV601" s="64"/>
      <c r="CW601" s="64"/>
      <c r="CX601" s="64"/>
      <c r="CY601" s="64"/>
      <c r="CZ601" s="64"/>
      <c r="DA601" s="64"/>
      <c r="DB601" s="64"/>
      <c r="DC601" s="72">
        <v>0.0</v>
      </c>
      <c r="DD601" s="72">
        <v>0.0</v>
      </c>
      <c r="DE601" s="72">
        <v>2.60195510179372E7</v>
      </c>
      <c r="DF601" s="72">
        <v>0.0</v>
      </c>
      <c r="DG601" s="72">
        <v>0.0</v>
      </c>
      <c r="DH601" s="72">
        <v>2.60195510179372E7</v>
      </c>
      <c r="DI601" s="73">
        <v>2.0602650643E10</v>
      </c>
      <c r="DJ601" s="74" t="s">
        <v>1830</v>
      </c>
      <c r="DK601" s="74" t="s">
        <v>138</v>
      </c>
      <c r="DL601" s="75"/>
      <c r="DM601" s="75"/>
      <c r="DN601" s="75"/>
      <c r="DO601" s="75"/>
      <c r="DP601" s="75"/>
      <c r="DQ601" s="75"/>
      <c r="DR601" s="75"/>
      <c r="DS601" s="75"/>
      <c r="DT601" s="75"/>
      <c r="DU601" s="75"/>
      <c r="DV601" s="75"/>
      <c r="DW601" s="75"/>
      <c r="DX601" s="75"/>
      <c r="DY601" s="75"/>
      <c r="DZ601" s="75"/>
      <c r="EA601" s="75"/>
      <c r="EB601" s="75"/>
      <c r="EC601" s="75"/>
      <c r="ED601" s="75"/>
      <c r="EE601" s="75"/>
    </row>
    <row r="602" ht="47.25" hidden="1" customHeight="1">
      <c r="A602" s="55" t="s">
        <v>1832</v>
      </c>
      <c r="B602" s="55" t="s">
        <v>126</v>
      </c>
      <c r="C602" s="55" t="s">
        <v>1588</v>
      </c>
      <c r="D602" s="55" t="s">
        <v>1831</v>
      </c>
      <c r="E602" s="55" t="s">
        <v>1833</v>
      </c>
      <c r="F602" s="55" t="s">
        <v>1060</v>
      </c>
      <c r="G602" s="55" t="s">
        <v>1081</v>
      </c>
      <c r="H602" s="55" t="s">
        <v>1834</v>
      </c>
      <c r="I602" s="56"/>
      <c r="J602" s="56"/>
      <c r="K602" s="56"/>
      <c r="L602" s="56"/>
      <c r="M602" s="56"/>
      <c r="N602" s="56"/>
      <c r="O602" s="56"/>
      <c r="P602" s="56">
        <v>1.0</v>
      </c>
      <c r="Q602" s="56" t="s">
        <v>131</v>
      </c>
      <c r="R602" s="58" t="str">
        <f t="shared" si="1"/>
        <v>2025</v>
      </c>
      <c r="S602" s="59" t="str">
        <f>SUM(Hoja1!$I602:$P602)</f>
        <v>1</v>
      </c>
      <c r="T602" s="59" t="str">
        <f>IF(OR(Hoja1!$J602=1,Hoja1!$K602=1,Hoja1!$L602=1,Hoja1!$M602=1,Hoja1!$N602=1,Hoja1!$O602=1,Hoja1!$P602=1),"SI","NO")</f>
        <v>SI</v>
      </c>
      <c r="U602" s="59" t="str">
        <f>IF(OR(Hoja1!$K602=1,Hoja1!$L602=1,Hoja1!$M602=1,Hoja1!$N602=1,Hoja1!$O602=1,Hoja1!$P602=1),"SI","NO")</f>
        <v>SI</v>
      </c>
      <c r="V602" s="60">
        <v>0.0</v>
      </c>
      <c r="W602" s="61">
        <v>0.0</v>
      </c>
      <c r="X602" s="61">
        <v>0.0</v>
      </c>
      <c r="Y602" s="60">
        <v>0.0</v>
      </c>
      <c r="Z602" s="61">
        <v>0.0</v>
      </c>
      <c r="AA602" s="61">
        <v>0.0</v>
      </c>
      <c r="AB602" s="60">
        <v>0.0</v>
      </c>
      <c r="AC602" s="61">
        <v>0.0</v>
      </c>
      <c r="AD602" s="61">
        <v>0.0</v>
      </c>
      <c r="AE602" s="60">
        <v>0.0</v>
      </c>
      <c r="AF602" s="61">
        <v>0.0</v>
      </c>
      <c r="AG602" s="61">
        <v>0.0</v>
      </c>
      <c r="AH602" s="60">
        <v>0.0</v>
      </c>
      <c r="AI602" s="61">
        <v>0.0</v>
      </c>
      <c r="AJ602" s="61">
        <v>0.0</v>
      </c>
      <c r="AK602" s="60">
        <v>0.0</v>
      </c>
      <c r="AL602" s="61">
        <v>0.0</v>
      </c>
      <c r="AM602" s="61">
        <v>0.0</v>
      </c>
      <c r="AN602" s="60">
        <v>0.0</v>
      </c>
      <c r="AO602" s="62">
        <v>21.0</v>
      </c>
      <c r="AP602" s="62">
        <v>10.0</v>
      </c>
      <c r="AQ602" s="60">
        <v>31.0</v>
      </c>
      <c r="AR602" s="60" t="str">
        <f>IF(Hoja1!$AQ602&gt;0,Hoja1!$AQ602,IF(Hoja1!$AN602&gt;0,Hoja1!$AN602,IF(Hoja1!$AK602&gt;0,Hoja1!$AK602,IF(Hoja1!$AH602&gt;0,Hoja1!$AH602,IF(Hoja1!$AE602&gt;0,Hoja1!$AE602,IF(Hoja1!$AB602&gt;0,Hoja1!$AB602,IF(Hoja1!$Y602&gt;0,Hoja1!$Y602,IF(Hoja1!$V602&gt;0,Hoja1!$V602," ---"))))))))</f>
        <v>31</v>
      </c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>
        <v>6.0</v>
      </c>
      <c r="BD602" s="63">
        <v>0.0</v>
      </c>
      <c r="BE602" s="64"/>
      <c r="BF602" s="69"/>
      <c r="BG602" s="69"/>
      <c r="BH602" s="64"/>
      <c r="BI602" s="67" t="str">
        <f t="shared" si="272"/>
        <v>#REF!</v>
      </c>
      <c r="BJ602" s="68" t="str">
        <f t="shared" si="273"/>
        <v>#REF!</v>
      </c>
      <c r="BK602" s="69"/>
      <c r="BL602" s="69"/>
      <c r="BM602" s="64"/>
      <c r="BN602" s="67" t="str">
        <f t="shared" si="274"/>
        <v>#REF!</v>
      </c>
      <c r="BO602" s="68" t="str">
        <f t="shared" si="275"/>
        <v>#REF!</v>
      </c>
      <c r="BP602" s="65"/>
      <c r="BQ602" s="65"/>
      <c r="BR602" s="66"/>
      <c r="BS602" s="67" t="str">
        <f t="shared" si="276"/>
        <v>#REF!</v>
      </c>
      <c r="BT602" s="68" t="str">
        <f>'[1]DATA CONSOLIDADA 2018-2025 '!$BR602-Hoja1!$BO602</f>
        <v>#REF!</v>
      </c>
      <c r="BU602" s="69"/>
      <c r="BV602" s="65"/>
      <c r="BW602" s="66"/>
      <c r="BX602" s="67" t="str">
        <f t="shared" si="277"/>
        <v>#REF!</v>
      </c>
      <c r="BY602" s="68" t="str">
        <f t="shared" si="278"/>
        <v>#REF!</v>
      </c>
      <c r="BZ602" s="65"/>
      <c r="CA602" s="65"/>
      <c r="CB602" s="66"/>
      <c r="CC602" s="67" t="str">
        <f t="shared" si="279"/>
        <v>#REF!</v>
      </c>
      <c r="CD602" s="68" t="str">
        <f>'[1]DATA CONSOLIDADA 2018-2025 '!$CB602-Hoja1!$BW602</f>
        <v>#REF!</v>
      </c>
      <c r="CE602" s="70"/>
      <c r="CF602" s="70"/>
      <c r="CG602" s="71"/>
      <c r="CH602" s="67" t="str">
        <f t="shared" si="280"/>
        <v>#REF!</v>
      </c>
      <c r="CI602" s="68" t="str">
        <f>'[1]DATA CONSOLIDADA 2018-2025 '!$CG602-Hoja1!$CB602</f>
        <v>#REF!</v>
      </c>
      <c r="CJ602" s="64" t="str">
        <f t="shared" si="271"/>
        <v>#REF!</v>
      </c>
      <c r="CK602" s="64">
        <v>4199064.401190761</v>
      </c>
      <c r="CL602" s="64">
        <v>2688149.2098482796</v>
      </c>
      <c r="CM602" s="64">
        <v>6887213.611039041</v>
      </c>
      <c r="CN602" s="64" t="str">
        <f t="shared" si="12"/>
        <v>#REF!</v>
      </c>
      <c r="CO602" s="68" t="str">
        <f>'[1]DATA CONSOLIDADA 2018-2025 '!$CM602-Hoja1!$CG602</f>
        <v>#REF!</v>
      </c>
      <c r="CP602" s="70"/>
      <c r="CQ602" s="70"/>
      <c r="CR602" s="70"/>
      <c r="CS602" s="70"/>
      <c r="CT602" s="70"/>
      <c r="CU602" s="70"/>
      <c r="CV602" s="64"/>
      <c r="CW602" s="64"/>
      <c r="CX602" s="64"/>
      <c r="CY602" s="64"/>
      <c r="CZ602" s="64"/>
      <c r="DA602" s="64"/>
      <c r="DB602" s="64"/>
      <c r="DC602" s="72">
        <v>0.0</v>
      </c>
      <c r="DD602" s="72">
        <v>0.0</v>
      </c>
      <c r="DE602" s="72">
        <v>6887213.611039042</v>
      </c>
      <c r="DF602" s="72">
        <v>0.0</v>
      </c>
      <c r="DG602" s="72">
        <v>0.0</v>
      </c>
      <c r="DH602" s="72">
        <v>6887213.611039042</v>
      </c>
      <c r="DI602" s="73">
        <v>2.0606451122E10</v>
      </c>
      <c r="DJ602" s="74" t="s">
        <v>1832</v>
      </c>
      <c r="DK602" s="74" t="s">
        <v>138</v>
      </c>
      <c r="DL602" s="75"/>
      <c r="DM602" s="75"/>
      <c r="DN602" s="75"/>
      <c r="DO602" s="75"/>
      <c r="DP602" s="75"/>
      <c r="DQ602" s="75"/>
      <c r="DR602" s="75"/>
      <c r="DS602" s="75"/>
      <c r="DT602" s="75"/>
      <c r="DU602" s="75"/>
      <c r="DV602" s="75"/>
      <c r="DW602" s="75"/>
      <c r="DX602" s="75"/>
      <c r="DY602" s="75"/>
      <c r="DZ602" s="75"/>
      <c r="EA602" s="75"/>
      <c r="EB602" s="75"/>
      <c r="EC602" s="75"/>
      <c r="ED602" s="75"/>
      <c r="EE602" s="75"/>
    </row>
    <row r="603" ht="47.25" hidden="1" customHeight="1">
      <c r="A603" s="55" t="s">
        <v>1835</v>
      </c>
      <c r="B603" s="55" t="s">
        <v>126</v>
      </c>
      <c r="C603" s="55" t="s">
        <v>1588</v>
      </c>
      <c r="D603" s="55" t="s">
        <v>1831</v>
      </c>
      <c r="E603" s="55" t="s">
        <v>1080</v>
      </c>
      <c r="F603" s="55" t="s">
        <v>1060</v>
      </c>
      <c r="G603" s="55" t="s">
        <v>1081</v>
      </c>
      <c r="H603" s="55" t="s">
        <v>1082</v>
      </c>
      <c r="I603" s="56"/>
      <c r="J603" s="56"/>
      <c r="K603" s="56"/>
      <c r="L603" s="56"/>
      <c r="M603" s="56"/>
      <c r="N603" s="56"/>
      <c r="O603" s="56"/>
      <c r="P603" s="56">
        <v>1.0</v>
      </c>
      <c r="Q603" s="56" t="s">
        <v>131</v>
      </c>
      <c r="R603" s="58" t="str">
        <f t="shared" si="1"/>
        <v>2025</v>
      </c>
      <c r="S603" s="59" t="str">
        <f>SUM(Hoja1!$I603:$P603)</f>
        <v>1</v>
      </c>
      <c r="T603" s="59" t="str">
        <f>IF(OR(Hoja1!$J603=1,Hoja1!$K603=1,Hoja1!$L603=1,Hoja1!$M603=1,Hoja1!$N603=1,Hoja1!$O603=1,Hoja1!$P603=1),"SI","NO")</f>
        <v>SI</v>
      </c>
      <c r="U603" s="59" t="str">
        <f>IF(OR(Hoja1!$K603=1,Hoja1!$L603=1,Hoja1!$M603=1,Hoja1!$N603=1,Hoja1!$O603=1,Hoja1!$P603=1),"SI","NO")</f>
        <v>SI</v>
      </c>
      <c r="V603" s="60">
        <v>0.0</v>
      </c>
      <c r="W603" s="61">
        <v>0.0</v>
      </c>
      <c r="X603" s="61">
        <v>0.0</v>
      </c>
      <c r="Y603" s="60">
        <v>0.0</v>
      </c>
      <c r="Z603" s="61">
        <v>0.0</v>
      </c>
      <c r="AA603" s="61">
        <v>0.0</v>
      </c>
      <c r="AB603" s="60">
        <v>0.0</v>
      </c>
      <c r="AC603" s="61">
        <v>0.0</v>
      </c>
      <c r="AD603" s="61">
        <v>0.0</v>
      </c>
      <c r="AE603" s="60">
        <v>0.0</v>
      </c>
      <c r="AF603" s="61">
        <v>0.0</v>
      </c>
      <c r="AG603" s="61">
        <v>0.0</v>
      </c>
      <c r="AH603" s="60">
        <v>0.0</v>
      </c>
      <c r="AI603" s="61">
        <v>0.0</v>
      </c>
      <c r="AJ603" s="61">
        <v>0.0</v>
      </c>
      <c r="AK603" s="60">
        <v>0.0</v>
      </c>
      <c r="AL603" s="61">
        <v>0.0</v>
      </c>
      <c r="AM603" s="61">
        <v>0.0</v>
      </c>
      <c r="AN603" s="60">
        <v>0.0</v>
      </c>
      <c r="AO603" s="62">
        <v>400.0</v>
      </c>
      <c r="AP603" s="62">
        <v>206.0</v>
      </c>
      <c r="AQ603" s="60">
        <v>606.0</v>
      </c>
      <c r="AR603" s="60" t="str">
        <f>IF(Hoja1!$AQ603&gt;0,Hoja1!$AQ603,IF(Hoja1!$AN603&gt;0,Hoja1!$AN603,IF(Hoja1!$AK603&gt;0,Hoja1!$AK603,IF(Hoja1!$AH603&gt;0,Hoja1!$AH603,IF(Hoja1!$AE603&gt;0,Hoja1!$AE603,IF(Hoja1!$AB603&gt;0,Hoja1!$AB603,IF(Hoja1!$Y603&gt;0,Hoja1!$Y603,IF(Hoja1!$V603&gt;0,Hoja1!$V603," ---"))))))))</f>
        <v>606</v>
      </c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>
        <v>6.0</v>
      </c>
      <c r="BD603" s="63">
        <v>0.0</v>
      </c>
      <c r="BE603" s="64"/>
      <c r="BF603" s="69"/>
      <c r="BG603" s="69"/>
      <c r="BH603" s="64"/>
      <c r="BI603" s="67" t="str">
        <f t="shared" si="272"/>
        <v>#REF!</v>
      </c>
      <c r="BJ603" s="68" t="str">
        <f t="shared" si="273"/>
        <v>#REF!</v>
      </c>
      <c r="BK603" s="69"/>
      <c r="BL603" s="69"/>
      <c r="BM603" s="64"/>
      <c r="BN603" s="67" t="str">
        <f t="shared" si="274"/>
        <v>#REF!</v>
      </c>
      <c r="BO603" s="68" t="str">
        <f t="shared" si="275"/>
        <v>#REF!</v>
      </c>
      <c r="BP603" s="65"/>
      <c r="BQ603" s="65"/>
      <c r="BR603" s="66"/>
      <c r="BS603" s="67" t="str">
        <f t="shared" si="276"/>
        <v>#REF!</v>
      </c>
      <c r="BT603" s="68" t="str">
        <f>'[1]DATA CONSOLIDADA 2018-2025 '!$BR603-Hoja1!$BO603</f>
        <v>#REF!</v>
      </c>
      <c r="BU603" s="69"/>
      <c r="BV603" s="65"/>
      <c r="BW603" s="66"/>
      <c r="BX603" s="67" t="str">
        <f t="shared" si="277"/>
        <v>#REF!</v>
      </c>
      <c r="BY603" s="68" t="str">
        <f t="shared" si="278"/>
        <v>#REF!</v>
      </c>
      <c r="BZ603" s="65"/>
      <c r="CA603" s="65"/>
      <c r="CB603" s="66"/>
      <c r="CC603" s="67" t="str">
        <f t="shared" si="279"/>
        <v>#REF!</v>
      </c>
      <c r="CD603" s="68" t="str">
        <f>'[1]DATA CONSOLIDADA 2018-2025 '!$CB603-Hoja1!$BW603</f>
        <v>#REF!</v>
      </c>
      <c r="CE603" s="70"/>
      <c r="CF603" s="70"/>
      <c r="CG603" s="71"/>
      <c r="CH603" s="67" t="str">
        <f t="shared" si="280"/>
        <v>#REF!</v>
      </c>
      <c r="CI603" s="68" t="str">
        <f>'[1]DATA CONSOLIDADA 2018-2025 '!$CG603-Hoja1!$CB603</f>
        <v>#REF!</v>
      </c>
      <c r="CJ603" s="64" t="str">
        <f t="shared" si="271"/>
        <v>#REF!</v>
      </c>
      <c r="CK603" s="64">
        <v>3981139.445442799</v>
      </c>
      <c r="CL603" s="64">
        <v>3.892431093346607E7</v>
      </c>
      <c r="CM603" s="64">
        <v>4.2905450378908865E7</v>
      </c>
      <c r="CN603" s="64" t="str">
        <f t="shared" si="12"/>
        <v>#REF!</v>
      </c>
      <c r="CO603" s="68" t="str">
        <f>'[1]DATA CONSOLIDADA 2018-2025 '!$CM603-Hoja1!$CG603</f>
        <v>#REF!</v>
      </c>
      <c r="CP603" s="70"/>
      <c r="CQ603" s="70"/>
      <c r="CR603" s="70"/>
      <c r="CS603" s="70"/>
      <c r="CT603" s="70"/>
      <c r="CU603" s="70"/>
      <c r="CV603" s="64"/>
      <c r="CW603" s="64"/>
      <c r="CX603" s="64"/>
      <c r="CY603" s="64"/>
      <c r="CZ603" s="64"/>
      <c r="DA603" s="64"/>
      <c r="DB603" s="64"/>
      <c r="DC603" s="72">
        <v>0.0</v>
      </c>
      <c r="DD603" s="72">
        <v>0.0</v>
      </c>
      <c r="DE603" s="72">
        <v>4.290545037890886E7</v>
      </c>
      <c r="DF603" s="72">
        <v>0.0</v>
      </c>
      <c r="DG603" s="72">
        <v>0.0</v>
      </c>
      <c r="DH603" s="72">
        <v>4.290545037890886E7</v>
      </c>
      <c r="DI603" s="73">
        <v>2.0542209951E10</v>
      </c>
      <c r="DJ603" s="74" t="s">
        <v>1835</v>
      </c>
      <c r="DK603" s="74" t="s">
        <v>132</v>
      </c>
      <c r="DL603" s="75"/>
      <c r="DM603" s="75"/>
      <c r="DN603" s="75"/>
      <c r="DO603" s="75"/>
      <c r="DP603" s="75"/>
      <c r="DQ603" s="75"/>
      <c r="DR603" s="75"/>
      <c r="DS603" s="75"/>
      <c r="DT603" s="75"/>
      <c r="DU603" s="75"/>
      <c r="DV603" s="75"/>
      <c r="DW603" s="75"/>
      <c r="DX603" s="75"/>
      <c r="DY603" s="75"/>
      <c r="DZ603" s="75"/>
      <c r="EA603" s="75"/>
      <c r="EB603" s="75"/>
      <c r="EC603" s="75"/>
      <c r="ED603" s="75"/>
      <c r="EE603" s="75"/>
    </row>
    <row r="604" ht="47.25" hidden="1" customHeight="1">
      <c r="A604" s="55" t="s">
        <v>1836</v>
      </c>
      <c r="B604" s="55" t="s">
        <v>898</v>
      </c>
      <c r="C604" s="55" t="s">
        <v>898</v>
      </c>
      <c r="D604" s="55" t="s">
        <v>1117</v>
      </c>
      <c r="E604" s="55" t="s">
        <v>1837</v>
      </c>
      <c r="F604" s="55" t="s">
        <v>1117</v>
      </c>
      <c r="G604" s="55" t="s">
        <v>1136</v>
      </c>
      <c r="H604" s="55" t="s">
        <v>1838</v>
      </c>
      <c r="I604" s="56"/>
      <c r="J604" s="56"/>
      <c r="K604" s="56"/>
      <c r="L604" s="56"/>
      <c r="M604" s="56"/>
      <c r="N604" s="56"/>
      <c r="O604" s="56"/>
      <c r="P604" s="56">
        <v>1.0</v>
      </c>
      <c r="Q604" s="56" t="s">
        <v>131</v>
      </c>
      <c r="R604" s="58" t="str">
        <f t="shared" si="1"/>
        <v>2025</v>
      </c>
      <c r="S604" s="59" t="str">
        <f>SUM(Hoja1!$I604:$P604)</f>
        <v>1</v>
      </c>
      <c r="T604" s="59" t="str">
        <f>IF(OR(Hoja1!$J604=1,Hoja1!$K604=1,Hoja1!$L604=1,Hoja1!$M604=1,Hoja1!$N604=1,Hoja1!$O604=1,Hoja1!$P604=1),"SI","NO")</f>
        <v>SI</v>
      </c>
      <c r="U604" s="59" t="str">
        <f>IF(OR(Hoja1!$K604=1,Hoja1!$L604=1,Hoja1!$M604=1,Hoja1!$N604=1,Hoja1!$O604=1,Hoja1!$P604=1),"SI","NO")</f>
        <v>SI</v>
      </c>
      <c r="V604" s="60">
        <v>0.0</v>
      </c>
      <c r="W604" s="61">
        <v>0.0</v>
      </c>
      <c r="X604" s="61">
        <v>0.0</v>
      </c>
      <c r="Y604" s="60">
        <v>0.0</v>
      </c>
      <c r="Z604" s="61">
        <v>0.0</v>
      </c>
      <c r="AA604" s="61">
        <v>0.0</v>
      </c>
      <c r="AB604" s="60">
        <v>0.0</v>
      </c>
      <c r="AC604" s="61">
        <v>0.0</v>
      </c>
      <c r="AD604" s="61">
        <v>0.0</v>
      </c>
      <c r="AE604" s="60">
        <v>0.0</v>
      </c>
      <c r="AF604" s="61">
        <v>0.0</v>
      </c>
      <c r="AG604" s="61">
        <v>0.0</v>
      </c>
      <c r="AH604" s="60">
        <v>0.0</v>
      </c>
      <c r="AI604" s="61">
        <v>0.0</v>
      </c>
      <c r="AJ604" s="61">
        <v>0.0</v>
      </c>
      <c r="AK604" s="60">
        <v>0.0</v>
      </c>
      <c r="AL604" s="61">
        <v>0.0</v>
      </c>
      <c r="AM604" s="61">
        <v>0.0</v>
      </c>
      <c r="AN604" s="60">
        <v>0.0</v>
      </c>
      <c r="AO604" s="62">
        <v>4.0</v>
      </c>
      <c r="AP604" s="62">
        <v>2.0</v>
      </c>
      <c r="AQ604" s="60">
        <v>6.0</v>
      </c>
      <c r="AR604" s="60" t="str">
        <f>IF(Hoja1!$AQ604&gt;0,Hoja1!$AQ604,IF(Hoja1!$AN604&gt;0,Hoja1!$AN604,IF(Hoja1!$AK604&gt;0,Hoja1!$AK604,IF(Hoja1!$AH604&gt;0,Hoja1!$AH604,IF(Hoja1!$AE604&gt;0,Hoja1!$AE604,IF(Hoja1!$AB604&gt;0,Hoja1!$AB604,IF(Hoja1!$Y604&gt;0,Hoja1!$Y604,IF(Hoja1!$V604&gt;0,Hoja1!$V604," ---"))))))))</f>
        <v>6</v>
      </c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>
        <v>21.0</v>
      </c>
      <c r="BD604" s="63">
        <v>4.0</v>
      </c>
      <c r="BE604" s="64"/>
      <c r="BF604" s="69"/>
      <c r="BG604" s="69"/>
      <c r="BH604" s="64"/>
      <c r="BI604" s="67" t="str">
        <f>IF('[1]DATA CONSOLIDADA 2018-2025 '!$BH587&gt;'[1]DATA CONSOLIDADA 2018-2025 '!$AN587,"Incremento",IF('[1]DATA CONSOLIDADA 2018-2025 '!$AN587='[1]DATA CONSOLIDADA 2018-2025 '!$BH587,"Sin incremento",IF('[1]DATA CONSOLIDADA 2018-2025 '!$BH587&lt;'[1]DATA CONSOLIDADA 2018-2025 '!$AN587,"Disminución"," ---")))</f>
        <v>#REF!</v>
      </c>
      <c r="BJ604" s="68" t="str">
        <f>'[1]DATA CONSOLIDADA 2018-2025 '!$BH587-'[1]DATA CONSOLIDADA 2018-2025 '!$BE587</f>
        <v>#REF!</v>
      </c>
      <c r="BK604" s="69"/>
      <c r="BL604" s="69"/>
      <c r="BM604" s="64"/>
      <c r="BN604" s="67" t="str">
        <f>IF('[1]DATA CONSOLIDADA 2018-2025 '!$BM587&gt;'[1]DATA CONSOLIDADA 2018-2025 '!$BH587,"Incremento",IF('[1]DATA CONSOLIDADA 2018-2025 '!$BH587='[1]DATA CONSOLIDADA 2018-2025 '!$BM587,"Sin incremento",IF('[1]DATA CONSOLIDADA 2018-2025 '!$BM587&lt;'[1]DATA CONSOLIDADA 2018-2025 '!$BH587,"Disminución"," ---")))</f>
        <v>#REF!</v>
      </c>
      <c r="BO604" s="68" t="str">
        <f>'[1]DATA CONSOLIDADA 2018-2025 '!$BM587-'[1]DATA CONSOLIDADA 2018-2025 '!$BH587</f>
        <v>#REF!</v>
      </c>
      <c r="BP604" s="65"/>
      <c r="BQ604" s="65"/>
      <c r="BR604" s="66"/>
      <c r="BS604" s="67" t="str">
        <f>IF('[1]DATA CONSOLIDADA 2018-2025 '!$BR587&gt;'[1]DATA CONSOLIDADA 2018-2025 '!$BM587,"Incremento",IF('[1]DATA CONSOLIDADA 2018-2025 '!$BM587='[1]DATA CONSOLIDADA 2018-2025 '!$BR587,"Sin incremento",IF('[1]DATA CONSOLIDADA 2018-2025 '!$BR587&lt;'[1]DATA CONSOLIDADA 2018-2025 '!$BM587,"Disminución"," ---")))</f>
        <v>#REF!</v>
      </c>
      <c r="BT604" s="68" t="str">
        <f>'[1]DATA CONSOLIDADA 2018-2025 '!$BR604-Hoja1!$BO604</f>
        <v>#REF!</v>
      </c>
      <c r="BU604" s="69"/>
      <c r="BV604" s="65"/>
      <c r="BW604" s="66"/>
      <c r="BX604" s="67" t="str">
        <f>IF('[1]DATA CONSOLIDADA 2018-2025 '!$BW587&gt;'[1]DATA CONSOLIDADA 2018-2025 '!$BR587,"Incremento",IF('[1]DATA CONSOLIDADA 2018-2025 '!$BR587='[1]DATA CONSOLIDADA 2018-2025 '!$BW587,"Sin incremento",IF('[1]DATA CONSOLIDADA 2018-2025 '!$BW587&lt;'[1]DATA CONSOLIDADA 2018-2025 '!$BR587,"Disminución"," ---")))</f>
        <v>#REF!</v>
      </c>
      <c r="BY604" s="68" t="str">
        <f>'[1]DATA CONSOLIDADA 2018-2025 '!$BW587-'[1]DATA CONSOLIDADA 2018-2025 '!$BR587</f>
        <v>#REF!</v>
      </c>
      <c r="BZ604" s="65"/>
      <c r="CA604" s="65"/>
      <c r="CB604" s="66"/>
      <c r="CC604" s="67" t="str">
        <f>IF('[1]DATA CONSOLIDADA 2018-2025 '!$CB587&gt;'[1]DATA CONSOLIDADA 2018-2025 '!$BW587,"Incremento",IF('[1]DATA CONSOLIDADA 2018-2025 '!$BW587='[1]DATA CONSOLIDADA 2018-2025 '!$CB587,"Sin incremento",IF('[1]DATA CONSOLIDADA 2018-2025 '!$CB587&lt;'[1]DATA CONSOLIDADA 2018-2025 '!$BW587,"Disminución"," ---")))</f>
        <v>#REF!</v>
      </c>
      <c r="CD604" s="68" t="str">
        <f>'[1]DATA CONSOLIDADA 2018-2025 '!$CB604-Hoja1!$BW604</f>
        <v>#REF!</v>
      </c>
      <c r="CE604" s="70"/>
      <c r="CF604" s="70"/>
      <c r="CG604" s="71"/>
      <c r="CH604" s="67" t="str">
        <f>IF('[1]DATA CONSOLIDADA 2018-2025 '!$CG587&gt;'[1]DATA CONSOLIDADA 2018-2025 '!$CB587,"Incremento",IF('[1]DATA CONSOLIDADA 2018-2025 '!$CB587='[1]DATA CONSOLIDADA 2018-2025 '!$CG587,"Sin incremento",IF('[1]DATA CONSOLIDADA 2018-2025 '!$CG587&lt;'[1]DATA CONSOLIDADA 2018-2025 '!$CB587,"Disminución"," ---")))</f>
        <v>#REF!</v>
      </c>
      <c r="CI604" s="68" t="str">
        <f>'[1]DATA CONSOLIDADA 2018-2025 '!$CG604-Hoja1!$CB604</f>
        <v>#REF!</v>
      </c>
      <c r="CJ604" s="64" t="str">
        <f t="shared" si="271"/>
        <v>#REF!</v>
      </c>
      <c r="CK604" s="64">
        <v>80133.99650000001</v>
      </c>
      <c r="CL604" s="64">
        <v>0.0</v>
      </c>
      <c r="CM604" s="64">
        <v>80133.99650000001</v>
      </c>
      <c r="CN604" s="64" t="str">
        <f t="shared" si="12"/>
        <v>#REF!</v>
      </c>
      <c r="CO604" s="68" t="str">
        <f>'[1]DATA CONSOLIDADA 2018-2025 '!$CM604-Hoja1!$CG604</f>
        <v>#REF!</v>
      </c>
      <c r="CP604" s="70"/>
      <c r="CQ604" s="70"/>
      <c r="CR604" s="70"/>
      <c r="CS604" s="70"/>
      <c r="CT604" s="70"/>
      <c r="CU604" s="70"/>
      <c r="CV604" s="64"/>
      <c r="CW604" s="64"/>
      <c r="CX604" s="64"/>
      <c r="CY604" s="64"/>
      <c r="CZ604" s="64"/>
      <c r="DA604" s="64"/>
      <c r="DB604" s="64"/>
      <c r="DC604" s="72">
        <v>0.0</v>
      </c>
      <c r="DD604" s="72">
        <v>80133.99650000001</v>
      </c>
      <c r="DE604" s="72">
        <v>0.0</v>
      </c>
      <c r="DF604" s="72">
        <v>0.0</v>
      </c>
      <c r="DG604" s="72">
        <v>0.0</v>
      </c>
      <c r="DH604" s="72">
        <v>80133.99650000001</v>
      </c>
      <c r="DI604" s="73">
        <v>2.0601154499E10</v>
      </c>
      <c r="DJ604" s="74" t="s">
        <v>1836</v>
      </c>
      <c r="DK604" s="74" t="s">
        <v>306</v>
      </c>
      <c r="DL604" s="75"/>
      <c r="DM604" s="75"/>
      <c r="DN604" s="75"/>
      <c r="DO604" s="75"/>
      <c r="DP604" s="75"/>
      <c r="DQ604" s="75"/>
      <c r="DR604" s="75"/>
      <c r="DS604" s="75"/>
      <c r="DT604" s="75"/>
      <c r="DU604" s="75"/>
      <c r="DV604" s="75"/>
      <c r="DW604" s="75"/>
      <c r="DX604" s="75"/>
      <c r="DY604" s="75"/>
      <c r="DZ604" s="75"/>
      <c r="EA604" s="75"/>
      <c r="EB604" s="75"/>
      <c r="EC604" s="75"/>
      <c r="ED604" s="75"/>
      <c r="EE604" s="75"/>
    </row>
    <row r="605" ht="47.25" hidden="1" customHeight="1">
      <c r="A605" s="55" t="s">
        <v>1839</v>
      </c>
      <c r="B605" s="55" t="s">
        <v>1840</v>
      </c>
      <c r="C605" s="55" t="s">
        <v>1840</v>
      </c>
      <c r="D605" s="55" t="s">
        <v>967</v>
      </c>
      <c r="E605" s="55"/>
      <c r="F605" s="55" t="s">
        <v>967</v>
      </c>
      <c r="G605" s="55" t="s">
        <v>969</v>
      </c>
      <c r="H605" s="55" t="s">
        <v>1441</v>
      </c>
      <c r="I605" s="56"/>
      <c r="J605" s="56"/>
      <c r="K605" s="56"/>
      <c r="L605" s="56"/>
      <c r="M605" s="56"/>
      <c r="N605" s="56"/>
      <c r="O605" s="56"/>
      <c r="P605" s="56">
        <v>1.0</v>
      </c>
      <c r="Q605" s="56" t="s">
        <v>131</v>
      </c>
      <c r="R605" s="58" t="str">
        <f t="shared" si="1"/>
        <v>2025</v>
      </c>
      <c r="S605" s="59" t="str">
        <f>SUM(Hoja1!$I605:$P605)</f>
        <v>1</v>
      </c>
      <c r="T605" s="59" t="str">
        <f>IF(OR(Hoja1!$J605=1,Hoja1!$K605=1,Hoja1!$L605=1,Hoja1!$M605=1,Hoja1!$N605=1,Hoja1!$O605=1,Hoja1!$P605=1),"SI","NO")</f>
        <v>SI</v>
      </c>
      <c r="U605" s="59" t="str">
        <f>IF(OR(Hoja1!$K605=1,Hoja1!$L605=1,Hoja1!$M605=1,Hoja1!$N605=1,Hoja1!$O605=1,Hoja1!$P605=1),"SI","NO")</f>
        <v>SI</v>
      </c>
      <c r="V605" s="60">
        <v>0.0</v>
      </c>
      <c r="W605" s="61">
        <v>0.0</v>
      </c>
      <c r="X605" s="61">
        <v>0.0</v>
      </c>
      <c r="Y605" s="60">
        <v>0.0</v>
      </c>
      <c r="Z605" s="61">
        <v>0.0</v>
      </c>
      <c r="AA605" s="61">
        <v>0.0</v>
      </c>
      <c r="AB605" s="60">
        <v>0.0</v>
      </c>
      <c r="AC605" s="61">
        <v>0.0</v>
      </c>
      <c r="AD605" s="61">
        <v>0.0</v>
      </c>
      <c r="AE605" s="60">
        <v>0.0</v>
      </c>
      <c r="AF605" s="61">
        <v>0.0</v>
      </c>
      <c r="AG605" s="61">
        <v>0.0</v>
      </c>
      <c r="AH605" s="60">
        <v>0.0</v>
      </c>
      <c r="AI605" s="61">
        <v>0.0</v>
      </c>
      <c r="AJ605" s="61">
        <v>0.0</v>
      </c>
      <c r="AK605" s="60">
        <v>0.0</v>
      </c>
      <c r="AL605" s="61">
        <v>0.0</v>
      </c>
      <c r="AM605" s="61">
        <v>0.0</v>
      </c>
      <c r="AN605" s="60">
        <v>0.0</v>
      </c>
      <c r="AO605" s="62">
        <v>22.0</v>
      </c>
      <c r="AP605" s="62">
        <v>14.0</v>
      </c>
      <c r="AQ605" s="60">
        <v>36.0</v>
      </c>
      <c r="AR605" s="60" t="str">
        <f>IF(Hoja1!$AQ605&gt;0,Hoja1!$AQ605,IF(Hoja1!$AN605&gt;0,Hoja1!$AN605,IF(Hoja1!$AK605&gt;0,Hoja1!$AK605,IF(Hoja1!$AH605&gt;0,Hoja1!$AH605,IF(Hoja1!$AE605&gt;0,Hoja1!$AE605,IF(Hoja1!$AB605&gt;0,Hoja1!$AB605,IF(Hoja1!$Y605&gt;0,Hoja1!$Y605,IF(Hoja1!$V605&gt;0,Hoja1!$V605," ---"))))))))</f>
        <v>36</v>
      </c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>
        <v>8.0</v>
      </c>
      <c r="BD605" s="63">
        <v>1.0</v>
      </c>
      <c r="BE605" s="64"/>
      <c r="BF605" s="69"/>
      <c r="BG605" s="69"/>
      <c r="BH605" s="64"/>
      <c r="BI605" s="67" t="str">
        <f t="shared" ref="BI605:BI677" si="281">IF('[1]DATA CONSOLIDADA 2018-2025 '!$BH605&gt;'[1]DATA CONSOLIDADA 2018-2025 '!$AN605,"Incremento",IF('[1]DATA CONSOLIDADA 2018-2025 '!$AN605='[1]DATA CONSOLIDADA 2018-2025 '!$BH605,"Sin incremento",IF('[1]DATA CONSOLIDADA 2018-2025 '!$BH605&lt;'[1]DATA CONSOLIDADA 2018-2025 '!$AN605,"Disminución"," ---")))</f>
        <v>#REF!</v>
      </c>
      <c r="BJ605" s="68" t="str">
        <f t="shared" ref="BJ605:BJ677" si="282">'[1]DATA CONSOLIDADA 2018-2025 '!$BH605-'[1]DATA CONSOLIDADA 2018-2025 '!$BE605</f>
        <v>#REF!</v>
      </c>
      <c r="BK605" s="69"/>
      <c r="BL605" s="69"/>
      <c r="BM605" s="64"/>
      <c r="BN605" s="67" t="str">
        <f t="shared" ref="BN605:BN677" si="283">IF('[1]DATA CONSOLIDADA 2018-2025 '!$BM605&gt;'[1]DATA CONSOLIDADA 2018-2025 '!$BH605,"Incremento",IF('[1]DATA CONSOLIDADA 2018-2025 '!$BH605='[1]DATA CONSOLIDADA 2018-2025 '!$BM605,"Sin incremento",IF('[1]DATA CONSOLIDADA 2018-2025 '!$BM605&lt;'[1]DATA CONSOLIDADA 2018-2025 '!$BH605,"Disminución"," ---")))</f>
        <v>#REF!</v>
      </c>
      <c r="BO605" s="68" t="str">
        <f t="shared" ref="BO605:BO677" si="284">'[1]DATA CONSOLIDADA 2018-2025 '!$BM605-'[1]DATA CONSOLIDADA 2018-2025 '!$BH605</f>
        <v>#REF!</v>
      </c>
      <c r="BP605" s="65"/>
      <c r="BQ605" s="65"/>
      <c r="BR605" s="66"/>
      <c r="BS605" s="67" t="str">
        <f t="shared" ref="BS605:BS677" si="285">IF('[1]DATA CONSOLIDADA 2018-2025 '!$BR605&gt;'[1]DATA CONSOLIDADA 2018-2025 '!$BM605,"Incremento",IF('[1]DATA CONSOLIDADA 2018-2025 '!$BM605='[1]DATA CONSOLIDADA 2018-2025 '!$BR605,"Sin incremento",IF('[1]DATA CONSOLIDADA 2018-2025 '!$BR605&lt;'[1]DATA CONSOLIDADA 2018-2025 '!$BM605,"Disminución"," ---")))</f>
        <v>#REF!</v>
      </c>
      <c r="BT605" s="68" t="str">
        <f>'[1]DATA CONSOLIDADA 2018-2025 '!$BR605-Hoja1!$BO605</f>
        <v>#REF!</v>
      </c>
      <c r="BU605" s="69"/>
      <c r="BV605" s="65"/>
      <c r="BW605" s="66"/>
      <c r="BX605" s="67" t="str">
        <f t="shared" ref="BX605:BX677" si="286">IF('[1]DATA CONSOLIDADA 2018-2025 '!$BW605&gt;'[1]DATA CONSOLIDADA 2018-2025 '!$BR605,"Incremento",IF('[1]DATA CONSOLIDADA 2018-2025 '!$BR605='[1]DATA CONSOLIDADA 2018-2025 '!$BW605,"Sin incremento",IF('[1]DATA CONSOLIDADA 2018-2025 '!$BW605&lt;'[1]DATA CONSOLIDADA 2018-2025 '!$BR605,"Disminución"," ---")))</f>
        <v>#REF!</v>
      </c>
      <c r="BY605" s="68" t="str">
        <f t="shared" ref="BY605:BY677" si="287">'[1]DATA CONSOLIDADA 2018-2025 '!$BW605-'[1]DATA CONSOLIDADA 2018-2025 '!$BR605</f>
        <v>#REF!</v>
      </c>
      <c r="BZ605" s="65"/>
      <c r="CA605" s="65"/>
      <c r="CB605" s="66"/>
      <c r="CC605" s="67" t="str">
        <f t="shared" ref="CC605:CC677" si="288">IF('[1]DATA CONSOLIDADA 2018-2025 '!$CB605&gt;'[1]DATA CONSOLIDADA 2018-2025 '!$BW605,"Incremento",IF('[1]DATA CONSOLIDADA 2018-2025 '!$BW605='[1]DATA CONSOLIDADA 2018-2025 '!$CB605,"Sin incremento",IF('[1]DATA CONSOLIDADA 2018-2025 '!$CB605&lt;'[1]DATA CONSOLIDADA 2018-2025 '!$BW605,"Disminución"," ---")))</f>
        <v>#REF!</v>
      </c>
      <c r="CD605" s="68" t="str">
        <f>'[1]DATA CONSOLIDADA 2018-2025 '!$CB605-Hoja1!$BW605</f>
        <v>#REF!</v>
      </c>
      <c r="CE605" s="70"/>
      <c r="CF605" s="70"/>
      <c r="CG605" s="71"/>
      <c r="CH605" s="67" t="str">
        <f t="shared" ref="CH605:CH677" si="289">IF('[1]DATA CONSOLIDADA 2018-2025 '!$CG605&gt;'[1]DATA CONSOLIDADA 2018-2025 '!$CB605,"Incremento",IF('[1]DATA CONSOLIDADA 2018-2025 '!$CB605='[1]DATA CONSOLIDADA 2018-2025 '!$CG605,"Sin incremento",IF('[1]DATA CONSOLIDADA 2018-2025 '!$CG605&lt;'[1]DATA CONSOLIDADA 2018-2025 '!$CB605,"Disminución"," ---")))</f>
        <v>#REF!</v>
      </c>
      <c r="CI605" s="68" t="str">
        <f>'[1]DATA CONSOLIDADA 2018-2025 '!$CG605-Hoja1!$CB605</f>
        <v>#REF!</v>
      </c>
      <c r="CJ605" s="64" t="str">
        <f t="shared" si="271"/>
        <v>#REF!</v>
      </c>
      <c r="CK605" s="64">
        <v>0.0</v>
      </c>
      <c r="CL605" s="64">
        <v>781855.2000000002</v>
      </c>
      <c r="CM605" s="64">
        <v>781855.2000000002</v>
      </c>
      <c r="CN605" s="64" t="str">
        <f t="shared" si="12"/>
        <v>#REF!</v>
      </c>
      <c r="CO605" s="68" t="str">
        <f>'[1]DATA CONSOLIDADA 2018-2025 '!$CM605-Hoja1!$CG605</f>
        <v>#REF!</v>
      </c>
      <c r="CP605" s="70"/>
      <c r="CQ605" s="70"/>
      <c r="CR605" s="70"/>
      <c r="CS605" s="70"/>
      <c r="CT605" s="70"/>
      <c r="CU605" s="70"/>
      <c r="CV605" s="64"/>
      <c r="CW605" s="64"/>
      <c r="CX605" s="64"/>
      <c r="CY605" s="64"/>
      <c r="CZ605" s="64"/>
      <c r="DA605" s="64"/>
      <c r="DB605" s="64"/>
      <c r="DC605" s="72">
        <v>0.0</v>
      </c>
      <c r="DD605" s="72">
        <v>0.0</v>
      </c>
      <c r="DE605" s="72">
        <v>781855.2000000002</v>
      </c>
      <c r="DF605" s="72">
        <v>0.0</v>
      </c>
      <c r="DG605" s="72">
        <v>0.0</v>
      </c>
      <c r="DH605" s="72">
        <v>781855.2000000002</v>
      </c>
      <c r="DI605" s="73">
        <v>2.0526179367E10</v>
      </c>
      <c r="DJ605" s="74" t="s">
        <v>1839</v>
      </c>
      <c r="DK605" s="74" t="s">
        <v>132</v>
      </c>
      <c r="DL605" s="75"/>
      <c r="DM605" s="75"/>
      <c r="DN605" s="75"/>
      <c r="DO605" s="75"/>
      <c r="DP605" s="75"/>
      <c r="DQ605" s="75"/>
      <c r="DR605" s="75"/>
      <c r="DS605" s="75"/>
      <c r="DT605" s="75"/>
      <c r="DU605" s="75"/>
      <c r="DV605" s="75"/>
      <c r="DW605" s="75"/>
      <c r="DX605" s="75"/>
      <c r="DY605" s="75"/>
      <c r="DZ605" s="75"/>
      <c r="EA605" s="75"/>
      <c r="EB605" s="75"/>
      <c r="EC605" s="75"/>
      <c r="ED605" s="75"/>
      <c r="EE605" s="75"/>
    </row>
    <row r="606" ht="47.25" hidden="1" customHeight="1">
      <c r="A606" s="55" t="s">
        <v>1841</v>
      </c>
      <c r="B606" s="55" t="s">
        <v>1731</v>
      </c>
      <c r="C606" s="55" t="s">
        <v>1737</v>
      </c>
      <c r="D606" s="55" t="s">
        <v>1831</v>
      </c>
      <c r="E606" s="55"/>
      <c r="F606" s="55" t="s">
        <v>1831</v>
      </c>
      <c r="G606" s="55" t="s">
        <v>1069</v>
      </c>
      <c r="H606" s="55" t="s">
        <v>1842</v>
      </c>
      <c r="I606" s="56"/>
      <c r="J606" s="56"/>
      <c r="K606" s="56"/>
      <c r="L606" s="56"/>
      <c r="M606" s="56"/>
      <c r="N606" s="56"/>
      <c r="O606" s="56"/>
      <c r="P606" s="56">
        <v>1.0</v>
      </c>
      <c r="Q606" s="56" t="s">
        <v>131</v>
      </c>
      <c r="R606" s="58" t="str">
        <f t="shared" si="1"/>
        <v>2025</v>
      </c>
      <c r="S606" s="59" t="str">
        <f>SUM(Hoja1!$I606:$P606)</f>
        <v>1</v>
      </c>
      <c r="T606" s="59" t="str">
        <f>IF(OR(Hoja1!$J606=1,Hoja1!$K606=1,Hoja1!$L606=1,Hoja1!$M606=1,Hoja1!$N606=1,Hoja1!$O606=1,Hoja1!$P606=1),"SI","NO")</f>
        <v>SI</v>
      </c>
      <c r="U606" s="59" t="str">
        <f>IF(OR(Hoja1!$K606=1,Hoja1!$L606=1,Hoja1!$M606=1,Hoja1!$N606=1,Hoja1!$O606=1,Hoja1!$P606=1),"SI","NO")</f>
        <v>SI</v>
      </c>
      <c r="V606" s="60">
        <v>0.0</v>
      </c>
      <c r="W606" s="61">
        <v>0.0</v>
      </c>
      <c r="X606" s="61">
        <v>0.0</v>
      </c>
      <c r="Y606" s="60">
        <v>0.0</v>
      </c>
      <c r="Z606" s="61">
        <v>0.0</v>
      </c>
      <c r="AA606" s="61">
        <v>0.0</v>
      </c>
      <c r="AB606" s="60">
        <v>0.0</v>
      </c>
      <c r="AC606" s="61">
        <v>0.0</v>
      </c>
      <c r="AD606" s="61">
        <v>0.0</v>
      </c>
      <c r="AE606" s="60">
        <v>0.0</v>
      </c>
      <c r="AF606" s="61">
        <v>0.0</v>
      </c>
      <c r="AG606" s="61">
        <v>0.0</v>
      </c>
      <c r="AH606" s="60">
        <v>0.0</v>
      </c>
      <c r="AI606" s="61">
        <v>0.0</v>
      </c>
      <c r="AJ606" s="61">
        <v>0.0</v>
      </c>
      <c r="AK606" s="60">
        <v>0.0</v>
      </c>
      <c r="AL606" s="61">
        <v>0.0</v>
      </c>
      <c r="AM606" s="61">
        <v>0.0</v>
      </c>
      <c r="AN606" s="60">
        <v>0.0</v>
      </c>
      <c r="AO606" s="62">
        <v>10.0</v>
      </c>
      <c r="AP606" s="62">
        <v>6.0</v>
      </c>
      <c r="AQ606" s="60">
        <v>16.0</v>
      </c>
      <c r="AR606" s="60" t="str">
        <f>IF(Hoja1!$AQ606&gt;0,Hoja1!$AQ606,IF(Hoja1!$AN606&gt;0,Hoja1!$AN606,IF(Hoja1!$AK606&gt;0,Hoja1!$AK606,IF(Hoja1!$AH606&gt;0,Hoja1!$AH606,IF(Hoja1!$AE606&gt;0,Hoja1!$AE606,IF(Hoja1!$AB606&gt;0,Hoja1!$AB606,IF(Hoja1!$Y606&gt;0,Hoja1!$Y606,IF(Hoja1!$V606&gt;0,Hoja1!$V606," ---"))))))))</f>
        <v>16</v>
      </c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>
        <v>6.0</v>
      </c>
      <c r="BD606" s="63">
        <v>1.0</v>
      </c>
      <c r="BE606" s="64"/>
      <c r="BF606" s="69"/>
      <c r="BG606" s="69"/>
      <c r="BH606" s="64"/>
      <c r="BI606" s="67" t="str">
        <f t="shared" si="281"/>
        <v>#REF!</v>
      </c>
      <c r="BJ606" s="68" t="str">
        <f t="shared" si="282"/>
        <v>#REF!</v>
      </c>
      <c r="BK606" s="69"/>
      <c r="BL606" s="69"/>
      <c r="BM606" s="64"/>
      <c r="BN606" s="67" t="str">
        <f t="shared" si="283"/>
        <v>#REF!</v>
      </c>
      <c r="BO606" s="68" t="str">
        <f t="shared" si="284"/>
        <v>#REF!</v>
      </c>
      <c r="BP606" s="65"/>
      <c r="BQ606" s="65"/>
      <c r="BR606" s="66"/>
      <c r="BS606" s="67" t="str">
        <f t="shared" si="285"/>
        <v>#REF!</v>
      </c>
      <c r="BT606" s="68" t="str">
        <f>'[1]DATA CONSOLIDADA 2018-2025 '!$BR606-Hoja1!$BO606</f>
        <v>#REF!</v>
      </c>
      <c r="BU606" s="69"/>
      <c r="BV606" s="65"/>
      <c r="BW606" s="66"/>
      <c r="BX606" s="67" t="str">
        <f t="shared" si="286"/>
        <v>#REF!</v>
      </c>
      <c r="BY606" s="68" t="str">
        <f t="shared" si="287"/>
        <v>#REF!</v>
      </c>
      <c r="BZ606" s="65"/>
      <c r="CA606" s="65"/>
      <c r="CB606" s="66"/>
      <c r="CC606" s="67" t="str">
        <f t="shared" si="288"/>
        <v>#REF!</v>
      </c>
      <c r="CD606" s="68" t="str">
        <f>'[1]DATA CONSOLIDADA 2018-2025 '!$CB606-Hoja1!$BW606</f>
        <v>#REF!</v>
      </c>
      <c r="CE606" s="70"/>
      <c r="CF606" s="70"/>
      <c r="CG606" s="71"/>
      <c r="CH606" s="67" t="str">
        <f t="shared" si="289"/>
        <v>#REF!</v>
      </c>
      <c r="CI606" s="68" t="str">
        <f>'[1]DATA CONSOLIDADA 2018-2025 '!$CG606-Hoja1!$CB606</f>
        <v>#REF!</v>
      </c>
      <c r="CJ606" s="64" t="str">
        <f t="shared" si="271"/>
        <v>#REF!</v>
      </c>
      <c r="CK606" s="64">
        <v>0.0</v>
      </c>
      <c r="CL606" s="64">
        <v>0.0</v>
      </c>
      <c r="CM606" s="64">
        <v>0.0</v>
      </c>
      <c r="CN606" s="64" t="str">
        <f t="shared" si="12"/>
        <v>#REF!</v>
      </c>
      <c r="CO606" s="68" t="str">
        <f>'[1]DATA CONSOLIDADA 2018-2025 '!$CM606-Hoja1!$CG606</f>
        <v>#REF!</v>
      </c>
      <c r="CP606" s="70"/>
      <c r="CQ606" s="70"/>
      <c r="CR606" s="70"/>
      <c r="CS606" s="70"/>
      <c r="CT606" s="70"/>
      <c r="CU606" s="70"/>
      <c r="CV606" s="64"/>
      <c r="CW606" s="64"/>
      <c r="CX606" s="64"/>
      <c r="CY606" s="64"/>
      <c r="CZ606" s="64"/>
      <c r="DA606" s="64"/>
      <c r="DB606" s="64"/>
      <c r="DC606" s="72">
        <v>0.0</v>
      </c>
      <c r="DD606" s="72">
        <v>0.0</v>
      </c>
      <c r="DE606" s="72">
        <v>0.0</v>
      </c>
      <c r="DF606" s="72">
        <v>0.0</v>
      </c>
      <c r="DG606" s="72">
        <v>0.0</v>
      </c>
      <c r="DH606" s="72">
        <v>0.0</v>
      </c>
      <c r="DI606" s="73">
        <v>2.0600464915E10</v>
      </c>
      <c r="DJ606" s="74" t="s">
        <v>1841</v>
      </c>
      <c r="DK606" s="74" t="s">
        <v>138</v>
      </c>
      <c r="DL606" s="75"/>
      <c r="DM606" s="75"/>
      <c r="DN606" s="75"/>
      <c r="DO606" s="75"/>
      <c r="DP606" s="75"/>
      <c r="DQ606" s="75"/>
      <c r="DR606" s="75"/>
      <c r="DS606" s="75"/>
      <c r="DT606" s="75"/>
      <c r="DU606" s="75"/>
      <c r="DV606" s="75"/>
      <c r="DW606" s="75"/>
      <c r="DX606" s="75"/>
      <c r="DY606" s="75"/>
      <c r="DZ606" s="75"/>
      <c r="EA606" s="75"/>
      <c r="EB606" s="75"/>
      <c r="EC606" s="75"/>
      <c r="ED606" s="75"/>
      <c r="EE606" s="75"/>
    </row>
    <row r="607" ht="47.25" hidden="1" customHeight="1">
      <c r="A607" s="55" t="s">
        <v>1843</v>
      </c>
      <c r="B607" s="55" t="s">
        <v>1844</v>
      </c>
      <c r="C607" s="55" t="s">
        <v>1844</v>
      </c>
      <c r="D607" s="55" t="s">
        <v>1831</v>
      </c>
      <c r="E607" s="55"/>
      <c r="F607" s="55" t="s">
        <v>1831</v>
      </c>
      <c r="G607" s="55" t="s">
        <v>1069</v>
      </c>
      <c r="H607" s="55" t="s">
        <v>1842</v>
      </c>
      <c r="I607" s="56"/>
      <c r="J607" s="56"/>
      <c r="K607" s="56"/>
      <c r="L607" s="56"/>
      <c r="M607" s="56"/>
      <c r="N607" s="56"/>
      <c r="O607" s="56"/>
      <c r="P607" s="56">
        <v>1.0</v>
      </c>
      <c r="Q607" s="56" t="s">
        <v>131</v>
      </c>
      <c r="R607" s="58" t="str">
        <f t="shared" si="1"/>
        <v>2025</v>
      </c>
      <c r="S607" s="59" t="str">
        <f>SUM(Hoja1!$I607:$P607)</f>
        <v>1</v>
      </c>
      <c r="T607" s="59" t="str">
        <f>IF(OR(Hoja1!$J607=1,Hoja1!$K607=1,Hoja1!$L607=1,Hoja1!$M607=1,Hoja1!$N607=1,Hoja1!$O607=1,Hoja1!$P607=1),"SI","NO")</f>
        <v>SI</v>
      </c>
      <c r="U607" s="59" t="str">
        <f>IF(OR(Hoja1!$K607=1,Hoja1!$L607=1,Hoja1!$M607=1,Hoja1!$N607=1,Hoja1!$O607=1,Hoja1!$P607=1),"SI","NO")</f>
        <v>SI</v>
      </c>
      <c r="V607" s="60">
        <v>0.0</v>
      </c>
      <c r="W607" s="61">
        <v>0.0</v>
      </c>
      <c r="X607" s="61">
        <v>0.0</v>
      </c>
      <c r="Y607" s="60">
        <v>0.0</v>
      </c>
      <c r="Z607" s="61">
        <v>0.0</v>
      </c>
      <c r="AA607" s="61">
        <v>0.0</v>
      </c>
      <c r="AB607" s="60">
        <v>0.0</v>
      </c>
      <c r="AC607" s="61">
        <v>0.0</v>
      </c>
      <c r="AD607" s="61">
        <v>0.0</v>
      </c>
      <c r="AE607" s="60">
        <v>0.0</v>
      </c>
      <c r="AF607" s="61">
        <v>0.0</v>
      </c>
      <c r="AG607" s="61">
        <v>0.0</v>
      </c>
      <c r="AH607" s="60">
        <v>0.0</v>
      </c>
      <c r="AI607" s="61">
        <v>0.0</v>
      </c>
      <c r="AJ607" s="61">
        <v>0.0</v>
      </c>
      <c r="AK607" s="60">
        <v>0.0</v>
      </c>
      <c r="AL607" s="61">
        <v>0.0</v>
      </c>
      <c r="AM607" s="61">
        <v>0.0</v>
      </c>
      <c r="AN607" s="60">
        <v>0.0</v>
      </c>
      <c r="AO607" s="62">
        <v>5.0</v>
      </c>
      <c r="AP607" s="62">
        <v>9.0</v>
      </c>
      <c r="AQ607" s="60">
        <v>14.0</v>
      </c>
      <c r="AR607" s="60" t="str">
        <f>IF(Hoja1!$AQ607&gt;0,Hoja1!$AQ607,IF(Hoja1!$AN607&gt;0,Hoja1!$AN607,IF(Hoja1!$AK607&gt;0,Hoja1!$AK607,IF(Hoja1!$AH607&gt;0,Hoja1!$AH607,IF(Hoja1!$AE607&gt;0,Hoja1!$AE607,IF(Hoja1!$AB607&gt;0,Hoja1!$AB607,IF(Hoja1!$Y607&gt;0,Hoja1!$Y607,IF(Hoja1!$V607&gt;0,Hoja1!$V607," ---"))))))))</f>
        <v>14</v>
      </c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>
        <v>6.0</v>
      </c>
      <c r="BD607" s="63">
        <v>1.0</v>
      </c>
      <c r="BE607" s="64"/>
      <c r="BF607" s="69"/>
      <c r="BG607" s="69"/>
      <c r="BH607" s="64"/>
      <c r="BI607" s="67" t="str">
        <f t="shared" si="281"/>
        <v>#REF!</v>
      </c>
      <c r="BJ607" s="68" t="str">
        <f t="shared" si="282"/>
        <v>#REF!</v>
      </c>
      <c r="BK607" s="69"/>
      <c r="BL607" s="69"/>
      <c r="BM607" s="64"/>
      <c r="BN607" s="67" t="str">
        <f t="shared" si="283"/>
        <v>#REF!</v>
      </c>
      <c r="BO607" s="68" t="str">
        <f t="shared" si="284"/>
        <v>#REF!</v>
      </c>
      <c r="BP607" s="65"/>
      <c r="BQ607" s="65"/>
      <c r="BR607" s="66"/>
      <c r="BS607" s="67" t="str">
        <f t="shared" si="285"/>
        <v>#REF!</v>
      </c>
      <c r="BT607" s="68" t="str">
        <f>'[1]DATA CONSOLIDADA 2018-2025 '!$BR607-Hoja1!$BO607</f>
        <v>#REF!</v>
      </c>
      <c r="BU607" s="69"/>
      <c r="BV607" s="65"/>
      <c r="BW607" s="66"/>
      <c r="BX607" s="67" t="str">
        <f t="shared" si="286"/>
        <v>#REF!</v>
      </c>
      <c r="BY607" s="68" t="str">
        <f t="shared" si="287"/>
        <v>#REF!</v>
      </c>
      <c r="BZ607" s="65"/>
      <c r="CA607" s="65"/>
      <c r="CB607" s="66"/>
      <c r="CC607" s="67" t="str">
        <f t="shared" si="288"/>
        <v>#REF!</v>
      </c>
      <c r="CD607" s="68" t="str">
        <f>'[1]DATA CONSOLIDADA 2018-2025 '!$CB607-Hoja1!$BW607</f>
        <v>#REF!</v>
      </c>
      <c r="CE607" s="70"/>
      <c r="CF607" s="70"/>
      <c r="CG607" s="71"/>
      <c r="CH607" s="67" t="str">
        <f t="shared" si="289"/>
        <v>#REF!</v>
      </c>
      <c r="CI607" s="68" t="str">
        <f>'[1]DATA CONSOLIDADA 2018-2025 '!$CG607-Hoja1!$CB607</f>
        <v>#REF!</v>
      </c>
      <c r="CJ607" s="64" t="str">
        <f t="shared" si="271"/>
        <v>#REF!</v>
      </c>
      <c r="CK607" s="64">
        <v>0.0</v>
      </c>
      <c r="CL607" s="64">
        <v>0.0</v>
      </c>
      <c r="CM607" s="64">
        <v>0.0</v>
      </c>
      <c r="CN607" s="64" t="str">
        <f t="shared" si="12"/>
        <v>#REF!</v>
      </c>
      <c r="CO607" s="68" t="str">
        <f>'[1]DATA CONSOLIDADA 2018-2025 '!$CM607-Hoja1!$CG607</f>
        <v>#REF!</v>
      </c>
      <c r="CP607" s="70"/>
      <c r="CQ607" s="70"/>
      <c r="CR607" s="70"/>
      <c r="CS607" s="70"/>
      <c r="CT607" s="70"/>
      <c r="CU607" s="70"/>
      <c r="CV607" s="64"/>
      <c r="CW607" s="64"/>
      <c r="CX607" s="64"/>
      <c r="CY607" s="64"/>
      <c r="CZ607" s="64"/>
      <c r="DA607" s="64"/>
      <c r="DB607" s="64"/>
      <c r="DC607" s="72">
        <v>0.0</v>
      </c>
      <c r="DD607" s="72">
        <v>0.0</v>
      </c>
      <c r="DE607" s="72">
        <v>0.0</v>
      </c>
      <c r="DF607" s="72">
        <v>0.0</v>
      </c>
      <c r="DG607" s="72">
        <v>0.0</v>
      </c>
      <c r="DH607" s="72">
        <v>0.0</v>
      </c>
      <c r="DI607" s="73">
        <v>2.0606930101E10</v>
      </c>
      <c r="DJ607" s="74" t="s">
        <v>1843</v>
      </c>
      <c r="DK607" s="74" t="s">
        <v>138</v>
      </c>
      <c r="DL607" s="75"/>
      <c r="DM607" s="75"/>
      <c r="DN607" s="75"/>
      <c r="DO607" s="75"/>
      <c r="DP607" s="75"/>
      <c r="DQ607" s="75"/>
      <c r="DR607" s="75"/>
      <c r="DS607" s="75"/>
      <c r="DT607" s="75"/>
      <c r="DU607" s="75"/>
      <c r="DV607" s="75"/>
      <c r="DW607" s="75"/>
      <c r="DX607" s="75"/>
      <c r="DY607" s="75"/>
      <c r="DZ607" s="75"/>
      <c r="EA607" s="75"/>
      <c r="EB607" s="75"/>
      <c r="EC607" s="75"/>
      <c r="ED607" s="75"/>
      <c r="EE607" s="75"/>
    </row>
    <row r="608" ht="47.25" hidden="1" customHeight="1">
      <c r="A608" s="55" t="s">
        <v>1845</v>
      </c>
      <c r="B608" s="55" t="s">
        <v>126</v>
      </c>
      <c r="C608" s="55" t="s">
        <v>1773</v>
      </c>
      <c r="D608" s="55" t="s">
        <v>1831</v>
      </c>
      <c r="E608" s="55"/>
      <c r="F608" s="55" t="s">
        <v>1831</v>
      </c>
      <c r="G608" s="55" t="s">
        <v>1846</v>
      </c>
      <c r="H608" s="55" t="s">
        <v>1846</v>
      </c>
      <c r="I608" s="56"/>
      <c r="J608" s="56"/>
      <c r="K608" s="56"/>
      <c r="L608" s="56"/>
      <c r="M608" s="56"/>
      <c r="N608" s="56"/>
      <c r="O608" s="56"/>
      <c r="P608" s="56">
        <v>1.0</v>
      </c>
      <c r="Q608" s="56" t="s">
        <v>131</v>
      </c>
      <c r="R608" s="58" t="str">
        <f t="shared" si="1"/>
        <v>2025</v>
      </c>
      <c r="S608" s="59" t="str">
        <f>SUM(Hoja1!$I608:$P608)</f>
        <v>1</v>
      </c>
      <c r="T608" s="59" t="str">
        <f>IF(OR(Hoja1!$J608=1,Hoja1!$K608=1,Hoja1!$L608=1,Hoja1!$M608=1,Hoja1!$N608=1,Hoja1!$O608=1,Hoja1!$P608=1),"SI","NO")</f>
        <v>SI</v>
      </c>
      <c r="U608" s="59" t="str">
        <f>IF(OR(Hoja1!$K608=1,Hoja1!$L608=1,Hoja1!$M608=1,Hoja1!$N608=1,Hoja1!$O608=1,Hoja1!$P608=1),"SI","NO")</f>
        <v>SI</v>
      </c>
      <c r="V608" s="60">
        <v>0.0</v>
      </c>
      <c r="W608" s="61">
        <v>0.0</v>
      </c>
      <c r="X608" s="61">
        <v>0.0</v>
      </c>
      <c r="Y608" s="60">
        <v>0.0</v>
      </c>
      <c r="Z608" s="61">
        <v>0.0</v>
      </c>
      <c r="AA608" s="61">
        <v>0.0</v>
      </c>
      <c r="AB608" s="60">
        <v>0.0</v>
      </c>
      <c r="AC608" s="61">
        <v>0.0</v>
      </c>
      <c r="AD608" s="61">
        <v>0.0</v>
      </c>
      <c r="AE608" s="60">
        <v>0.0</v>
      </c>
      <c r="AF608" s="61">
        <v>0.0</v>
      </c>
      <c r="AG608" s="61">
        <v>0.0</v>
      </c>
      <c r="AH608" s="60">
        <v>0.0</v>
      </c>
      <c r="AI608" s="61">
        <v>0.0</v>
      </c>
      <c r="AJ608" s="61">
        <v>0.0</v>
      </c>
      <c r="AK608" s="60">
        <v>0.0</v>
      </c>
      <c r="AL608" s="61">
        <v>0.0</v>
      </c>
      <c r="AM608" s="61">
        <v>0.0</v>
      </c>
      <c r="AN608" s="60">
        <v>0.0</v>
      </c>
      <c r="AO608" s="62">
        <v>21.0</v>
      </c>
      <c r="AP608" s="62">
        <v>12.0</v>
      </c>
      <c r="AQ608" s="60">
        <v>33.0</v>
      </c>
      <c r="AR608" s="60" t="str">
        <f>IF(Hoja1!$AQ608&gt;0,Hoja1!$AQ608,IF(Hoja1!$AN608&gt;0,Hoja1!$AN608,IF(Hoja1!$AK608&gt;0,Hoja1!$AK608,IF(Hoja1!$AH608&gt;0,Hoja1!$AH608,IF(Hoja1!$AE608&gt;0,Hoja1!$AE608,IF(Hoja1!$AB608&gt;0,Hoja1!$AB608,IF(Hoja1!$Y608&gt;0,Hoja1!$Y608,IF(Hoja1!$V608&gt;0,Hoja1!$V608," ---"))))))))</f>
        <v>33</v>
      </c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>
        <v>9.0</v>
      </c>
      <c r="BD608" s="63">
        <v>1.0</v>
      </c>
      <c r="BE608" s="64"/>
      <c r="BF608" s="69"/>
      <c r="BG608" s="69"/>
      <c r="BH608" s="64"/>
      <c r="BI608" s="67" t="str">
        <f t="shared" si="281"/>
        <v>#REF!</v>
      </c>
      <c r="BJ608" s="68" t="str">
        <f t="shared" si="282"/>
        <v>#REF!</v>
      </c>
      <c r="BK608" s="69"/>
      <c r="BL608" s="69"/>
      <c r="BM608" s="64"/>
      <c r="BN608" s="67" t="str">
        <f t="shared" si="283"/>
        <v>#REF!</v>
      </c>
      <c r="BO608" s="68" t="str">
        <f t="shared" si="284"/>
        <v>#REF!</v>
      </c>
      <c r="BP608" s="65"/>
      <c r="BQ608" s="65"/>
      <c r="BR608" s="66"/>
      <c r="BS608" s="67" t="str">
        <f t="shared" si="285"/>
        <v>#REF!</v>
      </c>
      <c r="BT608" s="68" t="str">
        <f>'[1]DATA CONSOLIDADA 2018-2025 '!$BR608-Hoja1!$BO608</f>
        <v>#REF!</v>
      </c>
      <c r="BU608" s="69"/>
      <c r="BV608" s="65"/>
      <c r="BW608" s="66"/>
      <c r="BX608" s="67" t="str">
        <f t="shared" si="286"/>
        <v>#REF!</v>
      </c>
      <c r="BY608" s="68" t="str">
        <f t="shared" si="287"/>
        <v>#REF!</v>
      </c>
      <c r="BZ608" s="65"/>
      <c r="CA608" s="65"/>
      <c r="CB608" s="66"/>
      <c r="CC608" s="67" t="str">
        <f t="shared" si="288"/>
        <v>#REF!</v>
      </c>
      <c r="CD608" s="68" t="str">
        <f>'[1]DATA CONSOLIDADA 2018-2025 '!$CB608-Hoja1!$BW608</f>
        <v>#REF!</v>
      </c>
      <c r="CE608" s="70"/>
      <c r="CF608" s="70"/>
      <c r="CG608" s="71"/>
      <c r="CH608" s="67" t="str">
        <f t="shared" si="289"/>
        <v>#REF!</v>
      </c>
      <c r="CI608" s="68" t="str">
        <f>'[1]DATA CONSOLIDADA 2018-2025 '!$CG608-Hoja1!$CB608</f>
        <v>#REF!</v>
      </c>
      <c r="CJ608" s="64" t="str">
        <f t="shared" si="271"/>
        <v>#REF!</v>
      </c>
      <c r="CK608" s="64">
        <v>1.99354301697699E7</v>
      </c>
      <c r="CL608" s="64">
        <v>2127055.0888573998</v>
      </c>
      <c r="CM608" s="64">
        <v>2.2062485258627303E7</v>
      </c>
      <c r="CN608" s="64" t="str">
        <f t="shared" si="12"/>
        <v>#REF!</v>
      </c>
      <c r="CO608" s="68" t="str">
        <f>'[1]DATA CONSOLIDADA 2018-2025 '!$CM608-Hoja1!$CG608</f>
        <v>#REF!</v>
      </c>
      <c r="CP608" s="70"/>
      <c r="CQ608" s="70"/>
      <c r="CR608" s="70"/>
      <c r="CS608" s="70"/>
      <c r="CT608" s="70"/>
      <c r="CU608" s="70"/>
      <c r="CV608" s="64"/>
      <c r="CW608" s="64"/>
      <c r="CX608" s="64"/>
      <c r="CY608" s="64"/>
      <c r="CZ608" s="64"/>
      <c r="DA608" s="64"/>
      <c r="DB608" s="64"/>
      <c r="DC608" s="72">
        <v>0.0</v>
      </c>
      <c r="DD608" s="72">
        <v>0.0</v>
      </c>
      <c r="DE608" s="72">
        <v>2.2062485258627303E7</v>
      </c>
      <c r="DF608" s="72">
        <v>0.0</v>
      </c>
      <c r="DG608" s="72">
        <v>0.0</v>
      </c>
      <c r="DH608" s="72">
        <v>2.2062485258627303E7</v>
      </c>
      <c r="DI608" s="73">
        <v>2.0603820691E10</v>
      </c>
      <c r="DJ608" s="74" t="s">
        <v>1847</v>
      </c>
      <c r="DK608" s="74" t="s">
        <v>132</v>
      </c>
      <c r="DL608" s="75"/>
      <c r="DM608" s="75"/>
      <c r="DN608" s="75"/>
      <c r="DO608" s="75"/>
      <c r="DP608" s="75"/>
      <c r="DQ608" s="75"/>
      <c r="DR608" s="75"/>
      <c r="DS608" s="75"/>
      <c r="DT608" s="75"/>
      <c r="DU608" s="75"/>
      <c r="DV608" s="75"/>
      <c r="DW608" s="75"/>
      <c r="DX608" s="75"/>
      <c r="DY608" s="75"/>
      <c r="DZ608" s="75"/>
      <c r="EA608" s="75"/>
      <c r="EB608" s="75"/>
      <c r="EC608" s="75"/>
      <c r="ED608" s="75"/>
      <c r="EE608" s="75"/>
    </row>
    <row r="609" ht="47.25" hidden="1" customHeight="1">
      <c r="A609" s="55" t="s">
        <v>1848</v>
      </c>
      <c r="B609" s="55" t="s">
        <v>126</v>
      </c>
      <c r="C609" s="55" t="s">
        <v>1773</v>
      </c>
      <c r="D609" s="55" t="s">
        <v>1831</v>
      </c>
      <c r="E609" s="55"/>
      <c r="F609" s="55" t="s">
        <v>1831</v>
      </c>
      <c r="G609" s="55" t="s">
        <v>1846</v>
      </c>
      <c r="H609" s="55" t="s">
        <v>1846</v>
      </c>
      <c r="I609" s="56"/>
      <c r="J609" s="56"/>
      <c r="K609" s="56"/>
      <c r="L609" s="56"/>
      <c r="M609" s="56"/>
      <c r="N609" s="56"/>
      <c r="O609" s="56"/>
      <c r="P609" s="56">
        <v>1.0</v>
      </c>
      <c r="Q609" s="56" t="s">
        <v>131</v>
      </c>
      <c r="R609" s="58" t="str">
        <f t="shared" si="1"/>
        <v>2025</v>
      </c>
      <c r="S609" s="59" t="str">
        <f>SUM(Hoja1!$I609:$P609)</f>
        <v>1</v>
      </c>
      <c r="T609" s="59" t="str">
        <f>IF(OR(Hoja1!$J609=1,Hoja1!$K609=1,Hoja1!$L609=1,Hoja1!$M609=1,Hoja1!$N609=1,Hoja1!$O609=1,Hoja1!$P609=1),"SI","NO")</f>
        <v>SI</v>
      </c>
      <c r="U609" s="59" t="str">
        <f>IF(OR(Hoja1!$K609=1,Hoja1!$L609=1,Hoja1!$M609=1,Hoja1!$N609=1,Hoja1!$O609=1,Hoja1!$P609=1),"SI","NO")</f>
        <v>SI</v>
      </c>
      <c r="V609" s="60">
        <v>0.0</v>
      </c>
      <c r="W609" s="61">
        <v>0.0</v>
      </c>
      <c r="X609" s="61">
        <v>0.0</v>
      </c>
      <c r="Y609" s="60">
        <v>0.0</v>
      </c>
      <c r="Z609" s="61">
        <v>0.0</v>
      </c>
      <c r="AA609" s="61">
        <v>0.0</v>
      </c>
      <c r="AB609" s="60">
        <v>0.0</v>
      </c>
      <c r="AC609" s="61">
        <v>0.0</v>
      </c>
      <c r="AD609" s="61">
        <v>0.0</v>
      </c>
      <c r="AE609" s="60">
        <v>0.0</v>
      </c>
      <c r="AF609" s="61">
        <v>0.0</v>
      </c>
      <c r="AG609" s="61">
        <v>0.0</v>
      </c>
      <c r="AH609" s="60">
        <v>0.0</v>
      </c>
      <c r="AI609" s="61">
        <v>0.0</v>
      </c>
      <c r="AJ609" s="61">
        <v>0.0</v>
      </c>
      <c r="AK609" s="60">
        <v>0.0</v>
      </c>
      <c r="AL609" s="61">
        <v>0.0</v>
      </c>
      <c r="AM609" s="61">
        <v>0.0</v>
      </c>
      <c r="AN609" s="60">
        <v>0.0</v>
      </c>
      <c r="AO609" s="62">
        <v>14.0</v>
      </c>
      <c r="AP609" s="62">
        <v>8.0</v>
      </c>
      <c r="AQ609" s="60">
        <v>22.0</v>
      </c>
      <c r="AR609" s="60" t="str">
        <f>IF(Hoja1!$AQ609&gt;0,Hoja1!$AQ609,IF(Hoja1!$AN609&gt;0,Hoja1!$AN609,IF(Hoja1!$AK609&gt;0,Hoja1!$AK609,IF(Hoja1!$AH609&gt;0,Hoja1!$AH609,IF(Hoja1!$AE609&gt;0,Hoja1!$AE609,IF(Hoja1!$AB609&gt;0,Hoja1!$AB609,IF(Hoja1!$Y609&gt;0,Hoja1!$Y609,IF(Hoja1!$V609&gt;0,Hoja1!$V609," ---"))))))))</f>
        <v>22</v>
      </c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>
        <v>7.0</v>
      </c>
      <c r="BD609" s="63">
        <v>0.0</v>
      </c>
      <c r="BE609" s="64"/>
      <c r="BF609" s="69"/>
      <c r="BG609" s="69"/>
      <c r="BH609" s="64"/>
      <c r="BI609" s="67" t="str">
        <f t="shared" si="281"/>
        <v>#REF!</v>
      </c>
      <c r="BJ609" s="68" t="str">
        <f t="shared" si="282"/>
        <v>#REF!</v>
      </c>
      <c r="BK609" s="69"/>
      <c r="BL609" s="69"/>
      <c r="BM609" s="64"/>
      <c r="BN609" s="67" t="str">
        <f t="shared" si="283"/>
        <v>#REF!</v>
      </c>
      <c r="BO609" s="68" t="str">
        <f t="shared" si="284"/>
        <v>#REF!</v>
      </c>
      <c r="BP609" s="65"/>
      <c r="BQ609" s="65"/>
      <c r="BR609" s="66"/>
      <c r="BS609" s="67" t="str">
        <f t="shared" si="285"/>
        <v>#REF!</v>
      </c>
      <c r="BT609" s="68" t="str">
        <f>'[1]DATA CONSOLIDADA 2018-2025 '!$BR609-Hoja1!$BO609</f>
        <v>#REF!</v>
      </c>
      <c r="BU609" s="69"/>
      <c r="BV609" s="65"/>
      <c r="BW609" s="66"/>
      <c r="BX609" s="67" t="str">
        <f t="shared" si="286"/>
        <v>#REF!</v>
      </c>
      <c r="BY609" s="68" t="str">
        <f t="shared" si="287"/>
        <v>#REF!</v>
      </c>
      <c r="BZ609" s="65"/>
      <c r="CA609" s="65"/>
      <c r="CB609" s="66"/>
      <c r="CC609" s="67" t="str">
        <f t="shared" si="288"/>
        <v>#REF!</v>
      </c>
      <c r="CD609" s="68" t="str">
        <f>'[1]DATA CONSOLIDADA 2018-2025 '!$CB609-Hoja1!$BW609</f>
        <v>#REF!</v>
      </c>
      <c r="CE609" s="70"/>
      <c r="CF609" s="70"/>
      <c r="CG609" s="71"/>
      <c r="CH609" s="67" t="str">
        <f t="shared" si="289"/>
        <v>#REF!</v>
      </c>
      <c r="CI609" s="68" t="str">
        <f>'[1]DATA CONSOLIDADA 2018-2025 '!$CG609-Hoja1!$CB609</f>
        <v>#REF!</v>
      </c>
      <c r="CJ609" s="64" t="str">
        <f t="shared" si="271"/>
        <v>#REF!</v>
      </c>
      <c r="CK609" s="64">
        <v>9983111.20960299</v>
      </c>
      <c r="CL609" s="64">
        <v>3866609.3400497</v>
      </c>
      <c r="CM609" s="64">
        <v>1.3849720549652688E7</v>
      </c>
      <c r="CN609" s="64" t="str">
        <f t="shared" si="12"/>
        <v>#REF!</v>
      </c>
      <c r="CO609" s="68" t="str">
        <f>'[1]DATA CONSOLIDADA 2018-2025 '!$CM609-Hoja1!$CG609</f>
        <v>#REF!</v>
      </c>
      <c r="CP609" s="70"/>
      <c r="CQ609" s="70"/>
      <c r="CR609" s="70"/>
      <c r="CS609" s="70"/>
      <c r="CT609" s="70"/>
      <c r="CU609" s="70"/>
      <c r="CV609" s="64"/>
      <c r="CW609" s="64"/>
      <c r="CX609" s="64"/>
      <c r="CY609" s="64"/>
      <c r="CZ609" s="64"/>
      <c r="DA609" s="64"/>
      <c r="DB609" s="64"/>
      <c r="DC609" s="72">
        <v>0.0</v>
      </c>
      <c r="DD609" s="72">
        <v>0.0</v>
      </c>
      <c r="DE609" s="72">
        <v>1.3849720549652688E7</v>
      </c>
      <c r="DF609" s="72">
        <v>0.0</v>
      </c>
      <c r="DG609" s="72">
        <v>0.0</v>
      </c>
      <c r="DH609" s="72">
        <v>1.3849720549652688E7</v>
      </c>
      <c r="DI609" s="73">
        <v>2.0542264544E10</v>
      </c>
      <c r="DJ609" s="74" t="s">
        <v>1848</v>
      </c>
      <c r="DK609" s="74" t="s">
        <v>132</v>
      </c>
      <c r="DL609" s="75"/>
      <c r="DM609" s="75"/>
      <c r="DN609" s="75"/>
      <c r="DO609" s="75"/>
      <c r="DP609" s="75"/>
      <c r="DQ609" s="75"/>
      <c r="DR609" s="75"/>
      <c r="DS609" s="75"/>
      <c r="DT609" s="75"/>
      <c r="DU609" s="75"/>
      <c r="DV609" s="75"/>
      <c r="DW609" s="75"/>
      <c r="DX609" s="75"/>
      <c r="DY609" s="75"/>
      <c r="DZ609" s="75"/>
      <c r="EA609" s="75"/>
      <c r="EB609" s="75"/>
      <c r="EC609" s="75"/>
      <c r="ED609" s="75"/>
      <c r="EE609" s="75"/>
    </row>
    <row r="610" ht="47.25" hidden="1" customHeight="1">
      <c r="A610" s="55" t="s">
        <v>1849</v>
      </c>
      <c r="B610" s="55" t="s">
        <v>491</v>
      </c>
      <c r="C610" s="55" t="s">
        <v>491</v>
      </c>
      <c r="D610" s="55" t="s">
        <v>1831</v>
      </c>
      <c r="E610" s="55"/>
      <c r="F610" s="55" t="s">
        <v>1831</v>
      </c>
      <c r="G610" s="55" t="s">
        <v>1081</v>
      </c>
      <c r="H610" s="55" t="s">
        <v>1850</v>
      </c>
      <c r="I610" s="56"/>
      <c r="J610" s="56"/>
      <c r="K610" s="56"/>
      <c r="L610" s="56"/>
      <c r="M610" s="56"/>
      <c r="N610" s="56"/>
      <c r="O610" s="56"/>
      <c r="P610" s="56">
        <v>1.0</v>
      </c>
      <c r="Q610" s="56" t="s">
        <v>131</v>
      </c>
      <c r="R610" s="58" t="str">
        <f t="shared" si="1"/>
        <v>2025</v>
      </c>
      <c r="S610" s="59" t="str">
        <f>SUM(Hoja1!$I610:$P610)</f>
        <v>1</v>
      </c>
      <c r="T610" s="59" t="str">
        <f>IF(OR(Hoja1!$J610=1,Hoja1!$K610=1,Hoja1!$L610=1,Hoja1!$M610=1,Hoja1!$N610=1,Hoja1!$O610=1,Hoja1!$P610=1),"SI","NO")</f>
        <v>SI</v>
      </c>
      <c r="U610" s="59" t="str">
        <f>IF(OR(Hoja1!$K610=1,Hoja1!$L610=1,Hoja1!$M610=1,Hoja1!$N610=1,Hoja1!$O610=1,Hoja1!$P610=1),"SI","NO")</f>
        <v>SI</v>
      </c>
      <c r="V610" s="60">
        <v>0.0</v>
      </c>
      <c r="W610" s="61">
        <v>0.0</v>
      </c>
      <c r="X610" s="61">
        <v>0.0</v>
      </c>
      <c r="Y610" s="60">
        <v>0.0</v>
      </c>
      <c r="Z610" s="61">
        <v>0.0</v>
      </c>
      <c r="AA610" s="61">
        <v>0.0</v>
      </c>
      <c r="AB610" s="60">
        <v>0.0</v>
      </c>
      <c r="AC610" s="61">
        <v>0.0</v>
      </c>
      <c r="AD610" s="61">
        <v>0.0</v>
      </c>
      <c r="AE610" s="60">
        <v>0.0</v>
      </c>
      <c r="AF610" s="61">
        <v>0.0</v>
      </c>
      <c r="AG610" s="61">
        <v>0.0</v>
      </c>
      <c r="AH610" s="60">
        <v>0.0</v>
      </c>
      <c r="AI610" s="61">
        <v>0.0</v>
      </c>
      <c r="AJ610" s="61">
        <v>0.0</v>
      </c>
      <c r="AK610" s="60">
        <v>0.0</v>
      </c>
      <c r="AL610" s="61">
        <v>0.0</v>
      </c>
      <c r="AM610" s="61">
        <v>0.0</v>
      </c>
      <c r="AN610" s="60">
        <v>0.0</v>
      </c>
      <c r="AO610" s="62">
        <v>18.0</v>
      </c>
      <c r="AP610" s="62">
        <v>10.0</v>
      </c>
      <c r="AQ610" s="60">
        <v>28.0</v>
      </c>
      <c r="AR610" s="60" t="str">
        <f>IF(Hoja1!$AQ610&gt;0,Hoja1!$AQ610,IF(Hoja1!$AN610&gt;0,Hoja1!$AN610,IF(Hoja1!$AK610&gt;0,Hoja1!$AK610,IF(Hoja1!$AH610&gt;0,Hoja1!$AH610,IF(Hoja1!$AE610&gt;0,Hoja1!$AE610,IF(Hoja1!$AB610&gt;0,Hoja1!$AB610,IF(Hoja1!$Y610&gt;0,Hoja1!$Y610,IF(Hoja1!$V610&gt;0,Hoja1!$V610," ---"))))))))</f>
        <v>28</v>
      </c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>
        <v>6.0</v>
      </c>
      <c r="BD610" s="63">
        <v>1.0</v>
      </c>
      <c r="BE610" s="64"/>
      <c r="BF610" s="69"/>
      <c r="BG610" s="69"/>
      <c r="BH610" s="64"/>
      <c r="BI610" s="67" t="str">
        <f t="shared" si="281"/>
        <v>#REF!</v>
      </c>
      <c r="BJ610" s="68" t="str">
        <f t="shared" si="282"/>
        <v>#REF!</v>
      </c>
      <c r="BK610" s="69"/>
      <c r="BL610" s="69"/>
      <c r="BM610" s="64"/>
      <c r="BN610" s="67" t="str">
        <f t="shared" si="283"/>
        <v>#REF!</v>
      </c>
      <c r="BO610" s="68" t="str">
        <f t="shared" si="284"/>
        <v>#REF!</v>
      </c>
      <c r="BP610" s="65"/>
      <c r="BQ610" s="65"/>
      <c r="BR610" s="66"/>
      <c r="BS610" s="67" t="str">
        <f t="shared" si="285"/>
        <v>#REF!</v>
      </c>
      <c r="BT610" s="68" t="str">
        <f>'[1]DATA CONSOLIDADA 2018-2025 '!$BR610-Hoja1!$BO610</f>
        <v>#REF!</v>
      </c>
      <c r="BU610" s="69"/>
      <c r="BV610" s="65"/>
      <c r="BW610" s="66"/>
      <c r="BX610" s="67" t="str">
        <f t="shared" si="286"/>
        <v>#REF!</v>
      </c>
      <c r="BY610" s="68" t="str">
        <f t="shared" si="287"/>
        <v>#REF!</v>
      </c>
      <c r="BZ610" s="65"/>
      <c r="CA610" s="65"/>
      <c r="CB610" s="66"/>
      <c r="CC610" s="67" t="str">
        <f t="shared" si="288"/>
        <v>#REF!</v>
      </c>
      <c r="CD610" s="68" t="str">
        <f>'[1]DATA CONSOLIDADA 2018-2025 '!$CB610-Hoja1!$BW610</f>
        <v>#REF!</v>
      </c>
      <c r="CE610" s="70"/>
      <c r="CF610" s="70"/>
      <c r="CG610" s="71"/>
      <c r="CH610" s="67" t="str">
        <f t="shared" si="289"/>
        <v>#REF!</v>
      </c>
      <c r="CI610" s="68" t="str">
        <f>'[1]DATA CONSOLIDADA 2018-2025 '!$CG610-Hoja1!$CB610</f>
        <v>#REF!</v>
      </c>
      <c r="CJ610" s="64" t="str">
        <f t="shared" si="271"/>
        <v>#REF!</v>
      </c>
      <c r="CK610" s="64">
        <v>2313.5</v>
      </c>
      <c r="CL610" s="64">
        <v>0.0</v>
      </c>
      <c r="CM610" s="64">
        <v>2313.5</v>
      </c>
      <c r="CN610" s="64" t="str">
        <f t="shared" si="12"/>
        <v>#REF!</v>
      </c>
      <c r="CO610" s="68" t="str">
        <f>'[1]DATA CONSOLIDADA 2018-2025 '!$CM610-Hoja1!$CG610</f>
        <v>#REF!</v>
      </c>
      <c r="CP610" s="70"/>
      <c r="CQ610" s="70"/>
      <c r="CR610" s="70"/>
      <c r="CS610" s="70"/>
      <c r="CT610" s="70"/>
      <c r="CU610" s="70"/>
      <c r="CV610" s="64"/>
      <c r="CW610" s="64"/>
      <c r="CX610" s="64"/>
      <c r="CY610" s="64"/>
      <c r="CZ610" s="64"/>
      <c r="DA610" s="64"/>
      <c r="DB610" s="64"/>
      <c r="DC610" s="72">
        <v>0.0</v>
      </c>
      <c r="DD610" s="72">
        <v>0.0</v>
      </c>
      <c r="DE610" s="72">
        <v>2313.5</v>
      </c>
      <c r="DF610" s="72">
        <v>0.0</v>
      </c>
      <c r="DG610" s="72">
        <v>0.0</v>
      </c>
      <c r="DH610" s="72">
        <v>2313.5</v>
      </c>
      <c r="DI610" s="73">
        <v>2.0613068075E10</v>
      </c>
      <c r="DJ610" s="74" t="s">
        <v>1851</v>
      </c>
      <c r="DK610" s="74" t="s">
        <v>138</v>
      </c>
      <c r="DL610" s="75"/>
      <c r="DM610" s="75"/>
      <c r="DN610" s="75"/>
      <c r="DO610" s="75"/>
      <c r="DP610" s="75"/>
      <c r="DQ610" s="75"/>
      <c r="DR610" s="75"/>
      <c r="DS610" s="75"/>
      <c r="DT610" s="75"/>
      <c r="DU610" s="75"/>
      <c r="DV610" s="75"/>
      <c r="DW610" s="75"/>
      <c r="DX610" s="75"/>
      <c r="DY610" s="75"/>
      <c r="DZ610" s="75"/>
      <c r="EA610" s="75"/>
      <c r="EB610" s="75"/>
      <c r="EC610" s="75"/>
      <c r="ED610" s="75"/>
      <c r="EE610" s="75"/>
    </row>
    <row r="611" ht="47.25" hidden="1" customHeight="1">
      <c r="A611" s="55" t="s">
        <v>1852</v>
      </c>
      <c r="B611" s="55" t="s">
        <v>1329</v>
      </c>
      <c r="C611" s="55" t="s">
        <v>1853</v>
      </c>
      <c r="D611" s="55" t="s">
        <v>1831</v>
      </c>
      <c r="E611" s="55"/>
      <c r="F611" s="55" t="s">
        <v>1831</v>
      </c>
      <c r="G611" s="55" t="s">
        <v>1846</v>
      </c>
      <c r="H611" s="55" t="s">
        <v>1846</v>
      </c>
      <c r="I611" s="56"/>
      <c r="J611" s="56"/>
      <c r="K611" s="56"/>
      <c r="L611" s="56"/>
      <c r="M611" s="56"/>
      <c r="N611" s="56"/>
      <c r="O611" s="56"/>
      <c r="P611" s="56">
        <v>1.0</v>
      </c>
      <c r="Q611" s="56" t="s">
        <v>131</v>
      </c>
      <c r="R611" s="58" t="str">
        <f t="shared" si="1"/>
        <v>2025</v>
      </c>
      <c r="S611" s="59" t="str">
        <f>SUM(Hoja1!$I611:$P611)</f>
        <v>1</v>
      </c>
      <c r="T611" s="59" t="str">
        <f>IF(OR(Hoja1!$J611=1,Hoja1!$K611=1,Hoja1!$L611=1,Hoja1!$M611=1,Hoja1!$N611=1,Hoja1!$O611=1,Hoja1!$P611=1),"SI","NO")</f>
        <v>SI</v>
      </c>
      <c r="U611" s="59" t="str">
        <f>IF(OR(Hoja1!$K611=1,Hoja1!$L611=1,Hoja1!$M611=1,Hoja1!$N611=1,Hoja1!$O611=1,Hoja1!$P611=1),"SI","NO")</f>
        <v>SI</v>
      </c>
      <c r="V611" s="60">
        <v>0.0</v>
      </c>
      <c r="W611" s="61">
        <v>0.0</v>
      </c>
      <c r="X611" s="61">
        <v>0.0</v>
      </c>
      <c r="Y611" s="60">
        <v>0.0</v>
      </c>
      <c r="Z611" s="61">
        <v>0.0</v>
      </c>
      <c r="AA611" s="61">
        <v>0.0</v>
      </c>
      <c r="AB611" s="60">
        <v>0.0</v>
      </c>
      <c r="AC611" s="61">
        <v>0.0</v>
      </c>
      <c r="AD611" s="61">
        <v>0.0</v>
      </c>
      <c r="AE611" s="60">
        <v>0.0</v>
      </c>
      <c r="AF611" s="61">
        <v>0.0</v>
      </c>
      <c r="AG611" s="61">
        <v>0.0</v>
      </c>
      <c r="AH611" s="60">
        <v>0.0</v>
      </c>
      <c r="AI611" s="61">
        <v>0.0</v>
      </c>
      <c r="AJ611" s="61">
        <v>0.0</v>
      </c>
      <c r="AK611" s="60">
        <v>0.0</v>
      </c>
      <c r="AL611" s="61">
        <v>0.0</v>
      </c>
      <c r="AM611" s="61">
        <v>0.0</v>
      </c>
      <c r="AN611" s="60">
        <v>0.0</v>
      </c>
      <c r="AO611" s="62">
        <v>20.0</v>
      </c>
      <c r="AP611" s="62">
        <v>9.0</v>
      </c>
      <c r="AQ611" s="60">
        <v>29.0</v>
      </c>
      <c r="AR611" s="60" t="str">
        <f>IF(Hoja1!$AQ611&gt;0,Hoja1!$AQ611,IF(Hoja1!$AN611&gt;0,Hoja1!$AN611,IF(Hoja1!$AK611&gt;0,Hoja1!$AK611,IF(Hoja1!$AH611&gt;0,Hoja1!$AH611,IF(Hoja1!$AE611&gt;0,Hoja1!$AE611,IF(Hoja1!$AB611&gt;0,Hoja1!$AB611,IF(Hoja1!$Y611&gt;0,Hoja1!$Y611,IF(Hoja1!$V611&gt;0,Hoja1!$V611," ---"))))))))</f>
        <v>29</v>
      </c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>
        <v>6.0</v>
      </c>
      <c r="BD611" s="63">
        <v>0.0</v>
      </c>
      <c r="BE611" s="64"/>
      <c r="BF611" s="69"/>
      <c r="BG611" s="69"/>
      <c r="BH611" s="64"/>
      <c r="BI611" s="67" t="str">
        <f t="shared" si="281"/>
        <v>#REF!</v>
      </c>
      <c r="BJ611" s="68" t="str">
        <f t="shared" si="282"/>
        <v>#REF!</v>
      </c>
      <c r="BK611" s="69"/>
      <c r="BL611" s="69"/>
      <c r="BM611" s="64"/>
      <c r="BN611" s="67" t="str">
        <f t="shared" si="283"/>
        <v>#REF!</v>
      </c>
      <c r="BO611" s="68" t="str">
        <f t="shared" si="284"/>
        <v>#REF!</v>
      </c>
      <c r="BP611" s="65"/>
      <c r="BQ611" s="65"/>
      <c r="BR611" s="66"/>
      <c r="BS611" s="67" t="str">
        <f t="shared" si="285"/>
        <v>#REF!</v>
      </c>
      <c r="BT611" s="68" t="str">
        <f>'[1]DATA CONSOLIDADA 2018-2025 '!$BR611-Hoja1!$BO611</f>
        <v>#REF!</v>
      </c>
      <c r="BU611" s="69"/>
      <c r="BV611" s="65"/>
      <c r="BW611" s="66"/>
      <c r="BX611" s="67" t="str">
        <f t="shared" si="286"/>
        <v>#REF!</v>
      </c>
      <c r="BY611" s="68" t="str">
        <f t="shared" si="287"/>
        <v>#REF!</v>
      </c>
      <c r="BZ611" s="65"/>
      <c r="CA611" s="65"/>
      <c r="CB611" s="66"/>
      <c r="CC611" s="67" t="str">
        <f t="shared" si="288"/>
        <v>#REF!</v>
      </c>
      <c r="CD611" s="68" t="str">
        <f>'[1]DATA CONSOLIDADA 2018-2025 '!$CB611-Hoja1!$BW611</f>
        <v>#REF!</v>
      </c>
      <c r="CE611" s="70"/>
      <c r="CF611" s="70"/>
      <c r="CG611" s="71"/>
      <c r="CH611" s="67" t="str">
        <f t="shared" si="289"/>
        <v>#REF!</v>
      </c>
      <c r="CI611" s="68" t="str">
        <f>'[1]DATA CONSOLIDADA 2018-2025 '!$CG611-Hoja1!$CB611</f>
        <v>#REF!</v>
      </c>
      <c r="CJ611" s="64" t="str">
        <f t="shared" si="271"/>
        <v>#REF!</v>
      </c>
      <c r="CK611" s="64">
        <v>10288.185000000001</v>
      </c>
      <c r="CL611" s="64">
        <v>0.0</v>
      </c>
      <c r="CM611" s="64">
        <v>10288.185000000001</v>
      </c>
      <c r="CN611" s="64" t="str">
        <f t="shared" si="12"/>
        <v>#REF!</v>
      </c>
      <c r="CO611" s="68" t="str">
        <f>'[1]DATA CONSOLIDADA 2018-2025 '!$CM611-Hoja1!$CG611</f>
        <v>#REF!</v>
      </c>
      <c r="CP611" s="70"/>
      <c r="CQ611" s="70"/>
      <c r="CR611" s="70"/>
      <c r="CS611" s="70"/>
      <c r="CT611" s="70"/>
      <c r="CU611" s="70"/>
      <c r="CV611" s="64"/>
      <c r="CW611" s="64"/>
      <c r="CX611" s="64"/>
      <c r="CY611" s="64"/>
      <c r="CZ611" s="64"/>
      <c r="DA611" s="64"/>
      <c r="DB611" s="64"/>
      <c r="DC611" s="72">
        <v>0.0</v>
      </c>
      <c r="DD611" s="72">
        <v>0.0</v>
      </c>
      <c r="DE611" s="72">
        <v>10288.185000000001</v>
      </c>
      <c r="DF611" s="72">
        <v>0.0</v>
      </c>
      <c r="DG611" s="72">
        <v>0.0</v>
      </c>
      <c r="DH611" s="72">
        <v>10288.185000000001</v>
      </c>
      <c r="DI611" s="73">
        <v>2.0606942762E10</v>
      </c>
      <c r="DJ611" s="74" t="s">
        <v>1854</v>
      </c>
      <c r="DK611" s="74" t="s">
        <v>132</v>
      </c>
      <c r="DL611" s="75"/>
      <c r="DM611" s="75"/>
      <c r="DN611" s="75"/>
      <c r="DO611" s="75"/>
      <c r="DP611" s="75"/>
      <c r="DQ611" s="75"/>
      <c r="DR611" s="75"/>
      <c r="DS611" s="75"/>
      <c r="DT611" s="75"/>
      <c r="DU611" s="75"/>
      <c r="DV611" s="75"/>
      <c r="DW611" s="75"/>
      <c r="DX611" s="75"/>
      <c r="DY611" s="75"/>
      <c r="DZ611" s="75"/>
      <c r="EA611" s="75"/>
      <c r="EB611" s="75"/>
      <c r="EC611" s="75"/>
      <c r="ED611" s="75"/>
      <c r="EE611" s="75"/>
    </row>
    <row r="612" ht="47.25" hidden="1" customHeight="1">
      <c r="A612" s="55" t="s">
        <v>1855</v>
      </c>
      <c r="B612" s="55" t="s">
        <v>184</v>
      </c>
      <c r="C612" s="55" t="s">
        <v>1856</v>
      </c>
      <c r="D612" s="55" t="s">
        <v>1117</v>
      </c>
      <c r="E612" s="55"/>
      <c r="F612" s="55" t="s">
        <v>1117</v>
      </c>
      <c r="G612" s="55" t="s">
        <v>1117</v>
      </c>
      <c r="H612" s="55" t="s">
        <v>1857</v>
      </c>
      <c r="I612" s="56"/>
      <c r="J612" s="56"/>
      <c r="K612" s="56"/>
      <c r="L612" s="56"/>
      <c r="M612" s="56"/>
      <c r="N612" s="56"/>
      <c r="O612" s="56"/>
      <c r="P612" s="56">
        <v>1.0</v>
      </c>
      <c r="Q612" s="56" t="s">
        <v>131</v>
      </c>
      <c r="R612" s="58" t="str">
        <f t="shared" si="1"/>
        <v>2025</v>
      </c>
      <c r="S612" s="59" t="str">
        <f>SUM(Hoja1!$I612:$P612)</f>
        <v>1</v>
      </c>
      <c r="T612" s="59" t="str">
        <f>IF(OR(Hoja1!$J612=1,Hoja1!$K612=1,Hoja1!$L612=1,Hoja1!$M612=1,Hoja1!$N612=1,Hoja1!$O612=1,Hoja1!$P612=1),"SI","NO")</f>
        <v>SI</v>
      </c>
      <c r="U612" s="59" t="str">
        <f>IF(OR(Hoja1!$K612=1,Hoja1!$L612=1,Hoja1!$M612=1,Hoja1!$N612=1,Hoja1!$O612=1,Hoja1!$P612=1),"SI","NO")</f>
        <v>SI</v>
      </c>
      <c r="V612" s="60">
        <v>0.0</v>
      </c>
      <c r="W612" s="61">
        <v>0.0</v>
      </c>
      <c r="X612" s="61">
        <v>0.0</v>
      </c>
      <c r="Y612" s="60">
        <v>0.0</v>
      </c>
      <c r="Z612" s="61">
        <v>0.0</v>
      </c>
      <c r="AA612" s="61">
        <v>0.0</v>
      </c>
      <c r="AB612" s="60">
        <v>0.0</v>
      </c>
      <c r="AC612" s="61">
        <v>0.0</v>
      </c>
      <c r="AD612" s="61">
        <v>0.0</v>
      </c>
      <c r="AE612" s="60">
        <v>0.0</v>
      </c>
      <c r="AF612" s="61">
        <v>0.0</v>
      </c>
      <c r="AG612" s="61">
        <v>0.0</v>
      </c>
      <c r="AH612" s="60">
        <v>0.0</v>
      </c>
      <c r="AI612" s="61">
        <v>0.0</v>
      </c>
      <c r="AJ612" s="61">
        <v>0.0</v>
      </c>
      <c r="AK612" s="60">
        <v>0.0</v>
      </c>
      <c r="AL612" s="61">
        <v>0.0</v>
      </c>
      <c r="AM612" s="61">
        <v>0.0</v>
      </c>
      <c r="AN612" s="60">
        <v>0.0</v>
      </c>
      <c r="AO612" s="62">
        <v>10.0</v>
      </c>
      <c r="AP612" s="62">
        <v>8.0</v>
      </c>
      <c r="AQ612" s="60">
        <v>18.0</v>
      </c>
      <c r="AR612" s="60" t="str">
        <f>IF(Hoja1!$AQ612&gt;0,Hoja1!$AQ612,IF(Hoja1!$AN612&gt;0,Hoja1!$AN612,IF(Hoja1!$AK612&gt;0,Hoja1!$AK612,IF(Hoja1!$AH612&gt;0,Hoja1!$AH612,IF(Hoja1!$AE612&gt;0,Hoja1!$AE612,IF(Hoja1!$AB612&gt;0,Hoja1!$AB612,IF(Hoja1!$Y612&gt;0,Hoja1!$Y612,IF(Hoja1!$V612&gt;0,Hoja1!$V612," ---"))))))))</f>
        <v>18</v>
      </c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>
        <v>16.0</v>
      </c>
      <c r="BD612" s="63">
        <v>3.0</v>
      </c>
      <c r="BE612" s="64"/>
      <c r="BF612" s="69"/>
      <c r="BG612" s="69"/>
      <c r="BH612" s="64"/>
      <c r="BI612" s="67" t="str">
        <f t="shared" si="281"/>
        <v>#REF!</v>
      </c>
      <c r="BJ612" s="68" t="str">
        <f t="shared" si="282"/>
        <v>#REF!</v>
      </c>
      <c r="BK612" s="69"/>
      <c r="BL612" s="69"/>
      <c r="BM612" s="64"/>
      <c r="BN612" s="67" t="str">
        <f t="shared" si="283"/>
        <v>#REF!</v>
      </c>
      <c r="BO612" s="68" t="str">
        <f t="shared" si="284"/>
        <v>#REF!</v>
      </c>
      <c r="BP612" s="65"/>
      <c r="BQ612" s="65"/>
      <c r="BR612" s="66"/>
      <c r="BS612" s="67" t="str">
        <f t="shared" si="285"/>
        <v>#REF!</v>
      </c>
      <c r="BT612" s="68" t="str">
        <f>'[1]DATA CONSOLIDADA 2018-2025 '!$BR612-Hoja1!$BO612</f>
        <v>#REF!</v>
      </c>
      <c r="BU612" s="69"/>
      <c r="BV612" s="65"/>
      <c r="BW612" s="66"/>
      <c r="BX612" s="67" t="str">
        <f t="shared" si="286"/>
        <v>#REF!</v>
      </c>
      <c r="BY612" s="68" t="str">
        <f t="shared" si="287"/>
        <v>#REF!</v>
      </c>
      <c r="BZ612" s="65"/>
      <c r="CA612" s="65"/>
      <c r="CB612" s="66"/>
      <c r="CC612" s="67" t="str">
        <f t="shared" si="288"/>
        <v>#REF!</v>
      </c>
      <c r="CD612" s="68" t="str">
        <f>'[1]DATA CONSOLIDADA 2018-2025 '!$CB612-Hoja1!$BW612</f>
        <v>#REF!</v>
      </c>
      <c r="CE612" s="70"/>
      <c r="CF612" s="70"/>
      <c r="CG612" s="71"/>
      <c r="CH612" s="67" t="str">
        <f t="shared" si="289"/>
        <v>#REF!</v>
      </c>
      <c r="CI612" s="68" t="str">
        <f>'[1]DATA CONSOLIDADA 2018-2025 '!$CG612-Hoja1!$CB612</f>
        <v>#REF!</v>
      </c>
      <c r="CJ612" s="64" t="str">
        <f t="shared" si="271"/>
        <v>#REF!</v>
      </c>
      <c r="CK612" s="64">
        <v>36400.0</v>
      </c>
      <c r="CL612" s="64">
        <v>0.0</v>
      </c>
      <c r="CM612" s="64">
        <v>36400.0</v>
      </c>
      <c r="CN612" s="64" t="str">
        <f t="shared" si="12"/>
        <v>#REF!</v>
      </c>
      <c r="CO612" s="68" t="str">
        <f>'[1]DATA CONSOLIDADA 2018-2025 '!$CM612-Hoja1!$CG612</f>
        <v>#REF!</v>
      </c>
      <c r="CP612" s="70"/>
      <c r="CQ612" s="70"/>
      <c r="CR612" s="70"/>
      <c r="CS612" s="70"/>
      <c r="CT612" s="70"/>
      <c r="CU612" s="70"/>
      <c r="CV612" s="64"/>
      <c r="CW612" s="64"/>
      <c r="CX612" s="64"/>
      <c r="CY612" s="64"/>
      <c r="CZ612" s="64"/>
      <c r="DA612" s="64"/>
      <c r="DB612" s="64"/>
      <c r="DC612" s="72">
        <v>0.0</v>
      </c>
      <c r="DD612" s="72">
        <v>36400.0</v>
      </c>
      <c r="DE612" s="72">
        <v>0.0</v>
      </c>
      <c r="DF612" s="72">
        <v>0.0</v>
      </c>
      <c r="DG612" s="72">
        <v>0.0</v>
      </c>
      <c r="DH612" s="72">
        <v>36400.0</v>
      </c>
      <c r="DI612" s="73">
        <v>2.0611510731E10</v>
      </c>
      <c r="DJ612" s="74" t="s">
        <v>1855</v>
      </c>
      <c r="DK612" s="74" t="s">
        <v>138</v>
      </c>
      <c r="DL612" s="75"/>
      <c r="DM612" s="75"/>
      <c r="DN612" s="75"/>
      <c r="DO612" s="75"/>
      <c r="DP612" s="75"/>
      <c r="DQ612" s="75"/>
      <c r="DR612" s="75"/>
      <c r="DS612" s="75"/>
      <c r="DT612" s="75"/>
      <c r="DU612" s="75"/>
      <c r="DV612" s="75"/>
      <c r="DW612" s="75"/>
      <c r="DX612" s="75"/>
      <c r="DY612" s="75"/>
      <c r="DZ612" s="75"/>
      <c r="EA612" s="75"/>
      <c r="EB612" s="75"/>
      <c r="EC612" s="75"/>
      <c r="ED612" s="75"/>
      <c r="EE612" s="75"/>
    </row>
    <row r="613" ht="47.25" hidden="1" customHeight="1">
      <c r="A613" s="55" t="s">
        <v>1858</v>
      </c>
      <c r="B613" s="83" t="s">
        <v>1859</v>
      </c>
      <c r="C613" s="55" t="s">
        <v>898</v>
      </c>
      <c r="D613" s="55" t="s">
        <v>1117</v>
      </c>
      <c r="E613" s="55"/>
      <c r="F613" s="55" t="s">
        <v>1117</v>
      </c>
      <c r="G613" s="55" t="s">
        <v>1117</v>
      </c>
      <c r="H613" s="55" t="s">
        <v>1860</v>
      </c>
      <c r="I613" s="56"/>
      <c r="J613" s="56"/>
      <c r="K613" s="56"/>
      <c r="L613" s="56"/>
      <c r="M613" s="56"/>
      <c r="N613" s="56"/>
      <c r="O613" s="56"/>
      <c r="P613" s="56">
        <v>1.0</v>
      </c>
      <c r="Q613" s="56" t="s">
        <v>131</v>
      </c>
      <c r="R613" s="58" t="str">
        <f t="shared" si="1"/>
        <v>2025</v>
      </c>
      <c r="S613" s="59" t="str">
        <f>SUM(Hoja1!$I613:$P613)</f>
        <v>1</v>
      </c>
      <c r="T613" s="59" t="str">
        <f>IF(OR(Hoja1!$J613=1,Hoja1!$K613=1,Hoja1!$L613=1,Hoja1!$M613=1,Hoja1!$N613=1,Hoja1!$O613=1,Hoja1!$P613=1),"SI","NO")</f>
        <v>SI</v>
      </c>
      <c r="U613" s="59" t="str">
        <f>IF(OR(Hoja1!$K613=1,Hoja1!$L613=1,Hoja1!$M613=1,Hoja1!$N613=1,Hoja1!$O613=1,Hoja1!$P613=1),"SI","NO")</f>
        <v>SI</v>
      </c>
      <c r="V613" s="60">
        <v>0.0</v>
      </c>
      <c r="W613" s="61">
        <v>0.0</v>
      </c>
      <c r="X613" s="61">
        <v>0.0</v>
      </c>
      <c r="Y613" s="60">
        <v>0.0</v>
      </c>
      <c r="Z613" s="61">
        <v>0.0</v>
      </c>
      <c r="AA613" s="61">
        <v>0.0</v>
      </c>
      <c r="AB613" s="60">
        <v>0.0</v>
      </c>
      <c r="AC613" s="61">
        <v>0.0</v>
      </c>
      <c r="AD613" s="61">
        <v>0.0</v>
      </c>
      <c r="AE613" s="60">
        <v>0.0</v>
      </c>
      <c r="AF613" s="61">
        <v>0.0</v>
      </c>
      <c r="AG613" s="61">
        <v>0.0</v>
      </c>
      <c r="AH613" s="60">
        <v>0.0</v>
      </c>
      <c r="AI613" s="61">
        <v>0.0</v>
      </c>
      <c r="AJ613" s="61">
        <v>0.0</v>
      </c>
      <c r="AK613" s="60">
        <v>0.0</v>
      </c>
      <c r="AL613" s="61">
        <v>0.0</v>
      </c>
      <c r="AM613" s="61">
        <v>0.0</v>
      </c>
      <c r="AN613" s="60">
        <v>0.0</v>
      </c>
      <c r="AO613" s="62">
        <v>12.0</v>
      </c>
      <c r="AP613" s="62">
        <v>5.0</v>
      </c>
      <c r="AQ613" s="60">
        <v>17.0</v>
      </c>
      <c r="AR613" s="60" t="str">
        <f>IF(Hoja1!$AQ613&gt;0,Hoja1!$AQ613,IF(Hoja1!$AN613&gt;0,Hoja1!$AN613,IF(Hoja1!$AK613&gt;0,Hoja1!$AK613,IF(Hoja1!$AH613&gt;0,Hoja1!$AH613,IF(Hoja1!$AE613&gt;0,Hoja1!$AE613,IF(Hoja1!$AB613&gt;0,Hoja1!$AB613,IF(Hoja1!$Y613&gt;0,Hoja1!$Y613,IF(Hoja1!$V613&gt;0,Hoja1!$V613," ---"))))))))</f>
        <v>17</v>
      </c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>
        <v>9.0</v>
      </c>
      <c r="BD613" s="63">
        <v>1.0</v>
      </c>
      <c r="BE613" s="64"/>
      <c r="BF613" s="69"/>
      <c r="BG613" s="69"/>
      <c r="BH613" s="64"/>
      <c r="BI613" s="67" t="str">
        <f t="shared" si="281"/>
        <v>#REF!</v>
      </c>
      <c r="BJ613" s="68" t="str">
        <f t="shared" si="282"/>
        <v>#REF!</v>
      </c>
      <c r="BK613" s="69"/>
      <c r="BL613" s="69"/>
      <c r="BM613" s="64"/>
      <c r="BN613" s="67" t="str">
        <f t="shared" si="283"/>
        <v>#REF!</v>
      </c>
      <c r="BO613" s="68" t="str">
        <f t="shared" si="284"/>
        <v>#REF!</v>
      </c>
      <c r="BP613" s="65"/>
      <c r="BQ613" s="65"/>
      <c r="BR613" s="66"/>
      <c r="BS613" s="67" t="str">
        <f t="shared" si="285"/>
        <v>#REF!</v>
      </c>
      <c r="BT613" s="68" t="str">
        <f>'[1]DATA CONSOLIDADA 2018-2025 '!$BR613-Hoja1!$BO613</f>
        <v>#REF!</v>
      </c>
      <c r="BU613" s="69"/>
      <c r="BV613" s="65"/>
      <c r="BW613" s="66"/>
      <c r="BX613" s="67" t="str">
        <f t="shared" si="286"/>
        <v>#REF!</v>
      </c>
      <c r="BY613" s="68" t="str">
        <f t="shared" si="287"/>
        <v>#REF!</v>
      </c>
      <c r="BZ613" s="65"/>
      <c r="CA613" s="65"/>
      <c r="CB613" s="66"/>
      <c r="CC613" s="67" t="str">
        <f t="shared" si="288"/>
        <v>#REF!</v>
      </c>
      <c r="CD613" s="68" t="str">
        <f>'[1]DATA CONSOLIDADA 2018-2025 '!$CB613-Hoja1!$BW613</f>
        <v>#REF!</v>
      </c>
      <c r="CE613" s="70"/>
      <c r="CF613" s="70"/>
      <c r="CG613" s="71"/>
      <c r="CH613" s="67" t="str">
        <f t="shared" si="289"/>
        <v>#REF!</v>
      </c>
      <c r="CI613" s="68" t="str">
        <f>'[1]DATA CONSOLIDADA 2018-2025 '!$CG613-Hoja1!$CB613</f>
        <v>#REF!</v>
      </c>
      <c r="CJ613" s="64" t="str">
        <f t="shared" si="271"/>
        <v>#REF!</v>
      </c>
      <c r="CK613" s="64">
        <v>51000.0</v>
      </c>
      <c r="CL613" s="64">
        <v>0.0</v>
      </c>
      <c r="CM613" s="64">
        <v>51000.0</v>
      </c>
      <c r="CN613" s="64" t="str">
        <f t="shared" si="12"/>
        <v>#REF!</v>
      </c>
      <c r="CO613" s="68" t="str">
        <f>'[1]DATA CONSOLIDADA 2018-2025 '!$CM613-Hoja1!$CG613</f>
        <v>#REF!</v>
      </c>
      <c r="CP613" s="70"/>
      <c r="CQ613" s="70"/>
      <c r="CR613" s="70"/>
      <c r="CS613" s="70"/>
      <c r="CT613" s="70"/>
      <c r="CU613" s="70"/>
      <c r="CV613" s="64"/>
      <c r="CW613" s="64"/>
      <c r="CX613" s="64"/>
      <c r="CY613" s="64"/>
      <c r="CZ613" s="64"/>
      <c r="DA613" s="64"/>
      <c r="DB613" s="64"/>
      <c r="DC613" s="72">
        <v>0.0</v>
      </c>
      <c r="DD613" s="72">
        <v>51000.0</v>
      </c>
      <c r="DE613" s="72">
        <v>0.0</v>
      </c>
      <c r="DF613" s="72">
        <v>0.0</v>
      </c>
      <c r="DG613" s="72">
        <v>0.0</v>
      </c>
      <c r="DH613" s="72">
        <v>51000.0</v>
      </c>
      <c r="DI613" s="73">
        <v>2.0607148881E10</v>
      </c>
      <c r="DJ613" s="74" t="s">
        <v>1861</v>
      </c>
      <c r="DK613" s="74" t="s">
        <v>138</v>
      </c>
      <c r="DL613" s="75"/>
      <c r="DM613" s="75"/>
      <c r="DN613" s="75"/>
      <c r="DO613" s="75"/>
      <c r="DP613" s="75"/>
      <c r="DQ613" s="75"/>
      <c r="DR613" s="75"/>
      <c r="DS613" s="75"/>
      <c r="DT613" s="75"/>
      <c r="DU613" s="75"/>
      <c r="DV613" s="75"/>
      <c r="DW613" s="75"/>
      <c r="DX613" s="75"/>
      <c r="DY613" s="75"/>
      <c r="DZ613" s="75"/>
      <c r="EA613" s="75"/>
      <c r="EB613" s="75"/>
      <c r="EC613" s="75"/>
      <c r="ED613" s="75"/>
      <c r="EE613" s="75"/>
    </row>
    <row r="614" ht="47.25" hidden="1" customHeight="1">
      <c r="A614" s="55" t="s">
        <v>1862</v>
      </c>
      <c r="B614" s="55" t="s">
        <v>1355</v>
      </c>
      <c r="C614" s="55" t="s">
        <v>898</v>
      </c>
      <c r="D614" s="55" t="s">
        <v>1117</v>
      </c>
      <c r="E614" s="55"/>
      <c r="F614" s="55" t="s">
        <v>1117</v>
      </c>
      <c r="G614" s="55" t="s">
        <v>1131</v>
      </c>
      <c r="H614" s="55" t="s">
        <v>1140</v>
      </c>
      <c r="I614" s="56"/>
      <c r="J614" s="56"/>
      <c r="K614" s="56"/>
      <c r="L614" s="56"/>
      <c r="M614" s="56"/>
      <c r="N614" s="56"/>
      <c r="O614" s="56"/>
      <c r="P614" s="56">
        <v>1.0</v>
      </c>
      <c r="Q614" s="56" t="s">
        <v>131</v>
      </c>
      <c r="R614" s="58" t="str">
        <f t="shared" si="1"/>
        <v>2025</v>
      </c>
      <c r="S614" s="59" t="str">
        <f>SUM(Hoja1!$I614:$P614)</f>
        <v>1</v>
      </c>
      <c r="T614" s="59" t="str">
        <f>IF(OR(Hoja1!$J614=1,Hoja1!$K614=1,Hoja1!$L614=1,Hoja1!$M614=1,Hoja1!$N614=1,Hoja1!$O614=1,Hoja1!$P614=1),"SI","NO")</f>
        <v>SI</v>
      </c>
      <c r="U614" s="59" t="str">
        <f>IF(OR(Hoja1!$K614=1,Hoja1!$L614=1,Hoja1!$M614=1,Hoja1!$N614=1,Hoja1!$O614=1,Hoja1!$P614=1),"SI","NO")</f>
        <v>SI</v>
      </c>
      <c r="V614" s="60">
        <v>0.0</v>
      </c>
      <c r="W614" s="61">
        <v>0.0</v>
      </c>
      <c r="X614" s="61">
        <v>0.0</v>
      </c>
      <c r="Y614" s="60">
        <v>0.0</v>
      </c>
      <c r="Z614" s="61">
        <v>0.0</v>
      </c>
      <c r="AA614" s="61">
        <v>0.0</v>
      </c>
      <c r="AB614" s="60">
        <v>0.0</v>
      </c>
      <c r="AC614" s="61">
        <v>0.0</v>
      </c>
      <c r="AD614" s="61">
        <v>0.0</v>
      </c>
      <c r="AE614" s="60">
        <v>0.0</v>
      </c>
      <c r="AF614" s="61">
        <v>0.0</v>
      </c>
      <c r="AG614" s="61">
        <v>0.0</v>
      </c>
      <c r="AH614" s="60">
        <v>0.0</v>
      </c>
      <c r="AI614" s="61">
        <v>0.0</v>
      </c>
      <c r="AJ614" s="61">
        <v>0.0</v>
      </c>
      <c r="AK614" s="60">
        <v>0.0</v>
      </c>
      <c r="AL614" s="61">
        <v>0.0</v>
      </c>
      <c r="AM614" s="61">
        <v>0.0</v>
      </c>
      <c r="AN614" s="60">
        <v>0.0</v>
      </c>
      <c r="AO614" s="62">
        <v>13.0</v>
      </c>
      <c r="AP614" s="62">
        <v>15.0</v>
      </c>
      <c r="AQ614" s="60">
        <v>28.0</v>
      </c>
      <c r="AR614" s="60" t="str">
        <f>IF(Hoja1!$AQ614&gt;0,Hoja1!$AQ614,IF(Hoja1!$AN614&gt;0,Hoja1!$AN614,IF(Hoja1!$AK614&gt;0,Hoja1!$AK614,IF(Hoja1!$AH614&gt;0,Hoja1!$AH614,IF(Hoja1!$AE614&gt;0,Hoja1!$AE614,IF(Hoja1!$AB614&gt;0,Hoja1!$AB614,IF(Hoja1!$Y614&gt;0,Hoja1!$Y614,IF(Hoja1!$V614&gt;0,Hoja1!$V614," ---"))))))))</f>
        <v>28</v>
      </c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>
        <v>9.0</v>
      </c>
      <c r="BD614" s="63">
        <v>1.0</v>
      </c>
      <c r="BE614" s="64"/>
      <c r="BF614" s="69"/>
      <c r="BG614" s="69"/>
      <c r="BH614" s="64"/>
      <c r="BI614" s="67" t="str">
        <f t="shared" si="281"/>
        <v>#REF!</v>
      </c>
      <c r="BJ614" s="68" t="str">
        <f t="shared" si="282"/>
        <v>#REF!</v>
      </c>
      <c r="BK614" s="69"/>
      <c r="BL614" s="69"/>
      <c r="BM614" s="64"/>
      <c r="BN614" s="67" t="str">
        <f t="shared" si="283"/>
        <v>#REF!</v>
      </c>
      <c r="BO614" s="68" t="str">
        <f t="shared" si="284"/>
        <v>#REF!</v>
      </c>
      <c r="BP614" s="65"/>
      <c r="BQ614" s="65"/>
      <c r="BR614" s="66"/>
      <c r="BS614" s="67" t="str">
        <f t="shared" si="285"/>
        <v>#REF!</v>
      </c>
      <c r="BT614" s="68" t="str">
        <f>'[1]DATA CONSOLIDADA 2018-2025 '!$BR614-Hoja1!$BO614</f>
        <v>#REF!</v>
      </c>
      <c r="BU614" s="69"/>
      <c r="BV614" s="65"/>
      <c r="BW614" s="66"/>
      <c r="BX614" s="67" t="str">
        <f t="shared" si="286"/>
        <v>#REF!</v>
      </c>
      <c r="BY614" s="68" t="str">
        <f t="shared" si="287"/>
        <v>#REF!</v>
      </c>
      <c r="BZ614" s="65"/>
      <c r="CA614" s="65"/>
      <c r="CB614" s="66"/>
      <c r="CC614" s="67" t="str">
        <f t="shared" si="288"/>
        <v>#REF!</v>
      </c>
      <c r="CD614" s="68" t="str">
        <f>'[1]DATA CONSOLIDADA 2018-2025 '!$CB614-Hoja1!$BW614</f>
        <v>#REF!</v>
      </c>
      <c r="CE614" s="70"/>
      <c r="CF614" s="70"/>
      <c r="CG614" s="71"/>
      <c r="CH614" s="67" t="str">
        <f t="shared" si="289"/>
        <v>#REF!</v>
      </c>
      <c r="CI614" s="68" t="str">
        <f>'[1]DATA CONSOLIDADA 2018-2025 '!$CG614-Hoja1!$CB614</f>
        <v>#REF!</v>
      </c>
      <c r="CJ614" s="64" t="str">
        <f t="shared" si="271"/>
        <v>#REF!</v>
      </c>
      <c r="CK614" s="64">
        <v>96957.996633</v>
      </c>
      <c r="CL614" s="64">
        <v>0.0</v>
      </c>
      <c r="CM614" s="64">
        <v>96957.996633</v>
      </c>
      <c r="CN614" s="64" t="str">
        <f t="shared" si="12"/>
        <v>#REF!</v>
      </c>
      <c r="CO614" s="68" t="str">
        <f>'[1]DATA CONSOLIDADA 2018-2025 '!$CM614-Hoja1!$CG614</f>
        <v>#REF!</v>
      </c>
      <c r="CP614" s="70"/>
      <c r="CQ614" s="70"/>
      <c r="CR614" s="70"/>
      <c r="CS614" s="70"/>
      <c r="CT614" s="70"/>
      <c r="CU614" s="70"/>
      <c r="CV614" s="64"/>
      <c r="CW614" s="64"/>
      <c r="CX614" s="64"/>
      <c r="CY614" s="64"/>
      <c r="CZ614" s="64"/>
      <c r="DA614" s="64"/>
      <c r="DB614" s="64"/>
      <c r="DC614" s="72">
        <v>0.0</v>
      </c>
      <c r="DD614" s="72">
        <v>96957.996633</v>
      </c>
      <c r="DE614" s="72">
        <v>0.0</v>
      </c>
      <c r="DF614" s="72">
        <v>0.0</v>
      </c>
      <c r="DG614" s="72">
        <v>0.0</v>
      </c>
      <c r="DH614" s="72">
        <v>96957.996633</v>
      </c>
      <c r="DI614" s="73">
        <v>2.0602264549E10</v>
      </c>
      <c r="DJ614" s="74" t="s">
        <v>1863</v>
      </c>
      <c r="DK614" s="74" t="s">
        <v>138</v>
      </c>
      <c r="DL614" s="75"/>
      <c r="DM614" s="75"/>
      <c r="DN614" s="75"/>
      <c r="DO614" s="75"/>
      <c r="DP614" s="75"/>
      <c r="DQ614" s="75"/>
      <c r="DR614" s="75"/>
      <c r="DS614" s="75"/>
      <c r="DT614" s="75"/>
      <c r="DU614" s="75"/>
      <c r="DV614" s="75"/>
      <c r="DW614" s="75"/>
      <c r="DX614" s="75"/>
      <c r="DY614" s="75"/>
      <c r="DZ614" s="75"/>
      <c r="EA614" s="75"/>
      <c r="EB614" s="75"/>
      <c r="EC614" s="75"/>
      <c r="ED614" s="75"/>
      <c r="EE614" s="75"/>
    </row>
    <row r="615" ht="47.25" hidden="1" customHeight="1">
      <c r="A615" s="55" t="s">
        <v>1864</v>
      </c>
      <c r="B615" s="83" t="s">
        <v>530</v>
      </c>
      <c r="C615" s="55" t="s">
        <v>1859</v>
      </c>
      <c r="D615" s="55" t="s">
        <v>1117</v>
      </c>
      <c r="E615" s="55"/>
      <c r="F615" s="55" t="s">
        <v>1117</v>
      </c>
      <c r="G615" s="55" t="s">
        <v>1117</v>
      </c>
      <c r="H615" s="55" t="s">
        <v>1865</v>
      </c>
      <c r="I615" s="56"/>
      <c r="J615" s="56"/>
      <c r="K615" s="56"/>
      <c r="L615" s="56"/>
      <c r="M615" s="56"/>
      <c r="N615" s="56"/>
      <c r="O615" s="56"/>
      <c r="P615" s="56">
        <v>1.0</v>
      </c>
      <c r="Q615" s="56" t="s">
        <v>131</v>
      </c>
      <c r="R615" s="58" t="str">
        <f t="shared" si="1"/>
        <v>2025</v>
      </c>
      <c r="S615" s="59" t="str">
        <f>SUM(Hoja1!$I615:$P615)</f>
        <v>1</v>
      </c>
      <c r="T615" s="59" t="str">
        <f>IF(OR(Hoja1!$J615=1,Hoja1!$K615=1,Hoja1!$L615=1,Hoja1!$M615=1,Hoja1!$N615=1,Hoja1!$O615=1,Hoja1!$P615=1),"SI","NO")</f>
        <v>SI</v>
      </c>
      <c r="U615" s="59" t="str">
        <f>IF(OR(Hoja1!$K615=1,Hoja1!$L615=1,Hoja1!$M615=1,Hoja1!$N615=1,Hoja1!$O615=1,Hoja1!$P615=1),"SI","NO")</f>
        <v>SI</v>
      </c>
      <c r="V615" s="60">
        <v>0.0</v>
      </c>
      <c r="W615" s="61">
        <v>0.0</v>
      </c>
      <c r="X615" s="61">
        <v>0.0</v>
      </c>
      <c r="Y615" s="60">
        <v>0.0</v>
      </c>
      <c r="Z615" s="61">
        <v>0.0</v>
      </c>
      <c r="AA615" s="61">
        <v>0.0</v>
      </c>
      <c r="AB615" s="60">
        <v>0.0</v>
      </c>
      <c r="AC615" s="61">
        <v>0.0</v>
      </c>
      <c r="AD615" s="61">
        <v>0.0</v>
      </c>
      <c r="AE615" s="60">
        <v>0.0</v>
      </c>
      <c r="AF615" s="61">
        <v>0.0</v>
      </c>
      <c r="AG615" s="61">
        <v>0.0</v>
      </c>
      <c r="AH615" s="60">
        <v>0.0</v>
      </c>
      <c r="AI615" s="61">
        <v>0.0</v>
      </c>
      <c r="AJ615" s="61">
        <v>0.0</v>
      </c>
      <c r="AK615" s="60">
        <v>0.0</v>
      </c>
      <c r="AL615" s="61">
        <v>0.0</v>
      </c>
      <c r="AM615" s="61">
        <v>0.0</v>
      </c>
      <c r="AN615" s="60">
        <v>0.0</v>
      </c>
      <c r="AO615" s="62">
        <v>17.0</v>
      </c>
      <c r="AP615" s="62">
        <v>5.0</v>
      </c>
      <c r="AQ615" s="60">
        <v>22.0</v>
      </c>
      <c r="AR615" s="60" t="str">
        <f>IF(Hoja1!$AQ615&gt;0,Hoja1!$AQ615,IF(Hoja1!$AN615&gt;0,Hoja1!$AN615,IF(Hoja1!$AK615&gt;0,Hoja1!$AK615,IF(Hoja1!$AH615&gt;0,Hoja1!$AH615,IF(Hoja1!$AE615&gt;0,Hoja1!$AE615,IF(Hoja1!$AB615&gt;0,Hoja1!$AB615,IF(Hoja1!$Y615&gt;0,Hoja1!$Y615,IF(Hoja1!$V615&gt;0,Hoja1!$V615," ---"))))))))</f>
        <v>22</v>
      </c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>
        <v>16.0</v>
      </c>
      <c r="BD615" s="63">
        <v>3.0</v>
      </c>
      <c r="BE615" s="64"/>
      <c r="BF615" s="69"/>
      <c r="BG615" s="69"/>
      <c r="BH615" s="64"/>
      <c r="BI615" s="67" t="str">
        <f t="shared" si="281"/>
        <v>#REF!</v>
      </c>
      <c r="BJ615" s="68" t="str">
        <f t="shared" si="282"/>
        <v>#REF!</v>
      </c>
      <c r="BK615" s="69"/>
      <c r="BL615" s="69"/>
      <c r="BM615" s="64"/>
      <c r="BN615" s="67" t="str">
        <f t="shared" si="283"/>
        <v>#REF!</v>
      </c>
      <c r="BO615" s="68" t="str">
        <f t="shared" si="284"/>
        <v>#REF!</v>
      </c>
      <c r="BP615" s="65"/>
      <c r="BQ615" s="65"/>
      <c r="BR615" s="66"/>
      <c r="BS615" s="67" t="str">
        <f t="shared" si="285"/>
        <v>#REF!</v>
      </c>
      <c r="BT615" s="68" t="str">
        <f>'[1]DATA CONSOLIDADA 2018-2025 '!$BR615-Hoja1!$BO615</f>
        <v>#REF!</v>
      </c>
      <c r="BU615" s="69"/>
      <c r="BV615" s="65"/>
      <c r="BW615" s="66"/>
      <c r="BX615" s="67" t="str">
        <f t="shared" si="286"/>
        <v>#REF!</v>
      </c>
      <c r="BY615" s="68" t="str">
        <f t="shared" si="287"/>
        <v>#REF!</v>
      </c>
      <c r="BZ615" s="65"/>
      <c r="CA615" s="65"/>
      <c r="CB615" s="66"/>
      <c r="CC615" s="67" t="str">
        <f t="shared" si="288"/>
        <v>#REF!</v>
      </c>
      <c r="CD615" s="68" t="str">
        <f>'[1]DATA CONSOLIDADA 2018-2025 '!$CB615-Hoja1!$BW615</f>
        <v>#REF!</v>
      </c>
      <c r="CE615" s="70"/>
      <c r="CF615" s="70"/>
      <c r="CG615" s="71"/>
      <c r="CH615" s="67" t="str">
        <f t="shared" si="289"/>
        <v>#REF!</v>
      </c>
      <c r="CI615" s="68" t="str">
        <f>'[1]DATA CONSOLIDADA 2018-2025 '!$CG615-Hoja1!$CB615</f>
        <v>#REF!</v>
      </c>
      <c r="CJ615" s="64" t="str">
        <f t="shared" si="271"/>
        <v>#REF!</v>
      </c>
      <c r="CK615" s="64">
        <v>189500.0</v>
      </c>
      <c r="CL615" s="64">
        <v>0.0</v>
      </c>
      <c r="CM615" s="64">
        <v>189500.0</v>
      </c>
      <c r="CN615" s="64" t="str">
        <f t="shared" si="12"/>
        <v>#REF!</v>
      </c>
      <c r="CO615" s="68" t="str">
        <f>'[1]DATA CONSOLIDADA 2018-2025 '!$CM615-Hoja1!$CG615</f>
        <v>#REF!</v>
      </c>
      <c r="CP615" s="70"/>
      <c r="CQ615" s="70"/>
      <c r="CR615" s="70"/>
      <c r="CS615" s="70"/>
      <c r="CT615" s="70"/>
      <c r="CU615" s="70"/>
      <c r="CV615" s="64"/>
      <c r="CW615" s="64"/>
      <c r="CX615" s="64"/>
      <c r="CY615" s="64"/>
      <c r="CZ615" s="64"/>
      <c r="DA615" s="64"/>
      <c r="DB615" s="64"/>
      <c r="DC615" s="72">
        <v>0.0</v>
      </c>
      <c r="DD615" s="72">
        <v>189500.0</v>
      </c>
      <c r="DE615" s="72">
        <v>0.0</v>
      </c>
      <c r="DF615" s="72">
        <v>0.0</v>
      </c>
      <c r="DG615" s="72">
        <v>0.0</v>
      </c>
      <c r="DH615" s="72">
        <v>189500.0</v>
      </c>
      <c r="DI615" s="73">
        <v>2.0613016253E10</v>
      </c>
      <c r="DJ615" s="74" t="s">
        <v>1864</v>
      </c>
      <c r="DK615" s="74" t="s">
        <v>138</v>
      </c>
      <c r="DL615" s="75"/>
      <c r="DM615" s="75"/>
      <c r="DN615" s="75"/>
      <c r="DO615" s="75"/>
      <c r="DP615" s="75"/>
      <c r="DQ615" s="75"/>
      <c r="DR615" s="75"/>
      <c r="DS615" s="75"/>
      <c r="DT615" s="75"/>
      <c r="DU615" s="75"/>
      <c r="DV615" s="75"/>
      <c r="DW615" s="75"/>
      <c r="DX615" s="75"/>
      <c r="DY615" s="75"/>
      <c r="DZ615" s="75"/>
      <c r="EA615" s="75"/>
      <c r="EB615" s="75"/>
      <c r="EC615" s="75"/>
      <c r="ED615" s="75"/>
      <c r="EE615" s="75"/>
    </row>
    <row r="616" ht="47.25" hidden="1" customHeight="1">
      <c r="A616" s="55" t="s">
        <v>1866</v>
      </c>
      <c r="B616" s="55" t="s">
        <v>1621</v>
      </c>
      <c r="C616" s="55" t="s">
        <v>1621</v>
      </c>
      <c r="D616" s="55" t="s">
        <v>785</v>
      </c>
      <c r="E616" s="55"/>
      <c r="F616" s="55" t="s">
        <v>785</v>
      </c>
      <c r="G616" s="55" t="s">
        <v>1867</v>
      </c>
      <c r="H616" s="55" t="s">
        <v>1867</v>
      </c>
      <c r="I616" s="56"/>
      <c r="J616" s="56"/>
      <c r="K616" s="56"/>
      <c r="L616" s="56"/>
      <c r="M616" s="56"/>
      <c r="N616" s="56"/>
      <c r="O616" s="56"/>
      <c r="P616" s="56">
        <v>1.0</v>
      </c>
      <c r="Q616" s="56" t="s">
        <v>131</v>
      </c>
      <c r="R616" s="58" t="str">
        <f t="shared" si="1"/>
        <v>2025</v>
      </c>
      <c r="S616" s="59" t="str">
        <f>SUM(Hoja1!$I616:$P616)</f>
        <v>1</v>
      </c>
      <c r="T616" s="59" t="str">
        <f>IF(OR(Hoja1!$J616=1,Hoja1!$K616=1,Hoja1!$L616=1,Hoja1!$M616=1,Hoja1!$N616=1,Hoja1!$O616=1,Hoja1!$P616=1),"SI","NO")</f>
        <v>SI</v>
      </c>
      <c r="U616" s="59" t="str">
        <f>IF(OR(Hoja1!$K616=1,Hoja1!$L616=1,Hoja1!$M616=1,Hoja1!$N616=1,Hoja1!$O616=1,Hoja1!$P616=1),"SI","NO")</f>
        <v>SI</v>
      </c>
      <c r="V616" s="60">
        <v>0.0</v>
      </c>
      <c r="W616" s="61">
        <v>0.0</v>
      </c>
      <c r="X616" s="61">
        <v>0.0</v>
      </c>
      <c r="Y616" s="60">
        <v>0.0</v>
      </c>
      <c r="Z616" s="61">
        <v>0.0</v>
      </c>
      <c r="AA616" s="61">
        <v>0.0</v>
      </c>
      <c r="AB616" s="60">
        <v>0.0</v>
      </c>
      <c r="AC616" s="61">
        <v>0.0</v>
      </c>
      <c r="AD616" s="61">
        <v>0.0</v>
      </c>
      <c r="AE616" s="60">
        <v>0.0</v>
      </c>
      <c r="AF616" s="61">
        <v>0.0</v>
      </c>
      <c r="AG616" s="61">
        <v>0.0</v>
      </c>
      <c r="AH616" s="60">
        <v>0.0</v>
      </c>
      <c r="AI616" s="61">
        <v>0.0</v>
      </c>
      <c r="AJ616" s="61">
        <v>0.0</v>
      </c>
      <c r="AK616" s="60">
        <v>0.0</v>
      </c>
      <c r="AL616" s="61">
        <v>0.0</v>
      </c>
      <c r="AM616" s="61">
        <v>0.0</v>
      </c>
      <c r="AN616" s="60">
        <v>0.0</v>
      </c>
      <c r="AO616" s="62">
        <v>15.0</v>
      </c>
      <c r="AP616" s="62">
        <v>10.0</v>
      </c>
      <c r="AQ616" s="60">
        <v>25.0</v>
      </c>
      <c r="AR616" s="60" t="str">
        <f>IF(Hoja1!$AQ616&gt;0,Hoja1!$AQ616,IF(Hoja1!$AN616&gt;0,Hoja1!$AN616,IF(Hoja1!$AK616&gt;0,Hoja1!$AK616,IF(Hoja1!$AH616&gt;0,Hoja1!$AH616,IF(Hoja1!$AE616&gt;0,Hoja1!$AE616,IF(Hoja1!$AB616&gt;0,Hoja1!$AB616,IF(Hoja1!$Y616&gt;0,Hoja1!$Y616,IF(Hoja1!$V616&gt;0,Hoja1!$V616," ---"))))))))</f>
        <v>25</v>
      </c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>
        <v>8.0</v>
      </c>
      <c r="BD616" s="63">
        <v>1.0</v>
      </c>
      <c r="BE616" s="64"/>
      <c r="BF616" s="69"/>
      <c r="BG616" s="69"/>
      <c r="BH616" s="64"/>
      <c r="BI616" s="67" t="str">
        <f t="shared" si="281"/>
        <v>#REF!</v>
      </c>
      <c r="BJ616" s="68" t="str">
        <f t="shared" si="282"/>
        <v>#REF!</v>
      </c>
      <c r="BK616" s="69"/>
      <c r="BL616" s="69"/>
      <c r="BM616" s="64"/>
      <c r="BN616" s="67" t="str">
        <f t="shared" si="283"/>
        <v>#REF!</v>
      </c>
      <c r="BO616" s="68" t="str">
        <f t="shared" si="284"/>
        <v>#REF!</v>
      </c>
      <c r="BP616" s="65"/>
      <c r="BQ616" s="65"/>
      <c r="BR616" s="66"/>
      <c r="BS616" s="67" t="str">
        <f t="shared" si="285"/>
        <v>#REF!</v>
      </c>
      <c r="BT616" s="68" t="str">
        <f>'[1]DATA CONSOLIDADA 2018-2025 '!$BR616-Hoja1!$BO616</f>
        <v>#REF!</v>
      </c>
      <c r="BU616" s="69"/>
      <c r="BV616" s="65"/>
      <c r="BW616" s="66"/>
      <c r="BX616" s="67" t="str">
        <f t="shared" si="286"/>
        <v>#REF!</v>
      </c>
      <c r="BY616" s="68" t="str">
        <f t="shared" si="287"/>
        <v>#REF!</v>
      </c>
      <c r="BZ616" s="65"/>
      <c r="CA616" s="65"/>
      <c r="CB616" s="66"/>
      <c r="CC616" s="67" t="str">
        <f t="shared" si="288"/>
        <v>#REF!</v>
      </c>
      <c r="CD616" s="68" t="str">
        <f>'[1]DATA CONSOLIDADA 2018-2025 '!$CB616-Hoja1!$BW616</f>
        <v>#REF!</v>
      </c>
      <c r="CE616" s="70"/>
      <c r="CF616" s="70"/>
      <c r="CG616" s="71"/>
      <c r="CH616" s="67" t="str">
        <f t="shared" si="289"/>
        <v>#REF!</v>
      </c>
      <c r="CI616" s="68" t="str">
        <f>'[1]DATA CONSOLIDADA 2018-2025 '!$CG616-Hoja1!$CB616</f>
        <v>#REF!</v>
      </c>
      <c r="CJ616" s="64" t="str">
        <f t="shared" si="271"/>
        <v>#REF!</v>
      </c>
      <c r="CK616" s="64">
        <v>62500.0</v>
      </c>
      <c r="CL616" s="64">
        <v>0.0</v>
      </c>
      <c r="CM616" s="64">
        <v>62500.0</v>
      </c>
      <c r="CN616" s="64" t="str">
        <f t="shared" si="12"/>
        <v>#REF!</v>
      </c>
      <c r="CO616" s="68" t="str">
        <f>'[1]DATA CONSOLIDADA 2018-2025 '!$CM616-Hoja1!$CG616</f>
        <v>#REF!</v>
      </c>
      <c r="CP616" s="70"/>
      <c r="CQ616" s="70"/>
      <c r="CR616" s="70"/>
      <c r="CS616" s="70"/>
      <c r="CT616" s="70"/>
      <c r="CU616" s="70"/>
      <c r="CV616" s="64"/>
      <c r="CW616" s="64"/>
      <c r="CX616" s="64"/>
      <c r="CY616" s="64"/>
      <c r="CZ616" s="64"/>
      <c r="DA616" s="64"/>
      <c r="DB616" s="64"/>
      <c r="DC616" s="72">
        <v>0.0</v>
      </c>
      <c r="DD616" s="72">
        <v>62500.0</v>
      </c>
      <c r="DE616" s="72">
        <v>0.0</v>
      </c>
      <c r="DF616" s="72">
        <v>0.0</v>
      </c>
      <c r="DG616" s="72">
        <v>0.0</v>
      </c>
      <c r="DH616" s="72">
        <v>62500.0</v>
      </c>
      <c r="DI616" s="73">
        <v>2.0611854553E10</v>
      </c>
      <c r="DJ616" s="74" t="s">
        <v>1866</v>
      </c>
      <c r="DK616" s="74" t="s">
        <v>132</v>
      </c>
      <c r="DL616" s="75"/>
      <c r="DM616" s="75"/>
      <c r="DN616" s="75"/>
      <c r="DO616" s="75"/>
      <c r="DP616" s="75"/>
      <c r="DQ616" s="75"/>
      <c r="DR616" s="75"/>
      <c r="DS616" s="75"/>
      <c r="DT616" s="75"/>
      <c r="DU616" s="75"/>
      <c r="DV616" s="75"/>
      <c r="DW616" s="75"/>
      <c r="DX616" s="75"/>
      <c r="DY616" s="75"/>
      <c r="DZ616" s="75"/>
      <c r="EA616" s="75"/>
      <c r="EB616" s="75"/>
      <c r="EC616" s="75"/>
      <c r="ED616" s="75"/>
      <c r="EE616" s="75"/>
    </row>
    <row r="617" ht="47.25" hidden="1" customHeight="1">
      <c r="A617" s="55" t="s">
        <v>1868</v>
      </c>
      <c r="B617" s="55" t="s">
        <v>250</v>
      </c>
      <c r="C617" s="55" t="s">
        <v>250</v>
      </c>
      <c r="D617" s="55" t="s">
        <v>563</v>
      </c>
      <c r="E617" s="55"/>
      <c r="F617" s="55" t="s">
        <v>563</v>
      </c>
      <c r="G617" s="55" t="s">
        <v>1273</v>
      </c>
      <c r="H617" s="55" t="s">
        <v>1670</v>
      </c>
      <c r="I617" s="56"/>
      <c r="J617" s="56"/>
      <c r="K617" s="56"/>
      <c r="L617" s="56"/>
      <c r="M617" s="56"/>
      <c r="N617" s="56"/>
      <c r="O617" s="56"/>
      <c r="P617" s="56">
        <v>1.0</v>
      </c>
      <c r="Q617" s="56" t="s">
        <v>131</v>
      </c>
      <c r="R617" s="58" t="str">
        <f t="shared" si="1"/>
        <v>2025</v>
      </c>
      <c r="S617" s="59" t="str">
        <f>SUM(Hoja1!$I617:$P617)</f>
        <v>1</v>
      </c>
      <c r="T617" s="59" t="str">
        <f>IF(OR(Hoja1!$J617=1,Hoja1!$K617=1,Hoja1!$L617=1,Hoja1!$M617=1,Hoja1!$N617=1,Hoja1!$O617=1,Hoja1!$P617=1),"SI","NO")</f>
        <v>SI</v>
      </c>
      <c r="U617" s="59" t="str">
        <f>IF(OR(Hoja1!$K617=1,Hoja1!$L617=1,Hoja1!$M617=1,Hoja1!$N617=1,Hoja1!$O617=1,Hoja1!$P617=1),"SI","NO")</f>
        <v>SI</v>
      </c>
      <c r="V617" s="60">
        <v>0.0</v>
      </c>
      <c r="W617" s="61">
        <v>0.0</v>
      </c>
      <c r="X617" s="61">
        <v>0.0</v>
      </c>
      <c r="Y617" s="60">
        <v>0.0</v>
      </c>
      <c r="Z617" s="61">
        <v>0.0</v>
      </c>
      <c r="AA617" s="61">
        <v>0.0</v>
      </c>
      <c r="AB617" s="60">
        <v>0.0</v>
      </c>
      <c r="AC617" s="61">
        <v>0.0</v>
      </c>
      <c r="AD617" s="61">
        <v>0.0</v>
      </c>
      <c r="AE617" s="60">
        <v>0.0</v>
      </c>
      <c r="AF617" s="61">
        <v>0.0</v>
      </c>
      <c r="AG617" s="61">
        <v>0.0</v>
      </c>
      <c r="AH617" s="60">
        <v>0.0</v>
      </c>
      <c r="AI617" s="61">
        <v>0.0</v>
      </c>
      <c r="AJ617" s="61">
        <v>0.0</v>
      </c>
      <c r="AK617" s="60">
        <v>0.0</v>
      </c>
      <c r="AL617" s="61">
        <v>0.0</v>
      </c>
      <c r="AM617" s="61">
        <v>0.0</v>
      </c>
      <c r="AN617" s="60">
        <v>0.0</v>
      </c>
      <c r="AO617" s="62">
        <v>15.0</v>
      </c>
      <c r="AP617" s="62">
        <v>9.0</v>
      </c>
      <c r="AQ617" s="60">
        <v>24.0</v>
      </c>
      <c r="AR617" s="60" t="str">
        <f>IF(Hoja1!$AQ617&gt;0,Hoja1!$AQ617,IF(Hoja1!$AN617&gt;0,Hoja1!$AN617,IF(Hoja1!$AK617&gt;0,Hoja1!$AK617,IF(Hoja1!$AH617&gt;0,Hoja1!$AH617,IF(Hoja1!$AE617&gt;0,Hoja1!$AE617,IF(Hoja1!$AB617&gt;0,Hoja1!$AB617,IF(Hoja1!$Y617&gt;0,Hoja1!$Y617,IF(Hoja1!$V617&gt;0,Hoja1!$V617," ---"))))))))</f>
        <v>24</v>
      </c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>
        <v>8.0</v>
      </c>
      <c r="BD617" s="63">
        <v>1.0</v>
      </c>
      <c r="BE617" s="64"/>
      <c r="BF617" s="69"/>
      <c r="BG617" s="69"/>
      <c r="BH617" s="64"/>
      <c r="BI617" s="67" t="str">
        <f t="shared" si="281"/>
        <v>#REF!</v>
      </c>
      <c r="BJ617" s="68" t="str">
        <f t="shared" si="282"/>
        <v>#REF!</v>
      </c>
      <c r="BK617" s="69"/>
      <c r="BL617" s="69"/>
      <c r="BM617" s="64"/>
      <c r="BN617" s="67" t="str">
        <f t="shared" si="283"/>
        <v>#REF!</v>
      </c>
      <c r="BO617" s="68" t="str">
        <f t="shared" si="284"/>
        <v>#REF!</v>
      </c>
      <c r="BP617" s="65"/>
      <c r="BQ617" s="65"/>
      <c r="BR617" s="66"/>
      <c r="BS617" s="67" t="str">
        <f t="shared" si="285"/>
        <v>#REF!</v>
      </c>
      <c r="BT617" s="68" t="str">
        <f>'[1]DATA CONSOLIDADA 2018-2025 '!$BR617-Hoja1!$BO617</f>
        <v>#REF!</v>
      </c>
      <c r="BU617" s="69"/>
      <c r="BV617" s="65"/>
      <c r="BW617" s="66"/>
      <c r="BX617" s="67" t="str">
        <f t="shared" si="286"/>
        <v>#REF!</v>
      </c>
      <c r="BY617" s="68" t="str">
        <f t="shared" si="287"/>
        <v>#REF!</v>
      </c>
      <c r="BZ617" s="65"/>
      <c r="CA617" s="65"/>
      <c r="CB617" s="66"/>
      <c r="CC617" s="67" t="str">
        <f t="shared" si="288"/>
        <v>#REF!</v>
      </c>
      <c r="CD617" s="68" t="str">
        <f>'[1]DATA CONSOLIDADA 2018-2025 '!$CB617-Hoja1!$BW617</f>
        <v>#REF!</v>
      </c>
      <c r="CE617" s="70"/>
      <c r="CF617" s="70"/>
      <c r="CG617" s="71"/>
      <c r="CH617" s="67" t="str">
        <f t="shared" si="289"/>
        <v>#REF!</v>
      </c>
      <c r="CI617" s="68" t="str">
        <f>'[1]DATA CONSOLIDADA 2018-2025 '!$CG617-Hoja1!$CB617</f>
        <v>#REF!</v>
      </c>
      <c r="CJ617" s="64" t="str">
        <f t="shared" si="271"/>
        <v>#REF!</v>
      </c>
      <c r="CK617" s="64">
        <v>0.0</v>
      </c>
      <c r="CL617" s="64">
        <v>0.0</v>
      </c>
      <c r="CM617" s="64">
        <v>0.0</v>
      </c>
      <c r="CN617" s="64" t="str">
        <f t="shared" si="12"/>
        <v>#REF!</v>
      </c>
      <c r="CO617" s="68" t="str">
        <f>'[1]DATA CONSOLIDADA 2018-2025 '!$CM617-Hoja1!$CG617</f>
        <v>#REF!</v>
      </c>
      <c r="CP617" s="70"/>
      <c r="CQ617" s="70"/>
      <c r="CR617" s="70"/>
      <c r="CS617" s="70"/>
      <c r="CT617" s="70"/>
      <c r="CU617" s="70"/>
      <c r="CV617" s="64"/>
      <c r="CW617" s="64"/>
      <c r="CX617" s="64"/>
      <c r="CY617" s="64"/>
      <c r="CZ617" s="64"/>
      <c r="DA617" s="64"/>
      <c r="DB617" s="64"/>
      <c r="DC617" s="72">
        <v>0.0</v>
      </c>
      <c r="DD617" s="72">
        <v>0.0</v>
      </c>
      <c r="DE617" s="72">
        <v>0.0</v>
      </c>
      <c r="DF617" s="72">
        <v>0.0</v>
      </c>
      <c r="DG617" s="72">
        <v>0.0</v>
      </c>
      <c r="DH617" s="72">
        <v>0.0</v>
      </c>
      <c r="DI617" s="73">
        <v>2.0613911279E10</v>
      </c>
      <c r="DJ617" s="74" t="s">
        <v>1868</v>
      </c>
      <c r="DK617" s="74" t="s">
        <v>132</v>
      </c>
      <c r="DL617" s="75"/>
      <c r="DM617" s="75"/>
      <c r="DN617" s="75"/>
      <c r="DO617" s="75"/>
      <c r="DP617" s="75"/>
      <c r="DQ617" s="75"/>
      <c r="DR617" s="75"/>
      <c r="DS617" s="75"/>
      <c r="DT617" s="75"/>
      <c r="DU617" s="75"/>
      <c r="DV617" s="75"/>
      <c r="DW617" s="75"/>
      <c r="DX617" s="75"/>
      <c r="DY617" s="75"/>
      <c r="DZ617" s="75"/>
      <c r="EA617" s="75"/>
      <c r="EB617" s="75"/>
      <c r="EC617" s="75"/>
      <c r="ED617" s="75"/>
      <c r="EE617" s="75"/>
    </row>
    <row r="618" ht="47.25" hidden="1" customHeight="1">
      <c r="A618" s="55" t="s">
        <v>1869</v>
      </c>
      <c r="B618" s="55" t="s">
        <v>855</v>
      </c>
      <c r="C618" s="55" t="s">
        <v>855</v>
      </c>
      <c r="D618" s="55" t="s">
        <v>846</v>
      </c>
      <c r="E618" s="55"/>
      <c r="F618" s="55" t="s">
        <v>846</v>
      </c>
      <c r="G618" s="55" t="s">
        <v>1077</v>
      </c>
      <c r="H618" s="55" t="s">
        <v>846</v>
      </c>
      <c r="I618" s="56"/>
      <c r="J618" s="56"/>
      <c r="K618" s="56"/>
      <c r="L618" s="56"/>
      <c r="M618" s="56"/>
      <c r="N618" s="56"/>
      <c r="O618" s="56"/>
      <c r="P618" s="56">
        <v>1.0</v>
      </c>
      <c r="Q618" s="56" t="s">
        <v>131</v>
      </c>
      <c r="R618" s="58" t="str">
        <f t="shared" si="1"/>
        <v>2025</v>
      </c>
      <c r="S618" s="59" t="str">
        <f>SUM(Hoja1!$I618:$P618)</f>
        <v>1</v>
      </c>
      <c r="T618" s="59" t="str">
        <f>IF(OR(Hoja1!$J618=1,Hoja1!$K618=1,Hoja1!$L618=1,Hoja1!$M618=1,Hoja1!$N618=1,Hoja1!$O618=1,Hoja1!$P618=1),"SI","NO")</f>
        <v>SI</v>
      </c>
      <c r="U618" s="59" t="str">
        <f>IF(OR(Hoja1!$K618=1,Hoja1!$L618=1,Hoja1!$M618=1,Hoja1!$N618=1,Hoja1!$O618=1,Hoja1!$P618=1),"SI","NO")</f>
        <v>SI</v>
      </c>
      <c r="V618" s="60">
        <v>0.0</v>
      </c>
      <c r="W618" s="61">
        <v>0.0</v>
      </c>
      <c r="X618" s="61">
        <v>0.0</v>
      </c>
      <c r="Y618" s="60">
        <v>0.0</v>
      </c>
      <c r="Z618" s="61">
        <v>0.0</v>
      </c>
      <c r="AA618" s="61">
        <v>0.0</v>
      </c>
      <c r="AB618" s="60">
        <v>0.0</v>
      </c>
      <c r="AC618" s="61">
        <v>0.0</v>
      </c>
      <c r="AD618" s="61">
        <v>0.0</v>
      </c>
      <c r="AE618" s="60">
        <v>0.0</v>
      </c>
      <c r="AF618" s="61">
        <v>0.0</v>
      </c>
      <c r="AG618" s="61">
        <v>0.0</v>
      </c>
      <c r="AH618" s="60">
        <v>0.0</v>
      </c>
      <c r="AI618" s="61">
        <v>0.0</v>
      </c>
      <c r="AJ618" s="61">
        <v>0.0</v>
      </c>
      <c r="AK618" s="60">
        <v>0.0</v>
      </c>
      <c r="AL618" s="61">
        <v>0.0</v>
      </c>
      <c r="AM618" s="61">
        <v>0.0</v>
      </c>
      <c r="AN618" s="60">
        <v>0.0</v>
      </c>
      <c r="AO618" s="62">
        <v>10.0</v>
      </c>
      <c r="AP618" s="62">
        <v>1.0</v>
      </c>
      <c r="AQ618" s="60">
        <v>11.0</v>
      </c>
      <c r="AR618" s="60" t="str">
        <f>IF(Hoja1!$AQ618&gt;0,Hoja1!$AQ618,IF(Hoja1!$AN618&gt;0,Hoja1!$AN618,IF(Hoja1!$AK618&gt;0,Hoja1!$AK618,IF(Hoja1!$AH618&gt;0,Hoja1!$AH618,IF(Hoja1!$AE618&gt;0,Hoja1!$AE618,IF(Hoja1!$AB618&gt;0,Hoja1!$AB618,IF(Hoja1!$Y618&gt;0,Hoja1!$Y618,IF(Hoja1!$V618&gt;0,Hoja1!$V618," ---"))))))))</f>
        <v>11</v>
      </c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>
        <v>45.0</v>
      </c>
      <c r="BD618" s="63">
        <v>0.0</v>
      </c>
      <c r="BE618" s="64"/>
      <c r="BF618" s="69"/>
      <c r="BG618" s="69"/>
      <c r="BH618" s="64"/>
      <c r="BI618" s="67" t="str">
        <f t="shared" si="281"/>
        <v>#REF!</v>
      </c>
      <c r="BJ618" s="68" t="str">
        <f t="shared" si="282"/>
        <v>#REF!</v>
      </c>
      <c r="BK618" s="69"/>
      <c r="BL618" s="69"/>
      <c r="BM618" s="64"/>
      <c r="BN618" s="67" t="str">
        <f t="shared" si="283"/>
        <v>#REF!</v>
      </c>
      <c r="BO618" s="68" t="str">
        <f t="shared" si="284"/>
        <v>#REF!</v>
      </c>
      <c r="BP618" s="65"/>
      <c r="BQ618" s="65"/>
      <c r="BR618" s="66"/>
      <c r="BS618" s="67" t="str">
        <f t="shared" si="285"/>
        <v>#REF!</v>
      </c>
      <c r="BT618" s="68" t="str">
        <f>'[1]DATA CONSOLIDADA 2018-2025 '!$BR618-Hoja1!$BO618</f>
        <v>#REF!</v>
      </c>
      <c r="BU618" s="69"/>
      <c r="BV618" s="65"/>
      <c r="BW618" s="66"/>
      <c r="BX618" s="67" t="str">
        <f t="shared" si="286"/>
        <v>#REF!</v>
      </c>
      <c r="BY618" s="68" t="str">
        <f t="shared" si="287"/>
        <v>#REF!</v>
      </c>
      <c r="BZ618" s="65"/>
      <c r="CA618" s="65"/>
      <c r="CB618" s="66"/>
      <c r="CC618" s="67" t="str">
        <f t="shared" si="288"/>
        <v>#REF!</v>
      </c>
      <c r="CD618" s="68" t="str">
        <f>'[1]DATA CONSOLIDADA 2018-2025 '!$CB618-Hoja1!$BW618</f>
        <v>#REF!</v>
      </c>
      <c r="CE618" s="70"/>
      <c r="CF618" s="70"/>
      <c r="CG618" s="71"/>
      <c r="CH618" s="67" t="str">
        <f t="shared" si="289"/>
        <v>#REF!</v>
      </c>
      <c r="CI618" s="68" t="str">
        <f>'[1]DATA CONSOLIDADA 2018-2025 '!$CG618-Hoja1!$CB618</f>
        <v>#REF!</v>
      </c>
      <c r="CJ618" s="64" t="str">
        <f t="shared" si="271"/>
        <v>#REF!</v>
      </c>
      <c r="CK618" s="64">
        <v>49046.8</v>
      </c>
      <c r="CL618" s="64">
        <v>0.0</v>
      </c>
      <c r="CM618" s="64">
        <v>49046.8</v>
      </c>
      <c r="CN618" s="64" t="str">
        <f t="shared" si="12"/>
        <v>#REF!</v>
      </c>
      <c r="CO618" s="68" t="str">
        <f>'[1]DATA CONSOLIDADA 2018-2025 '!$CM618-Hoja1!$CG618</f>
        <v>#REF!</v>
      </c>
      <c r="CP618" s="70"/>
      <c r="CQ618" s="70"/>
      <c r="CR618" s="70"/>
      <c r="CS618" s="70"/>
      <c r="CT618" s="70"/>
      <c r="CU618" s="70"/>
      <c r="CV618" s="64"/>
      <c r="CW618" s="64"/>
      <c r="CX618" s="64"/>
      <c r="CY618" s="64"/>
      <c r="CZ618" s="64"/>
      <c r="DA618" s="64"/>
      <c r="DB618" s="64"/>
      <c r="DC618" s="72">
        <v>9818.8</v>
      </c>
      <c r="DD618" s="72">
        <v>0.0</v>
      </c>
      <c r="DE618" s="72">
        <v>39228.0</v>
      </c>
      <c r="DF618" s="72">
        <v>0.0</v>
      </c>
      <c r="DG618" s="72">
        <v>0.0</v>
      </c>
      <c r="DH618" s="72">
        <v>49046.8</v>
      </c>
      <c r="DI618" s="73">
        <v>2.0608952315E10</v>
      </c>
      <c r="DJ618" s="74" t="s">
        <v>1869</v>
      </c>
      <c r="DK618" s="74" t="s">
        <v>306</v>
      </c>
      <c r="DL618" s="75"/>
      <c r="DM618" s="75"/>
      <c r="DN618" s="75"/>
      <c r="DO618" s="75"/>
      <c r="DP618" s="75"/>
      <c r="DQ618" s="75"/>
      <c r="DR618" s="75"/>
      <c r="DS618" s="75"/>
      <c r="DT618" s="75"/>
      <c r="DU618" s="75"/>
      <c r="DV618" s="75"/>
      <c r="DW618" s="75"/>
      <c r="DX618" s="75"/>
      <c r="DY618" s="75"/>
      <c r="DZ618" s="75"/>
      <c r="EA618" s="75"/>
      <c r="EB618" s="75"/>
      <c r="EC618" s="75"/>
      <c r="ED618" s="75"/>
      <c r="EE618" s="75"/>
    </row>
    <row r="619" ht="47.25" hidden="1" customHeight="1">
      <c r="A619" s="55" t="s">
        <v>1870</v>
      </c>
      <c r="B619" s="55" t="s">
        <v>530</v>
      </c>
      <c r="C619" s="55" t="s">
        <v>530</v>
      </c>
      <c r="D619" s="55" t="s">
        <v>1117</v>
      </c>
      <c r="E619" s="55"/>
      <c r="F619" s="55" t="s">
        <v>1117</v>
      </c>
      <c r="G619" s="55" t="s">
        <v>1117</v>
      </c>
      <c r="H619" s="55" t="s">
        <v>1857</v>
      </c>
      <c r="I619" s="56"/>
      <c r="J619" s="56"/>
      <c r="K619" s="56"/>
      <c r="L619" s="56"/>
      <c r="M619" s="56"/>
      <c r="N619" s="56"/>
      <c r="O619" s="56"/>
      <c r="P619" s="56">
        <v>1.0</v>
      </c>
      <c r="Q619" s="56" t="s">
        <v>131</v>
      </c>
      <c r="R619" s="58" t="str">
        <f t="shared" si="1"/>
        <v>2025</v>
      </c>
      <c r="S619" s="59" t="str">
        <f>SUM(Hoja1!$I619:$P619)</f>
        <v>1</v>
      </c>
      <c r="T619" s="59" t="str">
        <f>IF(OR(Hoja1!$J619=1,Hoja1!$K619=1,Hoja1!$L619=1,Hoja1!$M619=1,Hoja1!$N619=1,Hoja1!$O619=1,Hoja1!$P619=1),"SI","NO")</f>
        <v>SI</v>
      </c>
      <c r="U619" s="59" t="str">
        <f>IF(OR(Hoja1!$K619=1,Hoja1!$L619=1,Hoja1!$M619=1,Hoja1!$N619=1,Hoja1!$O619=1,Hoja1!$P619=1),"SI","NO")</f>
        <v>SI</v>
      </c>
      <c r="V619" s="60">
        <v>0.0</v>
      </c>
      <c r="W619" s="61">
        <v>0.0</v>
      </c>
      <c r="X619" s="61">
        <v>0.0</v>
      </c>
      <c r="Y619" s="60">
        <v>0.0</v>
      </c>
      <c r="Z619" s="61">
        <v>0.0</v>
      </c>
      <c r="AA619" s="61">
        <v>0.0</v>
      </c>
      <c r="AB619" s="60">
        <v>0.0</v>
      </c>
      <c r="AC619" s="61">
        <v>0.0</v>
      </c>
      <c r="AD619" s="61">
        <v>0.0</v>
      </c>
      <c r="AE619" s="60">
        <v>0.0</v>
      </c>
      <c r="AF619" s="61">
        <v>0.0</v>
      </c>
      <c r="AG619" s="61">
        <v>0.0</v>
      </c>
      <c r="AH619" s="60">
        <v>0.0</v>
      </c>
      <c r="AI619" s="61">
        <v>0.0</v>
      </c>
      <c r="AJ619" s="61">
        <v>0.0</v>
      </c>
      <c r="AK619" s="60">
        <v>0.0</v>
      </c>
      <c r="AL619" s="61">
        <v>0.0</v>
      </c>
      <c r="AM619" s="61">
        <v>0.0</v>
      </c>
      <c r="AN619" s="60">
        <v>0.0</v>
      </c>
      <c r="AO619" s="62">
        <v>12.0</v>
      </c>
      <c r="AP619" s="62">
        <v>17.0</v>
      </c>
      <c r="AQ619" s="60">
        <v>29.0</v>
      </c>
      <c r="AR619" s="60" t="str">
        <f>IF(Hoja1!$AQ619&gt;0,Hoja1!$AQ619,IF(Hoja1!$AN619&gt;0,Hoja1!$AN619,IF(Hoja1!$AK619&gt;0,Hoja1!$AK619,IF(Hoja1!$AH619&gt;0,Hoja1!$AH619,IF(Hoja1!$AE619&gt;0,Hoja1!$AE619,IF(Hoja1!$AB619&gt;0,Hoja1!$AB619,IF(Hoja1!$Y619&gt;0,Hoja1!$Y619,IF(Hoja1!$V619&gt;0,Hoja1!$V619," ---"))))))))</f>
        <v>29</v>
      </c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>
        <v>16.0</v>
      </c>
      <c r="BD619" s="63">
        <v>3.0</v>
      </c>
      <c r="BE619" s="64"/>
      <c r="BF619" s="69"/>
      <c r="BG619" s="69"/>
      <c r="BH619" s="64"/>
      <c r="BI619" s="67" t="str">
        <f t="shared" si="281"/>
        <v>#REF!</v>
      </c>
      <c r="BJ619" s="68" t="str">
        <f t="shared" si="282"/>
        <v>#REF!</v>
      </c>
      <c r="BK619" s="69"/>
      <c r="BL619" s="69"/>
      <c r="BM619" s="64"/>
      <c r="BN619" s="67" t="str">
        <f t="shared" si="283"/>
        <v>#REF!</v>
      </c>
      <c r="BO619" s="68" t="str">
        <f t="shared" si="284"/>
        <v>#REF!</v>
      </c>
      <c r="BP619" s="65"/>
      <c r="BQ619" s="65"/>
      <c r="BR619" s="66"/>
      <c r="BS619" s="67" t="str">
        <f t="shared" si="285"/>
        <v>#REF!</v>
      </c>
      <c r="BT619" s="68" t="str">
        <f>'[1]DATA CONSOLIDADA 2018-2025 '!$BR619-Hoja1!$BO619</f>
        <v>#REF!</v>
      </c>
      <c r="BU619" s="69"/>
      <c r="BV619" s="65"/>
      <c r="BW619" s="66"/>
      <c r="BX619" s="67" t="str">
        <f t="shared" si="286"/>
        <v>#REF!</v>
      </c>
      <c r="BY619" s="68" t="str">
        <f t="shared" si="287"/>
        <v>#REF!</v>
      </c>
      <c r="BZ619" s="65"/>
      <c r="CA619" s="65"/>
      <c r="CB619" s="66"/>
      <c r="CC619" s="67" t="str">
        <f t="shared" si="288"/>
        <v>#REF!</v>
      </c>
      <c r="CD619" s="68" t="str">
        <f>'[1]DATA CONSOLIDADA 2018-2025 '!$CB619-Hoja1!$BW619</f>
        <v>#REF!</v>
      </c>
      <c r="CE619" s="70"/>
      <c r="CF619" s="70"/>
      <c r="CG619" s="71"/>
      <c r="CH619" s="67" t="str">
        <f t="shared" si="289"/>
        <v>#REF!</v>
      </c>
      <c r="CI619" s="68" t="str">
        <f>'[1]DATA CONSOLIDADA 2018-2025 '!$CG619-Hoja1!$CB619</f>
        <v>#REF!</v>
      </c>
      <c r="CJ619" s="64" t="str">
        <f t="shared" si="271"/>
        <v>#REF!</v>
      </c>
      <c r="CK619" s="64">
        <v>322748.898083</v>
      </c>
      <c r="CL619" s="64">
        <v>0.0</v>
      </c>
      <c r="CM619" s="64">
        <v>322748.898083</v>
      </c>
      <c r="CN619" s="64" t="str">
        <f t="shared" si="12"/>
        <v>#REF!</v>
      </c>
      <c r="CO619" s="68" t="str">
        <f>'[1]DATA CONSOLIDADA 2018-2025 '!$CM619-Hoja1!$CG619</f>
        <v>#REF!</v>
      </c>
      <c r="CP619" s="70"/>
      <c r="CQ619" s="70"/>
      <c r="CR619" s="70"/>
      <c r="CS619" s="70"/>
      <c r="CT619" s="70"/>
      <c r="CU619" s="70"/>
      <c r="CV619" s="64"/>
      <c r="CW619" s="64"/>
      <c r="CX619" s="64"/>
      <c r="CY619" s="64"/>
      <c r="CZ619" s="64"/>
      <c r="DA619" s="64"/>
      <c r="DB619" s="64"/>
      <c r="DC619" s="72">
        <v>0.0</v>
      </c>
      <c r="DD619" s="72">
        <v>322748.898083</v>
      </c>
      <c r="DE619" s="72">
        <v>0.0</v>
      </c>
      <c r="DF619" s="72">
        <v>0.0</v>
      </c>
      <c r="DG619" s="72">
        <v>0.0</v>
      </c>
      <c r="DH619" s="72">
        <v>322748.898083</v>
      </c>
      <c r="DI619" s="73">
        <v>2.0612976857E10</v>
      </c>
      <c r="DJ619" s="74" t="s">
        <v>1870</v>
      </c>
      <c r="DK619" s="74" t="s">
        <v>132</v>
      </c>
      <c r="DL619" s="75"/>
      <c r="DM619" s="75"/>
      <c r="DN619" s="75"/>
      <c r="DO619" s="75"/>
      <c r="DP619" s="75"/>
      <c r="DQ619" s="75"/>
      <c r="DR619" s="75"/>
      <c r="DS619" s="75"/>
      <c r="DT619" s="75"/>
      <c r="DU619" s="75"/>
      <c r="DV619" s="75"/>
      <c r="DW619" s="75"/>
      <c r="DX619" s="75"/>
      <c r="DY619" s="75"/>
      <c r="DZ619" s="75"/>
      <c r="EA619" s="75"/>
      <c r="EB619" s="75"/>
      <c r="EC619" s="75"/>
      <c r="ED619" s="75"/>
      <c r="EE619" s="75"/>
    </row>
    <row r="620" ht="47.25" hidden="1" customHeight="1">
      <c r="A620" s="84" t="s">
        <v>1871</v>
      </c>
      <c r="B620" s="84" t="s">
        <v>1647</v>
      </c>
      <c r="C620" s="55" t="s">
        <v>1647</v>
      </c>
      <c r="D620" s="84" t="s">
        <v>408</v>
      </c>
      <c r="E620" s="84" t="s">
        <v>1872</v>
      </c>
      <c r="F620" s="84" t="s">
        <v>408</v>
      </c>
      <c r="G620" s="84" t="s">
        <v>376</v>
      </c>
      <c r="H620" s="84" t="s">
        <v>1873</v>
      </c>
      <c r="I620" s="85"/>
      <c r="J620" s="85"/>
      <c r="K620" s="85"/>
      <c r="L620" s="85"/>
      <c r="M620" s="85"/>
      <c r="N620" s="85"/>
      <c r="O620" s="85"/>
      <c r="P620" s="56">
        <v>1.0</v>
      </c>
      <c r="Q620" s="56" t="s">
        <v>131</v>
      </c>
      <c r="R620" s="86" t="str">
        <f t="shared" si="1"/>
        <v>2025</v>
      </c>
      <c r="S620" s="87" t="str">
        <f>SUM(Hoja1!$I620:$P620)</f>
        <v>1</v>
      </c>
      <c r="T620" s="87" t="str">
        <f>IF(OR(Hoja1!$J620=1,Hoja1!$K620=1,Hoja1!$L620=1,Hoja1!$M620=1,Hoja1!$N620=1,Hoja1!$O620=1,Hoja1!$P620=1),"SI","NO")</f>
        <v>SI</v>
      </c>
      <c r="U620" s="59" t="str">
        <f>IF(OR(Hoja1!$K620=1,Hoja1!$L620=1,Hoja1!$M620=1,Hoja1!$N620=1,Hoja1!$O620=1,Hoja1!$P620=1),"SI","NO")</f>
        <v>SI</v>
      </c>
      <c r="V620" s="88">
        <v>0.0</v>
      </c>
      <c r="W620" s="89">
        <v>0.0</v>
      </c>
      <c r="X620" s="89">
        <v>0.0</v>
      </c>
      <c r="Y620" s="88">
        <v>0.0</v>
      </c>
      <c r="Z620" s="89">
        <v>0.0</v>
      </c>
      <c r="AA620" s="89">
        <v>0.0</v>
      </c>
      <c r="AB620" s="88">
        <v>0.0</v>
      </c>
      <c r="AC620" s="89">
        <v>0.0</v>
      </c>
      <c r="AD620" s="89">
        <v>0.0</v>
      </c>
      <c r="AE620" s="88">
        <v>0.0</v>
      </c>
      <c r="AF620" s="89">
        <v>0.0</v>
      </c>
      <c r="AG620" s="89">
        <v>0.0</v>
      </c>
      <c r="AH620" s="88">
        <v>0.0</v>
      </c>
      <c r="AI620" s="89">
        <v>0.0</v>
      </c>
      <c r="AJ620" s="89">
        <v>0.0</v>
      </c>
      <c r="AK620" s="88">
        <v>0.0</v>
      </c>
      <c r="AL620" s="89">
        <v>0.0</v>
      </c>
      <c r="AM620" s="89">
        <v>0.0</v>
      </c>
      <c r="AN620" s="88">
        <v>0.0</v>
      </c>
      <c r="AO620" s="62">
        <v>6.0</v>
      </c>
      <c r="AP620" s="62">
        <v>9.0</v>
      </c>
      <c r="AQ620" s="60">
        <v>15.0</v>
      </c>
      <c r="AR620" s="88" t="str">
        <f>IF(Hoja1!$AQ620&gt;0,Hoja1!$AQ620,IF(Hoja1!$AN620&gt;0,Hoja1!$AN620,IF(Hoja1!$AK620&gt;0,Hoja1!$AK620,IF(Hoja1!$AH620&gt;0,Hoja1!$AH620,IF(Hoja1!$AE620&gt;0,Hoja1!$AE620,IF(Hoja1!$AB620&gt;0,Hoja1!$AB620,IF(Hoja1!$Y620&gt;0,Hoja1!$Y620,IF(Hoja1!$V620&gt;0,Hoja1!$V620," ---"))))))))</f>
        <v>15</v>
      </c>
      <c r="AS620" s="90"/>
      <c r="AT620" s="90"/>
      <c r="AU620" s="90"/>
      <c r="AV620" s="90"/>
      <c r="AW620" s="90"/>
      <c r="AX620" s="90"/>
      <c r="AY620" s="90"/>
      <c r="AZ620" s="90"/>
      <c r="BA620" s="90"/>
      <c r="BB620" s="90"/>
      <c r="BC620" s="63">
        <v>5.0</v>
      </c>
      <c r="BD620" s="63">
        <v>0.0</v>
      </c>
      <c r="BE620" s="91"/>
      <c r="BF620" s="92"/>
      <c r="BG620" s="92"/>
      <c r="BH620" s="91"/>
      <c r="BI620" s="93" t="str">
        <f t="shared" si="281"/>
        <v>#REF!</v>
      </c>
      <c r="BJ620" s="94" t="str">
        <f t="shared" si="282"/>
        <v>#REF!</v>
      </c>
      <c r="BK620" s="92"/>
      <c r="BL620" s="92"/>
      <c r="BM620" s="91"/>
      <c r="BN620" s="93" t="str">
        <f t="shared" si="283"/>
        <v>#REF!</v>
      </c>
      <c r="BO620" s="94" t="str">
        <f t="shared" si="284"/>
        <v>#REF!</v>
      </c>
      <c r="BP620" s="95"/>
      <c r="BQ620" s="95"/>
      <c r="BR620" s="96"/>
      <c r="BS620" s="93" t="str">
        <f t="shared" si="285"/>
        <v>#REF!</v>
      </c>
      <c r="BT620" s="68" t="str">
        <f>'[1]DATA CONSOLIDADA 2018-2025 '!$BR620-Hoja1!$BO620</f>
        <v>#REF!</v>
      </c>
      <c r="BU620" s="92"/>
      <c r="BV620" s="95"/>
      <c r="BW620" s="96"/>
      <c r="BX620" s="93" t="str">
        <f t="shared" si="286"/>
        <v>#REF!</v>
      </c>
      <c r="BY620" s="94" t="str">
        <f t="shared" si="287"/>
        <v>#REF!</v>
      </c>
      <c r="BZ620" s="95"/>
      <c r="CA620" s="95"/>
      <c r="CB620" s="96"/>
      <c r="CC620" s="93" t="str">
        <f t="shared" si="288"/>
        <v>#REF!</v>
      </c>
      <c r="CD620" s="68" t="str">
        <f>'[1]DATA CONSOLIDADA 2018-2025 '!$CB620-Hoja1!$BW620</f>
        <v>#REF!</v>
      </c>
      <c r="CE620" s="97"/>
      <c r="CF620" s="97"/>
      <c r="CG620" s="98"/>
      <c r="CH620" s="93" t="str">
        <f t="shared" si="289"/>
        <v>#REF!</v>
      </c>
      <c r="CI620" s="68" t="str">
        <f>'[1]DATA CONSOLIDADA 2018-2025 '!$CG620-Hoja1!$CB620</f>
        <v>#REF!</v>
      </c>
      <c r="CJ620" s="64" t="str">
        <f t="shared" si="271"/>
        <v>#REF!</v>
      </c>
      <c r="CK620" s="64">
        <v>10270.0</v>
      </c>
      <c r="CL620" s="64">
        <v>0.0</v>
      </c>
      <c r="CM620" s="64">
        <v>10270.0</v>
      </c>
      <c r="CN620" s="64" t="str">
        <f t="shared" si="12"/>
        <v>#REF!</v>
      </c>
      <c r="CO620" s="68" t="str">
        <f>'[1]DATA CONSOLIDADA 2018-2025 '!$CM620-Hoja1!$CG620</f>
        <v>#REF!</v>
      </c>
      <c r="CP620" s="97"/>
      <c r="CQ620" s="97"/>
      <c r="CR620" s="97"/>
      <c r="CS620" s="97"/>
      <c r="CT620" s="97"/>
      <c r="CU620" s="97"/>
      <c r="CV620" s="91"/>
      <c r="CW620" s="91"/>
      <c r="CX620" s="91"/>
      <c r="CY620" s="91"/>
      <c r="CZ620" s="91"/>
      <c r="DA620" s="91"/>
      <c r="DB620" s="91"/>
      <c r="DC620" s="72">
        <v>0.0</v>
      </c>
      <c r="DD620" s="72">
        <v>10270.0</v>
      </c>
      <c r="DE620" s="72">
        <v>0.0</v>
      </c>
      <c r="DF620" s="72">
        <v>0.0</v>
      </c>
      <c r="DG620" s="72">
        <v>0.0</v>
      </c>
      <c r="DH620" s="72">
        <v>10270.0</v>
      </c>
      <c r="DI620" s="73" t="s">
        <v>1874</v>
      </c>
      <c r="DJ620" s="74" t="s">
        <v>1874</v>
      </c>
      <c r="DK620" s="74" t="s">
        <v>138</v>
      </c>
      <c r="DL620" s="75"/>
      <c r="DM620" s="75"/>
      <c r="DN620" s="75"/>
      <c r="DO620" s="75"/>
      <c r="DP620" s="75"/>
      <c r="DQ620" s="75"/>
      <c r="DR620" s="75"/>
      <c r="DS620" s="75"/>
      <c r="DT620" s="75"/>
      <c r="DU620" s="75"/>
      <c r="DV620" s="75"/>
      <c r="DW620" s="75"/>
      <c r="DX620" s="75"/>
      <c r="DY620" s="75"/>
      <c r="DZ620" s="75"/>
      <c r="EA620" s="75"/>
      <c r="EB620" s="75"/>
      <c r="EC620" s="75"/>
      <c r="ED620" s="75"/>
      <c r="EE620" s="75"/>
    </row>
    <row r="621" ht="47.25" hidden="1" customHeight="1">
      <c r="A621" s="84" t="s">
        <v>1875</v>
      </c>
      <c r="B621" s="84" t="s">
        <v>1647</v>
      </c>
      <c r="C621" s="55" t="s">
        <v>1647</v>
      </c>
      <c r="D621" s="84" t="s">
        <v>408</v>
      </c>
      <c r="E621" s="84" t="s">
        <v>1876</v>
      </c>
      <c r="F621" s="84" t="s">
        <v>408</v>
      </c>
      <c r="G621" s="84" t="s">
        <v>447</v>
      </c>
      <c r="H621" s="84" t="s">
        <v>1877</v>
      </c>
      <c r="I621" s="85"/>
      <c r="J621" s="85"/>
      <c r="K621" s="85"/>
      <c r="L621" s="85"/>
      <c r="M621" s="85"/>
      <c r="N621" s="85"/>
      <c r="O621" s="85"/>
      <c r="P621" s="56">
        <v>1.0</v>
      </c>
      <c r="Q621" s="56" t="s">
        <v>131</v>
      </c>
      <c r="R621" s="86" t="str">
        <f t="shared" si="1"/>
        <v>2025</v>
      </c>
      <c r="S621" s="87" t="str">
        <f>SUM(Hoja1!$I621:$P621)</f>
        <v>1</v>
      </c>
      <c r="T621" s="87" t="str">
        <f>IF(OR(Hoja1!$J621=1,Hoja1!$K621=1,Hoja1!$L621=1,Hoja1!$M621=1,Hoja1!$N621=1,Hoja1!$O621=1,Hoja1!$P621=1),"SI","NO")</f>
        <v>SI</v>
      </c>
      <c r="U621" s="59" t="str">
        <f>IF(OR(Hoja1!$K621=1,Hoja1!$L621=1,Hoja1!$M621=1,Hoja1!$N621=1,Hoja1!$O621=1,Hoja1!$P621=1),"SI","NO")</f>
        <v>SI</v>
      </c>
      <c r="V621" s="88">
        <v>0.0</v>
      </c>
      <c r="W621" s="89">
        <v>0.0</v>
      </c>
      <c r="X621" s="89">
        <v>0.0</v>
      </c>
      <c r="Y621" s="88">
        <v>0.0</v>
      </c>
      <c r="Z621" s="89">
        <v>0.0</v>
      </c>
      <c r="AA621" s="89">
        <v>0.0</v>
      </c>
      <c r="AB621" s="88">
        <v>0.0</v>
      </c>
      <c r="AC621" s="89">
        <v>0.0</v>
      </c>
      <c r="AD621" s="89">
        <v>0.0</v>
      </c>
      <c r="AE621" s="88">
        <v>0.0</v>
      </c>
      <c r="AF621" s="89">
        <v>0.0</v>
      </c>
      <c r="AG621" s="89">
        <v>0.0</v>
      </c>
      <c r="AH621" s="88">
        <v>0.0</v>
      </c>
      <c r="AI621" s="89">
        <v>0.0</v>
      </c>
      <c r="AJ621" s="89">
        <v>0.0</v>
      </c>
      <c r="AK621" s="88">
        <v>0.0</v>
      </c>
      <c r="AL621" s="89">
        <v>0.0</v>
      </c>
      <c r="AM621" s="89">
        <v>0.0</v>
      </c>
      <c r="AN621" s="88">
        <v>0.0</v>
      </c>
      <c r="AO621" s="62">
        <v>18.0</v>
      </c>
      <c r="AP621" s="62">
        <v>12.0</v>
      </c>
      <c r="AQ621" s="60">
        <v>30.0</v>
      </c>
      <c r="AR621" s="88" t="str">
        <f>IF(Hoja1!$AQ621&gt;0,Hoja1!$AQ621,IF(Hoja1!$AN621&gt;0,Hoja1!$AN621,IF(Hoja1!$AK621&gt;0,Hoja1!$AK621,IF(Hoja1!$AH621&gt;0,Hoja1!$AH621,IF(Hoja1!$AE621&gt;0,Hoja1!$AE621,IF(Hoja1!$AB621&gt;0,Hoja1!$AB621,IF(Hoja1!$Y621&gt;0,Hoja1!$Y621,IF(Hoja1!$V621&gt;0,Hoja1!$V621," ---"))))))))</f>
        <v>30</v>
      </c>
      <c r="AS621" s="90"/>
      <c r="AT621" s="90"/>
      <c r="AU621" s="90"/>
      <c r="AV621" s="90"/>
      <c r="AW621" s="90"/>
      <c r="AX621" s="90"/>
      <c r="AY621" s="90"/>
      <c r="AZ621" s="90"/>
      <c r="BA621" s="90"/>
      <c r="BB621" s="90"/>
      <c r="BC621" s="63">
        <v>5.0</v>
      </c>
      <c r="BD621" s="63">
        <v>0.0</v>
      </c>
      <c r="BE621" s="91"/>
      <c r="BF621" s="92"/>
      <c r="BG621" s="92"/>
      <c r="BH621" s="91"/>
      <c r="BI621" s="93" t="str">
        <f t="shared" si="281"/>
        <v>#REF!</v>
      </c>
      <c r="BJ621" s="94" t="str">
        <f t="shared" si="282"/>
        <v>#REF!</v>
      </c>
      <c r="BK621" s="92"/>
      <c r="BL621" s="92"/>
      <c r="BM621" s="91"/>
      <c r="BN621" s="93" t="str">
        <f t="shared" si="283"/>
        <v>#REF!</v>
      </c>
      <c r="BO621" s="94" t="str">
        <f t="shared" si="284"/>
        <v>#REF!</v>
      </c>
      <c r="BP621" s="95"/>
      <c r="BQ621" s="95"/>
      <c r="BR621" s="96"/>
      <c r="BS621" s="93" t="str">
        <f t="shared" si="285"/>
        <v>#REF!</v>
      </c>
      <c r="BT621" s="68" t="str">
        <f>'[1]DATA CONSOLIDADA 2018-2025 '!$BR621-Hoja1!$BO621</f>
        <v>#REF!</v>
      </c>
      <c r="BU621" s="92"/>
      <c r="BV621" s="95"/>
      <c r="BW621" s="96"/>
      <c r="BX621" s="93" t="str">
        <f t="shared" si="286"/>
        <v>#REF!</v>
      </c>
      <c r="BY621" s="94" t="str">
        <f t="shared" si="287"/>
        <v>#REF!</v>
      </c>
      <c r="BZ621" s="95"/>
      <c r="CA621" s="95"/>
      <c r="CB621" s="96"/>
      <c r="CC621" s="93" t="str">
        <f t="shared" si="288"/>
        <v>#REF!</v>
      </c>
      <c r="CD621" s="68" t="str">
        <f>'[1]DATA CONSOLIDADA 2018-2025 '!$CB621-Hoja1!$BW621</f>
        <v>#REF!</v>
      </c>
      <c r="CE621" s="97"/>
      <c r="CF621" s="97"/>
      <c r="CG621" s="98"/>
      <c r="CH621" s="93" t="str">
        <f t="shared" si="289"/>
        <v>#REF!</v>
      </c>
      <c r="CI621" s="68" t="str">
        <f>'[1]DATA CONSOLIDADA 2018-2025 '!$CG621-Hoja1!$CB621</f>
        <v>#REF!</v>
      </c>
      <c r="CJ621" s="64" t="str">
        <f t="shared" si="271"/>
        <v>#REF!</v>
      </c>
      <c r="CK621" s="64">
        <v>158940.0</v>
      </c>
      <c r="CL621" s="64">
        <v>0.0</v>
      </c>
      <c r="CM621" s="64">
        <v>158940.0</v>
      </c>
      <c r="CN621" s="64" t="str">
        <f t="shared" si="12"/>
        <v>#REF!</v>
      </c>
      <c r="CO621" s="68" t="str">
        <f>'[1]DATA CONSOLIDADA 2018-2025 '!$CM621-Hoja1!$CG621</f>
        <v>#REF!</v>
      </c>
      <c r="CP621" s="97"/>
      <c r="CQ621" s="97"/>
      <c r="CR621" s="97"/>
      <c r="CS621" s="97"/>
      <c r="CT621" s="97"/>
      <c r="CU621" s="97"/>
      <c r="CV621" s="91"/>
      <c r="CW621" s="91"/>
      <c r="CX621" s="91"/>
      <c r="CY621" s="91"/>
      <c r="CZ621" s="91"/>
      <c r="DA621" s="91"/>
      <c r="DB621" s="91"/>
      <c r="DC621" s="72">
        <v>0.0</v>
      </c>
      <c r="DD621" s="72">
        <v>158940.0</v>
      </c>
      <c r="DE621" s="72">
        <v>0.0</v>
      </c>
      <c r="DF621" s="72">
        <v>0.0</v>
      </c>
      <c r="DG621" s="72">
        <v>0.0</v>
      </c>
      <c r="DH621" s="72">
        <v>158940.0</v>
      </c>
      <c r="DI621" s="73" t="s">
        <v>1874</v>
      </c>
      <c r="DJ621" s="74" t="s">
        <v>1874</v>
      </c>
      <c r="DK621" s="74" t="s">
        <v>138</v>
      </c>
      <c r="DL621" s="75"/>
      <c r="DM621" s="75"/>
      <c r="DN621" s="75"/>
      <c r="DO621" s="75"/>
      <c r="DP621" s="75"/>
      <c r="DQ621" s="75"/>
      <c r="DR621" s="75"/>
      <c r="DS621" s="75"/>
      <c r="DT621" s="75"/>
      <c r="DU621" s="75"/>
      <c r="DV621" s="75"/>
      <c r="DW621" s="75"/>
      <c r="DX621" s="75"/>
      <c r="DY621" s="75"/>
      <c r="DZ621" s="75"/>
      <c r="EA621" s="75"/>
      <c r="EB621" s="75"/>
      <c r="EC621" s="75"/>
      <c r="ED621" s="75"/>
      <c r="EE621" s="75"/>
    </row>
    <row r="622" ht="47.25" hidden="1" customHeight="1">
      <c r="A622" s="84" t="s">
        <v>1878</v>
      </c>
      <c r="B622" s="84" t="s">
        <v>287</v>
      </c>
      <c r="C622" s="55" t="s">
        <v>1665</v>
      </c>
      <c r="D622" s="84" t="s">
        <v>563</v>
      </c>
      <c r="E622" s="84" t="s">
        <v>1879</v>
      </c>
      <c r="F622" s="84" t="s">
        <v>563</v>
      </c>
      <c r="G622" s="84" t="s">
        <v>567</v>
      </c>
      <c r="H622" s="84" t="s">
        <v>1880</v>
      </c>
      <c r="I622" s="85"/>
      <c r="J622" s="85"/>
      <c r="K622" s="85"/>
      <c r="L622" s="85"/>
      <c r="M622" s="85"/>
      <c r="N622" s="85"/>
      <c r="O622" s="85"/>
      <c r="P622" s="56">
        <v>1.0</v>
      </c>
      <c r="Q622" s="56" t="s">
        <v>131</v>
      </c>
      <c r="R622" s="86" t="str">
        <f t="shared" si="1"/>
        <v>2025</v>
      </c>
      <c r="S622" s="87" t="str">
        <f>SUM(Hoja1!$I622:$P622)</f>
        <v>1</v>
      </c>
      <c r="T622" s="87" t="str">
        <f>IF(OR(Hoja1!$J622=1,Hoja1!$K622=1,Hoja1!$L622=1,Hoja1!$M622=1,Hoja1!$N622=1,Hoja1!$O622=1,Hoja1!$P622=1),"SI","NO")</f>
        <v>SI</v>
      </c>
      <c r="U622" s="59" t="str">
        <f>IF(OR(Hoja1!$K622=1,Hoja1!$L622=1,Hoja1!$M622=1,Hoja1!$N622=1,Hoja1!$O622=1,Hoja1!$P622=1),"SI","NO")</f>
        <v>SI</v>
      </c>
      <c r="V622" s="88">
        <v>0.0</v>
      </c>
      <c r="W622" s="89">
        <v>0.0</v>
      </c>
      <c r="X622" s="89">
        <v>0.0</v>
      </c>
      <c r="Y622" s="88">
        <v>0.0</v>
      </c>
      <c r="Z622" s="89">
        <v>0.0</v>
      </c>
      <c r="AA622" s="89">
        <v>0.0</v>
      </c>
      <c r="AB622" s="88">
        <v>0.0</v>
      </c>
      <c r="AC622" s="89">
        <v>0.0</v>
      </c>
      <c r="AD622" s="89">
        <v>0.0</v>
      </c>
      <c r="AE622" s="88">
        <v>0.0</v>
      </c>
      <c r="AF622" s="89">
        <v>0.0</v>
      </c>
      <c r="AG622" s="89">
        <v>0.0</v>
      </c>
      <c r="AH622" s="88">
        <v>0.0</v>
      </c>
      <c r="AI622" s="89">
        <v>0.0</v>
      </c>
      <c r="AJ622" s="89">
        <v>0.0</v>
      </c>
      <c r="AK622" s="88">
        <v>0.0</v>
      </c>
      <c r="AL622" s="89">
        <v>0.0</v>
      </c>
      <c r="AM622" s="89">
        <v>0.0</v>
      </c>
      <c r="AN622" s="88">
        <v>0.0</v>
      </c>
      <c r="AO622" s="62">
        <v>2.0</v>
      </c>
      <c r="AP622" s="62">
        <v>8.0</v>
      </c>
      <c r="AQ622" s="60">
        <v>10.0</v>
      </c>
      <c r="AR622" s="88" t="str">
        <f>IF(Hoja1!$AQ622&gt;0,Hoja1!$AQ622,IF(Hoja1!$AN622&gt;0,Hoja1!$AN622,IF(Hoja1!$AK622&gt;0,Hoja1!$AK622,IF(Hoja1!$AH622&gt;0,Hoja1!$AH622,IF(Hoja1!$AE622&gt;0,Hoja1!$AE622,IF(Hoja1!$AB622&gt;0,Hoja1!$AB622,IF(Hoja1!$Y622&gt;0,Hoja1!$Y622,IF(Hoja1!$V622&gt;0,Hoja1!$V622," ---"))))))))</f>
        <v>10</v>
      </c>
      <c r="AS622" s="90"/>
      <c r="AT622" s="90"/>
      <c r="AU622" s="90"/>
      <c r="AV622" s="90"/>
      <c r="AW622" s="90"/>
      <c r="AX622" s="90"/>
      <c r="AY622" s="90"/>
      <c r="AZ622" s="90"/>
      <c r="BA622" s="90"/>
      <c r="BB622" s="90"/>
      <c r="BC622" s="63">
        <v>12.0</v>
      </c>
      <c r="BD622" s="63">
        <v>2.0</v>
      </c>
      <c r="BE622" s="91"/>
      <c r="BF622" s="92"/>
      <c r="BG622" s="92"/>
      <c r="BH622" s="91"/>
      <c r="BI622" s="93" t="str">
        <f t="shared" si="281"/>
        <v>#REF!</v>
      </c>
      <c r="BJ622" s="94" t="str">
        <f t="shared" si="282"/>
        <v>#REF!</v>
      </c>
      <c r="BK622" s="92"/>
      <c r="BL622" s="92"/>
      <c r="BM622" s="91"/>
      <c r="BN622" s="93" t="str">
        <f t="shared" si="283"/>
        <v>#REF!</v>
      </c>
      <c r="BO622" s="94" t="str">
        <f t="shared" si="284"/>
        <v>#REF!</v>
      </c>
      <c r="BP622" s="95"/>
      <c r="BQ622" s="95"/>
      <c r="BR622" s="96"/>
      <c r="BS622" s="93" t="str">
        <f t="shared" si="285"/>
        <v>#REF!</v>
      </c>
      <c r="BT622" s="68" t="str">
        <f>'[1]DATA CONSOLIDADA 2018-2025 '!$BR622-Hoja1!$BO622</f>
        <v>#REF!</v>
      </c>
      <c r="BU622" s="92"/>
      <c r="BV622" s="95"/>
      <c r="BW622" s="96"/>
      <c r="BX622" s="93" t="str">
        <f t="shared" si="286"/>
        <v>#REF!</v>
      </c>
      <c r="BY622" s="94" t="str">
        <f t="shared" si="287"/>
        <v>#REF!</v>
      </c>
      <c r="BZ622" s="95"/>
      <c r="CA622" s="95"/>
      <c r="CB622" s="96"/>
      <c r="CC622" s="93" t="str">
        <f t="shared" si="288"/>
        <v>#REF!</v>
      </c>
      <c r="CD622" s="68" t="str">
        <f>'[1]DATA CONSOLIDADA 2018-2025 '!$CB622-Hoja1!$BW622</f>
        <v>#REF!</v>
      </c>
      <c r="CE622" s="97"/>
      <c r="CF622" s="97"/>
      <c r="CG622" s="98"/>
      <c r="CH622" s="93" t="str">
        <f t="shared" si="289"/>
        <v>#REF!</v>
      </c>
      <c r="CI622" s="68" t="str">
        <f>'[1]DATA CONSOLIDADA 2018-2025 '!$CG622-Hoja1!$CB622</f>
        <v>#REF!</v>
      </c>
      <c r="CJ622" s="64" t="str">
        <f t="shared" si="271"/>
        <v>#REF!</v>
      </c>
      <c r="CK622" s="64">
        <v>0.0</v>
      </c>
      <c r="CL622" s="64">
        <v>0.0</v>
      </c>
      <c r="CM622" s="64">
        <v>0.0</v>
      </c>
      <c r="CN622" s="64" t="str">
        <f t="shared" si="12"/>
        <v>#REF!</v>
      </c>
      <c r="CO622" s="68" t="str">
        <f>'[1]DATA CONSOLIDADA 2018-2025 '!$CM622-Hoja1!$CG622</f>
        <v>#REF!</v>
      </c>
      <c r="CP622" s="97"/>
      <c r="CQ622" s="97"/>
      <c r="CR622" s="97"/>
      <c r="CS622" s="97"/>
      <c r="CT622" s="97"/>
      <c r="CU622" s="97"/>
      <c r="CV622" s="91"/>
      <c r="CW622" s="91"/>
      <c r="CX622" s="91"/>
      <c r="CY622" s="91"/>
      <c r="CZ622" s="91"/>
      <c r="DA622" s="91"/>
      <c r="DB622" s="91"/>
      <c r="DC622" s="72">
        <v>0.0</v>
      </c>
      <c r="DD622" s="72">
        <v>0.0</v>
      </c>
      <c r="DE622" s="72">
        <v>0.0</v>
      </c>
      <c r="DF622" s="72">
        <v>0.0</v>
      </c>
      <c r="DG622" s="72">
        <v>0.0</v>
      </c>
      <c r="DH622" s="72">
        <v>0.0</v>
      </c>
      <c r="DI622" s="73" t="s">
        <v>1874</v>
      </c>
      <c r="DJ622" s="74" t="s">
        <v>1874</v>
      </c>
      <c r="DK622" s="74" t="s">
        <v>138</v>
      </c>
      <c r="DL622" s="75"/>
      <c r="DM622" s="75"/>
      <c r="DN622" s="75"/>
      <c r="DO622" s="75"/>
      <c r="DP622" s="75"/>
      <c r="DQ622" s="75"/>
      <c r="DR622" s="75"/>
      <c r="DS622" s="75"/>
      <c r="DT622" s="75"/>
      <c r="DU622" s="75"/>
      <c r="DV622" s="75"/>
      <c r="DW622" s="75"/>
      <c r="DX622" s="75"/>
      <c r="DY622" s="75"/>
      <c r="DZ622" s="75"/>
      <c r="EA622" s="75"/>
      <c r="EB622" s="75"/>
      <c r="EC622" s="75"/>
      <c r="ED622" s="75"/>
      <c r="EE622" s="75"/>
    </row>
    <row r="623" ht="47.25" hidden="1" customHeight="1">
      <c r="A623" s="84" t="s">
        <v>1881</v>
      </c>
      <c r="B623" s="84" t="s">
        <v>287</v>
      </c>
      <c r="C623" s="55" t="s">
        <v>1665</v>
      </c>
      <c r="D623" s="84" t="s">
        <v>563</v>
      </c>
      <c r="E623" s="84" t="s">
        <v>1879</v>
      </c>
      <c r="F623" s="84" t="s">
        <v>563</v>
      </c>
      <c r="G623" s="84" t="s">
        <v>567</v>
      </c>
      <c r="H623" s="84" t="s">
        <v>1880</v>
      </c>
      <c r="I623" s="85"/>
      <c r="J623" s="85"/>
      <c r="K623" s="85"/>
      <c r="L623" s="85"/>
      <c r="M623" s="85"/>
      <c r="N623" s="85"/>
      <c r="O623" s="85"/>
      <c r="P623" s="56">
        <v>1.0</v>
      </c>
      <c r="Q623" s="56" t="s">
        <v>131</v>
      </c>
      <c r="R623" s="86" t="str">
        <f t="shared" si="1"/>
        <v>2025</v>
      </c>
      <c r="S623" s="87" t="str">
        <f>SUM(Hoja1!$I623:$P623)</f>
        <v>1</v>
      </c>
      <c r="T623" s="87" t="str">
        <f>IF(OR(Hoja1!$J623=1,Hoja1!$K623=1,Hoja1!$L623=1,Hoja1!$M623=1,Hoja1!$N623=1,Hoja1!$O623=1,Hoja1!$P623=1),"SI","NO")</f>
        <v>SI</v>
      </c>
      <c r="U623" s="59" t="str">
        <f>IF(OR(Hoja1!$K623=1,Hoja1!$L623=1,Hoja1!$M623=1,Hoja1!$N623=1,Hoja1!$O623=1,Hoja1!$P623=1),"SI","NO")</f>
        <v>SI</v>
      </c>
      <c r="V623" s="88">
        <v>0.0</v>
      </c>
      <c r="W623" s="89">
        <v>0.0</v>
      </c>
      <c r="X623" s="89">
        <v>0.0</v>
      </c>
      <c r="Y623" s="88">
        <v>0.0</v>
      </c>
      <c r="Z623" s="89">
        <v>0.0</v>
      </c>
      <c r="AA623" s="89">
        <v>0.0</v>
      </c>
      <c r="AB623" s="88">
        <v>0.0</v>
      </c>
      <c r="AC623" s="89">
        <v>0.0</v>
      </c>
      <c r="AD623" s="89">
        <v>0.0</v>
      </c>
      <c r="AE623" s="88">
        <v>0.0</v>
      </c>
      <c r="AF623" s="89">
        <v>0.0</v>
      </c>
      <c r="AG623" s="89">
        <v>0.0</v>
      </c>
      <c r="AH623" s="88">
        <v>0.0</v>
      </c>
      <c r="AI623" s="89">
        <v>0.0</v>
      </c>
      <c r="AJ623" s="89">
        <v>0.0</v>
      </c>
      <c r="AK623" s="88">
        <v>0.0</v>
      </c>
      <c r="AL623" s="89">
        <v>0.0</v>
      </c>
      <c r="AM623" s="89">
        <v>0.0</v>
      </c>
      <c r="AN623" s="88">
        <v>0.0</v>
      </c>
      <c r="AO623" s="62">
        <v>10.0</v>
      </c>
      <c r="AP623" s="62">
        <v>6.0</v>
      </c>
      <c r="AQ623" s="60">
        <v>16.0</v>
      </c>
      <c r="AR623" s="88" t="str">
        <f>IF(Hoja1!$AQ623&gt;0,Hoja1!$AQ623,IF(Hoja1!$AN623&gt;0,Hoja1!$AN623,IF(Hoja1!$AK623&gt;0,Hoja1!$AK623,IF(Hoja1!$AH623&gt;0,Hoja1!$AH623,IF(Hoja1!$AE623&gt;0,Hoja1!$AE623,IF(Hoja1!$AB623&gt;0,Hoja1!$AB623,IF(Hoja1!$Y623&gt;0,Hoja1!$Y623,IF(Hoja1!$V623&gt;0,Hoja1!$V623," ---"))))))))</f>
        <v>16</v>
      </c>
      <c r="AS623" s="90"/>
      <c r="AT623" s="90"/>
      <c r="AU623" s="90"/>
      <c r="AV623" s="90"/>
      <c r="AW623" s="90"/>
      <c r="AX623" s="90"/>
      <c r="AY623" s="90"/>
      <c r="AZ623" s="90"/>
      <c r="BA623" s="90"/>
      <c r="BB623" s="90"/>
      <c r="BC623" s="63">
        <v>12.0</v>
      </c>
      <c r="BD623" s="63">
        <v>2.0</v>
      </c>
      <c r="BE623" s="91"/>
      <c r="BF623" s="92"/>
      <c r="BG623" s="92"/>
      <c r="BH623" s="91"/>
      <c r="BI623" s="93" t="str">
        <f t="shared" si="281"/>
        <v>#REF!</v>
      </c>
      <c r="BJ623" s="94" t="str">
        <f t="shared" si="282"/>
        <v>#REF!</v>
      </c>
      <c r="BK623" s="92"/>
      <c r="BL623" s="92"/>
      <c r="BM623" s="91"/>
      <c r="BN623" s="93" t="str">
        <f t="shared" si="283"/>
        <v>#REF!</v>
      </c>
      <c r="BO623" s="94" t="str">
        <f t="shared" si="284"/>
        <v>#REF!</v>
      </c>
      <c r="BP623" s="95"/>
      <c r="BQ623" s="95"/>
      <c r="BR623" s="96"/>
      <c r="BS623" s="93" t="str">
        <f t="shared" si="285"/>
        <v>#REF!</v>
      </c>
      <c r="BT623" s="68" t="str">
        <f>'[1]DATA CONSOLIDADA 2018-2025 '!$BR623-Hoja1!$BO623</f>
        <v>#REF!</v>
      </c>
      <c r="BU623" s="92"/>
      <c r="BV623" s="95"/>
      <c r="BW623" s="96"/>
      <c r="BX623" s="93" t="str">
        <f t="shared" si="286"/>
        <v>#REF!</v>
      </c>
      <c r="BY623" s="94" t="str">
        <f t="shared" si="287"/>
        <v>#REF!</v>
      </c>
      <c r="BZ623" s="95"/>
      <c r="CA623" s="95"/>
      <c r="CB623" s="96"/>
      <c r="CC623" s="93" t="str">
        <f t="shared" si="288"/>
        <v>#REF!</v>
      </c>
      <c r="CD623" s="68" t="str">
        <f>'[1]DATA CONSOLIDADA 2018-2025 '!$CB623-Hoja1!$BW623</f>
        <v>#REF!</v>
      </c>
      <c r="CE623" s="97"/>
      <c r="CF623" s="97"/>
      <c r="CG623" s="98"/>
      <c r="CH623" s="93" t="str">
        <f t="shared" si="289"/>
        <v>#REF!</v>
      </c>
      <c r="CI623" s="68" t="str">
        <f>'[1]DATA CONSOLIDADA 2018-2025 '!$CG623-Hoja1!$CB623</f>
        <v>#REF!</v>
      </c>
      <c r="CJ623" s="64" t="str">
        <f t="shared" si="271"/>
        <v>#REF!</v>
      </c>
      <c r="CK623" s="64">
        <v>0.0</v>
      </c>
      <c r="CL623" s="64">
        <v>0.0</v>
      </c>
      <c r="CM623" s="64">
        <v>0.0</v>
      </c>
      <c r="CN623" s="64" t="str">
        <f t="shared" si="12"/>
        <v>#REF!</v>
      </c>
      <c r="CO623" s="68" t="str">
        <f>'[1]DATA CONSOLIDADA 2018-2025 '!$CM623-Hoja1!$CG623</f>
        <v>#REF!</v>
      </c>
      <c r="CP623" s="97"/>
      <c r="CQ623" s="97"/>
      <c r="CR623" s="97"/>
      <c r="CS623" s="97"/>
      <c r="CT623" s="97"/>
      <c r="CU623" s="97"/>
      <c r="CV623" s="91"/>
      <c r="CW623" s="91"/>
      <c r="CX623" s="91"/>
      <c r="CY623" s="91"/>
      <c r="CZ623" s="91"/>
      <c r="DA623" s="91"/>
      <c r="DB623" s="91"/>
      <c r="DC623" s="72">
        <v>0.0</v>
      </c>
      <c r="DD623" s="72">
        <v>0.0</v>
      </c>
      <c r="DE623" s="72">
        <v>0.0</v>
      </c>
      <c r="DF623" s="72">
        <v>0.0</v>
      </c>
      <c r="DG623" s="72">
        <v>0.0</v>
      </c>
      <c r="DH623" s="72">
        <v>0.0</v>
      </c>
      <c r="DI623" s="73" t="s">
        <v>1874</v>
      </c>
      <c r="DJ623" s="74" t="s">
        <v>1874</v>
      </c>
      <c r="DK623" s="74" t="s">
        <v>138</v>
      </c>
      <c r="DL623" s="75"/>
      <c r="DM623" s="75"/>
      <c r="DN623" s="75"/>
      <c r="DO623" s="75"/>
      <c r="DP623" s="75"/>
      <c r="DQ623" s="75"/>
      <c r="DR623" s="75"/>
      <c r="DS623" s="75"/>
      <c r="DT623" s="75"/>
      <c r="DU623" s="75"/>
      <c r="DV623" s="75"/>
      <c r="DW623" s="75"/>
      <c r="DX623" s="75"/>
      <c r="DY623" s="75"/>
      <c r="DZ623" s="75"/>
      <c r="EA623" s="75"/>
      <c r="EB623" s="75"/>
      <c r="EC623" s="75"/>
      <c r="ED623" s="75"/>
      <c r="EE623" s="75"/>
    </row>
    <row r="624" ht="47.25" hidden="1" customHeight="1">
      <c r="A624" s="84" t="s">
        <v>1882</v>
      </c>
      <c r="B624" s="84" t="s">
        <v>287</v>
      </c>
      <c r="C624" s="55" t="s">
        <v>1665</v>
      </c>
      <c r="D624" s="84" t="s">
        <v>563</v>
      </c>
      <c r="E624" s="84" t="s">
        <v>1883</v>
      </c>
      <c r="F624" s="84" t="s">
        <v>563</v>
      </c>
      <c r="G624" s="84" t="s">
        <v>563</v>
      </c>
      <c r="H624" s="84" t="s">
        <v>1884</v>
      </c>
      <c r="I624" s="85"/>
      <c r="J624" s="85"/>
      <c r="K624" s="85"/>
      <c r="L624" s="85"/>
      <c r="M624" s="85"/>
      <c r="N624" s="85"/>
      <c r="O624" s="85"/>
      <c r="P624" s="56">
        <v>1.0</v>
      </c>
      <c r="Q624" s="56" t="s">
        <v>131</v>
      </c>
      <c r="R624" s="86" t="str">
        <f t="shared" si="1"/>
        <v>2025</v>
      </c>
      <c r="S624" s="87" t="str">
        <f>SUM(Hoja1!$I624:$P624)</f>
        <v>1</v>
      </c>
      <c r="T624" s="87" t="str">
        <f>IF(OR(Hoja1!$J624=1,Hoja1!$K624=1,Hoja1!$L624=1,Hoja1!$M624=1,Hoja1!$N624=1,Hoja1!$O624=1,Hoja1!$P624=1),"SI","NO")</f>
        <v>SI</v>
      </c>
      <c r="U624" s="59" t="str">
        <f>IF(OR(Hoja1!$K624=1,Hoja1!$L624=1,Hoja1!$M624=1,Hoja1!$N624=1,Hoja1!$O624=1,Hoja1!$P624=1),"SI","NO")</f>
        <v>SI</v>
      </c>
      <c r="V624" s="88">
        <v>0.0</v>
      </c>
      <c r="W624" s="89">
        <v>0.0</v>
      </c>
      <c r="X624" s="89">
        <v>0.0</v>
      </c>
      <c r="Y624" s="88">
        <v>0.0</v>
      </c>
      <c r="Z624" s="89">
        <v>0.0</v>
      </c>
      <c r="AA624" s="89">
        <v>0.0</v>
      </c>
      <c r="AB624" s="88">
        <v>0.0</v>
      </c>
      <c r="AC624" s="89">
        <v>0.0</v>
      </c>
      <c r="AD624" s="89">
        <v>0.0</v>
      </c>
      <c r="AE624" s="88">
        <v>0.0</v>
      </c>
      <c r="AF624" s="89">
        <v>0.0</v>
      </c>
      <c r="AG624" s="89">
        <v>0.0</v>
      </c>
      <c r="AH624" s="88">
        <v>0.0</v>
      </c>
      <c r="AI624" s="89">
        <v>0.0</v>
      </c>
      <c r="AJ624" s="89">
        <v>0.0</v>
      </c>
      <c r="AK624" s="88">
        <v>0.0</v>
      </c>
      <c r="AL624" s="89">
        <v>0.0</v>
      </c>
      <c r="AM624" s="89">
        <v>0.0</v>
      </c>
      <c r="AN624" s="88">
        <v>0.0</v>
      </c>
      <c r="AO624" s="62">
        <v>7.0</v>
      </c>
      <c r="AP624" s="62">
        <v>8.0</v>
      </c>
      <c r="AQ624" s="60">
        <v>15.0</v>
      </c>
      <c r="AR624" s="88" t="str">
        <f>IF(Hoja1!$AQ624&gt;0,Hoja1!$AQ624,IF(Hoja1!$AN624&gt;0,Hoja1!$AN624,IF(Hoja1!$AK624&gt;0,Hoja1!$AK624,IF(Hoja1!$AH624&gt;0,Hoja1!$AH624,IF(Hoja1!$AE624&gt;0,Hoja1!$AE624,IF(Hoja1!$AB624&gt;0,Hoja1!$AB624,IF(Hoja1!$Y624&gt;0,Hoja1!$Y624,IF(Hoja1!$V624&gt;0,Hoja1!$V624," ---"))))))))</f>
        <v>15</v>
      </c>
      <c r="AS624" s="90"/>
      <c r="AT624" s="90"/>
      <c r="AU624" s="90"/>
      <c r="AV624" s="90"/>
      <c r="AW624" s="90"/>
      <c r="AX624" s="90"/>
      <c r="AY624" s="90"/>
      <c r="AZ624" s="90"/>
      <c r="BA624" s="90"/>
      <c r="BB624" s="90"/>
      <c r="BC624" s="63">
        <v>12.0</v>
      </c>
      <c r="BD624" s="63">
        <v>2.0</v>
      </c>
      <c r="BE624" s="91"/>
      <c r="BF624" s="92"/>
      <c r="BG624" s="92"/>
      <c r="BH624" s="91"/>
      <c r="BI624" s="93" t="str">
        <f t="shared" si="281"/>
        <v>#REF!</v>
      </c>
      <c r="BJ624" s="94" t="str">
        <f t="shared" si="282"/>
        <v>#REF!</v>
      </c>
      <c r="BK624" s="92"/>
      <c r="BL624" s="92"/>
      <c r="BM624" s="91"/>
      <c r="BN624" s="93" t="str">
        <f t="shared" si="283"/>
        <v>#REF!</v>
      </c>
      <c r="BO624" s="94" t="str">
        <f t="shared" si="284"/>
        <v>#REF!</v>
      </c>
      <c r="BP624" s="95"/>
      <c r="BQ624" s="95"/>
      <c r="BR624" s="96"/>
      <c r="BS624" s="93" t="str">
        <f t="shared" si="285"/>
        <v>#REF!</v>
      </c>
      <c r="BT624" s="68" t="str">
        <f>'[1]DATA CONSOLIDADA 2018-2025 '!$BR624-Hoja1!$BO624</f>
        <v>#REF!</v>
      </c>
      <c r="BU624" s="92"/>
      <c r="BV624" s="95"/>
      <c r="BW624" s="96"/>
      <c r="BX624" s="93" t="str">
        <f t="shared" si="286"/>
        <v>#REF!</v>
      </c>
      <c r="BY624" s="94" t="str">
        <f t="shared" si="287"/>
        <v>#REF!</v>
      </c>
      <c r="BZ624" s="95"/>
      <c r="CA624" s="95"/>
      <c r="CB624" s="96"/>
      <c r="CC624" s="93" t="str">
        <f t="shared" si="288"/>
        <v>#REF!</v>
      </c>
      <c r="CD624" s="68" t="str">
        <f>'[1]DATA CONSOLIDADA 2018-2025 '!$CB624-Hoja1!$BW624</f>
        <v>#REF!</v>
      </c>
      <c r="CE624" s="97"/>
      <c r="CF624" s="97"/>
      <c r="CG624" s="98"/>
      <c r="CH624" s="93" t="str">
        <f t="shared" si="289"/>
        <v>#REF!</v>
      </c>
      <c r="CI624" s="68" t="str">
        <f>'[1]DATA CONSOLIDADA 2018-2025 '!$CG624-Hoja1!$CB624</f>
        <v>#REF!</v>
      </c>
      <c r="CJ624" s="64" t="str">
        <f t="shared" si="271"/>
        <v>#REF!</v>
      </c>
      <c r="CK624" s="64">
        <v>0.0</v>
      </c>
      <c r="CL624" s="64">
        <v>0.0</v>
      </c>
      <c r="CM624" s="64">
        <v>0.0</v>
      </c>
      <c r="CN624" s="64" t="str">
        <f t="shared" si="12"/>
        <v>#REF!</v>
      </c>
      <c r="CO624" s="68" t="str">
        <f>'[1]DATA CONSOLIDADA 2018-2025 '!$CM624-Hoja1!$CG624</f>
        <v>#REF!</v>
      </c>
      <c r="CP624" s="97"/>
      <c r="CQ624" s="97"/>
      <c r="CR624" s="97"/>
      <c r="CS624" s="97"/>
      <c r="CT624" s="97"/>
      <c r="CU624" s="97"/>
      <c r="CV624" s="91"/>
      <c r="CW624" s="91"/>
      <c r="CX624" s="91"/>
      <c r="CY624" s="91"/>
      <c r="CZ624" s="91"/>
      <c r="DA624" s="91"/>
      <c r="DB624" s="91"/>
      <c r="DC624" s="72">
        <v>0.0</v>
      </c>
      <c r="DD624" s="72">
        <v>0.0</v>
      </c>
      <c r="DE624" s="72">
        <v>0.0</v>
      </c>
      <c r="DF624" s="72">
        <v>0.0</v>
      </c>
      <c r="DG624" s="72">
        <v>0.0</v>
      </c>
      <c r="DH624" s="72">
        <v>0.0</v>
      </c>
      <c r="DI624" s="73" t="s">
        <v>1874</v>
      </c>
      <c r="DJ624" s="74" t="s">
        <v>1874</v>
      </c>
      <c r="DK624" s="74" t="s">
        <v>138</v>
      </c>
      <c r="DL624" s="75"/>
      <c r="DM624" s="75"/>
      <c r="DN624" s="75"/>
      <c r="DO624" s="75"/>
      <c r="DP624" s="75"/>
      <c r="DQ624" s="75"/>
      <c r="DR624" s="75"/>
      <c r="DS624" s="75"/>
      <c r="DT624" s="75"/>
      <c r="DU624" s="75"/>
      <c r="DV624" s="75"/>
      <c r="DW624" s="75"/>
      <c r="DX624" s="75"/>
      <c r="DY624" s="75"/>
      <c r="DZ624" s="75"/>
      <c r="EA624" s="75"/>
      <c r="EB624" s="75"/>
      <c r="EC624" s="75"/>
      <c r="ED624" s="75"/>
      <c r="EE624" s="75"/>
    </row>
    <row r="625" ht="47.25" hidden="1" customHeight="1">
      <c r="A625" s="84" t="s">
        <v>1885</v>
      </c>
      <c r="B625" s="84" t="s">
        <v>1621</v>
      </c>
      <c r="C625" s="55" t="s">
        <v>1886</v>
      </c>
      <c r="D625" s="84" t="s">
        <v>785</v>
      </c>
      <c r="E625" s="84" t="s">
        <v>1887</v>
      </c>
      <c r="F625" s="84" t="s">
        <v>785</v>
      </c>
      <c r="G625" s="84" t="s">
        <v>1888</v>
      </c>
      <c r="H625" s="84" t="s">
        <v>1889</v>
      </c>
      <c r="I625" s="85"/>
      <c r="J625" s="85"/>
      <c r="K625" s="85"/>
      <c r="L625" s="85"/>
      <c r="M625" s="85"/>
      <c r="N625" s="85"/>
      <c r="O625" s="85"/>
      <c r="P625" s="56">
        <v>1.0</v>
      </c>
      <c r="Q625" s="56" t="s">
        <v>131</v>
      </c>
      <c r="R625" s="86" t="str">
        <f t="shared" si="1"/>
        <v>2025</v>
      </c>
      <c r="S625" s="87" t="str">
        <f>SUM(Hoja1!$I625:$P625)</f>
        <v>1</v>
      </c>
      <c r="T625" s="87" t="str">
        <f>IF(OR(Hoja1!$J625=1,Hoja1!$K625=1,Hoja1!$L625=1,Hoja1!$M625=1,Hoja1!$N625=1,Hoja1!$O625=1,Hoja1!$P625=1),"SI","NO")</f>
        <v>SI</v>
      </c>
      <c r="U625" s="59" t="str">
        <f>IF(OR(Hoja1!$K625=1,Hoja1!$L625=1,Hoja1!$M625=1,Hoja1!$N625=1,Hoja1!$O625=1,Hoja1!$P625=1),"SI","NO")</f>
        <v>SI</v>
      </c>
      <c r="V625" s="88">
        <v>0.0</v>
      </c>
      <c r="W625" s="89">
        <v>0.0</v>
      </c>
      <c r="X625" s="89">
        <v>0.0</v>
      </c>
      <c r="Y625" s="88">
        <v>0.0</v>
      </c>
      <c r="Z625" s="89">
        <v>0.0</v>
      </c>
      <c r="AA625" s="89">
        <v>0.0</v>
      </c>
      <c r="AB625" s="88">
        <v>0.0</v>
      </c>
      <c r="AC625" s="89">
        <v>0.0</v>
      </c>
      <c r="AD625" s="89">
        <v>0.0</v>
      </c>
      <c r="AE625" s="88">
        <v>0.0</v>
      </c>
      <c r="AF625" s="89">
        <v>0.0</v>
      </c>
      <c r="AG625" s="89">
        <v>0.0</v>
      </c>
      <c r="AH625" s="88">
        <v>0.0</v>
      </c>
      <c r="AI625" s="89">
        <v>0.0</v>
      </c>
      <c r="AJ625" s="89">
        <v>0.0</v>
      </c>
      <c r="AK625" s="88">
        <v>0.0</v>
      </c>
      <c r="AL625" s="89">
        <v>0.0</v>
      </c>
      <c r="AM625" s="89">
        <v>0.0</v>
      </c>
      <c r="AN625" s="88">
        <v>0.0</v>
      </c>
      <c r="AO625" s="62">
        <v>0.0</v>
      </c>
      <c r="AP625" s="62">
        <v>17.0</v>
      </c>
      <c r="AQ625" s="60">
        <v>17.0</v>
      </c>
      <c r="AR625" s="88" t="str">
        <f>IF(Hoja1!$AQ625&gt;0,Hoja1!$AQ625,IF(Hoja1!$AN625&gt;0,Hoja1!$AN625,IF(Hoja1!$AK625&gt;0,Hoja1!$AK625,IF(Hoja1!$AH625&gt;0,Hoja1!$AH625,IF(Hoja1!$AE625&gt;0,Hoja1!$AE625,IF(Hoja1!$AB625&gt;0,Hoja1!$AB625,IF(Hoja1!$Y625&gt;0,Hoja1!$Y625,IF(Hoja1!$V625&gt;0,Hoja1!$V625," ---"))))))))</f>
        <v>17</v>
      </c>
      <c r="AS625" s="90"/>
      <c r="AT625" s="90"/>
      <c r="AU625" s="90"/>
      <c r="AV625" s="90"/>
      <c r="AW625" s="90"/>
      <c r="AX625" s="90"/>
      <c r="AY625" s="90"/>
      <c r="AZ625" s="90"/>
      <c r="BA625" s="90"/>
      <c r="BB625" s="90"/>
      <c r="BC625" s="63">
        <v>2.0</v>
      </c>
      <c r="BD625" s="63">
        <v>0.0</v>
      </c>
      <c r="BE625" s="91"/>
      <c r="BF625" s="92"/>
      <c r="BG625" s="92"/>
      <c r="BH625" s="91"/>
      <c r="BI625" s="93" t="str">
        <f t="shared" si="281"/>
        <v>#REF!</v>
      </c>
      <c r="BJ625" s="94" t="str">
        <f t="shared" si="282"/>
        <v>#REF!</v>
      </c>
      <c r="BK625" s="92"/>
      <c r="BL625" s="92"/>
      <c r="BM625" s="91"/>
      <c r="BN625" s="93" t="str">
        <f t="shared" si="283"/>
        <v>#REF!</v>
      </c>
      <c r="BO625" s="94" t="str">
        <f t="shared" si="284"/>
        <v>#REF!</v>
      </c>
      <c r="BP625" s="95"/>
      <c r="BQ625" s="95"/>
      <c r="BR625" s="96"/>
      <c r="BS625" s="93" t="str">
        <f t="shared" si="285"/>
        <v>#REF!</v>
      </c>
      <c r="BT625" s="68" t="str">
        <f>'[1]DATA CONSOLIDADA 2018-2025 '!$BR625-Hoja1!$BO625</f>
        <v>#REF!</v>
      </c>
      <c r="BU625" s="92"/>
      <c r="BV625" s="95"/>
      <c r="BW625" s="96"/>
      <c r="BX625" s="93" t="str">
        <f t="shared" si="286"/>
        <v>#REF!</v>
      </c>
      <c r="BY625" s="94" t="str">
        <f t="shared" si="287"/>
        <v>#REF!</v>
      </c>
      <c r="BZ625" s="95"/>
      <c r="CA625" s="95"/>
      <c r="CB625" s="96"/>
      <c r="CC625" s="93" t="str">
        <f t="shared" si="288"/>
        <v>#REF!</v>
      </c>
      <c r="CD625" s="68" t="str">
        <f>'[1]DATA CONSOLIDADA 2018-2025 '!$CB625-Hoja1!$BW625</f>
        <v>#REF!</v>
      </c>
      <c r="CE625" s="97"/>
      <c r="CF625" s="97"/>
      <c r="CG625" s="98"/>
      <c r="CH625" s="93" t="str">
        <f t="shared" si="289"/>
        <v>#REF!</v>
      </c>
      <c r="CI625" s="68" t="str">
        <f>'[1]DATA CONSOLIDADA 2018-2025 '!$CG625-Hoja1!$CB625</f>
        <v>#REF!</v>
      </c>
      <c r="CJ625" s="64" t="str">
        <f t="shared" si="271"/>
        <v>#REF!</v>
      </c>
      <c r="CK625" s="64">
        <v>22000.0</v>
      </c>
      <c r="CL625" s="64">
        <v>0.0</v>
      </c>
      <c r="CM625" s="64">
        <v>22000.0</v>
      </c>
      <c r="CN625" s="64" t="str">
        <f t="shared" si="12"/>
        <v>#REF!</v>
      </c>
      <c r="CO625" s="68" t="str">
        <f>'[1]DATA CONSOLIDADA 2018-2025 '!$CM625-Hoja1!$CG625</f>
        <v>#REF!</v>
      </c>
      <c r="CP625" s="97"/>
      <c r="CQ625" s="97"/>
      <c r="CR625" s="97"/>
      <c r="CS625" s="97"/>
      <c r="CT625" s="97"/>
      <c r="CU625" s="97"/>
      <c r="CV625" s="91"/>
      <c r="CW625" s="91"/>
      <c r="CX625" s="91"/>
      <c r="CY625" s="91"/>
      <c r="CZ625" s="91"/>
      <c r="DA625" s="91"/>
      <c r="DB625" s="91"/>
      <c r="DC625" s="72">
        <v>0.0</v>
      </c>
      <c r="DD625" s="72">
        <v>22000.0</v>
      </c>
      <c r="DE625" s="72">
        <v>0.0</v>
      </c>
      <c r="DF625" s="72">
        <v>0.0</v>
      </c>
      <c r="DG625" s="72">
        <v>0.0</v>
      </c>
      <c r="DH625" s="72">
        <v>22000.0</v>
      </c>
      <c r="DI625" s="73" t="s">
        <v>1874</v>
      </c>
      <c r="DJ625" s="74" t="s">
        <v>1874</v>
      </c>
      <c r="DK625" s="74" t="s">
        <v>138</v>
      </c>
      <c r="DL625" s="75"/>
      <c r="DM625" s="75"/>
      <c r="DN625" s="75"/>
      <c r="DO625" s="75"/>
      <c r="DP625" s="75"/>
      <c r="DQ625" s="75"/>
      <c r="DR625" s="75"/>
      <c r="DS625" s="75"/>
      <c r="DT625" s="75"/>
      <c r="DU625" s="75"/>
      <c r="DV625" s="75"/>
      <c r="DW625" s="75"/>
      <c r="DX625" s="75"/>
      <c r="DY625" s="75"/>
      <c r="DZ625" s="75"/>
      <c r="EA625" s="75"/>
      <c r="EB625" s="75"/>
      <c r="EC625" s="75"/>
      <c r="ED625" s="75"/>
      <c r="EE625" s="75"/>
    </row>
    <row r="626" ht="47.25" hidden="1" customHeight="1">
      <c r="A626" s="84" t="s">
        <v>1890</v>
      </c>
      <c r="B626" s="84" t="s">
        <v>1621</v>
      </c>
      <c r="C626" s="55" t="s">
        <v>1886</v>
      </c>
      <c r="D626" s="84" t="s">
        <v>785</v>
      </c>
      <c r="E626" s="84" t="s">
        <v>1891</v>
      </c>
      <c r="F626" s="84" t="s">
        <v>785</v>
      </c>
      <c r="G626" s="84" t="s">
        <v>1867</v>
      </c>
      <c r="H626" s="84" t="s">
        <v>1892</v>
      </c>
      <c r="I626" s="85"/>
      <c r="J626" s="85"/>
      <c r="K626" s="85"/>
      <c r="L626" s="85"/>
      <c r="M626" s="85"/>
      <c r="N626" s="85"/>
      <c r="O626" s="85"/>
      <c r="P626" s="56">
        <v>1.0</v>
      </c>
      <c r="Q626" s="56" t="s">
        <v>131</v>
      </c>
      <c r="R626" s="86" t="str">
        <f t="shared" si="1"/>
        <v>2025</v>
      </c>
      <c r="S626" s="87" t="str">
        <f>SUM(Hoja1!$I626:$P626)</f>
        <v>1</v>
      </c>
      <c r="T626" s="87" t="str">
        <f>IF(OR(Hoja1!$J626=1,Hoja1!$K626=1,Hoja1!$L626=1,Hoja1!$M626=1,Hoja1!$N626=1,Hoja1!$O626=1,Hoja1!$P626=1),"SI","NO")</f>
        <v>SI</v>
      </c>
      <c r="U626" s="59" t="str">
        <f>IF(OR(Hoja1!$K626=1,Hoja1!$L626=1,Hoja1!$M626=1,Hoja1!$N626=1,Hoja1!$O626=1,Hoja1!$P626=1),"SI","NO")</f>
        <v>SI</v>
      </c>
      <c r="V626" s="88">
        <v>0.0</v>
      </c>
      <c r="W626" s="89">
        <v>0.0</v>
      </c>
      <c r="X626" s="89">
        <v>0.0</v>
      </c>
      <c r="Y626" s="88">
        <v>0.0</v>
      </c>
      <c r="Z626" s="89">
        <v>0.0</v>
      </c>
      <c r="AA626" s="89">
        <v>0.0</v>
      </c>
      <c r="AB626" s="88">
        <v>0.0</v>
      </c>
      <c r="AC626" s="89">
        <v>0.0</v>
      </c>
      <c r="AD626" s="89">
        <v>0.0</v>
      </c>
      <c r="AE626" s="88">
        <v>0.0</v>
      </c>
      <c r="AF626" s="89">
        <v>0.0</v>
      </c>
      <c r="AG626" s="89">
        <v>0.0</v>
      </c>
      <c r="AH626" s="88">
        <v>0.0</v>
      </c>
      <c r="AI626" s="89">
        <v>0.0</v>
      </c>
      <c r="AJ626" s="89">
        <v>0.0</v>
      </c>
      <c r="AK626" s="88">
        <v>0.0</v>
      </c>
      <c r="AL626" s="89">
        <v>0.0</v>
      </c>
      <c r="AM626" s="89">
        <v>0.0</v>
      </c>
      <c r="AN626" s="88">
        <v>0.0</v>
      </c>
      <c r="AO626" s="62">
        <v>0.0</v>
      </c>
      <c r="AP626" s="62">
        <v>13.0</v>
      </c>
      <c r="AQ626" s="60">
        <v>13.0</v>
      </c>
      <c r="AR626" s="88" t="str">
        <f>IF(Hoja1!$AQ626&gt;0,Hoja1!$AQ626,IF(Hoja1!$AN626&gt;0,Hoja1!$AN626,IF(Hoja1!$AK626&gt;0,Hoja1!$AK626,IF(Hoja1!$AH626&gt;0,Hoja1!$AH626,IF(Hoja1!$AE626&gt;0,Hoja1!$AE626,IF(Hoja1!$AB626&gt;0,Hoja1!$AB626,IF(Hoja1!$Y626&gt;0,Hoja1!$Y626,IF(Hoja1!$V626&gt;0,Hoja1!$V626," ---"))))))))</f>
        <v>13</v>
      </c>
      <c r="AS626" s="90"/>
      <c r="AT626" s="90"/>
      <c r="AU626" s="90"/>
      <c r="AV626" s="90"/>
      <c r="AW626" s="90"/>
      <c r="AX626" s="90"/>
      <c r="AY626" s="90"/>
      <c r="AZ626" s="90"/>
      <c r="BA626" s="90"/>
      <c r="BB626" s="90"/>
      <c r="BC626" s="63">
        <v>7.0</v>
      </c>
      <c r="BD626" s="63">
        <v>1.0</v>
      </c>
      <c r="BE626" s="91"/>
      <c r="BF626" s="92"/>
      <c r="BG626" s="92"/>
      <c r="BH626" s="91"/>
      <c r="BI626" s="93" t="str">
        <f t="shared" si="281"/>
        <v>#REF!</v>
      </c>
      <c r="BJ626" s="94" t="str">
        <f t="shared" si="282"/>
        <v>#REF!</v>
      </c>
      <c r="BK626" s="92"/>
      <c r="BL626" s="92"/>
      <c r="BM626" s="91"/>
      <c r="BN626" s="93" t="str">
        <f t="shared" si="283"/>
        <v>#REF!</v>
      </c>
      <c r="BO626" s="94" t="str">
        <f t="shared" si="284"/>
        <v>#REF!</v>
      </c>
      <c r="BP626" s="95"/>
      <c r="BQ626" s="95"/>
      <c r="BR626" s="96"/>
      <c r="BS626" s="93" t="str">
        <f t="shared" si="285"/>
        <v>#REF!</v>
      </c>
      <c r="BT626" s="68" t="str">
        <f>'[1]DATA CONSOLIDADA 2018-2025 '!$BR626-Hoja1!$BO626</f>
        <v>#REF!</v>
      </c>
      <c r="BU626" s="92"/>
      <c r="BV626" s="95"/>
      <c r="BW626" s="96"/>
      <c r="BX626" s="93" t="str">
        <f t="shared" si="286"/>
        <v>#REF!</v>
      </c>
      <c r="BY626" s="94" t="str">
        <f t="shared" si="287"/>
        <v>#REF!</v>
      </c>
      <c r="BZ626" s="95"/>
      <c r="CA626" s="95"/>
      <c r="CB626" s="96"/>
      <c r="CC626" s="93" t="str">
        <f t="shared" si="288"/>
        <v>#REF!</v>
      </c>
      <c r="CD626" s="68" t="str">
        <f>'[1]DATA CONSOLIDADA 2018-2025 '!$CB626-Hoja1!$BW626</f>
        <v>#REF!</v>
      </c>
      <c r="CE626" s="97"/>
      <c r="CF626" s="97"/>
      <c r="CG626" s="98"/>
      <c r="CH626" s="93" t="str">
        <f t="shared" si="289"/>
        <v>#REF!</v>
      </c>
      <c r="CI626" s="68" t="str">
        <f>'[1]DATA CONSOLIDADA 2018-2025 '!$CG626-Hoja1!$CB626</f>
        <v>#REF!</v>
      </c>
      <c r="CJ626" s="64" t="str">
        <f t="shared" si="271"/>
        <v>#REF!</v>
      </c>
      <c r="CK626" s="64">
        <v>0.0</v>
      </c>
      <c r="CL626" s="64">
        <v>0.0</v>
      </c>
      <c r="CM626" s="64">
        <v>0.0</v>
      </c>
      <c r="CN626" s="64" t="str">
        <f t="shared" si="12"/>
        <v>#REF!</v>
      </c>
      <c r="CO626" s="68" t="str">
        <f>'[1]DATA CONSOLIDADA 2018-2025 '!$CM626-Hoja1!$CG626</f>
        <v>#REF!</v>
      </c>
      <c r="CP626" s="97"/>
      <c r="CQ626" s="97"/>
      <c r="CR626" s="97"/>
      <c r="CS626" s="97"/>
      <c r="CT626" s="97"/>
      <c r="CU626" s="97"/>
      <c r="CV626" s="91"/>
      <c r="CW626" s="91"/>
      <c r="CX626" s="91"/>
      <c r="CY626" s="91"/>
      <c r="CZ626" s="91"/>
      <c r="DA626" s="91"/>
      <c r="DB626" s="91"/>
      <c r="DC626" s="72">
        <v>0.0</v>
      </c>
      <c r="DD626" s="72">
        <v>0.0</v>
      </c>
      <c r="DE626" s="72">
        <v>0.0</v>
      </c>
      <c r="DF626" s="72">
        <v>0.0</v>
      </c>
      <c r="DG626" s="72">
        <v>0.0</v>
      </c>
      <c r="DH626" s="72">
        <v>0.0</v>
      </c>
      <c r="DI626" s="73" t="s">
        <v>1874</v>
      </c>
      <c r="DJ626" s="74" t="s">
        <v>1874</v>
      </c>
      <c r="DK626" s="74" t="s">
        <v>138</v>
      </c>
      <c r="DL626" s="75"/>
      <c r="DM626" s="75"/>
      <c r="DN626" s="75"/>
      <c r="DO626" s="75"/>
      <c r="DP626" s="75"/>
      <c r="DQ626" s="75"/>
      <c r="DR626" s="75"/>
      <c r="DS626" s="75"/>
      <c r="DT626" s="75"/>
      <c r="DU626" s="75"/>
      <c r="DV626" s="75"/>
      <c r="DW626" s="75"/>
      <c r="DX626" s="75"/>
      <c r="DY626" s="75"/>
      <c r="DZ626" s="75"/>
      <c r="EA626" s="75"/>
      <c r="EB626" s="75"/>
      <c r="EC626" s="75"/>
      <c r="ED626" s="75"/>
      <c r="EE626" s="75"/>
    </row>
    <row r="627" ht="47.25" hidden="1" customHeight="1">
      <c r="A627" s="84" t="s">
        <v>1893</v>
      </c>
      <c r="B627" s="84" t="s">
        <v>1621</v>
      </c>
      <c r="C627" s="55" t="s">
        <v>1886</v>
      </c>
      <c r="D627" s="84" t="s">
        <v>785</v>
      </c>
      <c r="E627" s="84" t="s">
        <v>1887</v>
      </c>
      <c r="F627" s="84" t="s">
        <v>785</v>
      </c>
      <c r="G627" s="84" t="s">
        <v>1888</v>
      </c>
      <c r="H627" s="84" t="s">
        <v>1889</v>
      </c>
      <c r="I627" s="85"/>
      <c r="J627" s="85"/>
      <c r="K627" s="85"/>
      <c r="L627" s="85"/>
      <c r="M627" s="85"/>
      <c r="N627" s="85"/>
      <c r="O627" s="85"/>
      <c r="P627" s="56">
        <v>1.0</v>
      </c>
      <c r="Q627" s="56" t="s">
        <v>131</v>
      </c>
      <c r="R627" s="86" t="str">
        <f t="shared" si="1"/>
        <v>2025</v>
      </c>
      <c r="S627" s="87" t="str">
        <f>SUM(Hoja1!$I627:$P627)</f>
        <v>1</v>
      </c>
      <c r="T627" s="87" t="str">
        <f>IF(OR(Hoja1!$J627=1,Hoja1!$K627=1,Hoja1!$L627=1,Hoja1!$M627=1,Hoja1!$N627=1,Hoja1!$O627=1,Hoja1!$P627=1),"SI","NO")</f>
        <v>SI</v>
      </c>
      <c r="U627" s="59" t="str">
        <f>IF(OR(Hoja1!$K627=1,Hoja1!$L627=1,Hoja1!$M627=1,Hoja1!$N627=1,Hoja1!$O627=1,Hoja1!$P627=1),"SI","NO")</f>
        <v>SI</v>
      </c>
      <c r="V627" s="88">
        <v>0.0</v>
      </c>
      <c r="W627" s="89">
        <v>0.0</v>
      </c>
      <c r="X627" s="89">
        <v>0.0</v>
      </c>
      <c r="Y627" s="88">
        <v>0.0</v>
      </c>
      <c r="Z627" s="89">
        <v>0.0</v>
      </c>
      <c r="AA627" s="89">
        <v>0.0</v>
      </c>
      <c r="AB627" s="88">
        <v>0.0</v>
      </c>
      <c r="AC627" s="89">
        <v>0.0</v>
      </c>
      <c r="AD627" s="89">
        <v>0.0</v>
      </c>
      <c r="AE627" s="88">
        <v>0.0</v>
      </c>
      <c r="AF627" s="89">
        <v>0.0</v>
      </c>
      <c r="AG627" s="89">
        <v>0.0</v>
      </c>
      <c r="AH627" s="88">
        <v>0.0</v>
      </c>
      <c r="AI627" s="89">
        <v>0.0</v>
      </c>
      <c r="AJ627" s="89">
        <v>0.0</v>
      </c>
      <c r="AK627" s="88">
        <v>0.0</v>
      </c>
      <c r="AL627" s="89">
        <v>0.0</v>
      </c>
      <c r="AM627" s="89">
        <v>0.0</v>
      </c>
      <c r="AN627" s="88">
        <v>0.0</v>
      </c>
      <c r="AO627" s="62">
        <v>30.0</v>
      </c>
      <c r="AP627" s="62">
        <v>7.0</v>
      </c>
      <c r="AQ627" s="60">
        <v>37.0</v>
      </c>
      <c r="AR627" s="88" t="str">
        <f>IF(Hoja1!$AQ627&gt;0,Hoja1!$AQ627,IF(Hoja1!$AN627&gt;0,Hoja1!$AN627,IF(Hoja1!$AK627&gt;0,Hoja1!$AK627,IF(Hoja1!$AH627&gt;0,Hoja1!$AH627,IF(Hoja1!$AE627&gt;0,Hoja1!$AE627,IF(Hoja1!$AB627&gt;0,Hoja1!$AB627,IF(Hoja1!$Y627&gt;0,Hoja1!$Y627,IF(Hoja1!$V627&gt;0,Hoja1!$V627," ---"))))))))</f>
        <v>37</v>
      </c>
      <c r="AS627" s="90"/>
      <c r="AT627" s="90"/>
      <c r="AU627" s="90"/>
      <c r="AV627" s="90"/>
      <c r="AW627" s="90"/>
      <c r="AX627" s="90"/>
      <c r="AY627" s="90"/>
      <c r="AZ627" s="90"/>
      <c r="BA627" s="90"/>
      <c r="BB627" s="90"/>
      <c r="BC627" s="63">
        <v>8.0</v>
      </c>
      <c r="BD627" s="63">
        <v>1.0</v>
      </c>
      <c r="BE627" s="91"/>
      <c r="BF627" s="92"/>
      <c r="BG627" s="92"/>
      <c r="BH627" s="91"/>
      <c r="BI627" s="93" t="str">
        <f t="shared" si="281"/>
        <v>#REF!</v>
      </c>
      <c r="BJ627" s="94" t="str">
        <f t="shared" si="282"/>
        <v>#REF!</v>
      </c>
      <c r="BK627" s="92"/>
      <c r="BL627" s="92"/>
      <c r="BM627" s="91"/>
      <c r="BN627" s="93" t="str">
        <f t="shared" si="283"/>
        <v>#REF!</v>
      </c>
      <c r="BO627" s="94" t="str">
        <f t="shared" si="284"/>
        <v>#REF!</v>
      </c>
      <c r="BP627" s="95"/>
      <c r="BQ627" s="95"/>
      <c r="BR627" s="96"/>
      <c r="BS627" s="93" t="str">
        <f t="shared" si="285"/>
        <v>#REF!</v>
      </c>
      <c r="BT627" s="68" t="str">
        <f>'[1]DATA CONSOLIDADA 2018-2025 '!$BR627-Hoja1!$BO627</f>
        <v>#REF!</v>
      </c>
      <c r="BU627" s="92"/>
      <c r="BV627" s="95"/>
      <c r="BW627" s="96"/>
      <c r="BX627" s="93" t="str">
        <f t="shared" si="286"/>
        <v>#REF!</v>
      </c>
      <c r="BY627" s="94" t="str">
        <f t="shared" si="287"/>
        <v>#REF!</v>
      </c>
      <c r="BZ627" s="95"/>
      <c r="CA627" s="95"/>
      <c r="CB627" s="96"/>
      <c r="CC627" s="93" t="str">
        <f t="shared" si="288"/>
        <v>#REF!</v>
      </c>
      <c r="CD627" s="68" t="str">
        <f>'[1]DATA CONSOLIDADA 2018-2025 '!$CB627-Hoja1!$BW627</f>
        <v>#REF!</v>
      </c>
      <c r="CE627" s="97"/>
      <c r="CF627" s="97"/>
      <c r="CG627" s="98"/>
      <c r="CH627" s="93" t="str">
        <f t="shared" si="289"/>
        <v>#REF!</v>
      </c>
      <c r="CI627" s="68" t="str">
        <f>'[1]DATA CONSOLIDADA 2018-2025 '!$CG627-Hoja1!$CB627</f>
        <v>#REF!</v>
      </c>
      <c r="CJ627" s="64" t="str">
        <f t="shared" si="271"/>
        <v>#REF!</v>
      </c>
      <c r="CK627" s="64">
        <v>205700.0</v>
      </c>
      <c r="CL627" s="64">
        <v>0.0</v>
      </c>
      <c r="CM627" s="64">
        <v>205700.0</v>
      </c>
      <c r="CN627" s="64" t="str">
        <f t="shared" si="12"/>
        <v>#REF!</v>
      </c>
      <c r="CO627" s="68" t="str">
        <f>'[1]DATA CONSOLIDADA 2018-2025 '!$CM627-Hoja1!$CG627</f>
        <v>#REF!</v>
      </c>
      <c r="CP627" s="97"/>
      <c r="CQ627" s="97"/>
      <c r="CR627" s="97"/>
      <c r="CS627" s="97"/>
      <c r="CT627" s="97"/>
      <c r="CU627" s="97"/>
      <c r="CV627" s="91"/>
      <c r="CW627" s="91"/>
      <c r="CX627" s="91"/>
      <c r="CY627" s="91"/>
      <c r="CZ627" s="91"/>
      <c r="DA627" s="91"/>
      <c r="DB627" s="91"/>
      <c r="DC627" s="72">
        <v>0.0</v>
      </c>
      <c r="DD627" s="72">
        <v>205700.0</v>
      </c>
      <c r="DE627" s="72">
        <v>0.0</v>
      </c>
      <c r="DF627" s="72">
        <v>0.0</v>
      </c>
      <c r="DG627" s="72">
        <v>0.0</v>
      </c>
      <c r="DH627" s="72">
        <v>205700.0</v>
      </c>
      <c r="DI627" s="73" t="s">
        <v>1874</v>
      </c>
      <c r="DJ627" s="74" t="s">
        <v>1874</v>
      </c>
      <c r="DK627" s="74" t="s">
        <v>132</v>
      </c>
      <c r="DL627" s="75"/>
      <c r="DM627" s="75"/>
      <c r="DN627" s="75"/>
      <c r="DO627" s="75"/>
      <c r="DP627" s="75"/>
      <c r="DQ627" s="75"/>
      <c r="DR627" s="75"/>
      <c r="DS627" s="75"/>
      <c r="DT627" s="75"/>
      <c r="DU627" s="75"/>
      <c r="DV627" s="75"/>
      <c r="DW627" s="75"/>
      <c r="DX627" s="75"/>
      <c r="DY627" s="75"/>
      <c r="DZ627" s="75"/>
      <c r="EA627" s="75"/>
      <c r="EB627" s="75"/>
      <c r="EC627" s="75"/>
      <c r="ED627" s="75"/>
      <c r="EE627" s="75"/>
    </row>
    <row r="628" ht="47.25" hidden="1" customHeight="1">
      <c r="A628" s="84" t="s">
        <v>1894</v>
      </c>
      <c r="B628" s="84" t="s">
        <v>1210</v>
      </c>
      <c r="C628" s="55" t="s">
        <v>1210</v>
      </c>
      <c r="D628" s="84" t="s">
        <v>967</v>
      </c>
      <c r="E628" s="84" t="s">
        <v>1895</v>
      </c>
      <c r="F628" s="84" t="s">
        <v>967</v>
      </c>
      <c r="G628" s="84" t="s">
        <v>967</v>
      </c>
      <c r="H628" s="84" t="s">
        <v>1896</v>
      </c>
      <c r="I628" s="85"/>
      <c r="J628" s="85"/>
      <c r="K628" s="85"/>
      <c r="L628" s="85"/>
      <c r="M628" s="85"/>
      <c r="N628" s="85"/>
      <c r="O628" s="85"/>
      <c r="P628" s="56">
        <v>1.0</v>
      </c>
      <c r="Q628" s="56" t="s">
        <v>131</v>
      </c>
      <c r="R628" s="86" t="str">
        <f t="shared" si="1"/>
        <v>2025</v>
      </c>
      <c r="S628" s="87" t="str">
        <f>SUM(Hoja1!$I628:$P628)</f>
        <v>1</v>
      </c>
      <c r="T628" s="87" t="str">
        <f>IF(OR(Hoja1!$J628=1,Hoja1!$K628=1,Hoja1!$L628=1,Hoja1!$M628=1,Hoja1!$N628=1,Hoja1!$O628=1,Hoja1!$P628=1),"SI","NO")</f>
        <v>SI</v>
      </c>
      <c r="U628" s="59" t="str">
        <f>IF(OR(Hoja1!$K628=1,Hoja1!$L628=1,Hoja1!$M628=1,Hoja1!$N628=1,Hoja1!$O628=1,Hoja1!$P628=1),"SI","NO")</f>
        <v>SI</v>
      </c>
      <c r="V628" s="88">
        <v>0.0</v>
      </c>
      <c r="W628" s="89">
        <v>0.0</v>
      </c>
      <c r="X628" s="89">
        <v>0.0</v>
      </c>
      <c r="Y628" s="88">
        <v>0.0</v>
      </c>
      <c r="Z628" s="89">
        <v>0.0</v>
      </c>
      <c r="AA628" s="89">
        <v>0.0</v>
      </c>
      <c r="AB628" s="88">
        <v>0.0</v>
      </c>
      <c r="AC628" s="89">
        <v>0.0</v>
      </c>
      <c r="AD628" s="89">
        <v>0.0</v>
      </c>
      <c r="AE628" s="88">
        <v>0.0</v>
      </c>
      <c r="AF628" s="89">
        <v>0.0</v>
      </c>
      <c r="AG628" s="89">
        <v>0.0</v>
      </c>
      <c r="AH628" s="88">
        <v>0.0</v>
      </c>
      <c r="AI628" s="89">
        <v>0.0</v>
      </c>
      <c r="AJ628" s="89">
        <v>0.0</v>
      </c>
      <c r="AK628" s="88">
        <v>0.0</v>
      </c>
      <c r="AL628" s="89">
        <v>0.0</v>
      </c>
      <c r="AM628" s="89">
        <v>0.0</v>
      </c>
      <c r="AN628" s="88">
        <v>0.0</v>
      </c>
      <c r="AO628" s="62">
        <v>41.0</v>
      </c>
      <c r="AP628" s="62">
        <v>13.0</v>
      </c>
      <c r="AQ628" s="60">
        <v>54.0</v>
      </c>
      <c r="AR628" s="88" t="str">
        <f>IF(Hoja1!$AQ628&gt;0,Hoja1!$AQ628,IF(Hoja1!$AN628&gt;0,Hoja1!$AN628,IF(Hoja1!$AK628&gt;0,Hoja1!$AK628,IF(Hoja1!$AH628&gt;0,Hoja1!$AH628,IF(Hoja1!$AE628&gt;0,Hoja1!$AE628,IF(Hoja1!$AB628&gt;0,Hoja1!$AB628,IF(Hoja1!$Y628&gt;0,Hoja1!$Y628,IF(Hoja1!$V628&gt;0,Hoja1!$V628," ---"))))))))</f>
        <v>54</v>
      </c>
      <c r="AS628" s="90"/>
      <c r="AT628" s="90"/>
      <c r="AU628" s="90"/>
      <c r="AV628" s="90"/>
      <c r="AW628" s="90"/>
      <c r="AX628" s="90"/>
      <c r="AY628" s="90"/>
      <c r="AZ628" s="90"/>
      <c r="BA628" s="90"/>
      <c r="BB628" s="90"/>
      <c r="BC628" s="63">
        <v>3.0</v>
      </c>
      <c r="BD628" s="63">
        <v>1.0</v>
      </c>
      <c r="BE628" s="91"/>
      <c r="BF628" s="92"/>
      <c r="BG628" s="92"/>
      <c r="BH628" s="91"/>
      <c r="BI628" s="93" t="str">
        <f t="shared" si="281"/>
        <v>#REF!</v>
      </c>
      <c r="BJ628" s="94" t="str">
        <f t="shared" si="282"/>
        <v>#REF!</v>
      </c>
      <c r="BK628" s="92"/>
      <c r="BL628" s="92"/>
      <c r="BM628" s="91"/>
      <c r="BN628" s="93" t="str">
        <f t="shared" si="283"/>
        <v>#REF!</v>
      </c>
      <c r="BO628" s="94" t="str">
        <f t="shared" si="284"/>
        <v>#REF!</v>
      </c>
      <c r="BP628" s="95"/>
      <c r="BQ628" s="95"/>
      <c r="BR628" s="96"/>
      <c r="BS628" s="93" t="str">
        <f t="shared" si="285"/>
        <v>#REF!</v>
      </c>
      <c r="BT628" s="68" t="str">
        <f>'[1]DATA CONSOLIDADA 2018-2025 '!$BR628-Hoja1!$BO628</f>
        <v>#REF!</v>
      </c>
      <c r="BU628" s="92"/>
      <c r="BV628" s="95"/>
      <c r="BW628" s="96"/>
      <c r="BX628" s="93" t="str">
        <f t="shared" si="286"/>
        <v>#REF!</v>
      </c>
      <c r="BY628" s="94" t="str">
        <f t="shared" si="287"/>
        <v>#REF!</v>
      </c>
      <c r="BZ628" s="95"/>
      <c r="CA628" s="95"/>
      <c r="CB628" s="96"/>
      <c r="CC628" s="93" t="str">
        <f t="shared" si="288"/>
        <v>#REF!</v>
      </c>
      <c r="CD628" s="68" t="str">
        <f>'[1]DATA CONSOLIDADA 2018-2025 '!$CB628-Hoja1!$BW628</f>
        <v>#REF!</v>
      </c>
      <c r="CE628" s="97"/>
      <c r="CF628" s="97"/>
      <c r="CG628" s="98"/>
      <c r="CH628" s="93" t="str">
        <f t="shared" si="289"/>
        <v>#REF!</v>
      </c>
      <c r="CI628" s="68" t="str">
        <f>'[1]DATA CONSOLIDADA 2018-2025 '!$CG628-Hoja1!$CB628</f>
        <v>#REF!</v>
      </c>
      <c r="CJ628" s="64" t="str">
        <f t="shared" si="271"/>
        <v>#REF!</v>
      </c>
      <c r="CK628" s="64">
        <v>0.0</v>
      </c>
      <c r="CL628" s="64">
        <v>0.0</v>
      </c>
      <c r="CM628" s="64">
        <v>0.0</v>
      </c>
      <c r="CN628" s="64" t="str">
        <f t="shared" si="12"/>
        <v>#REF!</v>
      </c>
      <c r="CO628" s="68" t="str">
        <f>'[1]DATA CONSOLIDADA 2018-2025 '!$CM628-Hoja1!$CG628</f>
        <v>#REF!</v>
      </c>
      <c r="CP628" s="97"/>
      <c r="CQ628" s="97"/>
      <c r="CR628" s="97"/>
      <c r="CS628" s="97"/>
      <c r="CT628" s="97"/>
      <c r="CU628" s="97"/>
      <c r="CV628" s="91"/>
      <c r="CW628" s="91"/>
      <c r="CX628" s="91"/>
      <c r="CY628" s="91"/>
      <c r="CZ628" s="91"/>
      <c r="DA628" s="91"/>
      <c r="DB628" s="91"/>
      <c r="DC628" s="72">
        <v>0.0</v>
      </c>
      <c r="DD628" s="72">
        <v>0.0</v>
      </c>
      <c r="DE628" s="72">
        <v>0.0</v>
      </c>
      <c r="DF628" s="72">
        <v>0.0</v>
      </c>
      <c r="DG628" s="72">
        <v>0.0</v>
      </c>
      <c r="DH628" s="72">
        <v>0.0</v>
      </c>
      <c r="DI628" s="73" t="s">
        <v>1874</v>
      </c>
      <c r="DJ628" s="74" t="s">
        <v>1874</v>
      </c>
      <c r="DK628" s="74" t="s">
        <v>138</v>
      </c>
      <c r="DL628" s="75"/>
      <c r="DM628" s="75"/>
      <c r="DN628" s="75"/>
      <c r="DO628" s="75"/>
      <c r="DP628" s="75"/>
      <c r="DQ628" s="75"/>
      <c r="DR628" s="75"/>
      <c r="DS628" s="75"/>
      <c r="DT628" s="75"/>
      <c r="DU628" s="75"/>
      <c r="DV628" s="75"/>
      <c r="DW628" s="75"/>
      <c r="DX628" s="75"/>
      <c r="DY628" s="75"/>
      <c r="DZ628" s="75"/>
      <c r="EA628" s="75"/>
      <c r="EB628" s="75"/>
      <c r="EC628" s="75"/>
      <c r="ED628" s="75"/>
      <c r="EE628" s="75"/>
    </row>
    <row r="629" ht="47.25" hidden="1" customHeight="1">
      <c r="A629" s="84" t="s">
        <v>1897</v>
      </c>
      <c r="B629" s="84" t="s">
        <v>287</v>
      </c>
      <c r="C629" s="55" t="s">
        <v>1898</v>
      </c>
      <c r="D629" s="84" t="s">
        <v>967</v>
      </c>
      <c r="E629" s="84" t="s">
        <v>1899</v>
      </c>
      <c r="F629" s="84" t="s">
        <v>967</v>
      </c>
      <c r="G629" s="84" t="s">
        <v>1900</v>
      </c>
      <c r="H629" s="84" t="s">
        <v>1901</v>
      </c>
      <c r="I629" s="85"/>
      <c r="J629" s="85"/>
      <c r="K629" s="85"/>
      <c r="L629" s="85"/>
      <c r="M629" s="85"/>
      <c r="N629" s="85"/>
      <c r="O629" s="85"/>
      <c r="P629" s="56">
        <v>1.0</v>
      </c>
      <c r="Q629" s="56" t="s">
        <v>131</v>
      </c>
      <c r="R629" s="86" t="str">
        <f t="shared" si="1"/>
        <v>2025</v>
      </c>
      <c r="S629" s="87" t="str">
        <f>SUM(Hoja1!$I629:$P629)</f>
        <v>1</v>
      </c>
      <c r="T629" s="87" t="str">
        <f>IF(OR(Hoja1!$J629=1,Hoja1!$K629=1,Hoja1!$L629=1,Hoja1!$M629=1,Hoja1!$N629=1,Hoja1!$O629=1,Hoja1!$P629=1),"SI","NO")</f>
        <v>SI</v>
      </c>
      <c r="U629" s="59" t="str">
        <f>IF(OR(Hoja1!$K629=1,Hoja1!$L629=1,Hoja1!$M629=1,Hoja1!$N629=1,Hoja1!$O629=1,Hoja1!$P629=1),"SI","NO")</f>
        <v>SI</v>
      </c>
      <c r="V629" s="88">
        <v>0.0</v>
      </c>
      <c r="W629" s="89">
        <v>0.0</v>
      </c>
      <c r="X629" s="89">
        <v>0.0</v>
      </c>
      <c r="Y629" s="88">
        <v>0.0</v>
      </c>
      <c r="Z629" s="89">
        <v>0.0</v>
      </c>
      <c r="AA629" s="89">
        <v>0.0</v>
      </c>
      <c r="AB629" s="88">
        <v>0.0</v>
      </c>
      <c r="AC629" s="89">
        <v>0.0</v>
      </c>
      <c r="AD629" s="89">
        <v>0.0</v>
      </c>
      <c r="AE629" s="88">
        <v>0.0</v>
      </c>
      <c r="AF629" s="89">
        <v>0.0</v>
      </c>
      <c r="AG629" s="89">
        <v>0.0</v>
      </c>
      <c r="AH629" s="88">
        <v>0.0</v>
      </c>
      <c r="AI629" s="89">
        <v>0.0</v>
      </c>
      <c r="AJ629" s="89">
        <v>0.0</v>
      </c>
      <c r="AK629" s="88">
        <v>0.0</v>
      </c>
      <c r="AL629" s="89">
        <v>0.0</v>
      </c>
      <c r="AM629" s="89">
        <v>0.0</v>
      </c>
      <c r="AN629" s="88">
        <v>0.0</v>
      </c>
      <c r="AO629" s="62">
        <v>12.0</v>
      </c>
      <c r="AP629" s="62">
        <v>9.0</v>
      </c>
      <c r="AQ629" s="60">
        <v>21.0</v>
      </c>
      <c r="AR629" s="88" t="str">
        <f>IF(Hoja1!$AQ629&gt;0,Hoja1!$AQ629,IF(Hoja1!$AN629&gt;0,Hoja1!$AN629,IF(Hoja1!$AK629&gt;0,Hoja1!$AK629,IF(Hoja1!$AH629&gt;0,Hoja1!$AH629,IF(Hoja1!$AE629&gt;0,Hoja1!$AE629,IF(Hoja1!$AB629&gt;0,Hoja1!$AB629,IF(Hoja1!$Y629&gt;0,Hoja1!$Y629,IF(Hoja1!$V629&gt;0,Hoja1!$V629," ---"))))))))</f>
        <v>21</v>
      </c>
      <c r="AS629" s="90"/>
      <c r="AT629" s="90"/>
      <c r="AU629" s="90"/>
      <c r="AV629" s="90"/>
      <c r="AW629" s="90"/>
      <c r="AX629" s="90"/>
      <c r="AY629" s="90"/>
      <c r="AZ629" s="90"/>
      <c r="BA629" s="90"/>
      <c r="BB629" s="90"/>
      <c r="BC629" s="63">
        <v>5.0</v>
      </c>
      <c r="BD629" s="63">
        <v>5.0</v>
      </c>
      <c r="BE629" s="91"/>
      <c r="BF629" s="92"/>
      <c r="BG629" s="92"/>
      <c r="BH629" s="91"/>
      <c r="BI629" s="93" t="str">
        <f t="shared" si="281"/>
        <v>#REF!</v>
      </c>
      <c r="BJ629" s="94" t="str">
        <f t="shared" si="282"/>
        <v>#REF!</v>
      </c>
      <c r="BK629" s="92"/>
      <c r="BL629" s="92"/>
      <c r="BM629" s="91"/>
      <c r="BN629" s="93" t="str">
        <f t="shared" si="283"/>
        <v>#REF!</v>
      </c>
      <c r="BO629" s="94" t="str">
        <f t="shared" si="284"/>
        <v>#REF!</v>
      </c>
      <c r="BP629" s="95"/>
      <c r="BQ629" s="95"/>
      <c r="BR629" s="96"/>
      <c r="BS629" s="93" t="str">
        <f t="shared" si="285"/>
        <v>#REF!</v>
      </c>
      <c r="BT629" s="68" t="str">
        <f>'[1]DATA CONSOLIDADA 2018-2025 '!$BR629-Hoja1!$BO629</f>
        <v>#REF!</v>
      </c>
      <c r="BU629" s="92"/>
      <c r="BV629" s="95"/>
      <c r="BW629" s="96"/>
      <c r="BX629" s="93" t="str">
        <f t="shared" si="286"/>
        <v>#REF!</v>
      </c>
      <c r="BY629" s="94" t="str">
        <f t="shared" si="287"/>
        <v>#REF!</v>
      </c>
      <c r="BZ629" s="95"/>
      <c r="CA629" s="95"/>
      <c r="CB629" s="96"/>
      <c r="CC629" s="93" t="str">
        <f t="shared" si="288"/>
        <v>#REF!</v>
      </c>
      <c r="CD629" s="68" t="str">
        <f>'[1]DATA CONSOLIDADA 2018-2025 '!$CB629-Hoja1!$BW629</f>
        <v>#REF!</v>
      </c>
      <c r="CE629" s="97"/>
      <c r="CF629" s="97"/>
      <c r="CG629" s="98"/>
      <c r="CH629" s="93" t="str">
        <f t="shared" si="289"/>
        <v>#REF!</v>
      </c>
      <c r="CI629" s="68" t="str">
        <f>'[1]DATA CONSOLIDADA 2018-2025 '!$CG629-Hoja1!$CB629</f>
        <v>#REF!</v>
      </c>
      <c r="CJ629" s="64" t="str">
        <f t="shared" si="271"/>
        <v>#REF!</v>
      </c>
      <c r="CK629" s="64">
        <v>0.0</v>
      </c>
      <c r="CL629" s="64">
        <v>0.0</v>
      </c>
      <c r="CM629" s="64">
        <v>0.0</v>
      </c>
      <c r="CN629" s="64" t="str">
        <f t="shared" si="12"/>
        <v>#REF!</v>
      </c>
      <c r="CO629" s="68" t="str">
        <f>'[1]DATA CONSOLIDADA 2018-2025 '!$CM629-Hoja1!$CG629</f>
        <v>#REF!</v>
      </c>
      <c r="CP629" s="97"/>
      <c r="CQ629" s="97"/>
      <c r="CR629" s="97"/>
      <c r="CS629" s="97"/>
      <c r="CT629" s="97"/>
      <c r="CU629" s="97"/>
      <c r="CV629" s="91"/>
      <c r="CW629" s="91"/>
      <c r="CX629" s="91"/>
      <c r="CY629" s="91"/>
      <c r="CZ629" s="91"/>
      <c r="DA629" s="91"/>
      <c r="DB629" s="91"/>
      <c r="DC629" s="72">
        <v>0.0</v>
      </c>
      <c r="DD629" s="72">
        <v>0.0</v>
      </c>
      <c r="DE629" s="72">
        <v>0.0</v>
      </c>
      <c r="DF629" s="72">
        <v>0.0</v>
      </c>
      <c r="DG629" s="72">
        <v>0.0</v>
      </c>
      <c r="DH629" s="72">
        <v>0.0</v>
      </c>
      <c r="DI629" s="73" t="s">
        <v>1874</v>
      </c>
      <c r="DJ629" s="74" t="s">
        <v>1874</v>
      </c>
      <c r="DK629" s="74" t="s">
        <v>138</v>
      </c>
      <c r="DL629" s="75"/>
      <c r="DM629" s="75"/>
      <c r="DN629" s="75"/>
      <c r="DO629" s="75"/>
      <c r="DP629" s="75"/>
      <c r="DQ629" s="75"/>
      <c r="DR629" s="75"/>
      <c r="DS629" s="75"/>
      <c r="DT629" s="75"/>
      <c r="DU629" s="75"/>
      <c r="DV629" s="75"/>
      <c r="DW629" s="75"/>
      <c r="DX629" s="75"/>
      <c r="DY629" s="75"/>
      <c r="DZ629" s="75"/>
      <c r="EA629" s="75"/>
      <c r="EB629" s="75"/>
      <c r="EC629" s="75"/>
      <c r="ED629" s="75"/>
      <c r="EE629" s="75"/>
    </row>
    <row r="630" ht="63.0" hidden="1" customHeight="1">
      <c r="A630" s="84" t="s">
        <v>1902</v>
      </c>
      <c r="B630" s="84" t="s">
        <v>1840</v>
      </c>
      <c r="C630" s="55" t="s">
        <v>1840</v>
      </c>
      <c r="D630" s="84" t="s">
        <v>967</v>
      </c>
      <c r="E630" s="84" t="s">
        <v>1440</v>
      </c>
      <c r="F630" s="84" t="s">
        <v>967</v>
      </c>
      <c r="G630" s="84" t="s">
        <v>969</v>
      </c>
      <c r="H630" s="84" t="s">
        <v>1441</v>
      </c>
      <c r="I630" s="85"/>
      <c r="J630" s="85"/>
      <c r="K630" s="85"/>
      <c r="L630" s="85"/>
      <c r="M630" s="85"/>
      <c r="N630" s="85"/>
      <c r="O630" s="85"/>
      <c r="P630" s="56">
        <v>1.0</v>
      </c>
      <c r="Q630" s="56" t="s">
        <v>131</v>
      </c>
      <c r="R630" s="86" t="str">
        <f t="shared" si="1"/>
        <v>2025</v>
      </c>
      <c r="S630" s="87" t="str">
        <f>SUM(Hoja1!$I630:$P630)</f>
        <v>1</v>
      </c>
      <c r="T630" s="87" t="str">
        <f>IF(OR(Hoja1!$J630=1,Hoja1!$K630=1,Hoja1!$L630=1,Hoja1!$M630=1,Hoja1!$N630=1,Hoja1!$O630=1,Hoja1!$P630=1),"SI","NO")</f>
        <v>SI</v>
      </c>
      <c r="U630" s="59" t="str">
        <f>IF(OR(Hoja1!$K630=1,Hoja1!$L630=1,Hoja1!$M630=1,Hoja1!$N630=1,Hoja1!$O630=1,Hoja1!$P630=1),"SI","NO")</f>
        <v>SI</v>
      </c>
      <c r="V630" s="88">
        <v>0.0</v>
      </c>
      <c r="W630" s="89">
        <v>0.0</v>
      </c>
      <c r="X630" s="89">
        <v>0.0</v>
      </c>
      <c r="Y630" s="88">
        <v>0.0</v>
      </c>
      <c r="Z630" s="89">
        <v>0.0</v>
      </c>
      <c r="AA630" s="89">
        <v>0.0</v>
      </c>
      <c r="AB630" s="88">
        <v>0.0</v>
      </c>
      <c r="AC630" s="89">
        <v>0.0</v>
      </c>
      <c r="AD630" s="89">
        <v>0.0</v>
      </c>
      <c r="AE630" s="88">
        <v>0.0</v>
      </c>
      <c r="AF630" s="89">
        <v>0.0</v>
      </c>
      <c r="AG630" s="89">
        <v>0.0</v>
      </c>
      <c r="AH630" s="88">
        <v>0.0</v>
      </c>
      <c r="AI630" s="89">
        <v>0.0</v>
      </c>
      <c r="AJ630" s="89">
        <v>0.0</v>
      </c>
      <c r="AK630" s="88">
        <v>0.0</v>
      </c>
      <c r="AL630" s="89">
        <v>0.0</v>
      </c>
      <c r="AM630" s="89">
        <v>0.0</v>
      </c>
      <c r="AN630" s="88">
        <v>0.0</v>
      </c>
      <c r="AO630" s="62">
        <v>37.0</v>
      </c>
      <c r="AP630" s="62">
        <v>3.0</v>
      </c>
      <c r="AQ630" s="60">
        <v>40.0</v>
      </c>
      <c r="AR630" s="88" t="str">
        <f>IF(Hoja1!$AQ630&gt;0,Hoja1!$AQ630,IF(Hoja1!$AN630&gt;0,Hoja1!$AN630,IF(Hoja1!$AK630&gt;0,Hoja1!$AK630,IF(Hoja1!$AH630&gt;0,Hoja1!$AH630,IF(Hoja1!$AE630&gt;0,Hoja1!$AE630,IF(Hoja1!$AB630&gt;0,Hoja1!$AB630,IF(Hoja1!$Y630&gt;0,Hoja1!$Y630,IF(Hoja1!$V630&gt;0,Hoja1!$V630," ---"))))))))</f>
        <v>40</v>
      </c>
      <c r="AS630" s="90"/>
      <c r="AT630" s="90"/>
      <c r="AU630" s="90"/>
      <c r="AV630" s="90"/>
      <c r="AW630" s="90"/>
      <c r="AX630" s="90"/>
      <c r="AY630" s="90"/>
      <c r="AZ630" s="90"/>
      <c r="BA630" s="90"/>
      <c r="BB630" s="90"/>
      <c r="BC630" s="63">
        <v>4.0</v>
      </c>
      <c r="BD630" s="63">
        <v>0.0</v>
      </c>
      <c r="BE630" s="91"/>
      <c r="BF630" s="92"/>
      <c r="BG630" s="92"/>
      <c r="BH630" s="91"/>
      <c r="BI630" s="93" t="str">
        <f t="shared" si="281"/>
        <v>#REF!</v>
      </c>
      <c r="BJ630" s="94" t="str">
        <f t="shared" si="282"/>
        <v>#REF!</v>
      </c>
      <c r="BK630" s="92"/>
      <c r="BL630" s="92"/>
      <c r="BM630" s="91"/>
      <c r="BN630" s="93" t="str">
        <f t="shared" si="283"/>
        <v>#REF!</v>
      </c>
      <c r="BO630" s="94" t="str">
        <f t="shared" si="284"/>
        <v>#REF!</v>
      </c>
      <c r="BP630" s="95"/>
      <c r="BQ630" s="95"/>
      <c r="BR630" s="96"/>
      <c r="BS630" s="93" t="str">
        <f t="shared" si="285"/>
        <v>#REF!</v>
      </c>
      <c r="BT630" s="68" t="str">
        <f>'[1]DATA CONSOLIDADA 2018-2025 '!$BR630-Hoja1!$BO630</f>
        <v>#REF!</v>
      </c>
      <c r="BU630" s="92"/>
      <c r="BV630" s="95"/>
      <c r="BW630" s="96"/>
      <c r="BX630" s="93" t="str">
        <f t="shared" si="286"/>
        <v>#REF!</v>
      </c>
      <c r="BY630" s="94" t="str">
        <f t="shared" si="287"/>
        <v>#REF!</v>
      </c>
      <c r="BZ630" s="95"/>
      <c r="CA630" s="95"/>
      <c r="CB630" s="96"/>
      <c r="CC630" s="93" t="str">
        <f t="shared" si="288"/>
        <v>#REF!</v>
      </c>
      <c r="CD630" s="68" t="str">
        <f>'[1]DATA CONSOLIDADA 2018-2025 '!$CB630-Hoja1!$BW630</f>
        <v>#REF!</v>
      </c>
      <c r="CE630" s="97"/>
      <c r="CF630" s="97"/>
      <c r="CG630" s="98"/>
      <c r="CH630" s="93" t="str">
        <f t="shared" si="289"/>
        <v>#REF!</v>
      </c>
      <c r="CI630" s="68" t="str">
        <f>'[1]DATA CONSOLIDADA 2018-2025 '!$CG630-Hoja1!$CB630</f>
        <v>#REF!</v>
      </c>
      <c r="CJ630" s="64" t="str">
        <f t="shared" si="271"/>
        <v>#REF!</v>
      </c>
      <c r="CK630" s="64">
        <v>0.0</v>
      </c>
      <c r="CL630" s="64">
        <v>401678.4600000001</v>
      </c>
      <c r="CM630" s="64">
        <v>401678.4600000001</v>
      </c>
      <c r="CN630" s="64" t="str">
        <f t="shared" si="12"/>
        <v>#REF!</v>
      </c>
      <c r="CO630" s="68" t="str">
        <f>'[1]DATA CONSOLIDADA 2018-2025 '!$CM630-Hoja1!$CG630</f>
        <v>#REF!</v>
      </c>
      <c r="CP630" s="97"/>
      <c r="CQ630" s="97"/>
      <c r="CR630" s="97"/>
      <c r="CS630" s="97"/>
      <c r="CT630" s="97"/>
      <c r="CU630" s="97"/>
      <c r="CV630" s="91"/>
      <c r="CW630" s="91"/>
      <c r="CX630" s="91"/>
      <c r="CY630" s="91"/>
      <c r="CZ630" s="91"/>
      <c r="DA630" s="91"/>
      <c r="DB630" s="91"/>
      <c r="DC630" s="72">
        <v>0.0</v>
      </c>
      <c r="DD630" s="72">
        <v>0.0</v>
      </c>
      <c r="DE630" s="72">
        <v>401678.4600000001</v>
      </c>
      <c r="DF630" s="72">
        <v>0.0</v>
      </c>
      <c r="DG630" s="72">
        <v>0.0</v>
      </c>
      <c r="DH630" s="72">
        <v>401678.4600000001</v>
      </c>
      <c r="DI630" s="73" t="s">
        <v>1874</v>
      </c>
      <c r="DJ630" s="74" t="s">
        <v>1874</v>
      </c>
      <c r="DK630" s="74" t="s">
        <v>132</v>
      </c>
      <c r="DL630" s="75"/>
      <c r="DM630" s="75"/>
      <c r="DN630" s="75"/>
      <c r="DO630" s="75"/>
      <c r="DP630" s="75"/>
      <c r="DQ630" s="75"/>
      <c r="DR630" s="75"/>
      <c r="DS630" s="75"/>
      <c r="DT630" s="75"/>
      <c r="DU630" s="75"/>
      <c r="DV630" s="75"/>
      <c r="DW630" s="75"/>
      <c r="DX630" s="75"/>
      <c r="DY630" s="75"/>
      <c r="DZ630" s="75"/>
      <c r="EA630" s="75"/>
      <c r="EB630" s="75"/>
      <c r="EC630" s="75"/>
      <c r="ED630" s="75"/>
      <c r="EE630" s="75"/>
    </row>
    <row r="631" ht="47.25" hidden="1" customHeight="1">
      <c r="A631" s="84" t="s">
        <v>1903</v>
      </c>
      <c r="B631" s="84" t="s">
        <v>1210</v>
      </c>
      <c r="C631" s="55" t="s">
        <v>1210</v>
      </c>
      <c r="D631" s="84" t="s">
        <v>967</v>
      </c>
      <c r="E631" s="84" t="s">
        <v>1895</v>
      </c>
      <c r="F631" s="84" t="s">
        <v>967</v>
      </c>
      <c r="G631" s="84" t="s">
        <v>967</v>
      </c>
      <c r="H631" s="84" t="s">
        <v>1896</v>
      </c>
      <c r="I631" s="85"/>
      <c r="J631" s="85"/>
      <c r="K631" s="85"/>
      <c r="L631" s="85"/>
      <c r="M631" s="85"/>
      <c r="N631" s="85"/>
      <c r="O631" s="85"/>
      <c r="P631" s="56">
        <v>1.0</v>
      </c>
      <c r="Q631" s="56" t="s">
        <v>131</v>
      </c>
      <c r="R631" s="86" t="str">
        <f t="shared" si="1"/>
        <v>2025</v>
      </c>
      <c r="S631" s="87" t="str">
        <f>SUM(Hoja1!$I631:$P631)</f>
        <v>1</v>
      </c>
      <c r="T631" s="87" t="str">
        <f>IF(OR(Hoja1!$J631=1,Hoja1!$K631=1,Hoja1!$L631=1,Hoja1!$M631=1,Hoja1!$N631=1,Hoja1!$O631=1,Hoja1!$P631=1),"SI","NO")</f>
        <v>SI</v>
      </c>
      <c r="U631" s="59" t="str">
        <f>IF(OR(Hoja1!$K631=1,Hoja1!$L631=1,Hoja1!$M631=1,Hoja1!$N631=1,Hoja1!$O631=1,Hoja1!$P631=1),"SI","NO")</f>
        <v>SI</v>
      </c>
      <c r="V631" s="88">
        <v>0.0</v>
      </c>
      <c r="W631" s="89">
        <v>0.0</v>
      </c>
      <c r="X631" s="89">
        <v>0.0</v>
      </c>
      <c r="Y631" s="88">
        <v>0.0</v>
      </c>
      <c r="Z631" s="89">
        <v>0.0</v>
      </c>
      <c r="AA631" s="89">
        <v>0.0</v>
      </c>
      <c r="AB631" s="88">
        <v>0.0</v>
      </c>
      <c r="AC631" s="89">
        <v>0.0</v>
      </c>
      <c r="AD631" s="89">
        <v>0.0</v>
      </c>
      <c r="AE631" s="88">
        <v>0.0</v>
      </c>
      <c r="AF631" s="89">
        <v>0.0</v>
      </c>
      <c r="AG631" s="89">
        <v>0.0</v>
      </c>
      <c r="AH631" s="88">
        <v>0.0</v>
      </c>
      <c r="AI631" s="89">
        <v>0.0</v>
      </c>
      <c r="AJ631" s="89">
        <v>0.0</v>
      </c>
      <c r="AK631" s="88">
        <v>0.0</v>
      </c>
      <c r="AL631" s="89">
        <v>0.0</v>
      </c>
      <c r="AM631" s="89">
        <v>0.0</v>
      </c>
      <c r="AN631" s="88">
        <v>0.0</v>
      </c>
      <c r="AO631" s="62">
        <v>43.0</v>
      </c>
      <c r="AP631" s="62">
        <v>4.0</v>
      </c>
      <c r="AQ631" s="60">
        <v>47.0</v>
      </c>
      <c r="AR631" s="88" t="str">
        <f>IF(Hoja1!$AQ631&gt;0,Hoja1!$AQ631,IF(Hoja1!$AN631&gt;0,Hoja1!$AN631,IF(Hoja1!$AK631&gt;0,Hoja1!$AK631,IF(Hoja1!$AH631&gt;0,Hoja1!$AH631,IF(Hoja1!$AE631&gt;0,Hoja1!$AE631,IF(Hoja1!$AB631&gt;0,Hoja1!$AB631,IF(Hoja1!$Y631&gt;0,Hoja1!$Y631,IF(Hoja1!$V631&gt;0,Hoja1!$V631," ---"))))))))</f>
        <v>47</v>
      </c>
      <c r="AS631" s="90"/>
      <c r="AT631" s="90"/>
      <c r="AU631" s="90"/>
      <c r="AV631" s="90"/>
      <c r="AW631" s="90"/>
      <c r="AX631" s="90"/>
      <c r="AY631" s="90"/>
      <c r="AZ631" s="90"/>
      <c r="BA631" s="90"/>
      <c r="BB631" s="90"/>
      <c r="BC631" s="63">
        <v>6.0</v>
      </c>
      <c r="BD631" s="63">
        <v>1.0</v>
      </c>
      <c r="BE631" s="91"/>
      <c r="BF631" s="92"/>
      <c r="BG631" s="92"/>
      <c r="BH631" s="91"/>
      <c r="BI631" s="93" t="str">
        <f t="shared" si="281"/>
        <v>#REF!</v>
      </c>
      <c r="BJ631" s="94" t="str">
        <f t="shared" si="282"/>
        <v>#REF!</v>
      </c>
      <c r="BK631" s="92"/>
      <c r="BL631" s="92"/>
      <c r="BM631" s="91"/>
      <c r="BN631" s="93" t="str">
        <f t="shared" si="283"/>
        <v>#REF!</v>
      </c>
      <c r="BO631" s="94" t="str">
        <f t="shared" si="284"/>
        <v>#REF!</v>
      </c>
      <c r="BP631" s="95"/>
      <c r="BQ631" s="95"/>
      <c r="BR631" s="96"/>
      <c r="BS631" s="93" t="str">
        <f t="shared" si="285"/>
        <v>#REF!</v>
      </c>
      <c r="BT631" s="68" t="str">
        <f>'[1]DATA CONSOLIDADA 2018-2025 '!$BR631-Hoja1!$BO631</f>
        <v>#REF!</v>
      </c>
      <c r="BU631" s="92"/>
      <c r="BV631" s="95"/>
      <c r="BW631" s="96"/>
      <c r="BX631" s="93" t="str">
        <f t="shared" si="286"/>
        <v>#REF!</v>
      </c>
      <c r="BY631" s="94" t="str">
        <f t="shared" si="287"/>
        <v>#REF!</v>
      </c>
      <c r="BZ631" s="95"/>
      <c r="CA631" s="95"/>
      <c r="CB631" s="96"/>
      <c r="CC631" s="93" t="str">
        <f t="shared" si="288"/>
        <v>#REF!</v>
      </c>
      <c r="CD631" s="68" t="str">
        <f>'[1]DATA CONSOLIDADA 2018-2025 '!$CB631-Hoja1!$BW631</f>
        <v>#REF!</v>
      </c>
      <c r="CE631" s="97"/>
      <c r="CF631" s="97"/>
      <c r="CG631" s="98"/>
      <c r="CH631" s="93" t="str">
        <f t="shared" si="289"/>
        <v>#REF!</v>
      </c>
      <c r="CI631" s="68" t="str">
        <f>'[1]DATA CONSOLIDADA 2018-2025 '!$CG631-Hoja1!$CB631</f>
        <v>#REF!</v>
      </c>
      <c r="CJ631" s="64" t="str">
        <f t="shared" si="271"/>
        <v>#REF!</v>
      </c>
      <c r="CK631" s="64">
        <v>0.0</v>
      </c>
      <c r="CL631" s="64">
        <v>0.0</v>
      </c>
      <c r="CM631" s="64">
        <v>0.0</v>
      </c>
      <c r="CN631" s="64" t="str">
        <f t="shared" si="12"/>
        <v>#REF!</v>
      </c>
      <c r="CO631" s="68" t="str">
        <f>'[1]DATA CONSOLIDADA 2018-2025 '!$CM631-Hoja1!$CG631</f>
        <v>#REF!</v>
      </c>
      <c r="CP631" s="97"/>
      <c r="CQ631" s="97"/>
      <c r="CR631" s="97"/>
      <c r="CS631" s="97"/>
      <c r="CT631" s="97"/>
      <c r="CU631" s="97"/>
      <c r="CV631" s="91"/>
      <c r="CW631" s="91"/>
      <c r="CX631" s="91"/>
      <c r="CY631" s="91"/>
      <c r="CZ631" s="91"/>
      <c r="DA631" s="91"/>
      <c r="DB631" s="91"/>
      <c r="DC631" s="72">
        <v>0.0</v>
      </c>
      <c r="DD631" s="72">
        <v>0.0</v>
      </c>
      <c r="DE631" s="72">
        <v>0.0</v>
      </c>
      <c r="DF631" s="72">
        <v>0.0</v>
      </c>
      <c r="DG631" s="72">
        <v>0.0</v>
      </c>
      <c r="DH631" s="72">
        <v>0.0</v>
      </c>
      <c r="DI631" s="73" t="s">
        <v>1874</v>
      </c>
      <c r="DJ631" s="74" t="s">
        <v>1874</v>
      </c>
      <c r="DK631" s="74" t="s">
        <v>132</v>
      </c>
      <c r="DL631" s="75"/>
      <c r="DM631" s="75"/>
      <c r="DN631" s="75"/>
      <c r="DO631" s="75"/>
      <c r="DP631" s="75"/>
      <c r="DQ631" s="75"/>
      <c r="DR631" s="75"/>
      <c r="DS631" s="75"/>
      <c r="DT631" s="75"/>
      <c r="DU631" s="75"/>
      <c r="DV631" s="75"/>
      <c r="DW631" s="75"/>
      <c r="DX631" s="75"/>
      <c r="DY631" s="75"/>
      <c r="DZ631" s="75"/>
      <c r="EA631" s="75"/>
      <c r="EB631" s="75"/>
      <c r="EC631" s="75"/>
      <c r="ED631" s="75"/>
      <c r="EE631" s="75"/>
    </row>
    <row r="632" ht="47.25" hidden="1" customHeight="1">
      <c r="A632" s="84" t="s">
        <v>1904</v>
      </c>
      <c r="B632" s="84" t="s">
        <v>287</v>
      </c>
      <c r="C632" s="55" t="s">
        <v>1898</v>
      </c>
      <c r="D632" s="84" t="s">
        <v>967</v>
      </c>
      <c r="E632" s="84" t="s">
        <v>1905</v>
      </c>
      <c r="F632" s="84" t="s">
        <v>967</v>
      </c>
      <c r="G632" s="84" t="s">
        <v>973</v>
      </c>
      <c r="H632" s="84" t="s">
        <v>1906</v>
      </c>
      <c r="I632" s="85"/>
      <c r="J632" s="85"/>
      <c r="K632" s="85"/>
      <c r="L632" s="85"/>
      <c r="M632" s="85"/>
      <c r="N632" s="85"/>
      <c r="O632" s="85"/>
      <c r="P632" s="56">
        <v>1.0</v>
      </c>
      <c r="Q632" s="56" t="s">
        <v>131</v>
      </c>
      <c r="R632" s="86" t="str">
        <f t="shared" si="1"/>
        <v>2025</v>
      </c>
      <c r="S632" s="87" t="str">
        <f>SUM(Hoja1!$I632:$P632)</f>
        <v>1</v>
      </c>
      <c r="T632" s="87" t="str">
        <f>IF(OR(Hoja1!$J632=1,Hoja1!$K632=1,Hoja1!$L632=1,Hoja1!$M632=1,Hoja1!$N632=1,Hoja1!$O632=1,Hoja1!$P632=1),"SI","NO")</f>
        <v>SI</v>
      </c>
      <c r="U632" s="59" t="str">
        <f>IF(OR(Hoja1!$K632=1,Hoja1!$L632=1,Hoja1!$M632=1,Hoja1!$N632=1,Hoja1!$O632=1,Hoja1!$P632=1),"SI","NO")</f>
        <v>SI</v>
      </c>
      <c r="V632" s="88">
        <v>0.0</v>
      </c>
      <c r="W632" s="89">
        <v>0.0</v>
      </c>
      <c r="X632" s="89">
        <v>0.0</v>
      </c>
      <c r="Y632" s="88">
        <v>0.0</v>
      </c>
      <c r="Z632" s="89">
        <v>0.0</v>
      </c>
      <c r="AA632" s="89">
        <v>0.0</v>
      </c>
      <c r="AB632" s="88">
        <v>0.0</v>
      </c>
      <c r="AC632" s="89">
        <v>0.0</v>
      </c>
      <c r="AD632" s="89">
        <v>0.0</v>
      </c>
      <c r="AE632" s="88">
        <v>0.0</v>
      </c>
      <c r="AF632" s="89">
        <v>0.0</v>
      </c>
      <c r="AG632" s="89">
        <v>0.0</v>
      </c>
      <c r="AH632" s="88">
        <v>0.0</v>
      </c>
      <c r="AI632" s="89">
        <v>0.0</v>
      </c>
      <c r="AJ632" s="89">
        <v>0.0</v>
      </c>
      <c r="AK632" s="88">
        <v>0.0</v>
      </c>
      <c r="AL632" s="89">
        <v>0.0</v>
      </c>
      <c r="AM632" s="89">
        <v>0.0</v>
      </c>
      <c r="AN632" s="88">
        <v>0.0</v>
      </c>
      <c r="AO632" s="62">
        <v>5.0</v>
      </c>
      <c r="AP632" s="62">
        <v>7.0</v>
      </c>
      <c r="AQ632" s="60">
        <v>12.0</v>
      </c>
      <c r="AR632" s="88" t="str">
        <f>IF(Hoja1!$AQ632&gt;0,Hoja1!$AQ632,IF(Hoja1!$AN632&gt;0,Hoja1!$AN632,IF(Hoja1!$AK632&gt;0,Hoja1!$AK632,IF(Hoja1!$AH632&gt;0,Hoja1!$AH632,IF(Hoja1!$AE632&gt;0,Hoja1!$AE632,IF(Hoja1!$AB632&gt;0,Hoja1!$AB632,IF(Hoja1!$Y632&gt;0,Hoja1!$Y632,IF(Hoja1!$V632&gt;0,Hoja1!$V632," ---"))))))))</f>
        <v>12</v>
      </c>
      <c r="AS632" s="90"/>
      <c r="AT632" s="90"/>
      <c r="AU632" s="90"/>
      <c r="AV632" s="90"/>
      <c r="AW632" s="90"/>
      <c r="AX632" s="90"/>
      <c r="AY632" s="90"/>
      <c r="AZ632" s="90"/>
      <c r="BA632" s="90"/>
      <c r="BB632" s="90"/>
      <c r="BC632" s="63">
        <v>6.0</v>
      </c>
      <c r="BD632" s="63">
        <v>3.0</v>
      </c>
      <c r="BE632" s="91"/>
      <c r="BF632" s="92"/>
      <c r="BG632" s="92"/>
      <c r="BH632" s="91"/>
      <c r="BI632" s="93" t="str">
        <f t="shared" si="281"/>
        <v>#REF!</v>
      </c>
      <c r="BJ632" s="94" t="str">
        <f t="shared" si="282"/>
        <v>#REF!</v>
      </c>
      <c r="BK632" s="92"/>
      <c r="BL632" s="92"/>
      <c r="BM632" s="91"/>
      <c r="BN632" s="93" t="str">
        <f t="shared" si="283"/>
        <v>#REF!</v>
      </c>
      <c r="BO632" s="94" t="str">
        <f t="shared" si="284"/>
        <v>#REF!</v>
      </c>
      <c r="BP632" s="95"/>
      <c r="BQ632" s="95"/>
      <c r="BR632" s="96"/>
      <c r="BS632" s="93" t="str">
        <f t="shared" si="285"/>
        <v>#REF!</v>
      </c>
      <c r="BT632" s="68" t="str">
        <f>'[1]DATA CONSOLIDADA 2018-2025 '!$BR632-Hoja1!$BO632</f>
        <v>#REF!</v>
      </c>
      <c r="BU632" s="92"/>
      <c r="BV632" s="95"/>
      <c r="BW632" s="96"/>
      <c r="BX632" s="93" t="str">
        <f t="shared" si="286"/>
        <v>#REF!</v>
      </c>
      <c r="BY632" s="94" t="str">
        <f t="shared" si="287"/>
        <v>#REF!</v>
      </c>
      <c r="BZ632" s="95"/>
      <c r="CA632" s="95"/>
      <c r="CB632" s="96"/>
      <c r="CC632" s="93" t="str">
        <f t="shared" si="288"/>
        <v>#REF!</v>
      </c>
      <c r="CD632" s="68" t="str">
        <f>'[1]DATA CONSOLIDADA 2018-2025 '!$CB632-Hoja1!$BW632</f>
        <v>#REF!</v>
      </c>
      <c r="CE632" s="97"/>
      <c r="CF632" s="97"/>
      <c r="CG632" s="98"/>
      <c r="CH632" s="93" t="str">
        <f t="shared" si="289"/>
        <v>#REF!</v>
      </c>
      <c r="CI632" s="68" t="str">
        <f>'[1]DATA CONSOLIDADA 2018-2025 '!$CG632-Hoja1!$CB632</f>
        <v>#REF!</v>
      </c>
      <c r="CJ632" s="64" t="str">
        <f t="shared" si="271"/>
        <v>#REF!</v>
      </c>
      <c r="CK632" s="64">
        <v>0.0</v>
      </c>
      <c r="CL632" s="64">
        <v>0.0</v>
      </c>
      <c r="CM632" s="64">
        <v>0.0</v>
      </c>
      <c r="CN632" s="64" t="str">
        <f t="shared" si="12"/>
        <v>#REF!</v>
      </c>
      <c r="CO632" s="68" t="str">
        <f>'[1]DATA CONSOLIDADA 2018-2025 '!$CM632-Hoja1!$CG632</f>
        <v>#REF!</v>
      </c>
      <c r="CP632" s="97"/>
      <c r="CQ632" s="97"/>
      <c r="CR632" s="97"/>
      <c r="CS632" s="97"/>
      <c r="CT632" s="97"/>
      <c r="CU632" s="97"/>
      <c r="CV632" s="91"/>
      <c r="CW632" s="91"/>
      <c r="CX632" s="91"/>
      <c r="CY632" s="91"/>
      <c r="CZ632" s="91"/>
      <c r="DA632" s="91"/>
      <c r="DB632" s="91"/>
      <c r="DC632" s="72">
        <v>0.0</v>
      </c>
      <c r="DD632" s="72">
        <v>0.0</v>
      </c>
      <c r="DE632" s="72">
        <v>0.0</v>
      </c>
      <c r="DF632" s="72">
        <v>0.0</v>
      </c>
      <c r="DG632" s="72">
        <v>0.0</v>
      </c>
      <c r="DH632" s="72">
        <v>0.0</v>
      </c>
      <c r="DI632" s="73" t="s">
        <v>1874</v>
      </c>
      <c r="DJ632" s="74" t="s">
        <v>1874</v>
      </c>
      <c r="DK632" s="74" t="s">
        <v>138</v>
      </c>
      <c r="DL632" s="75"/>
      <c r="DM632" s="75"/>
      <c r="DN632" s="75"/>
      <c r="DO632" s="75"/>
      <c r="DP632" s="75"/>
      <c r="DQ632" s="75"/>
      <c r="DR632" s="75"/>
      <c r="DS632" s="75"/>
      <c r="DT632" s="75"/>
      <c r="DU632" s="75"/>
      <c r="DV632" s="75"/>
      <c r="DW632" s="75"/>
      <c r="DX632" s="75"/>
      <c r="DY632" s="75"/>
      <c r="DZ632" s="75"/>
      <c r="EA632" s="75"/>
      <c r="EB632" s="75"/>
      <c r="EC632" s="75"/>
      <c r="ED632" s="75"/>
      <c r="EE632" s="75"/>
    </row>
    <row r="633" ht="47.25" hidden="1" customHeight="1">
      <c r="A633" s="84" t="s">
        <v>1907</v>
      </c>
      <c r="B633" s="84" t="s">
        <v>1908</v>
      </c>
      <c r="C633" s="84"/>
      <c r="D633" s="99" t="s">
        <v>768</v>
      </c>
      <c r="E633" s="84" t="s">
        <v>1909</v>
      </c>
      <c r="F633" s="84" t="s">
        <v>768</v>
      </c>
      <c r="G633" s="84" t="s">
        <v>774</v>
      </c>
      <c r="H633" s="84" t="s">
        <v>1910</v>
      </c>
      <c r="I633" s="85"/>
      <c r="J633" s="85"/>
      <c r="K633" s="85"/>
      <c r="L633" s="85"/>
      <c r="M633" s="85"/>
      <c r="N633" s="85"/>
      <c r="O633" s="85"/>
      <c r="P633" s="56">
        <v>1.0</v>
      </c>
      <c r="Q633" s="56" t="s">
        <v>131</v>
      </c>
      <c r="R633" s="86" t="str">
        <f t="shared" si="1"/>
        <v>2025</v>
      </c>
      <c r="S633" s="87" t="str">
        <f>SUM(Hoja1!$I633:$P633)</f>
        <v>1</v>
      </c>
      <c r="T633" s="87" t="str">
        <f>IF(OR(Hoja1!$J633=1,Hoja1!$K633=1,Hoja1!$L633=1,Hoja1!$M633=1,Hoja1!$N633=1,Hoja1!$O633=1,Hoja1!$P633=1),"SI","NO")</f>
        <v>SI</v>
      </c>
      <c r="U633" s="59" t="str">
        <f>IF(OR(Hoja1!$K633=1,Hoja1!$L633=1,Hoja1!$M633=1,Hoja1!$N633=1,Hoja1!$O633=1,Hoja1!$P633=1),"SI","NO")</f>
        <v>SI</v>
      </c>
      <c r="V633" s="88"/>
      <c r="W633" s="89"/>
      <c r="X633" s="89"/>
      <c r="Y633" s="88"/>
      <c r="Z633" s="89"/>
      <c r="AA633" s="89"/>
      <c r="AB633" s="88"/>
      <c r="AC633" s="89"/>
      <c r="AD633" s="89"/>
      <c r="AE633" s="88"/>
      <c r="AF633" s="89"/>
      <c r="AG633" s="89"/>
      <c r="AH633" s="88"/>
      <c r="AI633" s="89"/>
      <c r="AJ633" s="89"/>
      <c r="AK633" s="88"/>
      <c r="AL633" s="89"/>
      <c r="AM633" s="89"/>
      <c r="AN633" s="88"/>
      <c r="AO633" s="100">
        <v>0.0</v>
      </c>
      <c r="AP633" s="100">
        <v>33.0</v>
      </c>
      <c r="AQ633" s="88">
        <v>33.0</v>
      </c>
      <c r="AR633" s="88" t="str">
        <f>IF(Hoja1!$AQ633&gt;0,Hoja1!$AQ633,IF(Hoja1!$AN633&gt;0,Hoja1!$AN633,IF(Hoja1!$AK633&gt;0,Hoja1!$AK633,IF(Hoja1!$AH633&gt;0,Hoja1!$AH633,IF(Hoja1!$AE633&gt;0,Hoja1!$AE633,IF(Hoja1!$AB633&gt;0,Hoja1!$AB633,IF(Hoja1!$Y633&gt;0,Hoja1!$Y633,IF(Hoja1!$V633&gt;0,Hoja1!$V633," ---"))))))))</f>
        <v>33</v>
      </c>
      <c r="AS633" s="90"/>
      <c r="AT633" s="90"/>
      <c r="AU633" s="90"/>
      <c r="AV633" s="90"/>
      <c r="AW633" s="90"/>
      <c r="AX633" s="90"/>
      <c r="AY633" s="90"/>
      <c r="AZ633" s="90"/>
      <c r="BA633" s="90"/>
      <c r="BB633" s="90"/>
      <c r="BC633" s="90"/>
      <c r="BD633" s="90"/>
      <c r="BE633" s="91"/>
      <c r="BF633" s="92"/>
      <c r="BG633" s="92"/>
      <c r="BH633" s="91"/>
      <c r="BI633" s="93" t="str">
        <f t="shared" si="281"/>
        <v>#REF!</v>
      </c>
      <c r="BJ633" s="94" t="str">
        <f t="shared" si="282"/>
        <v>#REF!</v>
      </c>
      <c r="BK633" s="92"/>
      <c r="BL633" s="92"/>
      <c r="BM633" s="91"/>
      <c r="BN633" s="93" t="str">
        <f t="shared" si="283"/>
        <v>#REF!</v>
      </c>
      <c r="BO633" s="94" t="str">
        <f t="shared" si="284"/>
        <v>#REF!</v>
      </c>
      <c r="BP633" s="95"/>
      <c r="BQ633" s="95"/>
      <c r="BR633" s="96"/>
      <c r="BS633" s="93" t="str">
        <f t="shared" si="285"/>
        <v>#REF!</v>
      </c>
      <c r="BT633" s="94" t="str">
        <f>'[1]DATA CONSOLIDADA 2018-2025 '!$BR633-Hoja1!$BO633</f>
        <v>#REF!</v>
      </c>
      <c r="BU633" s="92"/>
      <c r="BV633" s="95"/>
      <c r="BW633" s="96"/>
      <c r="BX633" s="93" t="str">
        <f t="shared" si="286"/>
        <v>#REF!</v>
      </c>
      <c r="BY633" s="94" t="str">
        <f t="shared" si="287"/>
        <v>#REF!</v>
      </c>
      <c r="BZ633" s="95"/>
      <c r="CA633" s="95"/>
      <c r="CB633" s="96"/>
      <c r="CC633" s="93" t="str">
        <f t="shared" si="288"/>
        <v>#REF!</v>
      </c>
      <c r="CD633" s="94" t="str">
        <f>'[1]DATA CONSOLIDADA 2018-2025 '!$CB633-Hoja1!$BW633</f>
        <v>#REF!</v>
      </c>
      <c r="CE633" s="97"/>
      <c r="CF633" s="97"/>
      <c r="CG633" s="98"/>
      <c r="CH633" s="93" t="str">
        <f t="shared" si="289"/>
        <v>#REF!</v>
      </c>
      <c r="CI633" s="94" t="str">
        <f>'[1]DATA CONSOLIDADA 2018-2025 '!$CG633-Hoja1!$CB633</f>
        <v>#REF!</v>
      </c>
      <c r="CJ633" s="91" t="str">
        <f t="shared" si="271"/>
        <v>#REF!</v>
      </c>
      <c r="CK633" s="64">
        <v>6556.0</v>
      </c>
      <c r="CL633" s="64">
        <v>0.0</v>
      </c>
      <c r="CM633" s="64">
        <v>6556.0</v>
      </c>
      <c r="CN633" s="64" t="str">
        <f t="shared" si="12"/>
        <v>#REF!</v>
      </c>
      <c r="CO633" s="68" t="str">
        <f>'[1]DATA CONSOLIDADA 2018-2025 '!$CM633-Hoja1!$CG633</f>
        <v>#REF!</v>
      </c>
      <c r="CP633" s="97"/>
      <c r="CQ633" s="97"/>
      <c r="CR633" s="97"/>
      <c r="CS633" s="97"/>
      <c r="CT633" s="97"/>
      <c r="CU633" s="97"/>
      <c r="CV633" s="91"/>
      <c r="CW633" s="91"/>
      <c r="CX633" s="91"/>
      <c r="CY633" s="91"/>
      <c r="CZ633" s="91"/>
      <c r="DA633" s="91"/>
      <c r="DB633" s="91"/>
      <c r="DC633" s="72">
        <v>0.0</v>
      </c>
      <c r="DD633" s="72">
        <v>6556.0</v>
      </c>
      <c r="DE633" s="72">
        <v>0.0</v>
      </c>
      <c r="DF633" s="72">
        <v>0.0</v>
      </c>
      <c r="DG633" s="72">
        <v>0.0</v>
      </c>
      <c r="DH633" s="72">
        <v>6556.0</v>
      </c>
      <c r="DI633" s="101"/>
      <c r="DJ633" s="102"/>
      <c r="DK633" s="102" t="s">
        <v>138</v>
      </c>
      <c r="DL633" s="75"/>
      <c r="DM633" s="75"/>
      <c r="DN633" s="75"/>
      <c r="DO633" s="75"/>
      <c r="DP633" s="75"/>
      <c r="DQ633" s="75"/>
      <c r="DR633" s="75"/>
      <c r="DS633" s="75"/>
      <c r="DT633" s="75"/>
      <c r="DU633" s="75"/>
      <c r="DV633" s="75"/>
      <c r="DW633" s="75"/>
      <c r="DX633" s="75"/>
      <c r="DY633" s="75"/>
      <c r="DZ633" s="75"/>
      <c r="EA633" s="75"/>
      <c r="EB633" s="75"/>
      <c r="EC633" s="75"/>
      <c r="ED633" s="75"/>
      <c r="EE633" s="75"/>
    </row>
    <row r="634" ht="47.25" hidden="1" customHeight="1">
      <c r="A634" s="84" t="s">
        <v>1911</v>
      </c>
      <c r="B634" s="84" t="s">
        <v>1840</v>
      </c>
      <c r="C634" s="84"/>
      <c r="D634" s="103" t="s">
        <v>768</v>
      </c>
      <c r="E634" s="84" t="s">
        <v>1912</v>
      </c>
      <c r="F634" s="84" t="s">
        <v>768</v>
      </c>
      <c r="G634" s="84" t="s">
        <v>768</v>
      </c>
      <c r="H634" s="84" t="s">
        <v>1913</v>
      </c>
      <c r="I634" s="85"/>
      <c r="J634" s="85"/>
      <c r="K634" s="85"/>
      <c r="L634" s="85"/>
      <c r="M634" s="85"/>
      <c r="N634" s="85"/>
      <c r="O634" s="85"/>
      <c r="P634" s="56">
        <v>1.0</v>
      </c>
      <c r="Q634" s="56" t="s">
        <v>131</v>
      </c>
      <c r="R634" s="86" t="str">
        <f t="shared" si="1"/>
        <v>2025</v>
      </c>
      <c r="S634" s="87" t="str">
        <f>SUM(Hoja1!$I634:$P634)</f>
        <v>1</v>
      </c>
      <c r="T634" s="87" t="str">
        <f>IF(OR(Hoja1!$J634=1,Hoja1!$K634=1,Hoja1!$L634=1,Hoja1!$M634=1,Hoja1!$N634=1,Hoja1!$O634=1,Hoja1!$P634=1),"SI","NO")</f>
        <v>SI</v>
      </c>
      <c r="U634" s="59" t="str">
        <f>IF(OR(Hoja1!$K634=1,Hoja1!$L634=1,Hoja1!$M634=1,Hoja1!$N634=1,Hoja1!$O634=1,Hoja1!$P634=1),"SI","NO")</f>
        <v>SI</v>
      </c>
      <c r="V634" s="88"/>
      <c r="W634" s="89"/>
      <c r="X634" s="89"/>
      <c r="Y634" s="88"/>
      <c r="Z634" s="89"/>
      <c r="AA634" s="89"/>
      <c r="AB634" s="88"/>
      <c r="AC634" s="89"/>
      <c r="AD634" s="89"/>
      <c r="AE634" s="88"/>
      <c r="AF634" s="89"/>
      <c r="AG634" s="89"/>
      <c r="AH634" s="88"/>
      <c r="AI634" s="89"/>
      <c r="AJ634" s="89"/>
      <c r="AK634" s="88"/>
      <c r="AL634" s="89"/>
      <c r="AM634" s="89"/>
      <c r="AN634" s="88"/>
      <c r="AO634" s="100">
        <v>6.0</v>
      </c>
      <c r="AP634" s="100">
        <v>1.0</v>
      </c>
      <c r="AQ634" s="88">
        <v>7.0</v>
      </c>
      <c r="AR634" s="88" t="str">
        <f>IF(Hoja1!$AQ634&gt;0,Hoja1!$AQ634,IF(Hoja1!$AN634&gt;0,Hoja1!$AN634,IF(Hoja1!$AK634&gt;0,Hoja1!$AK634,IF(Hoja1!$AH634&gt;0,Hoja1!$AH634,IF(Hoja1!$AE634&gt;0,Hoja1!$AE634,IF(Hoja1!$AB634&gt;0,Hoja1!$AB634,IF(Hoja1!$Y634&gt;0,Hoja1!$Y634,IF(Hoja1!$V634&gt;0,Hoja1!$V634," ---"))))))))</f>
        <v>7</v>
      </c>
      <c r="AS634" s="90"/>
      <c r="AT634" s="90"/>
      <c r="AU634" s="90"/>
      <c r="AV634" s="90"/>
      <c r="AW634" s="90"/>
      <c r="AX634" s="90"/>
      <c r="AY634" s="90"/>
      <c r="AZ634" s="90"/>
      <c r="BA634" s="90"/>
      <c r="BB634" s="90"/>
      <c r="BC634" s="90"/>
      <c r="BD634" s="90"/>
      <c r="BE634" s="91"/>
      <c r="BF634" s="92"/>
      <c r="BG634" s="92"/>
      <c r="BH634" s="91"/>
      <c r="BI634" s="93" t="str">
        <f t="shared" si="281"/>
        <v>#REF!</v>
      </c>
      <c r="BJ634" s="94" t="str">
        <f t="shared" si="282"/>
        <v>#REF!</v>
      </c>
      <c r="BK634" s="92"/>
      <c r="BL634" s="92"/>
      <c r="BM634" s="91"/>
      <c r="BN634" s="93" t="str">
        <f t="shared" si="283"/>
        <v>#REF!</v>
      </c>
      <c r="BO634" s="94" t="str">
        <f t="shared" si="284"/>
        <v>#REF!</v>
      </c>
      <c r="BP634" s="95"/>
      <c r="BQ634" s="95"/>
      <c r="BR634" s="96"/>
      <c r="BS634" s="93" t="str">
        <f t="shared" si="285"/>
        <v>#REF!</v>
      </c>
      <c r="BT634" s="94" t="str">
        <f>'[1]DATA CONSOLIDADA 2018-2025 '!$BR634-Hoja1!$BO634</f>
        <v>#REF!</v>
      </c>
      <c r="BU634" s="92"/>
      <c r="BV634" s="95"/>
      <c r="BW634" s="96"/>
      <c r="BX634" s="93" t="str">
        <f t="shared" si="286"/>
        <v>#REF!</v>
      </c>
      <c r="BY634" s="94" t="str">
        <f t="shared" si="287"/>
        <v>#REF!</v>
      </c>
      <c r="BZ634" s="95"/>
      <c r="CA634" s="95"/>
      <c r="CB634" s="96"/>
      <c r="CC634" s="93" t="str">
        <f t="shared" si="288"/>
        <v>#REF!</v>
      </c>
      <c r="CD634" s="94" t="str">
        <f>'[1]DATA CONSOLIDADA 2018-2025 '!$CB634-Hoja1!$BW634</f>
        <v>#REF!</v>
      </c>
      <c r="CE634" s="97"/>
      <c r="CF634" s="97"/>
      <c r="CG634" s="98"/>
      <c r="CH634" s="93" t="str">
        <f t="shared" si="289"/>
        <v>#REF!</v>
      </c>
      <c r="CI634" s="94" t="str">
        <f>'[1]DATA CONSOLIDADA 2018-2025 '!$CG634-Hoja1!$CB634</f>
        <v>#REF!</v>
      </c>
      <c r="CJ634" s="91" t="str">
        <f t="shared" si="271"/>
        <v>#REF!</v>
      </c>
      <c r="CK634" s="64">
        <v>17584.44</v>
      </c>
      <c r="CL634" s="64">
        <v>0.0</v>
      </c>
      <c r="CM634" s="64">
        <v>17584.44</v>
      </c>
      <c r="CN634" s="64" t="str">
        <f t="shared" si="12"/>
        <v>#REF!</v>
      </c>
      <c r="CO634" s="68" t="str">
        <f>'[1]DATA CONSOLIDADA 2018-2025 '!$CM634-Hoja1!$CG634</f>
        <v>#REF!</v>
      </c>
      <c r="CP634" s="97"/>
      <c r="CQ634" s="97"/>
      <c r="CR634" s="97"/>
      <c r="CS634" s="97"/>
      <c r="CT634" s="97"/>
      <c r="CU634" s="97"/>
      <c r="CV634" s="91"/>
      <c r="CW634" s="91"/>
      <c r="CX634" s="91"/>
      <c r="CY634" s="91"/>
      <c r="CZ634" s="91"/>
      <c r="DA634" s="91"/>
      <c r="DB634" s="91"/>
      <c r="DC634" s="72">
        <v>0.0</v>
      </c>
      <c r="DD634" s="72">
        <v>17584.44</v>
      </c>
      <c r="DE634" s="72">
        <v>0.0</v>
      </c>
      <c r="DF634" s="72">
        <v>0.0</v>
      </c>
      <c r="DG634" s="72">
        <v>0.0</v>
      </c>
      <c r="DH634" s="72">
        <v>17584.44</v>
      </c>
      <c r="DI634" s="101"/>
      <c r="DJ634" s="102"/>
      <c r="DK634" s="102" t="s">
        <v>138</v>
      </c>
      <c r="DL634" s="75"/>
      <c r="DM634" s="75"/>
      <c r="DN634" s="75"/>
      <c r="DO634" s="75"/>
      <c r="DP634" s="75"/>
      <c r="DQ634" s="75"/>
      <c r="DR634" s="75"/>
      <c r="DS634" s="75"/>
      <c r="DT634" s="75"/>
      <c r="DU634" s="75"/>
      <c r="DV634" s="75"/>
      <c r="DW634" s="75"/>
      <c r="DX634" s="75"/>
      <c r="DY634" s="75"/>
      <c r="DZ634" s="75"/>
      <c r="EA634" s="75"/>
      <c r="EB634" s="75"/>
      <c r="EC634" s="75"/>
      <c r="ED634" s="75"/>
      <c r="EE634" s="75"/>
    </row>
    <row r="635" ht="47.25" hidden="1" customHeight="1">
      <c r="A635" s="84" t="s">
        <v>1914</v>
      </c>
      <c r="B635" s="84" t="s">
        <v>1840</v>
      </c>
      <c r="C635" s="84"/>
      <c r="D635" s="103" t="s">
        <v>768</v>
      </c>
      <c r="E635" s="84" t="s">
        <v>1912</v>
      </c>
      <c r="F635" s="84" t="s">
        <v>768</v>
      </c>
      <c r="G635" s="84" t="s">
        <v>768</v>
      </c>
      <c r="H635" s="84" t="s">
        <v>1913</v>
      </c>
      <c r="I635" s="85"/>
      <c r="J635" s="85"/>
      <c r="K635" s="85"/>
      <c r="L635" s="85"/>
      <c r="M635" s="85"/>
      <c r="N635" s="85"/>
      <c r="O635" s="85"/>
      <c r="P635" s="56">
        <v>1.0</v>
      </c>
      <c r="Q635" s="56" t="s">
        <v>131</v>
      </c>
      <c r="R635" s="86" t="str">
        <f t="shared" si="1"/>
        <v>2025</v>
      </c>
      <c r="S635" s="87" t="str">
        <f>SUM(Hoja1!$I635:$P635)</f>
        <v>1</v>
      </c>
      <c r="T635" s="87" t="str">
        <f>IF(OR(Hoja1!$J635=1,Hoja1!$K635=1,Hoja1!$L635=1,Hoja1!$M635=1,Hoja1!$N635=1,Hoja1!$O635=1,Hoja1!$P635=1),"SI","NO")</f>
        <v>SI</v>
      </c>
      <c r="U635" s="59" t="str">
        <f>IF(OR(Hoja1!$K635=1,Hoja1!$L635=1,Hoja1!$M635=1,Hoja1!$N635=1,Hoja1!$O635=1,Hoja1!$P635=1),"SI","NO")</f>
        <v>SI</v>
      </c>
      <c r="V635" s="88"/>
      <c r="W635" s="89"/>
      <c r="X635" s="89"/>
      <c r="Y635" s="88"/>
      <c r="Z635" s="89"/>
      <c r="AA635" s="89"/>
      <c r="AB635" s="88"/>
      <c r="AC635" s="89"/>
      <c r="AD635" s="89"/>
      <c r="AE635" s="88"/>
      <c r="AF635" s="89"/>
      <c r="AG635" s="89"/>
      <c r="AH635" s="88"/>
      <c r="AI635" s="89"/>
      <c r="AJ635" s="89"/>
      <c r="AK635" s="88"/>
      <c r="AL635" s="89"/>
      <c r="AM635" s="89"/>
      <c r="AN635" s="88"/>
      <c r="AO635" s="100">
        <v>9.0</v>
      </c>
      <c r="AP635" s="100">
        <v>4.0</v>
      </c>
      <c r="AQ635" s="88">
        <v>13.0</v>
      </c>
      <c r="AR635" s="88" t="str">
        <f>IF(Hoja1!$AQ635&gt;0,Hoja1!$AQ635,IF(Hoja1!$AN635&gt;0,Hoja1!$AN635,IF(Hoja1!$AK635&gt;0,Hoja1!$AK635,IF(Hoja1!$AH635&gt;0,Hoja1!$AH635,IF(Hoja1!$AE635&gt;0,Hoja1!$AE635,IF(Hoja1!$AB635&gt;0,Hoja1!$AB635,IF(Hoja1!$Y635&gt;0,Hoja1!$Y635,IF(Hoja1!$V635&gt;0,Hoja1!$V635," ---"))))))))</f>
        <v>13</v>
      </c>
      <c r="AS635" s="90"/>
      <c r="AT635" s="90"/>
      <c r="AU635" s="90"/>
      <c r="AV635" s="90"/>
      <c r="AW635" s="90"/>
      <c r="AX635" s="90"/>
      <c r="AY635" s="90"/>
      <c r="AZ635" s="90"/>
      <c r="BA635" s="90"/>
      <c r="BB635" s="90"/>
      <c r="BC635" s="90"/>
      <c r="BD635" s="90"/>
      <c r="BE635" s="91"/>
      <c r="BF635" s="92"/>
      <c r="BG635" s="92"/>
      <c r="BH635" s="91"/>
      <c r="BI635" s="93" t="str">
        <f t="shared" si="281"/>
        <v>#REF!</v>
      </c>
      <c r="BJ635" s="94" t="str">
        <f t="shared" si="282"/>
        <v>#REF!</v>
      </c>
      <c r="BK635" s="92"/>
      <c r="BL635" s="92"/>
      <c r="BM635" s="91"/>
      <c r="BN635" s="93" t="str">
        <f t="shared" si="283"/>
        <v>#REF!</v>
      </c>
      <c r="BO635" s="94" t="str">
        <f t="shared" si="284"/>
        <v>#REF!</v>
      </c>
      <c r="BP635" s="95"/>
      <c r="BQ635" s="95"/>
      <c r="BR635" s="96"/>
      <c r="BS635" s="93" t="str">
        <f t="shared" si="285"/>
        <v>#REF!</v>
      </c>
      <c r="BT635" s="94" t="str">
        <f>'[1]DATA CONSOLIDADA 2018-2025 '!$BR635-Hoja1!$BO635</f>
        <v>#REF!</v>
      </c>
      <c r="BU635" s="92"/>
      <c r="BV635" s="95"/>
      <c r="BW635" s="96"/>
      <c r="BX635" s="93" t="str">
        <f t="shared" si="286"/>
        <v>#REF!</v>
      </c>
      <c r="BY635" s="94" t="str">
        <f t="shared" si="287"/>
        <v>#REF!</v>
      </c>
      <c r="BZ635" s="95"/>
      <c r="CA635" s="95"/>
      <c r="CB635" s="96"/>
      <c r="CC635" s="93" t="str">
        <f t="shared" si="288"/>
        <v>#REF!</v>
      </c>
      <c r="CD635" s="94" t="str">
        <f>'[1]DATA CONSOLIDADA 2018-2025 '!$CB635-Hoja1!$BW635</f>
        <v>#REF!</v>
      </c>
      <c r="CE635" s="97"/>
      <c r="CF635" s="97"/>
      <c r="CG635" s="98"/>
      <c r="CH635" s="93" t="str">
        <f t="shared" si="289"/>
        <v>#REF!</v>
      </c>
      <c r="CI635" s="94" t="str">
        <f>'[1]DATA CONSOLIDADA 2018-2025 '!$CG635-Hoja1!$CB635</f>
        <v>#REF!</v>
      </c>
      <c r="CJ635" s="91" t="str">
        <f t="shared" si="271"/>
        <v>#REF!</v>
      </c>
      <c r="CK635" s="64">
        <v>142724.50079999998</v>
      </c>
      <c r="CL635" s="64">
        <v>0.0</v>
      </c>
      <c r="CM635" s="64">
        <v>142724.50079999998</v>
      </c>
      <c r="CN635" s="64" t="str">
        <f t="shared" si="12"/>
        <v>#REF!</v>
      </c>
      <c r="CO635" s="68" t="str">
        <f>'[1]DATA CONSOLIDADA 2018-2025 '!$CM635-Hoja1!$CG635</f>
        <v>#REF!</v>
      </c>
      <c r="CP635" s="97"/>
      <c r="CQ635" s="97"/>
      <c r="CR635" s="97"/>
      <c r="CS635" s="97"/>
      <c r="CT635" s="97"/>
      <c r="CU635" s="97"/>
      <c r="CV635" s="91"/>
      <c r="CW635" s="91"/>
      <c r="CX635" s="91"/>
      <c r="CY635" s="91"/>
      <c r="CZ635" s="91"/>
      <c r="DA635" s="91"/>
      <c r="DB635" s="91"/>
      <c r="DC635" s="72">
        <v>0.0</v>
      </c>
      <c r="DD635" s="72">
        <v>142724.50079999998</v>
      </c>
      <c r="DE635" s="72">
        <v>0.0</v>
      </c>
      <c r="DF635" s="72">
        <v>0.0</v>
      </c>
      <c r="DG635" s="72">
        <v>0.0</v>
      </c>
      <c r="DH635" s="72">
        <v>142724.50079999998</v>
      </c>
      <c r="DI635" s="101"/>
      <c r="DJ635" s="102"/>
      <c r="DK635" s="102" t="s">
        <v>138</v>
      </c>
      <c r="DL635" s="75"/>
      <c r="DM635" s="75"/>
      <c r="DN635" s="75"/>
      <c r="DO635" s="75"/>
      <c r="DP635" s="75"/>
      <c r="DQ635" s="75"/>
      <c r="DR635" s="75"/>
      <c r="DS635" s="75"/>
      <c r="DT635" s="75"/>
      <c r="DU635" s="75"/>
      <c r="DV635" s="75"/>
      <c r="DW635" s="75"/>
      <c r="DX635" s="75"/>
      <c r="DY635" s="75"/>
      <c r="DZ635" s="75"/>
      <c r="EA635" s="75"/>
      <c r="EB635" s="75"/>
      <c r="EC635" s="75"/>
      <c r="ED635" s="75"/>
      <c r="EE635" s="75"/>
    </row>
    <row r="636" ht="47.25" hidden="1" customHeight="1">
      <c r="A636" s="84" t="s">
        <v>1915</v>
      </c>
      <c r="B636" s="84" t="s">
        <v>1840</v>
      </c>
      <c r="C636" s="84"/>
      <c r="D636" s="103" t="s">
        <v>768</v>
      </c>
      <c r="E636" s="84" t="s">
        <v>1912</v>
      </c>
      <c r="F636" s="84" t="s">
        <v>768</v>
      </c>
      <c r="G636" s="84" t="s">
        <v>768</v>
      </c>
      <c r="H636" s="84" t="s">
        <v>1913</v>
      </c>
      <c r="I636" s="85"/>
      <c r="J636" s="85"/>
      <c r="K636" s="85"/>
      <c r="L636" s="85"/>
      <c r="M636" s="85"/>
      <c r="N636" s="85"/>
      <c r="O636" s="85"/>
      <c r="P636" s="56">
        <v>1.0</v>
      </c>
      <c r="Q636" s="56" t="s">
        <v>131</v>
      </c>
      <c r="R636" s="86" t="str">
        <f t="shared" si="1"/>
        <v>2025</v>
      </c>
      <c r="S636" s="87" t="str">
        <f>SUM(Hoja1!$I636:$P636)</f>
        <v>1</v>
      </c>
      <c r="T636" s="87" t="str">
        <f>IF(OR(Hoja1!$J636=1,Hoja1!$K636=1,Hoja1!$L636=1,Hoja1!$M636=1,Hoja1!$N636=1,Hoja1!$O636=1,Hoja1!$P636=1),"SI","NO")</f>
        <v>SI</v>
      </c>
      <c r="U636" s="59" t="str">
        <f>IF(OR(Hoja1!$K636=1,Hoja1!$L636=1,Hoja1!$M636=1,Hoja1!$N636=1,Hoja1!$O636=1,Hoja1!$P636=1),"SI","NO")</f>
        <v>SI</v>
      </c>
      <c r="V636" s="88"/>
      <c r="W636" s="89"/>
      <c r="X636" s="89"/>
      <c r="Y636" s="88"/>
      <c r="Z636" s="89"/>
      <c r="AA636" s="89"/>
      <c r="AB636" s="88"/>
      <c r="AC636" s="89"/>
      <c r="AD636" s="89"/>
      <c r="AE636" s="88"/>
      <c r="AF636" s="89"/>
      <c r="AG636" s="89"/>
      <c r="AH636" s="88"/>
      <c r="AI636" s="89"/>
      <c r="AJ636" s="89"/>
      <c r="AK636" s="88"/>
      <c r="AL636" s="89"/>
      <c r="AM636" s="89"/>
      <c r="AN636" s="88"/>
      <c r="AO636" s="100">
        <v>22.0</v>
      </c>
      <c r="AP636" s="100">
        <v>13.0</v>
      </c>
      <c r="AQ636" s="88">
        <v>35.0</v>
      </c>
      <c r="AR636" s="88" t="str">
        <f>IF(Hoja1!$AQ636&gt;0,Hoja1!$AQ636,IF(Hoja1!$AN636&gt;0,Hoja1!$AN636,IF(Hoja1!$AK636&gt;0,Hoja1!$AK636,IF(Hoja1!$AH636&gt;0,Hoja1!$AH636,IF(Hoja1!$AE636&gt;0,Hoja1!$AE636,IF(Hoja1!$AB636&gt;0,Hoja1!$AB636,IF(Hoja1!$Y636&gt;0,Hoja1!$Y636,IF(Hoja1!$V636&gt;0,Hoja1!$V636," ---"))))))))</f>
        <v>35</v>
      </c>
      <c r="AS636" s="90"/>
      <c r="AT636" s="90"/>
      <c r="AU636" s="90"/>
      <c r="AV636" s="90"/>
      <c r="AW636" s="90"/>
      <c r="AX636" s="90"/>
      <c r="AY636" s="90"/>
      <c r="AZ636" s="90"/>
      <c r="BA636" s="90"/>
      <c r="BB636" s="90"/>
      <c r="BC636" s="90"/>
      <c r="BD636" s="90"/>
      <c r="BE636" s="91"/>
      <c r="BF636" s="92"/>
      <c r="BG636" s="92"/>
      <c r="BH636" s="91"/>
      <c r="BI636" s="93" t="str">
        <f t="shared" si="281"/>
        <v>#REF!</v>
      </c>
      <c r="BJ636" s="94" t="str">
        <f t="shared" si="282"/>
        <v>#REF!</v>
      </c>
      <c r="BK636" s="92"/>
      <c r="BL636" s="92"/>
      <c r="BM636" s="91"/>
      <c r="BN636" s="93" t="str">
        <f t="shared" si="283"/>
        <v>#REF!</v>
      </c>
      <c r="BO636" s="94" t="str">
        <f t="shared" si="284"/>
        <v>#REF!</v>
      </c>
      <c r="BP636" s="95"/>
      <c r="BQ636" s="95"/>
      <c r="BR636" s="96"/>
      <c r="BS636" s="93" t="str">
        <f t="shared" si="285"/>
        <v>#REF!</v>
      </c>
      <c r="BT636" s="94" t="str">
        <f>'[1]DATA CONSOLIDADA 2018-2025 '!$BR636-Hoja1!$BO636</f>
        <v>#REF!</v>
      </c>
      <c r="BU636" s="92"/>
      <c r="BV636" s="95"/>
      <c r="BW636" s="96"/>
      <c r="BX636" s="93" t="str">
        <f t="shared" si="286"/>
        <v>#REF!</v>
      </c>
      <c r="BY636" s="94" t="str">
        <f t="shared" si="287"/>
        <v>#REF!</v>
      </c>
      <c r="BZ636" s="95"/>
      <c r="CA636" s="95"/>
      <c r="CB636" s="96"/>
      <c r="CC636" s="93" t="str">
        <f t="shared" si="288"/>
        <v>#REF!</v>
      </c>
      <c r="CD636" s="94" t="str">
        <f>'[1]DATA CONSOLIDADA 2018-2025 '!$CB636-Hoja1!$BW636</f>
        <v>#REF!</v>
      </c>
      <c r="CE636" s="97"/>
      <c r="CF636" s="97"/>
      <c r="CG636" s="98"/>
      <c r="CH636" s="93" t="str">
        <f t="shared" si="289"/>
        <v>#REF!</v>
      </c>
      <c r="CI636" s="94" t="str">
        <f>'[1]DATA CONSOLIDADA 2018-2025 '!$CG636-Hoja1!$CB636</f>
        <v>#REF!</v>
      </c>
      <c r="CJ636" s="91" t="str">
        <f t="shared" si="271"/>
        <v>#REF!</v>
      </c>
      <c r="CK636" s="64">
        <v>1363678.176</v>
      </c>
      <c r="CL636" s="64">
        <v>0.0</v>
      </c>
      <c r="CM636" s="64">
        <v>1363678.176</v>
      </c>
      <c r="CN636" s="64" t="str">
        <f t="shared" si="12"/>
        <v>#REF!</v>
      </c>
      <c r="CO636" s="68" t="str">
        <f>'[1]DATA CONSOLIDADA 2018-2025 '!$CM636-Hoja1!$CG636</f>
        <v>#REF!</v>
      </c>
      <c r="CP636" s="97"/>
      <c r="CQ636" s="97"/>
      <c r="CR636" s="97"/>
      <c r="CS636" s="97"/>
      <c r="CT636" s="97"/>
      <c r="CU636" s="97"/>
      <c r="CV636" s="91"/>
      <c r="CW636" s="91"/>
      <c r="CX636" s="91"/>
      <c r="CY636" s="91"/>
      <c r="CZ636" s="91"/>
      <c r="DA636" s="91"/>
      <c r="DB636" s="91"/>
      <c r="DC636" s="72">
        <v>0.0</v>
      </c>
      <c r="DD636" s="72">
        <v>1363678.176</v>
      </c>
      <c r="DE636" s="72">
        <v>0.0</v>
      </c>
      <c r="DF636" s="72">
        <v>0.0</v>
      </c>
      <c r="DG636" s="72">
        <v>0.0</v>
      </c>
      <c r="DH636" s="72">
        <v>1363678.176</v>
      </c>
      <c r="DI636" s="101"/>
      <c r="DJ636" s="102"/>
      <c r="DK636" s="102" t="s">
        <v>132</v>
      </c>
      <c r="DL636" s="75"/>
      <c r="DM636" s="75"/>
      <c r="DN636" s="75"/>
      <c r="DO636" s="75"/>
      <c r="DP636" s="75"/>
      <c r="DQ636" s="75"/>
      <c r="DR636" s="75"/>
      <c r="DS636" s="75"/>
      <c r="DT636" s="75"/>
      <c r="DU636" s="75"/>
      <c r="DV636" s="75"/>
      <c r="DW636" s="75"/>
      <c r="DX636" s="75"/>
      <c r="DY636" s="75"/>
      <c r="DZ636" s="75"/>
      <c r="EA636" s="75"/>
      <c r="EB636" s="75"/>
      <c r="EC636" s="75"/>
      <c r="ED636" s="75"/>
      <c r="EE636" s="75"/>
    </row>
    <row r="637" ht="47.25" hidden="1" customHeight="1">
      <c r="A637" s="84" t="s">
        <v>1916</v>
      </c>
      <c r="B637" s="84" t="s">
        <v>166</v>
      </c>
      <c r="C637" s="84"/>
      <c r="D637" s="99" t="s">
        <v>807</v>
      </c>
      <c r="E637" s="84" t="s">
        <v>1917</v>
      </c>
      <c r="F637" s="84" t="s">
        <v>807</v>
      </c>
      <c r="G637" s="84" t="s">
        <v>1918</v>
      </c>
      <c r="H637" s="84" t="s">
        <v>1919</v>
      </c>
      <c r="I637" s="85"/>
      <c r="J637" s="85"/>
      <c r="K637" s="85"/>
      <c r="L637" s="85"/>
      <c r="M637" s="85"/>
      <c r="N637" s="85"/>
      <c r="O637" s="85"/>
      <c r="P637" s="56">
        <v>1.0</v>
      </c>
      <c r="Q637" s="56" t="s">
        <v>131</v>
      </c>
      <c r="R637" s="86" t="str">
        <f t="shared" si="1"/>
        <v>2025</v>
      </c>
      <c r="S637" s="87" t="str">
        <f>SUM(Hoja1!$I637:$P637)</f>
        <v>1</v>
      </c>
      <c r="T637" s="87" t="str">
        <f>IF(OR(Hoja1!$J637=1,Hoja1!$K637=1,Hoja1!$L637=1,Hoja1!$M637=1,Hoja1!$N637=1,Hoja1!$O637=1,Hoja1!$P637=1),"SI","NO")</f>
        <v>SI</v>
      </c>
      <c r="U637" s="59" t="str">
        <f>IF(OR(Hoja1!$K637=1,Hoja1!$L637=1,Hoja1!$M637=1,Hoja1!$N637=1,Hoja1!$O637=1,Hoja1!$P637=1),"SI","NO")</f>
        <v>SI</v>
      </c>
      <c r="V637" s="88"/>
      <c r="W637" s="89"/>
      <c r="X637" s="89"/>
      <c r="Y637" s="88"/>
      <c r="Z637" s="89"/>
      <c r="AA637" s="89"/>
      <c r="AB637" s="88"/>
      <c r="AC637" s="89"/>
      <c r="AD637" s="89"/>
      <c r="AE637" s="88"/>
      <c r="AF637" s="89"/>
      <c r="AG637" s="89"/>
      <c r="AH637" s="88"/>
      <c r="AI637" s="89"/>
      <c r="AJ637" s="89"/>
      <c r="AK637" s="88"/>
      <c r="AL637" s="89"/>
      <c r="AM637" s="89"/>
      <c r="AN637" s="88"/>
      <c r="AO637" s="100">
        <v>0.0</v>
      </c>
      <c r="AP637" s="100">
        <v>9.0</v>
      </c>
      <c r="AQ637" s="88">
        <v>9.0</v>
      </c>
      <c r="AR637" s="88" t="str">
        <f>IF(Hoja1!$AQ637&gt;0,Hoja1!$AQ637,IF(Hoja1!$AN637&gt;0,Hoja1!$AN637,IF(Hoja1!$AK637&gt;0,Hoja1!$AK637,IF(Hoja1!$AH637&gt;0,Hoja1!$AH637,IF(Hoja1!$AE637&gt;0,Hoja1!$AE637,IF(Hoja1!$AB637&gt;0,Hoja1!$AB637,IF(Hoja1!$Y637&gt;0,Hoja1!$Y637,IF(Hoja1!$V637&gt;0,Hoja1!$V637," ---"))))))))</f>
        <v>9</v>
      </c>
      <c r="AS637" s="90"/>
      <c r="AT637" s="90"/>
      <c r="AU637" s="90"/>
      <c r="AV637" s="90"/>
      <c r="AW637" s="90"/>
      <c r="AX637" s="90"/>
      <c r="AY637" s="90"/>
      <c r="AZ637" s="90"/>
      <c r="BA637" s="90"/>
      <c r="BB637" s="90"/>
      <c r="BC637" s="90"/>
      <c r="BD637" s="90"/>
      <c r="BE637" s="91"/>
      <c r="BF637" s="92"/>
      <c r="BG637" s="92"/>
      <c r="BH637" s="91"/>
      <c r="BI637" s="93" t="str">
        <f t="shared" si="281"/>
        <v>#REF!</v>
      </c>
      <c r="BJ637" s="94" t="str">
        <f t="shared" si="282"/>
        <v>#REF!</v>
      </c>
      <c r="BK637" s="92"/>
      <c r="BL637" s="92"/>
      <c r="BM637" s="91"/>
      <c r="BN637" s="93" t="str">
        <f t="shared" si="283"/>
        <v>#REF!</v>
      </c>
      <c r="BO637" s="94" t="str">
        <f t="shared" si="284"/>
        <v>#REF!</v>
      </c>
      <c r="BP637" s="95"/>
      <c r="BQ637" s="95"/>
      <c r="BR637" s="96"/>
      <c r="BS637" s="93" t="str">
        <f t="shared" si="285"/>
        <v>#REF!</v>
      </c>
      <c r="BT637" s="94" t="str">
        <f>'[1]DATA CONSOLIDADA 2018-2025 '!$BR637-Hoja1!$BO637</f>
        <v>#REF!</v>
      </c>
      <c r="BU637" s="92"/>
      <c r="BV637" s="95"/>
      <c r="BW637" s="96"/>
      <c r="BX637" s="93" t="str">
        <f t="shared" si="286"/>
        <v>#REF!</v>
      </c>
      <c r="BY637" s="94" t="str">
        <f t="shared" si="287"/>
        <v>#REF!</v>
      </c>
      <c r="BZ637" s="95"/>
      <c r="CA637" s="95"/>
      <c r="CB637" s="96"/>
      <c r="CC637" s="93" t="str">
        <f t="shared" si="288"/>
        <v>#REF!</v>
      </c>
      <c r="CD637" s="94" t="str">
        <f>'[1]DATA CONSOLIDADA 2018-2025 '!$CB637-Hoja1!$BW637</f>
        <v>#REF!</v>
      </c>
      <c r="CE637" s="97"/>
      <c r="CF637" s="97"/>
      <c r="CG637" s="98"/>
      <c r="CH637" s="93" t="str">
        <f t="shared" si="289"/>
        <v>#REF!</v>
      </c>
      <c r="CI637" s="94" t="str">
        <f>'[1]DATA CONSOLIDADA 2018-2025 '!$CG637-Hoja1!$CB637</f>
        <v>#REF!</v>
      </c>
      <c r="CJ637" s="91" t="str">
        <f t="shared" si="271"/>
        <v>#REF!</v>
      </c>
      <c r="CK637" s="64">
        <v>0.0</v>
      </c>
      <c r="CL637" s="64">
        <v>0.0</v>
      </c>
      <c r="CM637" s="64">
        <v>0.0</v>
      </c>
      <c r="CN637" s="64" t="str">
        <f t="shared" si="12"/>
        <v>#REF!</v>
      </c>
      <c r="CO637" s="68" t="str">
        <f>'[1]DATA CONSOLIDADA 2018-2025 '!$CM637-Hoja1!$CG637</f>
        <v>#REF!</v>
      </c>
      <c r="CP637" s="97"/>
      <c r="CQ637" s="97"/>
      <c r="CR637" s="97"/>
      <c r="CS637" s="97"/>
      <c r="CT637" s="97"/>
      <c r="CU637" s="97"/>
      <c r="CV637" s="91"/>
      <c r="CW637" s="91"/>
      <c r="CX637" s="91"/>
      <c r="CY637" s="91"/>
      <c r="CZ637" s="91"/>
      <c r="DA637" s="91"/>
      <c r="DB637" s="91"/>
      <c r="DC637" s="72">
        <v>0.0</v>
      </c>
      <c r="DD637" s="72">
        <v>0.0</v>
      </c>
      <c r="DE637" s="72">
        <v>0.0</v>
      </c>
      <c r="DF637" s="72">
        <v>0.0</v>
      </c>
      <c r="DG637" s="72">
        <v>0.0</v>
      </c>
      <c r="DH637" s="72">
        <v>0.0</v>
      </c>
      <c r="DI637" s="101"/>
      <c r="DJ637" s="102"/>
      <c r="DK637" s="102" t="s">
        <v>138</v>
      </c>
      <c r="DL637" s="75"/>
      <c r="DM637" s="75"/>
      <c r="DN637" s="75"/>
      <c r="DO637" s="75"/>
      <c r="DP637" s="75"/>
      <c r="DQ637" s="75"/>
      <c r="DR637" s="75"/>
      <c r="DS637" s="75"/>
      <c r="DT637" s="75"/>
      <c r="DU637" s="75"/>
      <c r="DV637" s="75"/>
      <c r="DW637" s="75"/>
      <c r="DX637" s="75"/>
      <c r="DY637" s="75"/>
      <c r="DZ637" s="75"/>
      <c r="EA637" s="75"/>
      <c r="EB637" s="75"/>
      <c r="EC637" s="75"/>
      <c r="ED637" s="75"/>
      <c r="EE637" s="75"/>
    </row>
    <row r="638" ht="47.25" hidden="1" customHeight="1">
      <c r="A638" s="84" t="s">
        <v>1920</v>
      </c>
      <c r="B638" s="84" t="s">
        <v>207</v>
      </c>
      <c r="C638" s="84"/>
      <c r="D638" s="99" t="s">
        <v>807</v>
      </c>
      <c r="E638" s="84" t="s">
        <v>1921</v>
      </c>
      <c r="F638" s="84" t="s">
        <v>807</v>
      </c>
      <c r="G638" s="84" t="s">
        <v>1922</v>
      </c>
      <c r="H638" s="84" t="s">
        <v>1923</v>
      </c>
      <c r="I638" s="85"/>
      <c r="J638" s="85"/>
      <c r="K638" s="85"/>
      <c r="L638" s="85"/>
      <c r="M638" s="85"/>
      <c r="N638" s="85"/>
      <c r="O638" s="85"/>
      <c r="P638" s="56">
        <v>1.0</v>
      </c>
      <c r="Q638" s="56" t="s">
        <v>131</v>
      </c>
      <c r="R638" s="86" t="str">
        <f t="shared" si="1"/>
        <v>2025</v>
      </c>
      <c r="S638" s="87" t="str">
        <f>SUM(Hoja1!$I638:$P638)</f>
        <v>1</v>
      </c>
      <c r="T638" s="87" t="str">
        <f>IF(OR(Hoja1!$J638=1,Hoja1!$K638=1,Hoja1!$L638=1,Hoja1!$M638=1,Hoja1!$N638=1,Hoja1!$O638=1,Hoja1!$P638=1),"SI","NO")</f>
        <v>SI</v>
      </c>
      <c r="U638" s="59" t="str">
        <f>IF(OR(Hoja1!$K638=1,Hoja1!$L638=1,Hoja1!$M638=1,Hoja1!$N638=1,Hoja1!$O638=1,Hoja1!$P638=1),"SI","NO")</f>
        <v>SI</v>
      </c>
      <c r="V638" s="88"/>
      <c r="W638" s="89"/>
      <c r="X638" s="89"/>
      <c r="Y638" s="88"/>
      <c r="Z638" s="89"/>
      <c r="AA638" s="89"/>
      <c r="AB638" s="88"/>
      <c r="AC638" s="89"/>
      <c r="AD638" s="89"/>
      <c r="AE638" s="88"/>
      <c r="AF638" s="89"/>
      <c r="AG638" s="89"/>
      <c r="AH638" s="88"/>
      <c r="AI638" s="89"/>
      <c r="AJ638" s="89"/>
      <c r="AK638" s="88"/>
      <c r="AL638" s="89"/>
      <c r="AM638" s="89"/>
      <c r="AN638" s="88"/>
      <c r="AO638" s="100">
        <v>19.0</v>
      </c>
      <c r="AP638" s="100">
        <v>5.0</v>
      </c>
      <c r="AQ638" s="88">
        <v>24.0</v>
      </c>
      <c r="AR638" s="88" t="str">
        <f>IF(Hoja1!$AQ638&gt;0,Hoja1!$AQ638,IF(Hoja1!$AN638&gt;0,Hoja1!$AN638,IF(Hoja1!$AK638&gt;0,Hoja1!$AK638,IF(Hoja1!$AH638&gt;0,Hoja1!$AH638,IF(Hoja1!$AE638&gt;0,Hoja1!$AE638,IF(Hoja1!$AB638&gt;0,Hoja1!$AB638,IF(Hoja1!$Y638&gt;0,Hoja1!$Y638,IF(Hoja1!$V638&gt;0,Hoja1!$V638," ---"))))))))</f>
        <v>24</v>
      </c>
      <c r="AS638" s="90"/>
      <c r="AT638" s="90"/>
      <c r="AU638" s="90"/>
      <c r="AV638" s="90"/>
      <c r="AW638" s="90"/>
      <c r="AX638" s="90"/>
      <c r="AY638" s="90"/>
      <c r="AZ638" s="90"/>
      <c r="BA638" s="90"/>
      <c r="BB638" s="90"/>
      <c r="BC638" s="90"/>
      <c r="BD638" s="90"/>
      <c r="BE638" s="91"/>
      <c r="BF638" s="92"/>
      <c r="BG638" s="92"/>
      <c r="BH638" s="91"/>
      <c r="BI638" s="93" t="str">
        <f t="shared" si="281"/>
        <v>#REF!</v>
      </c>
      <c r="BJ638" s="94" t="str">
        <f t="shared" si="282"/>
        <v>#REF!</v>
      </c>
      <c r="BK638" s="92"/>
      <c r="BL638" s="92"/>
      <c r="BM638" s="91"/>
      <c r="BN638" s="93" t="str">
        <f t="shared" si="283"/>
        <v>#REF!</v>
      </c>
      <c r="BO638" s="94" t="str">
        <f t="shared" si="284"/>
        <v>#REF!</v>
      </c>
      <c r="BP638" s="95"/>
      <c r="BQ638" s="95"/>
      <c r="BR638" s="96"/>
      <c r="BS638" s="93" t="str">
        <f t="shared" si="285"/>
        <v>#REF!</v>
      </c>
      <c r="BT638" s="94" t="str">
        <f>'[1]DATA CONSOLIDADA 2018-2025 '!$BR638-Hoja1!$BO638</f>
        <v>#REF!</v>
      </c>
      <c r="BU638" s="92"/>
      <c r="BV638" s="95"/>
      <c r="BW638" s="96"/>
      <c r="BX638" s="93" t="str">
        <f t="shared" si="286"/>
        <v>#REF!</v>
      </c>
      <c r="BY638" s="94" t="str">
        <f t="shared" si="287"/>
        <v>#REF!</v>
      </c>
      <c r="BZ638" s="95"/>
      <c r="CA638" s="95"/>
      <c r="CB638" s="96"/>
      <c r="CC638" s="93" t="str">
        <f t="shared" si="288"/>
        <v>#REF!</v>
      </c>
      <c r="CD638" s="94" t="str">
        <f>'[1]DATA CONSOLIDADA 2018-2025 '!$CB638-Hoja1!$BW638</f>
        <v>#REF!</v>
      </c>
      <c r="CE638" s="97"/>
      <c r="CF638" s="97"/>
      <c r="CG638" s="98"/>
      <c r="CH638" s="93" t="str">
        <f t="shared" si="289"/>
        <v>#REF!</v>
      </c>
      <c r="CI638" s="94" t="str">
        <f>'[1]DATA CONSOLIDADA 2018-2025 '!$CG638-Hoja1!$CB638</f>
        <v>#REF!</v>
      </c>
      <c r="CJ638" s="91" t="str">
        <f t="shared" si="271"/>
        <v>#REF!</v>
      </c>
      <c r="CK638" s="64">
        <v>72700.0</v>
      </c>
      <c r="CL638" s="64">
        <v>0.0</v>
      </c>
      <c r="CM638" s="64">
        <v>72700.0</v>
      </c>
      <c r="CN638" s="64" t="str">
        <f t="shared" si="12"/>
        <v>#REF!</v>
      </c>
      <c r="CO638" s="68" t="str">
        <f>'[1]DATA CONSOLIDADA 2018-2025 '!$CM638-Hoja1!$CG638</f>
        <v>#REF!</v>
      </c>
      <c r="CP638" s="97"/>
      <c r="CQ638" s="97"/>
      <c r="CR638" s="97"/>
      <c r="CS638" s="97"/>
      <c r="CT638" s="97"/>
      <c r="CU638" s="97"/>
      <c r="CV638" s="91"/>
      <c r="CW638" s="91"/>
      <c r="CX638" s="91"/>
      <c r="CY638" s="91"/>
      <c r="CZ638" s="91"/>
      <c r="DA638" s="91"/>
      <c r="DB638" s="91"/>
      <c r="DC638" s="72">
        <v>0.0</v>
      </c>
      <c r="DD638" s="72">
        <v>72700.0</v>
      </c>
      <c r="DE638" s="72">
        <v>0.0</v>
      </c>
      <c r="DF638" s="72">
        <v>0.0</v>
      </c>
      <c r="DG638" s="72">
        <v>0.0</v>
      </c>
      <c r="DH638" s="72">
        <v>72700.0</v>
      </c>
      <c r="DI638" s="101"/>
      <c r="DJ638" s="102"/>
      <c r="DK638" s="102" t="s">
        <v>138</v>
      </c>
      <c r="DL638" s="75"/>
      <c r="DM638" s="75"/>
      <c r="DN638" s="75"/>
      <c r="DO638" s="75"/>
      <c r="DP638" s="75"/>
      <c r="DQ638" s="75"/>
      <c r="DR638" s="75"/>
      <c r="DS638" s="75"/>
      <c r="DT638" s="75"/>
      <c r="DU638" s="75"/>
      <c r="DV638" s="75"/>
      <c r="DW638" s="75"/>
      <c r="DX638" s="75"/>
      <c r="DY638" s="75"/>
      <c r="DZ638" s="75"/>
      <c r="EA638" s="75"/>
      <c r="EB638" s="75"/>
      <c r="EC638" s="75"/>
      <c r="ED638" s="75"/>
      <c r="EE638" s="75"/>
    </row>
    <row r="639" ht="47.25" hidden="1" customHeight="1">
      <c r="A639" s="84" t="s">
        <v>1924</v>
      </c>
      <c r="B639" s="84" t="s">
        <v>1898</v>
      </c>
      <c r="C639" s="84"/>
      <c r="D639" s="99" t="s">
        <v>807</v>
      </c>
      <c r="E639" s="84" t="s">
        <v>1925</v>
      </c>
      <c r="F639" s="84" t="s">
        <v>807</v>
      </c>
      <c r="G639" s="84" t="s">
        <v>1926</v>
      </c>
      <c r="H639" s="84" t="s">
        <v>1927</v>
      </c>
      <c r="I639" s="85"/>
      <c r="J639" s="85"/>
      <c r="K639" s="85"/>
      <c r="L639" s="85"/>
      <c r="M639" s="85"/>
      <c r="N639" s="85"/>
      <c r="O639" s="85"/>
      <c r="P639" s="56">
        <v>1.0</v>
      </c>
      <c r="Q639" s="56" t="s">
        <v>131</v>
      </c>
      <c r="R639" s="86" t="str">
        <f t="shared" si="1"/>
        <v>2025</v>
      </c>
      <c r="S639" s="87" t="str">
        <f>SUM(Hoja1!$I639:$P639)</f>
        <v>1</v>
      </c>
      <c r="T639" s="87" t="str">
        <f>IF(OR(Hoja1!$J639=1,Hoja1!$K639=1,Hoja1!$L639=1,Hoja1!$M639=1,Hoja1!$N639=1,Hoja1!$O639=1,Hoja1!$P639=1),"SI","NO")</f>
        <v>SI</v>
      </c>
      <c r="U639" s="59" t="str">
        <f>IF(OR(Hoja1!$K639=1,Hoja1!$L639=1,Hoja1!$M639=1,Hoja1!$N639=1,Hoja1!$O639=1,Hoja1!$P639=1),"SI","NO")</f>
        <v>SI</v>
      </c>
      <c r="V639" s="88"/>
      <c r="W639" s="89"/>
      <c r="X639" s="89"/>
      <c r="Y639" s="88"/>
      <c r="Z639" s="89"/>
      <c r="AA639" s="89"/>
      <c r="AB639" s="88"/>
      <c r="AC639" s="89"/>
      <c r="AD639" s="89"/>
      <c r="AE639" s="88"/>
      <c r="AF639" s="89"/>
      <c r="AG639" s="89"/>
      <c r="AH639" s="88"/>
      <c r="AI639" s="89"/>
      <c r="AJ639" s="89"/>
      <c r="AK639" s="88"/>
      <c r="AL639" s="89"/>
      <c r="AM639" s="89"/>
      <c r="AN639" s="88"/>
      <c r="AO639" s="100">
        <v>13.0</v>
      </c>
      <c r="AP639" s="100">
        <v>4.0</v>
      </c>
      <c r="AQ639" s="88">
        <v>17.0</v>
      </c>
      <c r="AR639" s="88" t="str">
        <f>IF(Hoja1!$AQ639&gt;0,Hoja1!$AQ639,IF(Hoja1!$AN639&gt;0,Hoja1!$AN639,IF(Hoja1!$AK639&gt;0,Hoja1!$AK639,IF(Hoja1!$AH639&gt;0,Hoja1!$AH639,IF(Hoja1!$AE639&gt;0,Hoja1!$AE639,IF(Hoja1!$AB639&gt;0,Hoja1!$AB639,IF(Hoja1!$Y639&gt;0,Hoja1!$Y639,IF(Hoja1!$V639&gt;0,Hoja1!$V639," ---"))))))))</f>
        <v>17</v>
      </c>
      <c r="AS639" s="90"/>
      <c r="AT639" s="90"/>
      <c r="AU639" s="90"/>
      <c r="AV639" s="90"/>
      <c r="AW639" s="90"/>
      <c r="AX639" s="90"/>
      <c r="AY639" s="90"/>
      <c r="AZ639" s="90"/>
      <c r="BA639" s="90"/>
      <c r="BB639" s="90"/>
      <c r="BC639" s="90"/>
      <c r="BD639" s="90"/>
      <c r="BE639" s="91"/>
      <c r="BF639" s="92"/>
      <c r="BG639" s="92"/>
      <c r="BH639" s="91"/>
      <c r="BI639" s="93" t="str">
        <f t="shared" si="281"/>
        <v>#REF!</v>
      </c>
      <c r="BJ639" s="94" t="str">
        <f t="shared" si="282"/>
        <v>#REF!</v>
      </c>
      <c r="BK639" s="92"/>
      <c r="BL639" s="92"/>
      <c r="BM639" s="91"/>
      <c r="BN639" s="93" t="str">
        <f t="shared" si="283"/>
        <v>#REF!</v>
      </c>
      <c r="BO639" s="94" t="str">
        <f t="shared" si="284"/>
        <v>#REF!</v>
      </c>
      <c r="BP639" s="95"/>
      <c r="BQ639" s="95"/>
      <c r="BR639" s="96"/>
      <c r="BS639" s="93" t="str">
        <f t="shared" si="285"/>
        <v>#REF!</v>
      </c>
      <c r="BT639" s="94" t="str">
        <f>'[1]DATA CONSOLIDADA 2018-2025 '!$BR639-Hoja1!$BO639</f>
        <v>#REF!</v>
      </c>
      <c r="BU639" s="92"/>
      <c r="BV639" s="95"/>
      <c r="BW639" s="96"/>
      <c r="BX639" s="93" t="str">
        <f t="shared" si="286"/>
        <v>#REF!</v>
      </c>
      <c r="BY639" s="94" t="str">
        <f t="shared" si="287"/>
        <v>#REF!</v>
      </c>
      <c r="BZ639" s="95"/>
      <c r="CA639" s="95"/>
      <c r="CB639" s="96"/>
      <c r="CC639" s="93" t="str">
        <f t="shared" si="288"/>
        <v>#REF!</v>
      </c>
      <c r="CD639" s="94" t="str">
        <f>'[1]DATA CONSOLIDADA 2018-2025 '!$CB639-Hoja1!$BW639</f>
        <v>#REF!</v>
      </c>
      <c r="CE639" s="97"/>
      <c r="CF639" s="97"/>
      <c r="CG639" s="98"/>
      <c r="CH639" s="93" t="str">
        <f t="shared" si="289"/>
        <v>#REF!</v>
      </c>
      <c r="CI639" s="94" t="str">
        <f>'[1]DATA CONSOLIDADA 2018-2025 '!$CG639-Hoja1!$CB639</f>
        <v>#REF!</v>
      </c>
      <c r="CJ639" s="91" t="str">
        <f t="shared" si="271"/>
        <v>#REF!</v>
      </c>
      <c r="CK639" s="64">
        <v>205857.0</v>
      </c>
      <c r="CL639" s="64">
        <v>0.0</v>
      </c>
      <c r="CM639" s="64">
        <v>205857.0</v>
      </c>
      <c r="CN639" s="64" t="str">
        <f t="shared" si="12"/>
        <v>#REF!</v>
      </c>
      <c r="CO639" s="68" t="str">
        <f>'[1]DATA CONSOLIDADA 2018-2025 '!$CM639-Hoja1!$CG639</f>
        <v>#REF!</v>
      </c>
      <c r="CP639" s="97"/>
      <c r="CQ639" s="97"/>
      <c r="CR639" s="97"/>
      <c r="CS639" s="97"/>
      <c r="CT639" s="97"/>
      <c r="CU639" s="97"/>
      <c r="CV639" s="91"/>
      <c r="CW639" s="91"/>
      <c r="CX639" s="91"/>
      <c r="CY639" s="91"/>
      <c r="CZ639" s="91"/>
      <c r="DA639" s="91"/>
      <c r="DB639" s="91"/>
      <c r="DC639" s="72">
        <v>0.0</v>
      </c>
      <c r="DD639" s="72">
        <v>205857.0</v>
      </c>
      <c r="DE639" s="72">
        <v>0.0</v>
      </c>
      <c r="DF639" s="72">
        <v>0.0</v>
      </c>
      <c r="DG639" s="72">
        <v>0.0</v>
      </c>
      <c r="DH639" s="72">
        <v>205857.0</v>
      </c>
      <c r="DI639" s="101"/>
      <c r="DJ639" s="102"/>
      <c r="DK639" s="102" t="s">
        <v>138</v>
      </c>
      <c r="DL639" s="75"/>
      <c r="DM639" s="75"/>
      <c r="DN639" s="75"/>
      <c r="DO639" s="75"/>
      <c r="DP639" s="75"/>
      <c r="DQ639" s="75"/>
      <c r="DR639" s="75"/>
      <c r="DS639" s="75"/>
      <c r="DT639" s="75"/>
      <c r="DU639" s="75"/>
      <c r="DV639" s="75"/>
      <c r="DW639" s="75"/>
      <c r="DX639" s="75"/>
      <c r="DY639" s="75"/>
      <c r="DZ639" s="75"/>
      <c r="EA639" s="75"/>
      <c r="EB639" s="75"/>
      <c r="EC639" s="75"/>
      <c r="ED639" s="75"/>
      <c r="EE639" s="75"/>
    </row>
    <row r="640" ht="47.25" hidden="1" customHeight="1">
      <c r="A640" s="84" t="s">
        <v>1928</v>
      </c>
      <c r="B640" s="84" t="s">
        <v>1908</v>
      </c>
      <c r="C640" s="84"/>
      <c r="D640" s="99" t="s">
        <v>807</v>
      </c>
      <c r="E640" s="84" t="s">
        <v>1929</v>
      </c>
      <c r="F640" s="84" t="s">
        <v>807</v>
      </c>
      <c r="G640" s="84" t="s">
        <v>1918</v>
      </c>
      <c r="H640" s="84" t="s">
        <v>1918</v>
      </c>
      <c r="I640" s="85"/>
      <c r="J640" s="85"/>
      <c r="K640" s="85"/>
      <c r="L640" s="85"/>
      <c r="M640" s="85"/>
      <c r="N640" s="85"/>
      <c r="O640" s="85"/>
      <c r="P640" s="56">
        <v>1.0</v>
      </c>
      <c r="Q640" s="56" t="s">
        <v>131</v>
      </c>
      <c r="R640" s="86" t="str">
        <f t="shared" si="1"/>
        <v>2025</v>
      </c>
      <c r="S640" s="87" t="str">
        <f>SUM(Hoja1!$I640:$P640)</f>
        <v>1</v>
      </c>
      <c r="T640" s="87" t="str">
        <f>IF(OR(Hoja1!$J640=1,Hoja1!$K640=1,Hoja1!$L640=1,Hoja1!$M640=1,Hoja1!$N640=1,Hoja1!$O640=1,Hoja1!$P640=1),"SI","NO")</f>
        <v>SI</v>
      </c>
      <c r="U640" s="59" t="str">
        <f>IF(OR(Hoja1!$K640=1,Hoja1!$L640=1,Hoja1!$M640=1,Hoja1!$N640=1,Hoja1!$O640=1,Hoja1!$P640=1),"SI","NO")</f>
        <v>SI</v>
      </c>
      <c r="V640" s="88"/>
      <c r="W640" s="89"/>
      <c r="X640" s="89"/>
      <c r="Y640" s="88"/>
      <c r="Z640" s="89"/>
      <c r="AA640" s="89"/>
      <c r="AB640" s="88"/>
      <c r="AC640" s="89"/>
      <c r="AD640" s="89"/>
      <c r="AE640" s="88"/>
      <c r="AF640" s="89"/>
      <c r="AG640" s="89"/>
      <c r="AH640" s="88"/>
      <c r="AI640" s="89"/>
      <c r="AJ640" s="89"/>
      <c r="AK640" s="88"/>
      <c r="AL640" s="89"/>
      <c r="AM640" s="89"/>
      <c r="AN640" s="88"/>
      <c r="AO640" s="100">
        <v>8.0</v>
      </c>
      <c r="AP640" s="100">
        <v>3.0</v>
      </c>
      <c r="AQ640" s="88">
        <v>11.0</v>
      </c>
      <c r="AR640" s="88" t="str">
        <f>IF(Hoja1!$AQ640&gt;0,Hoja1!$AQ640,IF(Hoja1!$AN640&gt;0,Hoja1!$AN640,IF(Hoja1!$AK640&gt;0,Hoja1!$AK640,IF(Hoja1!$AH640&gt;0,Hoja1!$AH640,IF(Hoja1!$AE640&gt;0,Hoja1!$AE640,IF(Hoja1!$AB640&gt;0,Hoja1!$AB640,IF(Hoja1!$Y640&gt;0,Hoja1!$Y640,IF(Hoja1!$V640&gt;0,Hoja1!$V640," ---"))))))))</f>
        <v>11</v>
      </c>
      <c r="AS640" s="90"/>
      <c r="AT640" s="90"/>
      <c r="AU640" s="90"/>
      <c r="AV640" s="90"/>
      <c r="AW640" s="90"/>
      <c r="AX640" s="90"/>
      <c r="AY640" s="90"/>
      <c r="AZ640" s="90"/>
      <c r="BA640" s="90"/>
      <c r="BB640" s="90"/>
      <c r="BC640" s="90"/>
      <c r="BD640" s="90"/>
      <c r="BE640" s="91"/>
      <c r="BF640" s="92"/>
      <c r="BG640" s="92"/>
      <c r="BH640" s="91"/>
      <c r="BI640" s="93" t="str">
        <f t="shared" si="281"/>
        <v>#REF!</v>
      </c>
      <c r="BJ640" s="94" t="str">
        <f t="shared" si="282"/>
        <v>#REF!</v>
      </c>
      <c r="BK640" s="92"/>
      <c r="BL640" s="92"/>
      <c r="BM640" s="91"/>
      <c r="BN640" s="93" t="str">
        <f t="shared" si="283"/>
        <v>#REF!</v>
      </c>
      <c r="BO640" s="94" t="str">
        <f t="shared" si="284"/>
        <v>#REF!</v>
      </c>
      <c r="BP640" s="95"/>
      <c r="BQ640" s="95"/>
      <c r="BR640" s="96"/>
      <c r="BS640" s="93" t="str">
        <f t="shared" si="285"/>
        <v>#REF!</v>
      </c>
      <c r="BT640" s="94" t="str">
        <f>'[1]DATA CONSOLIDADA 2018-2025 '!$BR640-Hoja1!$BO640</f>
        <v>#REF!</v>
      </c>
      <c r="BU640" s="92"/>
      <c r="BV640" s="95"/>
      <c r="BW640" s="96"/>
      <c r="BX640" s="93" t="str">
        <f t="shared" si="286"/>
        <v>#REF!</v>
      </c>
      <c r="BY640" s="94" t="str">
        <f t="shared" si="287"/>
        <v>#REF!</v>
      </c>
      <c r="BZ640" s="95"/>
      <c r="CA640" s="95"/>
      <c r="CB640" s="96"/>
      <c r="CC640" s="93" t="str">
        <f t="shared" si="288"/>
        <v>#REF!</v>
      </c>
      <c r="CD640" s="94" t="str">
        <f>'[1]DATA CONSOLIDADA 2018-2025 '!$CB640-Hoja1!$BW640</f>
        <v>#REF!</v>
      </c>
      <c r="CE640" s="97"/>
      <c r="CF640" s="97"/>
      <c r="CG640" s="98"/>
      <c r="CH640" s="93" t="str">
        <f t="shared" si="289"/>
        <v>#REF!</v>
      </c>
      <c r="CI640" s="94" t="str">
        <f>'[1]DATA CONSOLIDADA 2018-2025 '!$CG640-Hoja1!$CB640</f>
        <v>#REF!</v>
      </c>
      <c r="CJ640" s="91" t="str">
        <f t="shared" si="271"/>
        <v>#REF!</v>
      </c>
      <c r="CK640" s="64">
        <v>10789.24</v>
      </c>
      <c r="CL640" s="64">
        <v>0.0</v>
      </c>
      <c r="CM640" s="64">
        <v>10789.24</v>
      </c>
      <c r="CN640" s="64" t="str">
        <f t="shared" si="12"/>
        <v>#REF!</v>
      </c>
      <c r="CO640" s="68" t="str">
        <f>'[1]DATA CONSOLIDADA 2018-2025 '!$CM640-Hoja1!$CG640</f>
        <v>#REF!</v>
      </c>
      <c r="CP640" s="97"/>
      <c r="CQ640" s="97"/>
      <c r="CR640" s="97"/>
      <c r="CS640" s="97"/>
      <c r="CT640" s="97"/>
      <c r="CU640" s="97"/>
      <c r="CV640" s="91"/>
      <c r="CW640" s="91"/>
      <c r="CX640" s="91"/>
      <c r="CY640" s="91"/>
      <c r="CZ640" s="91"/>
      <c r="DA640" s="91"/>
      <c r="DB640" s="91"/>
      <c r="DC640" s="72">
        <v>0.0</v>
      </c>
      <c r="DD640" s="72">
        <v>9984.5</v>
      </c>
      <c r="DE640" s="72">
        <v>804.74</v>
      </c>
      <c r="DF640" s="72">
        <v>0.0</v>
      </c>
      <c r="DG640" s="72">
        <v>0.0</v>
      </c>
      <c r="DH640" s="72">
        <v>10789.24</v>
      </c>
      <c r="DI640" s="101"/>
      <c r="DJ640" s="102"/>
      <c r="DK640" s="102" t="s">
        <v>306</v>
      </c>
      <c r="DL640" s="75"/>
      <c r="DM640" s="75"/>
      <c r="DN640" s="75"/>
      <c r="DO640" s="75"/>
      <c r="DP640" s="75"/>
      <c r="DQ640" s="75"/>
      <c r="DR640" s="75"/>
      <c r="DS640" s="75"/>
      <c r="DT640" s="75"/>
      <c r="DU640" s="75"/>
      <c r="DV640" s="75"/>
      <c r="DW640" s="75"/>
      <c r="DX640" s="75"/>
      <c r="DY640" s="75"/>
      <c r="DZ640" s="75"/>
      <c r="EA640" s="75"/>
      <c r="EB640" s="75"/>
      <c r="EC640" s="75"/>
      <c r="ED640" s="75"/>
      <c r="EE640" s="75"/>
    </row>
    <row r="641" ht="47.25" hidden="1" customHeight="1">
      <c r="A641" s="84" t="s">
        <v>1930</v>
      </c>
      <c r="B641" s="84" t="s">
        <v>166</v>
      </c>
      <c r="C641" s="84"/>
      <c r="D641" s="99" t="s">
        <v>807</v>
      </c>
      <c r="E641" s="84" t="s">
        <v>1931</v>
      </c>
      <c r="F641" s="84" t="s">
        <v>807</v>
      </c>
      <c r="G641" s="84" t="s">
        <v>1309</v>
      </c>
      <c r="H641" s="84" t="s">
        <v>1932</v>
      </c>
      <c r="I641" s="85"/>
      <c r="J641" s="85"/>
      <c r="K641" s="85"/>
      <c r="L641" s="85"/>
      <c r="M641" s="85"/>
      <c r="N641" s="85"/>
      <c r="O641" s="85"/>
      <c r="P641" s="56">
        <v>1.0</v>
      </c>
      <c r="Q641" s="56" t="s">
        <v>131</v>
      </c>
      <c r="R641" s="86" t="str">
        <f t="shared" si="1"/>
        <v>2025</v>
      </c>
      <c r="S641" s="87" t="str">
        <f>SUM(Hoja1!$I641:$P641)</f>
        <v>1</v>
      </c>
      <c r="T641" s="87" t="str">
        <f>IF(OR(Hoja1!$J641=1,Hoja1!$K641=1,Hoja1!$L641=1,Hoja1!$M641=1,Hoja1!$N641=1,Hoja1!$O641=1,Hoja1!$P641=1),"SI","NO")</f>
        <v>SI</v>
      </c>
      <c r="U641" s="59" t="str">
        <f>IF(OR(Hoja1!$K641=1,Hoja1!$L641=1,Hoja1!$M641=1,Hoja1!$N641=1,Hoja1!$O641=1,Hoja1!$P641=1),"SI","NO")</f>
        <v>SI</v>
      </c>
      <c r="V641" s="88"/>
      <c r="W641" s="89"/>
      <c r="X641" s="89"/>
      <c r="Y641" s="88"/>
      <c r="Z641" s="89"/>
      <c r="AA641" s="89"/>
      <c r="AB641" s="88"/>
      <c r="AC641" s="89"/>
      <c r="AD641" s="89"/>
      <c r="AE641" s="88"/>
      <c r="AF641" s="89"/>
      <c r="AG641" s="89"/>
      <c r="AH641" s="88"/>
      <c r="AI641" s="89"/>
      <c r="AJ641" s="89"/>
      <c r="AK641" s="88"/>
      <c r="AL641" s="89"/>
      <c r="AM641" s="89"/>
      <c r="AN641" s="88"/>
      <c r="AO641" s="100">
        <v>19.0</v>
      </c>
      <c r="AP641" s="100">
        <v>10.0</v>
      </c>
      <c r="AQ641" s="88">
        <v>29.0</v>
      </c>
      <c r="AR641" s="88" t="str">
        <f>IF(Hoja1!$AQ641&gt;0,Hoja1!$AQ641,IF(Hoja1!$AN641&gt;0,Hoja1!$AN641,IF(Hoja1!$AK641&gt;0,Hoja1!$AK641,IF(Hoja1!$AH641&gt;0,Hoja1!$AH641,IF(Hoja1!$AE641&gt;0,Hoja1!$AE641,IF(Hoja1!$AB641&gt;0,Hoja1!$AB641,IF(Hoja1!$Y641&gt;0,Hoja1!$Y641,IF(Hoja1!$V641&gt;0,Hoja1!$V641," ---"))))))))</f>
        <v>29</v>
      </c>
      <c r="AS641" s="90"/>
      <c r="AT641" s="90"/>
      <c r="AU641" s="90"/>
      <c r="AV641" s="90"/>
      <c r="AW641" s="90"/>
      <c r="AX641" s="90"/>
      <c r="AY641" s="90"/>
      <c r="AZ641" s="90"/>
      <c r="BA641" s="90"/>
      <c r="BB641" s="90"/>
      <c r="BC641" s="90"/>
      <c r="BD641" s="90"/>
      <c r="BE641" s="91"/>
      <c r="BF641" s="92"/>
      <c r="BG641" s="92"/>
      <c r="BH641" s="91"/>
      <c r="BI641" s="93" t="str">
        <f t="shared" si="281"/>
        <v>#REF!</v>
      </c>
      <c r="BJ641" s="94" t="str">
        <f t="shared" si="282"/>
        <v>#REF!</v>
      </c>
      <c r="BK641" s="92"/>
      <c r="BL641" s="92"/>
      <c r="BM641" s="91"/>
      <c r="BN641" s="93" t="str">
        <f t="shared" si="283"/>
        <v>#REF!</v>
      </c>
      <c r="BO641" s="94" t="str">
        <f t="shared" si="284"/>
        <v>#REF!</v>
      </c>
      <c r="BP641" s="95"/>
      <c r="BQ641" s="95"/>
      <c r="BR641" s="96"/>
      <c r="BS641" s="93" t="str">
        <f t="shared" si="285"/>
        <v>#REF!</v>
      </c>
      <c r="BT641" s="94" t="str">
        <f>'[1]DATA CONSOLIDADA 2018-2025 '!$BR641-Hoja1!$BO641</f>
        <v>#REF!</v>
      </c>
      <c r="BU641" s="92"/>
      <c r="BV641" s="95"/>
      <c r="BW641" s="96"/>
      <c r="BX641" s="93" t="str">
        <f t="shared" si="286"/>
        <v>#REF!</v>
      </c>
      <c r="BY641" s="94" t="str">
        <f t="shared" si="287"/>
        <v>#REF!</v>
      </c>
      <c r="BZ641" s="95"/>
      <c r="CA641" s="95"/>
      <c r="CB641" s="96"/>
      <c r="CC641" s="93" t="str">
        <f t="shared" si="288"/>
        <v>#REF!</v>
      </c>
      <c r="CD641" s="94" t="str">
        <f>'[1]DATA CONSOLIDADA 2018-2025 '!$CB641-Hoja1!$BW641</f>
        <v>#REF!</v>
      </c>
      <c r="CE641" s="97"/>
      <c r="CF641" s="97"/>
      <c r="CG641" s="98"/>
      <c r="CH641" s="93" t="str">
        <f t="shared" si="289"/>
        <v>#REF!</v>
      </c>
      <c r="CI641" s="94" t="str">
        <f>'[1]DATA CONSOLIDADA 2018-2025 '!$CG641-Hoja1!$CB641</f>
        <v>#REF!</v>
      </c>
      <c r="CJ641" s="91" t="str">
        <f t="shared" si="271"/>
        <v>#REF!</v>
      </c>
      <c r="CK641" s="64">
        <v>0.0</v>
      </c>
      <c r="CL641" s="64">
        <v>0.0</v>
      </c>
      <c r="CM641" s="64">
        <v>0.0</v>
      </c>
      <c r="CN641" s="64" t="str">
        <f t="shared" si="12"/>
        <v>#REF!</v>
      </c>
      <c r="CO641" s="68" t="str">
        <f>'[1]DATA CONSOLIDADA 2018-2025 '!$CM641-Hoja1!$CG641</f>
        <v>#REF!</v>
      </c>
      <c r="CP641" s="97"/>
      <c r="CQ641" s="97"/>
      <c r="CR641" s="97"/>
      <c r="CS641" s="97"/>
      <c r="CT641" s="97"/>
      <c r="CU641" s="97"/>
      <c r="CV641" s="91"/>
      <c r="CW641" s="91"/>
      <c r="CX641" s="91"/>
      <c r="CY641" s="91"/>
      <c r="CZ641" s="91"/>
      <c r="DA641" s="91"/>
      <c r="DB641" s="91"/>
      <c r="DC641" s="72">
        <v>0.0</v>
      </c>
      <c r="DD641" s="72">
        <v>0.0</v>
      </c>
      <c r="DE641" s="72">
        <v>0.0</v>
      </c>
      <c r="DF641" s="72">
        <v>0.0</v>
      </c>
      <c r="DG641" s="72">
        <v>0.0</v>
      </c>
      <c r="DH641" s="72">
        <v>0.0</v>
      </c>
      <c r="DI641" s="101"/>
      <c r="DJ641" s="102"/>
      <c r="DK641" s="102" t="s">
        <v>138</v>
      </c>
      <c r="DL641" s="75"/>
      <c r="DM641" s="75"/>
      <c r="DN641" s="75"/>
      <c r="DO641" s="75"/>
      <c r="DP641" s="75"/>
      <c r="DQ641" s="75"/>
      <c r="DR641" s="75"/>
      <c r="DS641" s="75"/>
      <c r="DT641" s="75"/>
      <c r="DU641" s="75"/>
      <c r="DV641" s="75"/>
      <c r="DW641" s="75"/>
      <c r="DX641" s="75"/>
      <c r="DY641" s="75"/>
      <c r="DZ641" s="75"/>
      <c r="EA641" s="75"/>
      <c r="EB641" s="75"/>
      <c r="EC641" s="75"/>
      <c r="ED641" s="75"/>
      <c r="EE641" s="75"/>
    </row>
    <row r="642" ht="47.25" hidden="1" customHeight="1">
      <c r="A642" s="84" t="s">
        <v>1933</v>
      </c>
      <c r="B642" s="84" t="s">
        <v>1908</v>
      </c>
      <c r="C642" s="84"/>
      <c r="D642" s="99" t="s">
        <v>807</v>
      </c>
      <c r="E642" s="84" t="s">
        <v>1934</v>
      </c>
      <c r="F642" s="84" t="s">
        <v>807</v>
      </c>
      <c r="G642" s="84" t="s">
        <v>1922</v>
      </c>
      <c r="H642" s="84" t="s">
        <v>1935</v>
      </c>
      <c r="I642" s="85"/>
      <c r="J642" s="85"/>
      <c r="K642" s="85"/>
      <c r="L642" s="85"/>
      <c r="M642" s="85"/>
      <c r="N642" s="85"/>
      <c r="O642" s="85"/>
      <c r="P642" s="56">
        <v>1.0</v>
      </c>
      <c r="Q642" s="56" t="s">
        <v>131</v>
      </c>
      <c r="R642" s="86" t="str">
        <f t="shared" si="1"/>
        <v>2025</v>
      </c>
      <c r="S642" s="87" t="str">
        <f>SUM(Hoja1!$I642:$P642)</f>
        <v>1</v>
      </c>
      <c r="T642" s="87" t="str">
        <f>IF(OR(Hoja1!$J642=1,Hoja1!$K642=1,Hoja1!$L642=1,Hoja1!$M642=1,Hoja1!$N642=1,Hoja1!$O642=1,Hoja1!$P642=1),"SI","NO")</f>
        <v>SI</v>
      </c>
      <c r="U642" s="59" t="str">
        <f>IF(OR(Hoja1!$K642=1,Hoja1!$L642=1,Hoja1!$M642=1,Hoja1!$N642=1,Hoja1!$O642=1,Hoja1!$P642=1),"SI","NO")</f>
        <v>SI</v>
      </c>
      <c r="V642" s="88"/>
      <c r="W642" s="89"/>
      <c r="X642" s="89"/>
      <c r="Y642" s="88"/>
      <c r="Z642" s="89"/>
      <c r="AA642" s="89"/>
      <c r="AB642" s="88"/>
      <c r="AC642" s="89"/>
      <c r="AD642" s="89"/>
      <c r="AE642" s="88"/>
      <c r="AF642" s="89"/>
      <c r="AG642" s="89"/>
      <c r="AH642" s="88"/>
      <c r="AI642" s="89"/>
      <c r="AJ642" s="89"/>
      <c r="AK642" s="88"/>
      <c r="AL642" s="89"/>
      <c r="AM642" s="89"/>
      <c r="AN642" s="88"/>
      <c r="AO642" s="100">
        <v>19.0</v>
      </c>
      <c r="AP642" s="100">
        <v>3.0</v>
      </c>
      <c r="AQ642" s="88">
        <v>22.0</v>
      </c>
      <c r="AR642" s="88" t="str">
        <f>IF(Hoja1!$AQ642&gt;0,Hoja1!$AQ642,IF(Hoja1!$AN642&gt;0,Hoja1!$AN642,IF(Hoja1!$AK642&gt;0,Hoja1!$AK642,IF(Hoja1!$AH642&gt;0,Hoja1!$AH642,IF(Hoja1!$AE642&gt;0,Hoja1!$AE642,IF(Hoja1!$AB642&gt;0,Hoja1!$AB642,IF(Hoja1!$Y642&gt;0,Hoja1!$Y642,IF(Hoja1!$V642&gt;0,Hoja1!$V642," ---"))))))))</f>
        <v>22</v>
      </c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1"/>
      <c r="BF642" s="92"/>
      <c r="BG642" s="92"/>
      <c r="BH642" s="91"/>
      <c r="BI642" s="93" t="str">
        <f t="shared" si="281"/>
        <v>#REF!</v>
      </c>
      <c r="BJ642" s="94" t="str">
        <f t="shared" si="282"/>
        <v>#REF!</v>
      </c>
      <c r="BK642" s="92"/>
      <c r="BL642" s="92"/>
      <c r="BM642" s="91"/>
      <c r="BN642" s="93" t="str">
        <f t="shared" si="283"/>
        <v>#REF!</v>
      </c>
      <c r="BO642" s="94" t="str">
        <f t="shared" si="284"/>
        <v>#REF!</v>
      </c>
      <c r="BP642" s="95"/>
      <c r="BQ642" s="95"/>
      <c r="BR642" s="96"/>
      <c r="BS642" s="93" t="str">
        <f t="shared" si="285"/>
        <v>#REF!</v>
      </c>
      <c r="BT642" s="94" t="str">
        <f>'[1]DATA CONSOLIDADA 2018-2025 '!$BR642-Hoja1!$BO642</f>
        <v>#REF!</v>
      </c>
      <c r="BU642" s="92"/>
      <c r="BV642" s="95"/>
      <c r="BW642" s="96"/>
      <c r="BX642" s="93" t="str">
        <f t="shared" si="286"/>
        <v>#REF!</v>
      </c>
      <c r="BY642" s="94" t="str">
        <f t="shared" si="287"/>
        <v>#REF!</v>
      </c>
      <c r="BZ642" s="95"/>
      <c r="CA642" s="95"/>
      <c r="CB642" s="96"/>
      <c r="CC642" s="93" t="str">
        <f t="shared" si="288"/>
        <v>#REF!</v>
      </c>
      <c r="CD642" s="94" t="str">
        <f>'[1]DATA CONSOLIDADA 2018-2025 '!$CB642-Hoja1!$BW642</f>
        <v>#REF!</v>
      </c>
      <c r="CE642" s="97"/>
      <c r="CF642" s="97"/>
      <c r="CG642" s="98"/>
      <c r="CH642" s="93" t="str">
        <f t="shared" si="289"/>
        <v>#REF!</v>
      </c>
      <c r="CI642" s="94" t="str">
        <f>'[1]DATA CONSOLIDADA 2018-2025 '!$CG642-Hoja1!$CB642</f>
        <v>#REF!</v>
      </c>
      <c r="CJ642" s="91" t="str">
        <f t="shared" si="271"/>
        <v>#REF!</v>
      </c>
      <c r="CK642" s="64">
        <v>47632.0</v>
      </c>
      <c r="CL642" s="64">
        <v>0.0</v>
      </c>
      <c r="CM642" s="64">
        <v>47632.0</v>
      </c>
      <c r="CN642" s="64" t="str">
        <f t="shared" si="12"/>
        <v>#REF!</v>
      </c>
      <c r="CO642" s="68" t="str">
        <f>'[1]DATA CONSOLIDADA 2018-2025 '!$CM642-Hoja1!$CG642</f>
        <v>#REF!</v>
      </c>
      <c r="CP642" s="97"/>
      <c r="CQ642" s="97"/>
      <c r="CR642" s="97"/>
      <c r="CS642" s="97"/>
      <c r="CT642" s="97"/>
      <c r="CU642" s="97"/>
      <c r="CV642" s="91"/>
      <c r="CW642" s="91"/>
      <c r="CX642" s="91"/>
      <c r="CY642" s="91"/>
      <c r="CZ642" s="91"/>
      <c r="DA642" s="91"/>
      <c r="DB642" s="91"/>
      <c r="DC642" s="72">
        <v>0.0</v>
      </c>
      <c r="DD642" s="72">
        <v>47632.0</v>
      </c>
      <c r="DE642" s="72">
        <v>0.0</v>
      </c>
      <c r="DF642" s="72">
        <v>0.0</v>
      </c>
      <c r="DG642" s="72">
        <v>0.0</v>
      </c>
      <c r="DH642" s="72">
        <v>47632.0</v>
      </c>
      <c r="DI642" s="101"/>
      <c r="DJ642" s="102"/>
      <c r="DK642" s="102" t="s">
        <v>138</v>
      </c>
      <c r="DL642" s="75"/>
      <c r="DM642" s="75"/>
      <c r="DN642" s="75"/>
      <c r="DO642" s="75"/>
      <c r="DP642" s="75"/>
      <c r="DQ642" s="75"/>
      <c r="DR642" s="75"/>
      <c r="DS642" s="75"/>
      <c r="DT642" s="75"/>
      <c r="DU642" s="75"/>
      <c r="DV642" s="75"/>
      <c r="DW642" s="75"/>
      <c r="DX642" s="75"/>
      <c r="DY642" s="75"/>
      <c r="DZ642" s="75"/>
      <c r="EA642" s="75"/>
      <c r="EB642" s="75"/>
      <c r="EC642" s="75"/>
      <c r="ED642" s="75"/>
      <c r="EE642" s="75"/>
    </row>
    <row r="643" ht="47.25" hidden="1" customHeight="1">
      <c r="A643" s="84" t="s">
        <v>1936</v>
      </c>
      <c r="B643" s="84" t="s">
        <v>828</v>
      </c>
      <c r="C643" s="84"/>
      <c r="D643" s="99" t="s">
        <v>607</v>
      </c>
      <c r="E643" s="84" t="s">
        <v>829</v>
      </c>
      <c r="F643" s="84" t="s">
        <v>607</v>
      </c>
      <c r="G643" s="84" t="s">
        <v>607</v>
      </c>
      <c r="H643" s="84" t="s">
        <v>830</v>
      </c>
      <c r="I643" s="85"/>
      <c r="J643" s="85"/>
      <c r="K643" s="85"/>
      <c r="L643" s="85"/>
      <c r="M643" s="85"/>
      <c r="N643" s="85"/>
      <c r="O643" s="85"/>
      <c r="P643" s="56">
        <v>1.0</v>
      </c>
      <c r="Q643" s="56" t="s">
        <v>131</v>
      </c>
      <c r="R643" s="86" t="str">
        <f t="shared" si="1"/>
        <v>2025</v>
      </c>
      <c r="S643" s="87" t="str">
        <f>SUM(Hoja1!$I643:$P643)</f>
        <v>1</v>
      </c>
      <c r="T643" s="87" t="str">
        <f>IF(OR(Hoja1!$J643=1,Hoja1!$K643=1,Hoja1!$L643=1,Hoja1!$M643=1,Hoja1!$N643=1,Hoja1!$O643=1,Hoja1!$P643=1),"SI","NO")</f>
        <v>SI</v>
      </c>
      <c r="U643" s="59" t="str">
        <f>IF(OR(Hoja1!$K643=1,Hoja1!$L643=1,Hoja1!$M643=1,Hoja1!$N643=1,Hoja1!$O643=1,Hoja1!$P643=1),"SI","NO")</f>
        <v>SI</v>
      </c>
      <c r="V643" s="88"/>
      <c r="W643" s="89"/>
      <c r="X643" s="89"/>
      <c r="Y643" s="88"/>
      <c r="Z643" s="89"/>
      <c r="AA643" s="89"/>
      <c r="AB643" s="88"/>
      <c r="AC643" s="89"/>
      <c r="AD643" s="89"/>
      <c r="AE643" s="88"/>
      <c r="AF643" s="89"/>
      <c r="AG643" s="89"/>
      <c r="AH643" s="88"/>
      <c r="AI643" s="89"/>
      <c r="AJ643" s="89"/>
      <c r="AK643" s="88"/>
      <c r="AL643" s="89"/>
      <c r="AM643" s="89"/>
      <c r="AN643" s="88"/>
      <c r="AO643" s="100">
        <v>75.0</v>
      </c>
      <c r="AP643" s="100">
        <v>5.0</v>
      </c>
      <c r="AQ643" s="88">
        <v>80.0</v>
      </c>
      <c r="AR643" s="88" t="str">
        <f>IF(Hoja1!$AQ643&gt;0,Hoja1!$AQ643,IF(Hoja1!$AN643&gt;0,Hoja1!$AN643,IF(Hoja1!$AK643&gt;0,Hoja1!$AK643,IF(Hoja1!$AH643&gt;0,Hoja1!$AH643,IF(Hoja1!$AE643&gt;0,Hoja1!$AE643,IF(Hoja1!$AB643&gt;0,Hoja1!$AB643,IF(Hoja1!$Y643&gt;0,Hoja1!$Y643,IF(Hoja1!$V643&gt;0,Hoja1!$V643," ---"))))))))</f>
        <v>80</v>
      </c>
      <c r="AS643" s="90"/>
      <c r="AT643" s="90"/>
      <c r="AU643" s="90"/>
      <c r="AV643" s="90"/>
      <c r="AW643" s="90"/>
      <c r="AX643" s="90"/>
      <c r="AY643" s="90"/>
      <c r="AZ643" s="90"/>
      <c r="BA643" s="90"/>
      <c r="BB643" s="90"/>
      <c r="BC643" s="90"/>
      <c r="BD643" s="90"/>
      <c r="BE643" s="91"/>
      <c r="BF643" s="92"/>
      <c r="BG643" s="92"/>
      <c r="BH643" s="91"/>
      <c r="BI643" s="93" t="str">
        <f t="shared" si="281"/>
        <v>#REF!</v>
      </c>
      <c r="BJ643" s="94" t="str">
        <f t="shared" si="282"/>
        <v>#REF!</v>
      </c>
      <c r="BK643" s="92"/>
      <c r="BL643" s="92"/>
      <c r="BM643" s="91"/>
      <c r="BN643" s="93" t="str">
        <f t="shared" si="283"/>
        <v>#REF!</v>
      </c>
      <c r="BO643" s="94" t="str">
        <f t="shared" si="284"/>
        <v>#REF!</v>
      </c>
      <c r="BP643" s="95"/>
      <c r="BQ643" s="95"/>
      <c r="BR643" s="96"/>
      <c r="BS643" s="93" t="str">
        <f t="shared" si="285"/>
        <v>#REF!</v>
      </c>
      <c r="BT643" s="94" t="str">
        <f>'[1]DATA CONSOLIDADA 2018-2025 '!$BR643-Hoja1!$BO643</f>
        <v>#REF!</v>
      </c>
      <c r="BU643" s="92"/>
      <c r="BV643" s="95"/>
      <c r="BW643" s="96"/>
      <c r="BX643" s="93" t="str">
        <f t="shared" si="286"/>
        <v>#REF!</v>
      </c>
      <c r="BY643" s="94" t="str">
        <f t="shared" si="287"/>
        <v>#REF!</v>
      </c>
      <c r="BZ643" s="95"/>
      <c r="CA643" s="95"/>
      <c r="CB643" s="96"/>
      <c r="CC643" s="93" t="str">
        <f t="shared" si="288"/>
        <v>#REF!</v>
      </c>
      <c r="CD643" s="94" t="str">
        <f>'[1]DATA CONSOLIDADA 2018-2025 '!$CB643-Hoja1!$BW643</f>
        <v>#REF!</v>
      </c>
      <c r="CE643" s="97"/>
      <c r="CF643" s="97"/>
      <c r="CG643" s="98"/>
      <c r="CH643" s="93" t="str">
        <f t="shared" si="289"/>
        <v>#REF!</v>
      </c>
      <c r="CI643" s="94" t="str">
        <f>'[1]DATA CONSOLIDADA 2018-2025 '!$CG643-Hoja1!$CB643</f>
        <v>#REF!</v>
      </c>
      <c r="CJ643" s="91" t="str">
        <f t="shared" si="271"/>
        <v>#REF!</v>
      </c>
      <c r="CK643" s="64">
        <v>10300.0</v>
      </c>
      <c r="CL643" s="64">
        <v>0.0</v>
      </c>
      <c r="CM643" s="64">
        <v>10300.0</v>
      </c>
      <c r="CN643" s="64" t="str">
        <f t="shared" si="12"/>
        <v>#REF!</v>
      </c>
      <c r="CO643" s="68" t="str">
        <f>'[1]DATA CONSOLIDADA 2018-2025 '!$CM643-Hoja1!$CG643</f>
        <v>#REF!</v>
      </c>
      <c r="CP643" s="97"/>
      <c r="CQ643" s="97"/>
      <c r="CR643" s="97"/>
      <c r="CS643" s="97"/>
      <c r="CT643" s="97"/>
      <c r="CU643" s="97"/>
      <c r="CV643" s="91"/>
      <c r="CW643" s="91"/>
      <c r="CX643" s="91"/>
      <c r="CY643" s="91"/>
      <c r="CZ643" s="91"/>
      <c r="DA643" s="91"/>
      <c r="DB643" s="91"/>
      <c r="DC643" s="72">
        <v>0.0</v>
      </c>
      <c r="DD643" s="72">
        <v>0.0</v>
      </c>
      <c r="DE643" s="72">
        <v>10300.0</v>
      </c>
      <c r="DF643" s="72">
        <v>0.0</v>
      </c>
      <c r="DG643" s="72">
        <v>0.0</v>
      </c>
      <c r="DH643" s="72">
        <v>10300.0</v>
      </c>
      <c r="DI643" s="101"/>
      <c r="DJ643" s="102"/>
      <c r="DK643" s="102" t="s">
        <v>523</v>
      </c>
      <c r="DL643" s="75"/>
      <c r="DM643" s="75"/>
      <c r="DN643" s="75"/>
      <c r="DO643" s="75"/>
      <c r="DP643" s="75"/>
      <c r="DQ643" s="75"/>
      <c r="DR643" s="75"/>
      <c r="DS643" s="75"/>
      <c r="DT643" s="75"/>
      <c r="DU643" s="75"/>
      <c r="DV643" s="75"/>
      <c r="DW643" s="75"/>
      <c r="DX643" s="75"/>
      <c r="DY643" s="75"/>
      <c r="DZ643" s="75"/>
      <c r="EA643" s="75"/>
      <c r="EB643" s="75"/>
      <c r="EC643" s="75"/>
      <c r="ED643" s="75"/>
      <c r="EE643" s="75"/>
    </row>
    <row r="644" ht="47.25" customHeight="1">
      <c r="A644" s="84" t="s">
        <v>1937</v>
      </c>
      <c r="B644" s="84" t="s">
        <v>146</v>
      </c>
      <c r="C644" s="84"/>
      <c r="D644" s="99" t="s">
        <v>607</v>
      </c>
      <c r="E644" s="84" t="s">
        <v>1938</v>
      </c>
      <c r="F644" s="84" t="s">
        <v>607</v>
      </c>
      <c r="G644" s="84" t="s">
        <v>840</v>
      </c>
      <c r="H644" s="84" t="s">
        <v>1405</v>
      </c>
      <c r="I644" s="85"/>
      <c r="J644" s="85"/>
      <c r="K644" s="85"/>
      <c r="L644" s="85"/>
      <c r="M644" s="85"/>
      <c r="N644" s="85"/>
      <c r="O644" s="85"/>
      <c r="P644" s="56">
        <v>1.0</v>
      </c>
      <c r="Q644" s="56" t="s">
        <v>131</v>
      </c>
      <c r="R644" s="86" t="str">
        <f t="shared" si="1"/>
        <v>2025</v>
      </c>
      <c r="S644" s="87" t="str">
        <f>SUM(Hoja1!$I644:$P644)</f>
        <v>1</v>
      </c>
      <c r="T644" s="87" t="str">
        <f>IF(OR(Hoja1!$J644=1,Hoja1!$K644=1,Hoja1!$L644=1,Hoja1!$M644=1,Hoja1!$N644=1,Hoja1!$O644=1,Hoja1!$P644=1),"SI","NO")</f>
        <v>SI</v>
      </c>
      <c r="U644" s="59" t="str">
        <f>IF(OR(Hoja1!$K644=1,Hoja1!$L644=1,Hoja1!$M644=1,Hoja1!$N644=1,Hoja1!$O644=1,Hoja1!$P644=1),"SI","NO")</f>
        <v>SI</v>
      </c>
      <c r="V644" s="88"/>
      <c r="W644" s="89"/>
      <c r="X644" s="89"/>
      <c r="Y644" s="88"/>
      <c r="Z644" s="89"/>
      <c r="AA644" s="89"/>
      <c r="AB644" s="88"/>
      <c r="AC644" s="89"/>
      <c r="AD644" s="89"/>
      <c r="AE644" s="88"/>
      <c r="AF644" s="89"/>
      <c r="AG644" s="89"/>
      <c r="AH644" s="88"/>
      <c r="AI644" s="89"/>
      <c r="AJ644" s="89"/>
      <c r="AK644" s="88"/>
      <c r="AL644" s="89"/>
      <c r="AM644" s="89"/>
      <c r="AN644" s="88"/>
      <c r="AO644" s="100">
        <v>24.0</v>
      </c>
      <c r="AP644" s="100">
        <v>15.0</v>
      </c>
      <c r="AQ644" s="88">
        <v>39.0</v>
      </c>
      <c r="AR644" s="88" t="str">
        <f>IF(Hoja1!$AQ644&gt;0,Hoja1!$AQ644,IF(Hoja1!$AN644&gt;0,Hoja1!$AN644,IF(Hoja1!$AK644&gt;0,Hoja1!$AK644,IF(Hoja1!$AH644&gt;0,Hoja1!$AH644,IF(Hoja1!$AE644&gt;0,Hoja1!$AE644,IF(Hoja1!$AB644&gt;0,Hoja1!$AB644,IF(Hoja1!$Y644&gt;0,Hoja1!$Y644,IF(Hoja1!$V644&gt;0,Hoja1!$V644," ---"))))))))</f>
        <v>39</v>
      </c>
      <c r="AS644" s="90"/>
      <c r="AT644" s="90"/>
      <c r="AU644" s="90"/>
      <c r="AV644" s="90"/>
      <c r="AW644" s="90"/>
      <c r="AX644" s="90"/>
      <c r="AY644" s="90"/>
      <c r="AZ644" s="90"/>
      <c r="BA644" s="90"/>
      <c r="BB644" s="90"/>
      <c r="BC644" s="90"/>
      <c r="BD644" s="90"/>
      <c r="BE644" s="91"/>
      <c r="BF644" s="92"/>
      <c r="BG644" s="92"/>
      <c r="BH644" s="91"/>
      <c r="BI644" s="93" t="str">
        <f t="shared" si="281"/>
        <v>#REF!</v>
      </c>
      <c r="BJ644" s="94" t="str">
        <f t="shared" si="282"/>
        <v>#REF!</v>
      </c>
      <c r="BK644" s="92"/>
      <c r="BL644" s="92"/>
      <c r="BM644" s="91"/>
      <c r="BN644" s="93" t="str">
        <f t="shared" si="283"/>
        <v>#REF!</v>
      </c>
      <c r="BO644" s="94" t="str">
        <f t="shared" si="284"/>
        <v>#REF!</v>
      </c>
      <c r="BP644" s="95"/>
      <c r="BQ644" s="95"/>
      <c r="BR644" s="96"/>
      <c r="BS644" s="93" t="str">
        <f t="shared" si="285"/>
        <v>#REF!</v>
      </c>
      <c r="BT644" s="94" t="str">
        <f>'[1]DATA CONSOLIDADA 2018-2025 '!$BR644-Hoja1!$BO644</f>
        <v>#REF!</v>
      </c>
      <c r="BU644" s="92"/>
      <c r="BV644" s="95"/>
      <c r="BW644" s="96"/>
      <c r="BX644" s="93" t="str">
        <f t="shared" si="286"/>
        <v>#REF!</v>
      </c>
      <c r="BY644" s="94" t="str">
        <f t="shared" si="287"/>
        <v>#REF!</v>
      </c>
      <c r="BZ644" s="95"/>
      <c r="CA644" s="95"/>
      <c r="CB644" s="96"/>
      <c r="CC644" s="93" t="str">
        <f t="shared" si="288"/>
        <v>#REF!</v>
      </c>
      <c r="CD644" s="94" t="str">
        <f>'[1]DATA CONSOLIDADA 2018-2025 '!$CB644-Hoja1!$BW644</f>
        <v>#REF!</v>
      </c>
      <c r="CE644" s="97"/>
      <c r="CF644" s="97"/>
      <c r="CG644" s="98"/>
      <c r="CH644" s="93" t="str">
        <f t="shared" si="289"/>
        <v>#REF!</v>
      </c>
      <c r="CI644" s="94" t="str">
        <f>'[1]DATA CONSOLIDADA 2018-2025 '!$CG644-Hoja1!$CB644</f>
        <v>#REF!</v>
      </c>
      <c r="CJ644" s="91" t="str">
        <f t="shared" si="271"/>
        <v>#REF!</v>
      </c>
      <c r="CK644" s="64">
        <v>1440.0</v>
      </c>
      <c r="CL644" s="64">
        <v>0.0</v>
      </c>
      <c r="CM644" s="64">
        <v>1440.0</v>
      </c>
      <c r="CN644" s="64" t="str">
        <f t="shared" si="12"/>
        <v>#REF!</v>
      </c>
      <c r="CO644" s="68" t="str">
        <f>'[1]DATA CONSOLIDADA 2018-2025 '!$CM644-Hoja1!$CG644</f>
        <v>#REF!</v>
      </c>
      <c r="CP644" s="97"/>
      <c r="CQ644" s="97"/>
      <c r="CR644" s="97"/>
      <c r="CS644" s="97"/>
      <c r="CT644" s="97"/>
      <c r="CU644" s="97"/>
      <c r="CV644" s="91"/>
      <c r="CW644" s="91"/>
      <c r="CX644" s="91"/>
      <c r="CY644" s="91"/>
      <c r="CZ644" s="91"/>
      <c r="DA644" s="91"/>
      <c r="DB644" s="91"/>
      <c r="DC644" s="72">
        <v>1440.0</v>
      </c>
      <c r="DD644" s="72">
        <v>0.0</v>
      </c>
      <c r="DE644" s="72">
        <v>0.0</v>
      </c>
      <c r="DF644" s="72">
        <v>0.0</v>
      </c>
      <c r="DG644" s="72">
        <v>0.0</v>
      </c>
      <c r="DH644" s="72">
        <v>1440.0</v>
      </c>
      <c r="DI644" s="101"/>
      <c r="DJ644" s="102"/>
      <c r="DK644" s="102" t="s">
        <v>132</v>
      </c>
      <c r="DL644" s="75"/>
      <c r="DM644" s="75"/>
      <c r="DN644" s="75"/>
      <c r="DO644" s="75"/>
      <c r="DP644" s="75"/>
      <c r="DQ644" s="75"/>
      <c r="DR644" s="75"/>
      <c r="DS644" s="75"/>
      <c r="DT644" s="75"/>
      <c r="DU644" s="75"/>
      <c r="DV644" s="75"/>
      <c r="DW644" s="75"/>
      <c r="DX644" s="75"/>
      <c r="DY644" s="75"/>
      <c r="DZ644" s="75"/>
      <c r="EA644" s="75"/>
      <c r="EB644" s="75"/>
      <c r="EC644" s="75"/>
      <c r="ED644" s="75"/>
      <c r="EE644" s="75"/>
    </row>
    <row r="645" ht="47.25" hidden="1" customHeight="1">
      <c r="A645" s="104" t="s">
        <v>843</v>
      </c>
      <c r="B645" s="84" t="s">
        <v>621</v>
      </c>
      <c r="C645" s="84" t="s">
        <v>1695</v>
      </c>
      <c r="D645" s="99" t="s">
        <v>607</v>
      </c>
      <c r="E645" s="84" t="s">
        <v>829</v>
      </c>
      <c r="F645" s="84" t="s">
        <v>607</v>
      </c>
      <c r="G645" s="84" t="s">
        <v>607</v>
      </c>
      <c r="H645" s="84" t="s">
        <v>830</v>
      </c>
      <c r="I645" s="85"/>
      <c r="J645" s="85"/>
      <c r="K645" s="85"/>
      <c r="L645" s="85"/>
      <c r="M645" s="85"/>
      <c r="N645" s="85"/>
      <c r="O645" s="85"/>
      <c r="P645" s="56">
        <v>1.0</v>
      </c>
      <c r="Q645" s="56" t="s">
        <v>131</v>
      </c>
      <c r="R645" s="86" t="str">
        <f t="shared" si="1"/>
        <v>2025</v>
      </c>
      <c r="S645" s="87" t="str">
        <f>SUM(Hoja1!$I645:$P645)</f>
        <v>1</v>
      </c>
      <c r="T645" s="87" t="str">
        <f>IF(OR(Hoja1!$J645=1,Hoja1!$K645=1,Hoja1!$L645=1,Hoja1!$M645=1,Hoja1!$N645=1,Hoja1!$O645=1,Hoja1!$P645=1),"SI","NO")</f>
        <v>SI</v>
      </c>
      <c r="U645" s="59" t="str">
        <f>IF(OR(Hoja1!$K645=1,Hoja1!$L645=1,Hoja1!$M645=1,Hoja1!$N645=1,Hoja1!$O645=1,Hoja1!$P645=1),"SI","NO")</f>
        <v>SI</v>
      </c>
      <c r="V645" s="88"/>
      <c r="W645" s="89"/>
      <c r="X645" s="89"/>
      <c r="Y645" s="88"/>
      <c r="Z645" s="89"/>
      <c r="AA645" s="89"/>
      <c r="AB645" s="88"/>
      <c r="AC645" s="89"/>
      <c r="AD645" s="89"/>
      <c r="AE645" s="88"/>
      <c r="AF645" s="89"/>
      <c r="AG645" s="89"/>
      <c r="AH645" s="88"/>
      <c r="AI645" s="89"/>
      <c r="AJ645" s="89"/>
      <c r="AK645" s="88"/>
      <c r="AL645" s="89"/>
      <c r="AM645" s="89"/>
      <c r="AN645" s="88"/>
      <c r="AO645" s="100">
        <v>8.0</v>
      </c>
      <c r="AP645" s="100">
        <v>2.0</v>
      </c>
      <c r="AQ645" s="88">
        <v>10.0</v>
      </c>
      <c r="AR645" s="88" t="str">
        <f>IF(Hoja1!$AQ645&gt;0,Hoja1!$AQ645,IF(Hoja1!$AN645&gt;0,Hoja1!$AN645,IF(Hoja1!$AK645&gt;0,Hoja1!$AK645,IF(Hoja1!$AH645&gt;0,Hoja1!$AH645,IF(Hoja1!$AE645&gt;0,Hoja1!$AE645,IF(Hoja1!$AB645&gt;0,Hoja1!$AB645,IF(Hoja1!$Y645&gt;0,Hoja1!$Y645,IF(Hoja1!$V645&gt;0,Hoja1!$V645," ---"))))))))</f>
        <v>10</v>
      </c>
      <c r="AS645" s="90"/>
      <c r="AT645" s="90"/>
      <c r="AU645" s="90"/>
      <c r="AV645" s="90"/>
      <c r="AW645" s="90"/>
      <c r="AX645" s="90"/>
      <c r="AY645" s="90"/>
      <c r="AZ645" s="90"/>
      <c r="BA645" s="90"/>
      <c r="BB645" s="90"/>
      <c r="BC645" s="90"/>
      <c r="BD645" s="90"/>
      <c r="BE645" s="91"/>
      <c r="BF645" s="92"/>
      <c r="BG645" s="92"/>
      <c r="BH645" s="91"/>
      <c r="BI645" s="93" t="str">
        <f t="shared" si="281"/>
        <v>#REF!</v>
      </c>
      <c r="BJ645" s="94" t="str">
        <f t="shared" si="282"/>
        <v>#REF!</v>
      </c>
      <c r="BK645" s="92"/>
      <c r="BL645" s="92"/>
      <c r="BM645" s="91"/>
      <c r="BN645" s="93" t="str">
        <f t="shared" si="283"/>
        <v>#REF!</v>
      </c>
      <c r="BO645" s="94" t="str">
        <f t="shared" si="284"/>
        <v>#REF!</v>
      </c>
      <c r="BP645" s="95"/>
      <c r="BQ645" s="95"/>
      <c r="BR645" s="96"/>
      <c r="BS645" s="93" t="str">
        <f t="shared" si="285"/>
        <v>#REF!</v>
      </c>
      <c r="BT645" s="94" t="str">
        <f>'[1]DATA CONSOLIDADA 2018-2025 '!$BR645-Hoja1!$BO645</f>
        <v>#REF!</v>
      </c>
      <c r="BU645" s="92"/>
      <c r="BV645" s="95"/>
      <c r="BW645" s="96"/>
      <c r="BX645" s="93" t="str">
        <f t="shared" si="286"/>
        <v>#REF!</v>
      </c>
      <c r="BY645" s="94" t="str">
        <f t="shared" si="287"/>
        <v>#REF!</v>
      </c>
      <c r="BZ645" s="95"/>
      <c r="CA645" s="95"/>
      <c r="CB645" s="96"/>
      <c r="CC645" s="93" t="str">
        <f t="shared" si="288"/>
        <v>#REF!</v>
      </c>
      <c r="CD645" s="94" t="str">
        <f>'[1]DATA CONSOLIDADA 2018-2025 '!$CB645-Hoja1!$BW645</f>
        <v>#REF!</v>
      </c>
      <c r="CE645" s="97"/>
      <c r="CF645" s="97"/>
      <c r="CG645" s="98"/>
      <c r="CH645" s="93" t="str">
        <f t="shared" si="289"/>
        <v>#REF!</v>
      </c>
      <c r="CI645" s="94" t="str">
        <f>'[1]DATA CONSOLIDADA 2018-2025 '!$CG645-Hoja1!$CB645</f>
        <v>#REF!</v>
      </c>
      <c r="CJ645" s="91" t="str">
        <f t="shared" si="271"/>
        <v>#REF!</v>
      </c>
      <c r="CK645" s="64">
        <v>23241.0</v>
      </c>
      <c r="CL645" s="64">
        <v>0.0</v>
      </c>
      <c r="CM645" s="64">
        <v>23241.0</v>
      </c>
      <c r="CN645" s="64" t="str">
        <f t="shared" si="12"/>
        <v>#REF!</v>
      </c>
      <c r="CO645" s="68" t="str">
        <f>'[1]DATA CONSOLIDADA 2018-2025 '!$CM645-Hoja1!$CG645</f>
        <v>#REF!</v>
      </c>
      <c r="CP645" s="97"/>
      <c r="CQ645" s="97"/>
      <c r="CR645" s="97"/>
      <c r="CS645" s="97"/>
      <c r="CT645" s="97"/>
      <c r="CU645" s="97"/>
      <c r="CV645" s="91"/>
      <c r="CW645" s="91"/>
      <c r="CX645" s="91"/>
      <c r="CY645" s="91"/>
      <c r="CZ645" s="91"/>
      <c r="DA645" s="91"/>
      <c r="DB645" s="91"/>
      <c r="DC645" s="72">
        <v>0.0</v>
      </c>
      <c r="DD645" s="72">
        <v>0.0</v>
      </c>
      <c r="DE645" s="72">
        <v>23241.0</v>
      </c>
      <c r="DF645" s="72">
        <v>0.0</v>
      </c>
      <c r="DG645" s="72">
        <v>0.0</v>
      </c>
      <c r="DH645" s="72">
        <v>23241.0</v>
      </c>
      <c r="DI645" s="105">
        <v>2.0608311387E10</v>
      </c>
      <c r="DJ645" s="102"/>
      <c r="DK645" s="102" t="s">
        <v>138</v>
      </c>
      <c r="DL645" s="75"/>
      <c r="DM645" s="75"/>
      <c r="DN645" s="75"/>
      <c r="DO645" s="75"/>
      <c r="DP645" s="75"/>
      <c r="DQ645" s="75"/>
      <c r="DR645" s="75"/>
      <c r="DS645" s="75"/>
      <c r="DT645" s="75"/>
      <c r="DU645" s="75"/>
      <c r="DV645" s="75"/>
      <c r="DW645" s="75"/>
      <c r="DX645" s="75"/>
      <c r="DY645" s="75"/>
      <c r="DZ645" s="75"/>
      <c r="EA645" s="75"/>
      <c r="EB645" s="75"/>
      <c r="EC645" s="75"/>
      <c r="ED645" s="75"/>
      <c r="EE645" s="75"/>
    </row>
    <row r="646" ht="47.25" customHeight="1">
      <c r="A646" s="84" t="s">
        <v>1939</v>
      </c>
      <c r="B646" s="84" t="s">
        <v>146</v>
      </c>
      <c r="C646" s="84"/>
      <c r="D646" s="99" t="s">
        <v>1940</v>
      </c>
      <c r="E646" s="84" t="s">
        <v>1941</v>
      </c>
      <c r="F646" s="84" t="s">
        <v>1940</v>
      </c>
      <c r="G646" s="84" t="s">
        <v>1942</v>
      </c>
      <c r="H646" s="84" t="s">
        <v>1943</v>
      </c>
      <c r="I646" s="85"/>
      <c r="J646" s="85"/>
      <c r="K646" s="85"/>
      <c r="L646" s="85"/>
      <c r="M646" s="85"/>
      <c r="N646" s="85"/>
      <c r="O646" s="85"/>
      <c r="P646" s="56">
        <v>1.0</v>
      </c>
      <c r="Q646" s="56" t="s">
        <v>131</v>
      </c>
      <c r="R646" s="86" t="str">
        <f t="shared" si="1"/>
        <v>2025</v>
      </c>
      <c r="S646" s="87" t="str">
        <f>SUM(Hoja1!$I646:$P646)</f>
        <v>1</v>
      </c>
      <c r="T646" s="87" t="str">
        <f>IF(OR(Hoja1!$J646=1,Hoja1!$K646=1,Hoja1!$L646=1,Hoja1!$M646=1,Hoja1!$N646=1,Hoja1!$O646=1,Hoja1!$P646=1),"SI","NO")</f>
        <v>SI</v>
      </c>
      <c r="U646" s="59" t="str">
        <f>IF(OR(Hoja1!$K646=1,Hoja1!$L646=1,Hoja1!$M646=1,Hoja1!$N646=1,Hoja1!$O646=1,Hoja1!$P646=1),"SI","NO")</f>
        <v>SI</v>
      </c>
      <c r="V646" s="88"/>
      <c r="W646" s="89"/>
      <c r="X646" s="89"/>
      <c r="Y646" s="88"/>
      <c r="Z646" s="89"/>
      <c r="AA646" s="89"/>
      <c r="AB646" s="88"/>
      <c r="AC646" s="89"/>
      <c r="AD646" s="89"/>
      <c r="AE646" s="88"/>
      <c r="AF646" s="89"/>
      <c r="AG646" s="89"/>
      <c r="AH646" s="88"/>
      <c r="AI646" s="89"/>
      <c r="AJ646" s="89"/>
      <c r="AK646" s="88"/>
      <c r="AL646" s="89"/>
      <c r="AM646" s="89"/>
      <c r="AN646" s="88"/>
      <c r="AO646" s="100">
        <v>39.0</v>
      </c>
      <c r="AP646" s="100">
        <v>9.0</v>
      </c>
      <c r="AQ646" s="88">
        <v>48.0</v>
      </c>
      <c r="AR646" s="88" t="str">
        <f>IF(Hoja1!$AQ646&gt;0,Hoja1!$AQ646,IF(Hoja1!$AN646&gt;0,Hoja1!$AN646,IF(Hoja1!$AK646&gt;0,Hoja1!$AK646,IF(Hoja1!$AH646&gt;0,Hoja1!$AH646,IF(Hoja1!$AE646&gt;0,Hoja1!$AE646,IF(Hoja1!$AB646&gt;0,Hoja1!$AB646,IF(Hoja1!$Y646&gt;0,Hoja1!$Y646,IF(Hoja1!$V646&gt;0,Hoja1!$V646," ---"))))))))</f>
        <v>48</v>
      </c>
      <c r="AS646" s="90"/>
      <c r="AT646" s="90"/>
      <c r="AU646" s="90"/>
      <c r="AV646" s="90"/>
      <c r="AW646" s="90"/>
      <c r="AX646" s="90"/>
      <c r="AY646" s="90"/>
      <c r="AZ646" s="90"/>
      <c r="BA646" s="90"/>
      <c r="BB646" s="90"/>
      <c r="BC646" s="90"/>
      <c r="BD646" s="90"/>
      <c r="BE646" s="91"/>
      <c r="BF646" s="92"/>
      <c r="BG646" s="92"/>
      <c r="BH646" s="91"/>
      <c r="BI646" s="93" t="str">
        <f t="shared" si="281"/>
        <v>#REF!</v>
      </c>
      <c r="BJ646" s="94" t="str">
        <f t="shared" si="282"/>
        <v>#REF!</v>
      </c>
      <c r="BK646" s="92"/>
      <c r="BL646" s="92"/>
      <c r="BM646" s="91"/>
      <c r="BN646" s="93" t="str">
        <f t="shared" si="283"/>
        <v>#REF!</v>
      </c>
      <c r="BO646" s="94" t="str">
        <f t="shared" si="284"/>
        <v>#REF!</v>
      </c>
      <c r="BP646" s="95"/>
      <c r="BQ646" s="95"/>
      <c r="BR646" s="96"/>
      <c r="BS646" s="93" t="str">
        <f t="shared" si="285"/>
        <v>#REF!</v>
      </c>
      <c r="BT646" s="94" t="str">
        <f>'[1]DATA CONSOLIDADA 2018-2025 '!$BR646-Hoja1!$BO646</f>
        <v>#REF!</v>
      </c>
      <c r="BU646" s="92"/>
      <c r="BV646" s="95"/>
      <c r="BW646" s="96"/>
      <c r="BX646" s="93" t="str">
        <f t="shared" si="286"/>
        <v>#REF!</v>
      </c>
      <c r="BY646" s="94" t="str">
        <f t="shared" si="287"/>
        <v>#REF!</v>
      </c>
      <c r="BZ646" s="95"/>
      <c r="CA646" s="95"/>
      <c r="CB646" s="96"/>
      <c r="CC646" s="93" t="str">
        <f t="shared" si="288"/>
        <v>#REF!</v>
      </c>
      <c r="CD646" s="94" t="str">
        <f>'[1]DATA CONSOLIDADA 2018-2025 '!$CB646-Hoja1!$BW646</f>
        <v>#REF!</v>
      </c>
      <c r="CE646" s="97"/>
      <c r="CF646" s="97"/>
      <c r="CG646" s="98"/>
      <c r="CH646" s="93" t="str">
        <f t="shared" si="289"/>
        <v>#REF!</v>
      </c>
      <c r="CI646" s="94" t="str">
        <f>'[1]DATA CONSOLIDADA 2018-2025 '!$CG646-Hoja1!$CB646</f>
        <v>#REF!</v>
      </c>
      <c r="CJ646" s="91" t="str">
        <f t="shared" si="271"/>
        <v>#REF!</v>
      </c>
      <c r="CK646" s="64">
        <v>23780.648955999997</v>
      </c>
      <c r="CL646" s="64">
        <v>7401.49686</v>
      </c>
      <c r="CM646" s="64">
        <v>31182.145815999997</v>
      </c>
      <c r="CN646" s="64" t="str">
        <f t="shared" si="12"/>
        <v>#REF!</v>
      </c>
      <c r="CO646" s="68" t="str">
        <f>'[1]DATA CONSOLIDADA 2018-2025 '!$CM646-Hoja1!$CG646</f>
        <v>#REF!</v>
      </c>
      <c r="CP646" s="97"/>
      <c r="CQ646" s="97"/>
      <c r="CR646" s="97"/>
      <c r="CS646" s="97"/>
      <c r="CT646" s="97"/>
      <c r="CU646" s="97"/>
      <c r="CV646" s="91"/>
      <c r="CW646" s="91"/>
      <c r="CX646" s="91"/>
      <c r="CY646" s="91"/>
      <c r="CZ646" s="91"/>
      <c r="DA646" s="91"/>
      <c r="DB646" s="91"/>
      <c r="DC646" s="72">
        <v>2310.0</v>
      </c>
      <c r="DD646" s="72">
        <v>28872.145816</v>
      </c>
      <c r="DE646" s="72">
        <v>0.0</v>
      </c>
      <c r="DF646" s="72">
        <v>0.0</v>
      </c>
      <c r="DG646" s="72">
        <v>0.0</v>
      </c>
      <c r="DH646" s="72">
        <v>31182.145816</v>
      </c>
      <c r="DI646" s="101"/>
      <c r="DJ646" s="102"/>
      <c r="DK646" s="102" t="s">
        <v>138</v>
      </c>
      <c r="DL646" s="75"/>
      <c r="DM646" s="75"/>
      <c r="DN646" s="75"/>
      <c r="DO646" s="75"/>
      <c r="DP646" s="75"/>
      <c r="DQ646" s="75"/>
      <c r="DR646" s="75"/>
      <c r="DS646" s="75"/>
      <c r="DT646" s="75"/>
      <c r="DU646" s="75"/>
      <c r="DV646" s="75"/>
      <c r="DW646" s="75"/>
      <c r="DX646" s="75"/>
      <c r="DY646" s="75"/>
      <c r="DZ646" s="75"/>
      <c r="EA646" s="75"/>
      <c r="EB646" s="75"/>
      <c r="EC646" s="75"/>
      <c r="ED646" s="75"/>
      <c r="EE646" s="75"/>
    </row>
    <row r="647" ht="47.25" hidden="1" customHeight="1">
      <c r="A647" s="84" t="s">
        <v>1944</v>
      </c>
      <c r="B647" s="84" t="s">
        <v>1945</v>
      </c>
      <c r="C647" s="84"/>
      <c r="D647" s="99" t="s">
        <v>1940</v>
      </c>
      <c r="E647" s="84" t="s">
        <v>1946</v>
      </c>
      <c r="F647" s="84" t="s">
        <v>1940</v>
      </c>
      <c r="G647" s="84" t="s">
        <v>1942</v>
      </c>
      <c r="H647" s="84" t="s">
        <v>1947</v>
      </c>
      <c r="I647" s="85"/>
      <c r="J647" s="85"/>
      <c r="K647" s="85"/>
      <c r="L647" s="85"/>
      <c r="M647" s="85"/>
      <c r="N647" s="85"/>
      <c r="O647" s="85"/>
      <c r="P647" s="56">
        <v>1.0</v>
      </c>
      <c r="Q647" s="56" t="s">
        <v>131</v>
      </c>
      <c r="R647" s="86" t="str">
        <f t="shared" si="1"/>
        <v>2025</v>
      </c>
      <c r="S647" s="87" t="str">
        <f>SUM(Hoja1!$I647:$P647)</f>
        <v>1</v>
      </c>
      <c r="T647" s="87" t="str">
        <f>IF(OR(Hoja1!$J647=1,Hoja1!$K647=1,Hoja1!$L647=1,Hoja1!$M647=1,Hoja1!$N647=1,Hoja1!$O647=1,Hoja1!$P647=1),"SI","NO")</f>
        <v>SI</v>
      </c>
      <c r="U647" s="59" t="str">
        <f>IF(OR(Hoja1!$K647=1,Hoja1!$L647=1,Hoja1!$M647=1,Hoja1!$N647=1,Hoja1!$O647=1,Hoja1!$P647=1),"SI","NO")</f>
        <v>SI</v>
      </c>
      <c r="V647" s="88"/>
      <c r="W647" s="89"/>
      <c r="X647" s="89"/>
      <c r="Y647" s="88"/>
      <c r="Z647" s="89"/>
      <c r="AA647" s="89"/>
      <c r="AB647" s="88"/>
      <c r="AC647" s="89"/>
      <c r="AD647" s="89"/>
      <c r="AE647" s="88"/>
      <c r="AF647" s="89"/>
      <c r="AG647" s="89"/>
      <c r="AH647" s="88"/>
      <c r="AI647" s="89"/>
      <c r="AJ647" s="89"/>
      <c r="AK647" s="88"/>
      <c r="AL647" s="89"/>
      <c r="AM647" s="89"/>
      <c r="AN647" s="88"/>
      <c r="AO647" s="100">
        <v>32.0</v>
      </c>
      <c r="AP647" s="100">
        <v>2.0</v>
      </c>
      <c r="AQ647" s="88">
        <v>34.0</v>
      </c>
      <c r="AR647" s="88" t="str">
        <f>IF(Hoja1!$AQ647&gt;0,Hoja1!$AQ647,IF(Hoja1!$AN647&gt;0,Hoja1!$AN647,IF(Hoja1!$AK647&gt;0,Hoja1!$AK647,IF(Hoja1!$AH647&gt;0,Hoja1!$AH647,IF(Hoja1!$AE647&gt;0,Hoja1!$AE647,IF(Hoja1!$AB647&gt;0,Hoja1!$AB647,IF(Hoja1!$Y647&gt;0,Hoja1!$Y647,IF(Hoja1!$V647&gt;0,Hoja1!$V647," ---"))))))))</f>
        <v>34</v>
      </c>
      <c r="AS647" s="90"/>
      <c r="AT647" s="90"/>
      <c r="AU647" s="90"/>
      <c r="AV647" s="90"/>
      <c r="AW647" s="90"/>
      <c r="AX647" s="90"/>
      <c r="AY647" s="90"/>
      <c r="AZ647" s="90"/>
      <c r="BA647" s="90"/>
      <c r="BB647" s="90"/>
      <c r="BC647" s="90"/>
      <c r="BD647" s="90"/>
      <c r="BE647" s="91"/>
      <c r="BF647" s="92"/>
      <c r="BG647" s="92"/>
      <c r="BH647" s="91"/>
      <c r="BI647" s="93" t="str">
        <f t="shared" si="281"/>
        <v>#REF!</v>
      </c>
      <c r="BJ647" s="94" t="str">
        <f t="shared" si="282"/>
        <v>#REF!</v>
      </c>
      <c r="BK647" s="92"/>
      <c r="BL647" s="92"/>
      <c r="BM647" s="91"/>
      <c r="BN647" s="93" t="str">
        <f t="shared" si="283"/>
        <v>#REF!</v>
      </c>
      <c r="BO647" s="94" t="str">
        <f t="shared" si="284"/>
        <v>#REF!</v>
      </c>
      <c r="BP647" s="95"/>
      <c r="BQ647" s="95"/>
      <c r="BR647" s="96"/>
      <c r="BS647" s="93" t="str">
        <f t="shared" si="285"/>
        <v>#REF!</v>
      </c>
      <c r="BT647" s="94" t="str">
        <f>'[1]DATA CONSOLIDADA 2018-2025 '!$BR647-Hoja1!$BO647</f>
        <v>#REF!</v>
      </c>
      <c r="BU647" s="92"/>
      <c r="BV647" s="95"/>
      <c r="BW647" s="96"/>
      <c r="BX647" s="93" t="str">
        <f t="shared" si="286"/>
        <v>#REF!</v>
      </c>
      <c r="BY647" s="94" t="str">
        <f t="shared" si="287"/>
        <v>#REF!</v>
      </c>
      <c r="BZ647" s="95"/>
      <c r="CA647" s="95"/>
      <c r="CB647" s="96"/>
      <c r="CC647" s="93" t="str">
        <f t="shared" si="288"/>
        <v>#REF!</v>
      </c>
      <c r="CD647" s="94" t="str">
        <f>'[1]DATA CONSOLIDADA 2018-2025 '!$CB647-Hoja1!$BW647</f>
        <v>#REF!</v>
      </c>
      <c r="CE647" s="97"/>
      <c r="CF647" s="97"/>
      <c r="CG647" s="98"/>
      <c r="CH647" s="93" t="str">
        <f t="shared" si="289"/>
        <v>#REF!</v>
      </c>
      <c r="CI647" s="94" t="str">
        <f>'[1]DATA CONSOLIDADA 2018-2025 '!$CG647-Hoja1!$CB647</f>
        <v>#REF!</v>
      </c>
      <c r="CJ647" s="91" t="str">
        <f t="shared" si="271"/>
        <v>#REF!</v>
      </c>
      <c r="CK647" s="64">
        <v>0.0</v>
      </c>
      <c r="CL647" s="64">
        <v>0.0</v>
      </c>
      <c r="CM647" s="64">
        <v>0.0</v>
      </c>
      <c r="CN647" s="64" t="str">
        <f t="shared" si="12"/>
        <v>#REF!</v>
      </c>
      <c r="CO647" s="68" t="str">
        <f>'[1]DATA CONSOLIDADA 2018-2025 '!$CM647-Hoja1!$CG647</f>
        <v>#REF!</v>
      </c>
      <c r="CP647" s="97"/>
      <c r="CQ647" s="97"/>
      <c r="CR647" s="97"/>
      <c r="CS647" s="97"/>
      <c r="CT647" s="97"/>
      <c r="CU647" s="97"/>
      <c r="CV647" s="91"/>
      <c r="CW647" s="91"/>
      <c r="CX647" s="91"/>
      <c r="CY647" s="91"/>
      <c r="CZ647" s="91"/>
      <c r="DA647" s="91"/>
      <c r="DB647" s="91"/>
      <c r="DC647" s="72">
        <v>0.0</v>
      </c>
      <c r="DD647" s="72">
        <v>0.0</v>
      </c>
      <c r="DE647" s="72">
        <v>0.0</v>
      </c>
      <c r="DF647" s="72">
        <v>0.0</v>
      </c>
      <c r="DG647" s="72">
        <v>0.0</v>
      </c>
      <c r="DH647" s="72">
        <v>0.0</v>
      </c>
      <c r="DI647" s="101"/>
      <c r="DJ647" s="102"/>
      <c r="DK647" s="102" t="s">
        <v>138</v>
      </c>
      <c r="DL647" s="75"/>
      <c r="DM647" s="75"/>
      <c r="DN647" s="75"/>
      <c r="DO647" s="75"/>
      <c r="DP647" s="75"/>
      <c r="DQ647" s="75"/>
      <c r="DR647" s="75"/>
      <c r="DS647" s="75"/>
      <c r="DT647" s="75"/>
      <c r="DU647" s="75"/>
      <c r="DV647" s="75"/>
      <c r="DW647" s="75"/>
      <c r="DX647" s="75"/>
      <c r="DY647" s="75"/>
      <c r="DZ647" s="75"/>
      <c r="EA647" s="75"/>
      <c r="EB647" s="75"/>
      <c r="EC647" s="75"/>
      <c r="ED647" s="75"/>
      <c r="EE647" s="75"/>
    </row>
    <row r="648" ht="47.25" hidden="1" customHeight="1">
      <c r="A648" s="84" t="s">
        <v>1948</v>
      </c>
      <c r="B648" s="84" t="s">
        <v>554</v>
      </c>
      <c r="C648" s="84"/>
      <c r="D648" s="99" t="s">
        <v>1940</v>
      </c>
      <c r="E648" s="84" t="s">
        <v>1949</v>
      </c>
      <c r="F648" s="84" t="s">
        <v>1940</v>
      </c>
      <c r="G648" s="84" t="s">
        <v>1942</v>
      </c>
      <c r="H648" s="84" t="s">
        <v>1942</v>
      </c>
      <c r="I648" s="85"/>
      <c r="J648" s="85"/>
      <c r="K648" s="85"/>
      <c r="L648" s="85"/>
      <c r="M648" s="85"/>
      <c r="N648" s="85"/>
      <c r="O648" s="85"/>
      <c r="P648" s="56">
        <v>1.0</v>
      </c>
      <c r="Q648" s="56" t="s">
        <v>131</v>
      </c>
      <c r="R648" s="86" t="str">
        <f t="shared" si="1"/>
        <v>2025</v>
      </c>
      <c r="S648" s="87" t="str">
        <f>SUM(Hoja1!$I648:$P648)</f>
        <v>1</v>
      </c>
      <c r="T648" s="87" t="str">
        <f>IF(OR(Hoja1!$J648=1,Hoja1!$K648=1,Hoja1!$L648=1,Hoja1!$M648=1,Hoja1!$N648=1,Hoja1!$O648=1,Hoja1!$P648=1),"SI","NO")</f>
        <v>SI</v>
      </c>
      <c r="U648" s="59" t="str">
        <f>IF(OR(Hoja1!$K648=1,Hoja1!$L648=1,Hoja1!$M648=1,Hoja1!$N648=1,Hoja1!$O648=1,Hoja1!$P648=1),"SI","NO")</f>
        <v>SI</v>
      </c>
      <c r="V648" s="88"/>
      <c r="W648" s="89"/>
      <c r="X648" s="89"/>
      <c r="Y648" s="88"/>
      <c r="Z648" s="89"/>
      <c r="AA648" s="89"/>
      <c r="AB648" s="88"/>
      <c r="AC648" s="89"/>
      <c r="AD648" s="89"/>
      <c r="AE648" s="88"/>
      <c r="AF648" s="89"/>
      <c r="AG648" s="89"/>
      <c r="AH648" s="88"/>
      <c r="AI648" s="89"/>
      <c r="AJ648" s="89"/>
      <c r="AK648" s="88"/>
      <c r="AL648" s="89"/>
      <c r="AM648" s="89"/>
      <c r="AN648" s="88"/>
      <c r="AO648" s="100">
        <v>40.0</v>
      </c>
      <c r="AP648" s="100">
        <v>7.0</v>
      </c>
      <c r="AQ648" s="88">
        <v>47.0</v>
      </c>
      <c r="AR648" s="88" t="str">
        <f>IF(Hoja1!$AQ648&gt;0,Hoja1!$AQ648,IF(Hoja1!$AN648&gt;0,Hoja1!$AN648,IF(Hoja1!$AK648&gt;0,Hoja1!$AK648,IF(Hoja1!$AH648&gt;0,Hoja1!$AH648,IF(Hoja1!$AE648&gt;0,Hoja1!$AE648,IF(Hoja1!$AB648&gt;0,Hoja1!$AB648,IF(Hoja1!$Y648&gt;0,Hoja1!$Y648,IF(Hoja1!$V648&gt;0,Hoja1!$V648," ---"))))))))</f>
        <v>47</v>
      </c>
      <c r="AS648" s="90"/>
      <c r="AT648" s="90"/>
      <c r="AU648" s="90"/>
      <c r="AV648" s="90"/>
      <c r="AW648" s="90"/>
      <c r="AX648" s="90"/>
      <c r="AY648" s="90"/>
      <c r="AZ648" s="90"/>
      <c r="BA648" s="90"/>
      <c r="BB648" s="90"/>
      <c r="BC648" s="90"/>
      <c r="BD648" s="90"/>
      <c r="BE648" s="91"/>
      <c r="BF648" s="92"/>
      <c r="BG648" s="92"/>
      <c r="BH648" s="91"/>
      <c r="BI648" s="93" t="str">
        <f t="shared" si="281"/>
        <v>#REF!</v>
      </c>
      <c r="BJ648" s="94" t="str">
        <f t="shared" si="282"/>
        <v>#REF!</v>
      </c>
      <c r="BK648" s="92"/>
      <c r="BL648" s="92"/>
      <c r="BM648" s="91"/>
      <c r="BN648" s="93" t="str">
        <f t="shared" si="283"/>
        <v>#REF!</v>
      </c>
      <c r="BO648" s="94" t="str">
        <f t="shared" si="284"/>
        <v>#REF!</v>
      </c>
      <c r="BP648" s="95"/>
      <c r="BQ648" s="95"/>
      <c r="BR648" s="96"/>
      <c r="BS648" s="93" t="str">
        <f t="shared" si="285"/>
        <v>#REF!</v>
      </c>
      <c r="BT648" s="94" t="str">
        <f>'[1]DATA CONSOLIDADA 2018-2025 '!$BR648-Hoja1!$BO648</f>
        <v>#REF!</v>
      </c>
      <c r="BU648" s="92"/>
      <c r="BV648" s="95"/>
      <c r="BW648" s="96"/>
      <c r="BX648" s="93" t="str">
        <f t="shared" si="286"/>
        <v>#REF!</v>
      </c>
      <c r="BY648" s="94" t="str">
        <f t="shared" si="287"/>
        <v>#REF!</v>
      </c>
      <c r="BZ648" s="95"/>
      <c r="CA648" s="95"/>
      <c r="CB648" s="96"/>
      <c r="CC648" s="93" t="str">
        <f t="shared" si="288"/>
        <v>#REF!</v>
      </c>
      <c r="CD648" s="94" t="str">
        <f>'[1]DATA CONSOLIDADA 2018-2025 '!$CB648-Hoja1!$BW648</f>
        <v>#REF!</v>
      </c>
      <c r="CE648" s="97"/>
      <c r="CF648" s="97"/>
      <c r="CG648" s="98"/>
      <c r="CH648" s="93" t="str">
        <f t="shared" si="289"/>
        <v>#REF!</v>
      </c>
      <c r="CI648" s="94" t="str">
        <f>'[1]DATA CONSOLIDADA 2018-2025 '!$CG648-Hoja1!$CB648</f>
        <v>#REF!</v>
      </c>
      <c r="CJ648" s="91" t="str">
        <f t="shared" si="271"/>
        <v>#REF!</v>
      </c>
      <c r="CK648" s="64">
        <v>2220.0</v>
      </c>
      <c r="CL648" s="64">
        <v>0.0</v>
      </c>
      <c r="CM648" s="64">
        <v>2220.0</v>
      </c>
      <c r="CN648" s="64" t="str">
        <f t="shared" si="12"/>
        <v>#REF!</v>
      </c>
      <c r="CO648" s="68" t="str">
        <f>'[1]DATA CONSOLIDADA 2018-2025 '!$CM648-Hoja1!$CG648</f>
        <v>#REF!</v>
      </c>
      <c r="CP648" s="97"/>
      <c r="CQ648" s="97"/>
      <c r="CR648" s="97"/>
      <c r="CS648" s="97"/>
      <c r="CT648" s="97"/>
      <c r="CU648" s="97"/>
      <c r="CV648" s="91"/>
      <c r="CW648" s="91"/>
      <c r="CX648" s="91"/>
      <c r="CY648" s="91"/>
      <c r="CZ648" s="91"/>
      <c r="DA648" s="91"/>
      <c r="DB648" s="91"/>
      <c r="DC648" s="72">
        <v>0.0</v>
      </c>
      <c r="DD648" s="72">
        <v>2220.0</v>
      </c>
      <c r="DE648" s="72">
        <v>0.0</v>
      </c>
      <c r="DF648" s="72">
        <v>0.0</v>
      </c>
      <c r="DG648" s="72">
        <v>0.0</v>
      </c>
      <c r="DH648" s="72">
        <v>2220.0</v>
      </c>
      <c r="DI648" s="101"/>
      <c r="DJ648" s="102"/>
      <c r="DK648" s="102" t="s">
        <v>138</v>
      </c>
      <c r="DL648" s="75"/>
      <c r="DM648" s="75"/>
      <c r="DN648" s="75"/>
      <c r="DO648" s="75"/>
      <c r="DP648" s="75"/>
      <c r="DQ648" s="75"/>
      <c r="DR648" s="75"/>
      <c r="DS648" s="75"/>
      <c r="DT648" s="75"/>
      <c r="DU648" s="75"/>
      <c r="DV648" s="75"/>
      <c r="DW648" s="75"/>
      <c r="DX648" s="75"/>
      <c r="DY648" s="75"/>
      <c r="DZ648" s="75"/>
      <c r="EA648" s="75"/>
      <c r="EB648" s="75"/>
      <c r="EC648" s="75"/>
      <c r="ED648" s="75"/>
      <c r="EE648" s="75"/>
    </row>
    <row r="649" ht="47.25" hidden="1" customHeight="1">
      <c r="A649" s="84" t="s">
        <v>1950</v>
      </c>
      <c r="B649" s="84" t="s">
        <v>554</v>
      </c>
      <c r="C649" s="84"/>
      <c r="D649" s="99" t="s">
        <v>1940</v>
      </c>
      <c r="E649" s="84" t="s">
        <v>1946</v>
      </c>
      <c r="F649" s="84" t="s">
        <v>1940</v>
      </c>
      <c r="G649" s="84" t="s">
        <v>1942</v>
      </c>
      <c r="H649" s="84" t="s">
        <v>1947</v>
      </c>
      <c r="I649" s="85"/>
      <c r="J649" s="85"/>
      <c r="K649" s="85"/>
      <c r="L649" s="85"/>
      <c r="M649" s="85"/>
      <c r="N649" s="85"/>
      <c r="O649" s="85"/>
      <c r="P649" s="56">
        <v>1.0</v>
      </c>
      <c r="Q649" s="56" t="s">
        <v>131</v>
      </c>
      <c r="R649" s="86" t="str">
        <f t="shared" si="1"/>
        <v>2025</v>
      </c>
      <c r="S649" s="87" t="str">
        <f>SUM(Hoja1!$I649:$P649)</f>
        <v>1</v>
      </c>
      <c r="T649" s="87" t="str">
        <f>IF(OR(Hoja1!$J649=1,Hoja1!$K649=1,Hoja1!$L649=1,Hoja1!$M649=1,Hoja1!$N649=1,Hoja1!$O649=1,Hoja1!$P649=1),"SI","NO")</f>
        <v>SI</v>
      </c>
      <c r="U649" s="59" t="str">
        <f>IF(OR(Hoja1!$K649=1,Hoja1!$L649=1,Hoja1!$M649=1,Hoja1!$N649=1,Hoja1!$O649=1,Hoja1!$P649=1),"SI","NO")</f>
        <v>SI</v>
      </c>
      <c r="V649" s="88"/>
      <c r="W649" s="89"/>
      <c r="X649" s="89"/>
      <c r="Y649" s="88"/>
      <c r="Z649" s="89"/>
      <c r="AA649" s="89"/>
      <c r="AB649" s="88"/>
      <c r="AC649" s="89"/>
      <c r="AD649" s="89"/>
      <c r="AE649" s="88"/>
      <c r="AF649" s="89"/>
      <c r="AG649" s="89"/>
      <c r="AH649" s="88"/>
      <c r="AI649" s="89"/>
      <c r="AJ649" s="89"/>
      <c r="AK649" s="88"/>
      <c r="AL649" s="89"/>
      <c r="AM649" s="89"/>
      <c r="AN649" s="88"/>
      <c r="AO649" s="100">
        <v>20.0</v>
      </c>
      <c r="AP649" s="100">
        <v>9.0</v>
      </c>
      <c r="AQ649" s="88">
        <v>29.0</v>
      </c>
      <c r="AR649" s="88" t="str">
        <f>IF(Hoja1!$AQ649&gt;0,Hoja1!$AQ649,IF(Hoja1!$AN649&gt;0,Hoja1!$AN649,IF(Hoja1!$AK649&gt;0,Hoja1!$AK649,IF(Hoja1!$AH649&gt;0,Hoja1!$AH649,IF(Hoja1!$AE649&gt;0,Hoja1!$AE649,IF(Hoja1!$AB649&gt;0,Hoja1!$AB649,IF(Hoja1!$Y649&gt;0,Hoja1!$Y649,IF(Hoja1!$V649&gt;0,Hoja1!$V649," ---"))))))))</f>
        <v>29</v>
      </c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1"/>
      <c r="BF649" s="92"/>
      <c r="BG649" s="92"/>
      <c r="BH649" s="91"/>
      <c r="BI649" s="93" t="str">
        <f t="shared" si="281"/>
        <v>#REF!</v>
      </c>
      <c r="BJ649" s="94" t="str">
        <f t="shared" si="282"/>
        <v>#REF!</v>
      </c>
      <c r="BK649" s="92"/>
      <c r="BL649" s="92"/>
      <c r="BM649" s="91"/>
      <c r="BN649" s="93" t="str">
        <f t="shared" si="283"/>
        <v>#REF!</v>
      </c>
      <c r="BO649" s="94" t="str">
        <f t="shared" si="284"/>
        <v>#REF!</v>
      </c>
      <c r="BP649" s="95"/>
      <c r="BQ649" s="95"/>
      <c r="BR649" s="96"/>
      <c r="BS649" s="93" t="str">
        <f t="shared" si="285"/>
        <v>#REF!</v>
      </c>
      <c r="BT649" s="94" t="str">
        <f>'[1]DATA CONSOLIDADA 2018-2025 '!$BR649-Hoja1!$BO649</f>
        <v>#REF!</v>
      </c>
      <c r="BU649" s="92"/>
      <c r="BV649" s="95"/>
      <c r="BW649" s="96"/>
      <c r="BX649" s="93" t="str">
        <f t="shared" si="286"/>
        <v>#REF!</v>
      </c>
      <c r="BY649" s="94" t="str">
        <f t="shared" si="287"/>
        <v>#REF!</v>
      </c>
      <c r="BZ649" s="95"/>
      <c r="CA649" s="95"/>
      <c r="CB649" s="96"/>
      <c r="CC649" s="93" t="str">
        <f t="shared" si="288"/>
        <v>#REF!</v>
      </c>
      <c r="CD649" s="94" t="str">
        <f>'[1]DATA CONSOLIDADA 2018-2025 '!$CB649-Hoja1!$BW649</f>
        <v>#REF!</v>
      </c>
      <c r="CE649" s="97"/>
      <c r="CF649" s="97"/>
      <c r="CG649" s="98"/>
      <c r="CH649" s="93" t="str">
        <f t="shared" si="289"/>
        <v>#REF!</v>
      </c>
      <c r="CI649" s="94" t="str">
        <f>'[1]DATA CONSOLIDADA 2018-2025 '!$CG649-Hoja1!$CB649</f>
        <v>#REF!</v>
      </c>
      <c r="CJ649" s="91" t="str">
        <f t="shared" si="271"/>
        <v>#REF!</v>
      </c>
      <c r="CK649" s="64">
        <v>22709.995580000003</v>
      </c>
      <c r="CL649" s="64">
        <v>0.0</v>
      </c>
      <c r="CM649" s="64">
        <v>22709.995580000003</v>
      </c>
      <c r="CN649" s="64" t="str">
        <f t="shared" si="12"/>
        <v>#REF!</v>
      </c>
      <c r="CO649" s="68" t="str">
        <f>'[1]DATA CONSOLIDADA 2018-2025 '!$CM649-Hoja1!$CG649</f>
        <v>#REF!</v>
      </c>
      <c r="CP649" s="97"/>
      <c r="CQ649" s="97"/>
      <c r="CR649" s="97"/>
      <c r="CS649" s="97"/>
      <c r="CT649" s="97"/>
      <c r="CU649" s="97"/>
      <c r="CV649" s="91"/>
      <c r="CW649" s="91"/>
      <c r="CX649" s="91"/>
      <c r="CY649" s="91"/>
      <c r="CZ649" s="91"/>
      <c r="DA649" s="91"/>
      <c r="DB649" s="91"/>
      <c r="DC649" s="72">
        <v>0.0</v>
      </c>
      <c r="DD649" s="72">
        <v>22709.995580000003</v>
      </c>
      <c r="DE649" s="72">
        <v>0.0</v>
      </c>
      <c r="DF649" s="72">
        <v>0.0</v>
      </c>
      <c r="DG649" s="72">
        <v>0.0</v>
      </c>
      <c r="DH649" s="72">
        <v>22709.995580000003</v>
      </c>
      <c r="DI649" s="101"/>
      <c r="DJ649" s="102"/>
      <c r="DK649" s="102" t="s">
        <v>138</v>
      </c>
      <c r="DL649" s="75"/>
      <c r="DM649" s="75"/>
      <c r="DN649" s="75"/>
      <c r="DO649" s="75"/>
      <c r="DP649" s="75"/>
      <c r="DQ649" s="75"/>
      <c r="DR649" s="75"/>
      <c r="DS649" s="75"/>
      <c r="DT649" s="75"/>
      <c r="DU649" s="75"/>
      <c r="DV649" s="75"/>
      <c r="DW649" s="75"/>
      <c r="DX649" s="75"/>
      <c r="DY649" s="75"/>
      <c r="DZ649" s="75"/>
      <c r="EA649" s="75"/>
      <c r="EB649" s="75"/>
      <c r="EC649" s="75"/>
      <c r="ED649" s="75"/>
      <c r="EE649" s="75"/>
    </row>
    <row r="650" ht="47.25" hidden="1" customHeight="1">
      <c r="A650" s="84" t="s">
        <v>1951</v>
      </c>
      <c r="B650" s="84" t="s">
        <v>1840</v>
      </c>
      <c r="C650" s="84"/>
      <c r="D650" s="99" t="s">
        <v>1940</v>
      </c>
      <c r="E650" s="84" t="s">
        <v>1952</v>
      </c>
      <c r="F650" s="84" t="s">
        <v>1940</v>
      </c>
      <c r="G650" s="84" t="s">
        <v>1942</v>
      </c>
      <c r="H650" s="84" t="s">
        <v>1953</v>
      </c>
      <c r="I650" s="85"/>
      <c r="J650" s="85"/>
      <c r="K650" s="85"/>
      <c r="L650" s="85"/>
      <c r="M650" s="85"/>
      <c r="N650" s="85"/>
      <c r="O650" s="85"/>
      <c r="P650" s="56">
        <v>1.0</v>
      </c>
      <c r="Q650" s="56" t="s">
        <v>131</v>
      </c>
      <c r="R650" s="86" t="str">
        <f t="shared" si="1"/>
        <v>2025</v>
      </c>
      <c r="S650" s="87" t="str">
        <f>SUM(Hoja1!$I650:$P650)</f>
        <v>1</v>
      </c>
      <c r="T650" s="87" t="str">
        <f>IF(OR(Hoja1!$J650=1,Hoja1!$K650=1,Hoja1!$L650=1,Hoja1!$M650=1,Hoja1!$N650=1,Hoja1!$O650=1,Hoja1!$P650=1),"SI","NO")</f>
        <v>SI</v>
      </c>
      <c r="U650" s="59" t="str">
        <f>IF(OR(Hoja1!$K650=1,Hoja1!$L650=1,Hoja1!$M650=1,Hoja1!$N650=1,Hoja1!$O650=1,Hoja1!$P650=1),"SI","NO")</f>
        <v>SI</v>
      </c>
      <c r="V650" s="88"/>
      <c r="W650" s="89"/>
      <c r="X650" s="89"/>
      <c r="Y650" s="88"/>
      <c r="Z650" s="89"/>
      <c r="AA650" s="89"/>
      <c r="AB650" s="88"/>
      <c r="AC650" s="89"/>
      <c r="AD650" s="89"/>
      <c r="AE650" s="88"/>
      <c r="AF650" s="89"/>
      <c r="AG650" s="89"/>
      <c r="AH650" s="88"/>
      <c r="AI650" s="89"/>
      <c r="AJ650" s="89"/>
      <c r="AK650" s="88"/>
      <c r="AL650" s="89"/>
      <c r="AM650" s="89"/>
      <c r="AN650" s="88"/>
      <c r="AO650" s="100">
        <v>24.0</v>
      </c>
      <c r="AP650" s="100">
        <v>5.0</v>
      </c>
      <c r="AQ650" s="88">
        <v>29.0</v>
      </c>
      <c r="AR650" s="88" t="str">
        <f>IF(Hoja1!$AQ650&gt;0,Hoja1!$AQ650,IF(Hoja1!$AN650&gt;0,Hoja1!$AN650,IF(Hoja1!$AK650&gt;0,Hoja1!$AK650,IF(Hoja1!$AH650&gt;0,Hoja1!$AH650,IF(Hoja1!$AE650&gt;0,Hoja1!$AE650,IF(Hoja1!$AB650&gt;0,Hoja1!$AB650,IF(Hoja1!$Y650&gt;0,Hoja1!$Y650,IF(Hoja1!$V650&gt;0,Hoja1!$V650," ---"))))))))</f>
        <v>29</v>
      </c>
      <c r="AS650" s="90"/>
      <c r="AT650" s="90"/>
      <c r="AU650" s="90"/>
      <c r="AV650" s="90"/>
      <c r="AW650" s="90"/>
      <c r="AX650" s="90"/>
      <c r="AY650" s="90"/>
      <c r="AZ650" s="90"/>
      <c r="BA650" s="90"/>
      <c r="BB650" s="90"/>
      <c r="BC650" s="90"/>
      <c r="BD650" s="90"/>
      <c r="BE650" s="91"/>
      <c r="BF650" s="92"/>
      <c r="BG650" s="92"/>
      <c r="BH650" s="91"/>
      <c r="BI650" s="93" t="str">
        <f t="shared" si="281"/>
        <v>#REF!</v>
      </c>
      <c r="BJ650" s="94" t="str">
        <f t="shared" si="282"/>
        <v>#REF!</v>
      </c>
      <c r="BK650" s="92"/>
      <c r="BL650" s="92"/>
      <c r="BM650" s="91"/>
      <c r="BN650" s="93" t="str">
        <f t="shared" si="283"/>
        <v>#REF!</v>
      </c>
      <c r="BO650" s="94" t="str">
        <f t="shared" si="284"/>
        <v>#REF!</v>
      </c>
      <c r="BP650" s="95"/>
      <c r="BQ650" s="95"/>
      <c r="BR650" s="96"/>
      <c r="BS650" s="93" t="str">
        <f t="shared" si="285"/>
        <v>#REF!</v>
      </c>
      <c r="BT650" s="94" t="str">
        <f>'[1]DATA CONSOLIDADA 2018-2025 '!$BR650-Hoja1!$BO650</f>
        <v>#REF!</v>
      </c>
      <c r="BU650" s="92"/>
      <c r="BV650" s="95"/>
      <c r="BW650" s="96"/>
      <c r="BX650" s="93" t="str">
        <f t="shared" si="286"/>
        <v>#REF!</v>
      </c>
      <c r="BY650" s="94" t="str">
        <f t="shared" si="287"/>
        <v>#REF!</v>
      </c>
      <c r="BZ650" s="95"/>
      <c r="CA650" s="95"/>
      <c r="CB650" s="96"/>
      <c r="CC650" s="93" t="str">
        <f t="shared" si="288"/>
        <v>#REF!</v>
      </c>
      <c r="CD650" s="94" t="str">
        <f>'[1]DATA CONSOLIDADA 2018-2025 '!$CB650-Hoja1!$BW650</f>
        <v>#REF!</v>
      </c>
      <c r="CE650" s="97"/>
      <c r="CF650" s="97"/>
      <c r="CG650" s="98"/>
      <c r="CH650" s="93" t="str">
        <f t="shared" si="289"/>
        <v>#REF!</v>
      </c>
      <c r="CI650" s="94" t="str">
        <f>'[1]DATA CONSOLIDADA 2018-2025 '!$CG650-Hoja1!$CB650</f>
        <v>#REF!</v>
      </c>
      <c r="CJ650" s="91" t="str">
        <f t="shared" si="271"/>
        <v>#REF!</v>
      </c>
      <c r="CK650" s="64">
        <v>139475.0036819</v>
      </c>
      <c r="CL650" s="64">
        <v>0.0</v>
      </c>
      <c r="CM650" s="64">
        <v>139475.0036819</v>
      </c>
      <c r="CN650" s="64" t="str">
        <f t="shared" si="12"/>
        <v>#REF!</v>
      </c>
      <c r="CO650" s="68" t="str">
        <f>'[1]DATA CONSOLIDADA 2018-2025 '!$CM650-Hoja1!$CG650</f>
        <v>#REF!</v>
      </c>
      <c r="CP650" s="97"/>
      <c r="CQ650" s="97"/>
      <c r="CR650" s="97"/>
      <c r="CS650" s="97"/>
      <c r="CT650" s="97"/>
      <c r="CU650" s="97"/>
      <c r="CV650" s="91"/>
      <c r="CW650" s="91"/>
      <c r="CX650" s="91"/>
      <c r="CY650" s="91"/>
      <c r="CZ650" s="91"/>
      <c r="DA650" s="91"/>
      <c r="DB650" s="91"/>
      <c r="DC650" s="72">
        <v>0.0</v>
      </c>
      <c r="DD650" s="72">
        <v>139475.0036819</v>
      </c>
      <c r="DE650" s="72">
        <v>0.0</v>
      </c>
      <c r="DF650" s="72">
        <v>0.0</v>
      </c>
      <c r="DG650" s="72">
        <v>0.0</v>
      </c>
      <c r="DH650" s="72">
        <v>139475.0036819</v>
      </c>
      <c r="DI650" s="101"/>
      <c r="DJ650" s="102"/>
      <c r="DK650" s="102" t="s">
        <v>138</v>
      </c>
      <c r="DL650" s="75"/>
      <c r="DM650" s="75"/>
      <c r="DN650" s="75"/>
      <c r="DO650" s="75"/>
      <c r="DP650" s="75"/>
      <c r="DQ650" s="75"/>
      <c r="DR650" s="75"/>
      <c r="DS650" s="75"/>
      <c r="DT650" s="75"/>
      <c r="DU650" s="75"/>
      <c r="DV650" s="75"/>
      <c r="DW650" s="75"/>
      <c r="DX650" s="75"/>
      <c r="DY650" s="75"/>
      <c r="DZ650" s="75"/>
      <c r="EA650" s="75"/>
      <c r="EB650" s="75"/>
      <c r="EC650" s="75"/>
      <c r="ED650" s="75"/>
      <c r="EE650" s="75"/>
    </row>
    <row r="651" ht="47.25" hidden="1" customHeight="1">
      <c r="A651" s="84" t="s">
        <v>1954</v>
      </c>
      <c r="B651" s="84" t="s">
        <v>1621</v>
      </c>
      <c r="C651" s="84"/>
      <c r="D651" s="106" t="s">
        <v>167</v>
      </c>
      <c r="E651" s="84" t="s">
        <v>1955</v>
      </c>
      <c r="F651" s="84" t="s">
        <v>167</v>
      </c>
      <c r="G651" s="84" t="s">
        <v>169</v>
      </c>
      <c r="H651" s="84" t="s">
        <v>1956</v>
      </c>
      <c r="I651" s="85"/>
      <c r="J651" s="85"/>
      <c r="K651" s="85"/>
      <c r="L651" s="85"/>
      <c r="M651" s="85"/>
      <c r="N651" s="85"/>
      <c r="O651" s="85"/>
      <c r="P651" s="56">
        <v>1.0</v>
      </c>
      <c r="Q651" s="56" t="s">
        <v>131</v>
      </c>
      <c r="R651" s="86" t="str">
        <f t="shared" si="1"/>
        <v>2025</v>
      </c>
      <c r="S651" s="87" t="str">
        <f>SUM(Hoja1!$I651:$P651)</f>
        <v>1</v>
      </c>
      <c r="T651" s="87" t="str">
        <f>IF(OR(Hoja1!$J651=1,Hoja1!$K651=1,Hoja1!$L651=1,Hoja1!$M651=1,Hoja1!$N651=1,Hoja1!$O651=1,Hoja1!$P651=1),"SI","NO")</f>
        <v>SI</v>
      </c>
      <c r="U651" s="59" t="str">
        <f>IF(OR(Hoja1!$K651=1,Hoja1!$L651=1,Hoja1!$M651=1,Hoja1!$N651=1,Hoja1!$O651=1,Hoja1!$P651=1),"SI","NO")</f>
        <v>SI</v>
      </c>
      <c r="V651" s="88"/>
      <c r="W651" s="89"/>
      <c r="X651" s="89"/>
      <c r="Y651" s="88"/>
      <c r="Z651" s="89"/>
      <c r="AA651" s="89"/>
      <c r="AB651" s="88"/>
      <c r="AC651" s="89"/>
      <c r="AD651" s="89"/>
      <c r="AE651" s="88"/>
      <c r="AF651" s="89"/>
      <c r="AG651" s="89"/>
      <c r="AH651" s="88"/>
      <c r="AI651" s="89"/>
      <c r="AJ651" s="89"/>
      <c r="AK651" s="88"/>
      <c r="AL651" s="89"/>
      <c r="AM651" s="89"/>
      <c r="AN651" s="88"/>
      <c r="AO651" s="100">
        <v>4.0</v>
      </c>
      <c r="AP651" s="100">
        <v>14.0</v>
      </c>
      <c r="AQ651" s="88">
        <v>18.0</v>
      </c>
      <c r="AR651" s="88" t="str">
        <f>IF(Hoja1!$AQ651&gt;0,Hoja1!$AQ651,IF(Hoja1!$AN651&gt;0,Hoja1!$AN651,IF(Hoja1!$AK651&gt;0,Hoja1!$AK651,IF(Hoja1!$AH651&gt;0,Hoja1!$AH651,IF(Hoja1!$AE651&gt;0,Hoja1!$AE651,IF(Hoja1!$AB651&gt;0,Hoja1!$AB651,IF(Hoja1!$Y651&gt;0,Hoja1!$Y651,IF(Hoja1!$V651&gt;0,Hoja1!$V651," ---"))))))))</f>
        <v>18</v>
      </c>
      <c r="AS651" s="90"/>
      <c r="AT651" s="90"/>
      <c r="AU651" s="90"/>
      <c r="AV651" s="90"/>
      <c r="AW651" s="90"/>
      <c r="AX651" s="90"/>
      <c r="AY651" s="90"/>
      <c r="AZ651" s="90"/>
      <c r="BA651" s="90"/>
      <c r="BB651" s="90"/>
      <c r="BC651" s="90"/>
      <c r="BD651" s="90"/>
      <c r="BE651" s="91"/>
      <c r="BF651" s="92"/>
      <c r="BG651" s="92"/>
      <c r="BH651" s="91"/>
      <c r="BI651" s="93" t="str">
        <f t="shared" si="281"/>
        <v>#REF!</v>
      </c>
      <c r="BJ651" s="94" t="str">
        <f t="shared" si="282"/>
        <v>#REF!</v>
      </c>
      <c r="BK651" s="92"/>
      <c r="BL651" s="92"/>
      <c r="BM651" s="91"/>
      <c r="BN651" s="93" t="str">
        <f t="shared" si="283"/>
        <v>#REF!</v>
      </c>
      <c r="BO651" s="94" t="str">
        <f t="shared" si="284"/>
        <v>#REF!</v>
      </c>
      <c r="BP651" s="95"/>
      <c r="BQ651" s="95"/>
      <c r="BR651" s="96"/>
      <c r="BS651" s="93" t="str">
        <f t="shared" si="285"/>
        <v>#REF!</v>
      </c>
      <c r="BT651" s="94" t="str">
        <f>'[1]DATA CONSOLIDADA 2018-2025 '!$BR651-Hoja1!$BO651</f>
        <v>#REF!</v>
      </c>
      <c r="BU651" s="92"/>
      <c r="BV651" s="95"/>
      <c r="BW651" s="96"/>
      <c r="BX651" s="93" t="str">
        <f t="shared" si="286"/>
        <v>#REF!</v>
      </c>
      <c r="BY651" s="94" t="str">
        <f t="shared" si="287"/>
        <v>#REF!</v>
      </c>
      <c r="BZ651" s="95"/>
      <c r="CA651" s="95"/>
      <c r="CB651" s="96"/>
      <c r="CC651" s="93" t="str">
        <f t="shared" si="288"/>
        <v>#REF!</v>
      </c>
      <c r="CD651" s="94" t="str">
        <f>'[1]DATA CONSOLIDADA 2018-2025 '!$CB651-Hoja1!$BW651</f>
        <v>#REF!</v>
      </c>
      <c r="CE651" s="97"/>
      <c r="CF651" s="97"/>
      <c r="CG651" s="98"/>
      <c r="CH651" s="93" t="str">
        <f t="shared" si="289"/>
        <v>#REF!</v>
      </c>
      <c r="CI651" s="94" t="str">
        <f>'[1]DATA CONSOLIDADA 2018-2025 '!$CG651-Hoja1!$CB651</f>
        <v>#REF!</v>
      </c>
      <c r="CJ651" s="91" t="str">
        <f t="shared" si="271"/>
        <v>#REF!</v>
      </c>
      <c r="CK651" s="64">
        <v>50695.0</v>
      </c>
      <c r="CL651" s="64">
        <v>0.0</v>
      </c>
      <c r="CM651" s="64">
        <v>50695.0</v>
      </c>
      <c r="CN651" s="64" t="str">
        <f t="shared" si="12"/>
        <v>#REF!</v>
      </c>
      <c r="CO651" s="68" t="str">
        <f>'[1]DATA CONSOLIDADA 2018-2025 '!$CM651-Hoja1!$CG651</f>
        <v>#REF!</v>
      </c>
      <c r="CP651" s="97"/>
      <c r="CQ651" s="97"/>
      <c r="CR651" s="97"/>
      <c r="CS651" s="97"/>
      <c r="CT651" s="97"/>
      <c r="CU651" s="97"/>
      <c r="CV651" s="91"/>
      <c r="CW651" s="91"/>
      <c r="CX651" s="91"/>
      <c r="CY651" s="91"/>
      <c r="CZ651" s="91"/>
      <c r="DA651" s="91"/>
      <c r="DB651" s="91"/>
      <c r="DC651" s="72">
        <v>0.0</v>
      </c>
      <c r="DD651" s="72">
        <v>50695.0</v>
      </c>
      <c r="DE651" s="72">
        <v>0.0</v>
      </c>
      <c r="DF651" s="72">
        <v>0.0</v>
      </c>
      <c r="DG651" s="72">
        <v>0.0</v>
      </c>
      <c r="DH651" s="72">
        <v>50695.0</v>
      </c>
      <c r="DI651" s="101"/>
      <c r="DJ651" s="102"/>
      <c r="DK651" s="102" t="s">
        <v>138</v>
      </c>
      <c r="DL651" s="75"/>
      <c r="DM651" s="75"/>
      <c r="DN651" s="75"/>
      <c r="DO651" s="75"/>
      <c r="DP651" s="75"/>
      <c r="DQ651" s="75"/>
      <c r="DR651" s="75"/>
      <c r="DS651" s="75"/>
      <c r="DT651" s="75"/>
      <c r="DU651" s="75"/>
      <c r="DV651" s="75"/>
      <c r="DW651" s="75"/>
      <c r="DX651" s="75"/>
      <c r="DY651" s="75"/>
      <c r="DZ651" s="75"/>
      <c r="EA651" s="75"/>
      <c r="EB651" s="75"/>
      <c r="EC651" s="75"/>
      <c r="ED651" s="75"/>
      <c r="EE651" s="75"/>
    </row>
    <row r="652" ht="47.25" hidden="1" customHeight="1">
      <c r="A652" s="84" t="s">
        <v>1957</v>
      </c>
      <c r="B652" s="84" t="s">
        <v>1210</v>
      </c>
      <c r="C652" s="84"/>
      <c r="D652" s="106" t="s">
        <v>167</v>
      </c>
      <c r="E652" s="84" t="s">
        <v>1747</v>
      </c>
      <c r="F652" s="84" t="s">
        <v>167</v>
      </c>
      <c r="G652" s="84" t="s">
        <v>1748</v>
      </c>
      <c r="H652" s="84" t="s">
        <v>1748</v>
      </c>
      <c r="I652" s="85"/>
      <c r="J652" s="85"/>
      <c r="K652" s="85"/>
      <c r="L652" s="85"/>
      <c r="M652" s="85"/>
      <c r="N652" s="85"/>
      <c r="O652" s="85"/>
      <c r="P652" s="56">
        <v>1.0</v>
      </c>
      <c r="Q652" s="56" t="s">
        <v>131</v>
      </c>
      <c r="R652" s="86" t="str">
        <f t="shared" si="1"/>
        <v>2025</v>
      </c>
      <c r="S652" s="87" t="str">
        <f>SUM(Hoja1!$I652:$P652)</f>
        <v>1</v>
      </c>
      <c r="T652" s="87" t="str">
        <f>IF(OR(Hoja1!$J652=1,Hoja1!$K652=1,Hoja1!$L652=1,Hoja1!$M652=1,Hoja1!$N652=1,Hoja1!$O652=1,Hoja1!$P652=1),"SI","NO")</f>
        <v>SI</v>
      </c>
      <c r="U652" s="59" t="str">
        <f>IF(OR(Hoja1!$K652=1,Hoja1!$L652=1,Hoja1!$M652=1,Hoja1!$N652=1,Hoja1!$O652=1,Hoja1!$P652=1),"SI","NO")</f>
        <v>SI</v>
      </c>
      <c r="V652" s="88"/>
      <c r="W652" s="89"/>
      <c r="X652" s="89"/>
      <c r="Y652" s="88"/>
      <c r="Z652" s="89"/>
      <c r="AA652" s="89"/>
      <c r="AB652" s="88"/>
      <c r="AC652" s="89"/>
      <c r="AD652" s="89"/>
      <c r="AE652" s="88"/>
      <c r="AF652" s="89"/>
      <c r="AG652" s="89"/>
      <c r="AH652" s="88"/>
      <c r="AI652" s="89"/>
      <c r="AJ652" s="89"/>
      <c r="AK652" s="88"/>
      <c r="AL652" s="89"/>
      <c r="AM652" s="89"/>
      <c r="AN652" s="88"/>
      <c r="AO652" s="100">
        <v>15.0</v>
      </c>
      <c r="AP652" s="100">
        <v>9.0</v>
      </c>
      <c r="AQ652" s="88">
        <v>24.0</v>
      </c>
      <c r="AR652" s="88" t="str">
        <f>IF(Hoja1!$AQ652&gt;0,Hoja1!$AQ652,IF(Hoja1!$AN652&gt;0,Hoja1!$AN652,IF(Hoja1!$AK652&gt;0,Hoja1!$AK652,IF(Hoja1!$AH652&gt;0,Hoja1!$AH652,IF(Hoja1!$AE652&gt;0,Hoja1!$AE652,IF(Hoja1!$AB652&gt;0,Hoja1!$AB652,IF(Hoja1!$Y652&gt;0,Hoja1!$Y652,IF(Hoja1!$V652&gt;0,Hoja1!$V652," ---"))))))))</f>
        <v>24</v>
      </c>
      <c r="AS652" s="90"/>
      <c r="AT652" s="90"/>
      <c r="AU652" s="90"/>
      <c r="AV652" s="90"/>
      <c r="AW652" s="90"/>
      <c r="AX652" s="90"/>
      <c r="AY652" s="90"/>
      <c r="AZ652" s="90"/>
      <c r="BA652" s="90"/>
      <c r="BB652" s="90"/>
      <c r="BC652" s="90"/>
      <c r="BD652" s="90"/>
      <c r="BE652" s="91"/>
      <c r="BF652" s="92"/>
      <c r="BG652" s="92"/>
      <c r="BH652" s="91"/>
      <c r="BI652" s="93" t="str">
        <f t="shared" si="281"/>
        <v>#REF!</v>
      </c>
      <c r="BJ652" s="94" t="str">
        <f t="shared" si="282"/>
        <v>#REF!</v>
      </c>
      <c r="BK652" s="92"/>
      <c r="BL652" s="92"/>
      <c r="BM652" s="91"/>
      <c r="BN652" s="93" t="str">
        <f t="shared" si="283"/>
        <v>#REF!</v>
      </c>
      <c r="BO652" s="94" t="str">
        <f t="shared" si="284"/>
        <v>#REF!</v>
      </c>
      <c r="BP652" s="95"/>
      <c r="BQ652" s="95"/>
      <c r="BR652" s="96"/>
      <c r="BS652" s="93" t="str">
        <f t="shared" si="285"/>
        <v>#REF!</v>
      </c>
      <c r="BT652" s="94" t="str">
        <f>'[1]DATA CONSOLIDADA 2018-2025 '!$BR652-Hoja1!$BO652</f>
        <v>#REF!</v>
      </c>
      <c r="BU652" s="92"/>
      <c r="BV652" s="95"/>
      <c r="BW652" s="96"/>
      <c r="BX652" s="93" t="str">
        <f t="shared" si="286"/>
        <v>#REF!</v>
      </c>
      <c r="BY652" s="94" t="str">
        <f t="shared" si="287"/>
        <v>#REF!</v>
      </c>
      <c r="BZ652" s="95"/>
      <c r="CA652" s="95"/>
      <c r="CB652" s="96"/>
      <c r="CC652" s="93" t="str">
        <f t="shared" si="288"/>
        <v>#REF!</v>
      </c>
      <c r="CD652" s="94" t="str">
        <f>'[1]DATA CONSOLIDADA 2018-2025 '!$CB652-Hoja1!$BW652</f>
        <v>#REF!</v>
      </c>
      <c r="CE652" s="97"/>
      <c r="CF652" s="97"/>
      <c r="CG652" s="98"/>
      <c r="CH652" s="93" t="str">
        <f t="shared" si="289"/>
        <v>#REF!</v>
      </c>
      <c r="CI652" s="94" t="str">
        <f>'[1]DATA CONSOLIDADA 2018-2025 '!$CG652-Hoja1!$CB652</f>
        <v>#REF!</v>
      </c>
      <c r="CJ652" s="91" t="str">
        <f t="shared" si="271"/>
        <v>#REF!</v>
      </c>
      <c r="CK652" s="64">
        <v>1265201.2743903</v>
      </c>
      <c r="CL652" s="64">
        <v>0.0</v>
      </c>
      <c r="CM652" s="64">
        <v>1265201.2743903</v>
      </c>
      <c r="CN652" s="64" t="str">
        <f t="shared" si="12"/>
        <v>#REF!</v>
      </c>
      <c r="CO652" s="68" t="str">
        <f>'[1]DATA CONSOLIDADA 2018-2025 '!$CM652-Hoja1!$CG652</f>
        <v>#REF!</v>
      </c>
      <c r="CP652" s="97"/>
      <c r="CQ652" s="97"/>
      <c r="CR652" s="97"/>
      <c r="CS652" s="97"/>
      <c r="CT652" s="97"/>
      <c r="CU652" s="97"/>
      <c r="CV652" s="91"/>
      <c r="CW652" s="91"/>
      <c r="CX652" s="91"/>
      <c r="CY652" s="91"/>
      <c r="CZ652" s="91"/>
      <c r="DA652" s="91"/>
      <c r="DB652" s="91"/>
      <c r="DC652" s="72">
        <v>0.0</v>
      </c>
      <c r="DD652" s="72">
        <v>399056.39999999997</v>
      </c>
      <c r="DE652" s="72">
        <v>866144.8743903001</v>
      </c>
      <c r="DF652" s="72">
        <v>0.0</v>
      </c>
      <c r="DG652" s="72">
        <v>0.0</v>
      </c>
      <c r="DH652" s="72">
        <v>1265201.2743903</v>
      </c>
      <c r="DI652" s="101"/>
      <c r="DJ652" s="102"/>
      <c r="DK652" s="102" t="s">
        <v>132</v>
      </c>
      <c r="DL652" s="75"/>
      <c r="DM652" s="75"/>
      <c r="DN652" s="75"/>
      <c r="DO652" s="75"/>
      <c r="DP652" s="75"/>
      <c r="DQ652" s="75"/>
      <c r="DR652" s="75"/>
      <c r="DS652" s="75"/>
      <c r="DT652" s="75"/>
      <c r="DU652" s="75"/>
      <c r="DV652" s="75"/>
      <c r="DW652" s="75"/>
      <c r="DX652" s="75"/>
      <c r="DY652" s="75"/>
      <c r="DZ652" s="75"/>
      <c r="EA652" s="75"/>
      <c r="EB652" s="75"/>
      <c r="EC652" s="75"/>
      <c r="ED652" s="75"/>
      <c r="EE652" s="75"/>
    </row>
    <row r="653" ht="47.25" hidden="1" customHeight="1">
      <c r="A653" s="84" t="s">
        <v>1958</v>
      </c>
      <c r="B653" s="84" t="s">
        <v>1210</v>
      </c>
      <c r="C653" s="84"/>
      <c r="D653" s="106" t="s">
        <v>167</v>
      </c>
      <c r="E653" s="84" t="s">
        <v>1747</v>
      </c>
      <c r="F653" s="84" t="s">
        <v>167</v>
      </c>
      <c r="G653" s="84" t="s">
        <v>1748</v>
      </c>
      <c r="H653" s="84" t="s">
        <v>1748</v>
      </c>
      <c r="I653" s="85"/>
      <c r="J653" s="85"/>
      <c r="K653" s="85"/>
      <c r="L653" s="85"/>
      <c r="M653" s="85"/>
      <c r="N653" s="85"/>
      <c r="O653" s="85"/>
      <c r="P653" s="56">
        <v>1.0</v>
      </c>
      <c r="Q653" s="56" t="s">
        <v>131</v>
      </c>
      <c r="R653" s="86" t="str">
        <f t="shared" si="1"/>
        <v>2025</v>
      </c>
      <c r="S653" s="87" t="str">
        <f>SUM(Hoja1!$I653:$P653)</f>
        <v>1</v>
      </c>
      <c r="T653" s="87" t="str">
        <f>IF(OR(Hoja1!$J653=1,Hoja1!$K653=1,Hoja1!$L653=1,Hoja1!$M653=1,Hoja1!$N653=1,Hoja1!$O653=1,Hoja1!$P653=1),"SI","NO")</f>
        <v>SI</v>
      </c>
      <c r="U653" s="59" t="str">
        <f>IF(OR(Hoja1!$K653=1,Hoja1!$L653=1,Hoja1!$M653=1,Hoja1!$N653=1,Hoja1!$O653=1,Hoja1!$P653=1),"SI","NO")</f>
        <v>SI</v>
      </c>
      <c r="V653" s="88"/>
      <c r="W653" s="89"/>
      <c r="X653" s="89"/>
      <c r="Y653" s="88"/>
      <c r="Z653" s="89"/>
      <c r="AA653" s="89"/>
      <c r="AB653" s="88"/>
      <c r="AC653" s="89"/>
      <c r="AD653" s="89"/>
      <c r="AE653" s="88"/>
      <c r="AF653" s="89"/>
      <c r="AG653" s="89"/>
      <c r="AH653" s="88"/>
      <c r="AI653" s="89"/>
      <c r="AJ653" s="89"/>
      <c r="AK653" s="88"/>
      <c r="AL653" s="89"/>
      <c r="AM653" s="89"/>
      <c r="AN653" s="88"/>
      <c r="AO653" s="100">
        <v>27.0</v>
      </c>
      <c r="AP653" s="100">
        <v>4.0</v>
      </c>
      <c r="AQ653" s="88">
        <v>31.0</v>
      </c>
      <c r="AR653" s="88" t="str">
        <f>IF(Hoja1!$AQ653&gt;0,Hoja1!$AQ653,IF(Hoja1!$AN653&gt;0,Hoja1!$AN653,IF(Hoja1!$AK653&gt;0,Hoja1!$AK653,IF(Hoja1!$AH653&gt;0,Hoja1!$AH653,IF(Hoja1!$AE653&gt;0,Hoja1!$AE653,IF(Hoja1!$AB653&gt;0,Hoja1!$AB653,IF(Hoja1!$Y653&gt;0,Hoja1!$Y653,IF(Hoja1!$V653&gt;0,Hoja1!$V653," ---"))))))))</f>
        <v>31</v>
      </c>
      <c r="AS653" s="90"/>
      <c r="AT653" s="90"/>
      <c r="AU653" s="90"/>
      <c r="AV653" s="90"/>
      <c r="AW653" s="90"/>
      <c r="AX653" s="90"/>
      <c r="AY653" s="90"/>
      <c r="AZ653" s="90"/>
      <c r="BA653" s="90"/>
      <c r="BB653" s="90"/>
      <c r="BC653" s="90"/>
      <c r="BD653" s="90"/>
      <c r="BE653" s="91"/>
      <c r="BF653" s="92"/>
      <c r="BG653" s="92"/>
      <c r="BH653" s="91"/>
      <c r="BI653" s="93" t="str">
        <f t="shared" si="281"/>
        <v>#REF!</v>
      </c>
      <c r="BJ653" s="94" t="str">
        <f t="shared" si="282"/>
        <v>#REF!</v>
      </c>
      <c r="BK653" s="92"/>
      <c r="BL653" s="92"/>
      <c r="BM653" s="91"/>
      <c r="BN653" s="93" t="str">
        <f t="shared" si="283"/>
        <v>#REF!</v>
      </c>
      <c r="BO653" s="94" t="str">
        <f t="shared" si="284"/>
        <v>#REF!</v>
      </c>
      <c r="BP653" s="95"/>
      <c r="BQ653" s="95"/>
      <c r="BR653" s="96"/>
      <c r="BS653" s="93" t="str">
        <f t="shared" si="285"/>
        <v>#REF!</v>
      </c>
      <c r="BT653" s="94" t="str">
        <f>'[1]DATA CONSOLIDADA 2018-2025 '!$BR653-Hoja1!$BO653</f>
        <v>#REF!</v>
      </c>
      <c r="BU653" s="92"/>
      <c r="BV653" s="95"/>
      <c r="BW653" s="96"/>
      <c r="BX653" s="93" t="str">
        <f t="shared" si="286"/>
        <v>#REF!</v>
      </c>
      <c r="BY653" s="94" t="str">
        <f t="shared" si="287"/>
        <v>#REF!</v>
      </c>
      <c r="BZ653" s="95"/>
      <c r="CA653" s="95"/>
      <c r="CB653" s="96"/>
      <c r="CC653" s="93" t="str">
        <f t="shared" si="288"/>
        <v>#REF!</v>
      </c>
      <c r="CD653" s="94" t="str">
        <f>'[1]DATA CONSOLIDADA 2018-2025 '!$CB653-Hoja1!$BW653</f>
        <v>#REF!</v>
      </c>
      <c r="CE653" s="97"/>
      <c r="CF653" s="97"/>
      <c r="CG653" s="98"/>
      <c r="CH653" s="93" t="str">
        <f t="shared" si="289"/>
        <v>#REF!</v>
      </c>
      <c r="CI653" s="94" t="str">
        <f>'[1]DATA CONSOLIDADA 2018-2025 '!$CG653-Hoja1!$CB653</f>
        <v>#REF!</v>
      </c>
      <c r="CJ653" s="91" t="str">
        <f t="shared" si="271"/>
        <v>#REF!</v>
      </c>
      <c r="CK653" s="64">
        <v>0.0</v>
      </c>
      <c r="CL653" s="64">
        <v>0.0</v>
      </c>
      <c r="CM653" s="64">
        <v>0.0</v>
      </c>
      <c r="CN653" s="64" t="str">
        <f t="shared" si="12"/>
        <v>#REF!</v>
      </c>
      <c r="CO653" s="68" t="str">
        <f>'[1]DATA CONSOLIDADA 2018-2025 '!$CM653-Hoja1!$CG653</f>
        <v>#REF!</v>
      </c>
      <c r="CP653" s="97"/>
      <c r="CQ653" s="97"/>
      <c r="CR653" s="97"/>
      <c r="CS653" s="97"/>
      <c r="CT653" s="97"/>
      <c r="CU653" s="97"/>
      <c r="CV653" s="91"/>
      <c r="CW653" s="91"/>
      <c r="CX653" s="91"/>
      <c r="CY653" s="91"/>
      <c r="CZ653" s="91"/>
      <c r="DA653" s="91"/>
      <c r="DB653" s="91"/>
      <c r="DC653" s="72">
        <v>0.0</v>
      </c>
      <c r="DD653" s="72">
        <v>0.0</v>
      </c>
      <c r="DE653" s="72">
        <v>0.0</v>
      </c>
      <c r="DF653" s="72">
        <v>0.0</v>
      </c>
      <c r="DG653" s="72">
        <v>0.0</v>
      </c>
      <c r="DH653" s="72">
        <v>0.0</v>
      </c>
      <c r="DI653" s="101"/>
      <c r="DJ653" s="102"/>
      <c r="DK653" s="102" t="s">
        <v>138</v>
      </c>
      <c r="DL653" s="75"/>
      <c r="DM653" s="75"/>
      <c r="DN653" s="75"/>
      <c r="DO653" s="75"/>
      <c r="DP653" s="75"/>
      <c r="DQ653" s="75"/>
      <c r="DR653" s="75"/>
      <c r="DS653" s="75"/>
      <c r="DT653" s="75"/>
      <c r="DU653" s="75"/>
      <c r="DV653" s="75"/>
      <c r="DW653" s="75"/>
      <c r="DX653" s="75"/>
      <c r="DY653" s="75"/>
      <c r="DZ653" s="75"/>
      <c r="EA653" s="75"/>
      <c r="EB653" s="75"/>
      <c r="EC653" s="75"/>
      <c r="ED653" s="75"/>
      <c r="EE653" s="75"/>
    </row>
    <row r="654" ht="47.25" hidden="1" customHeight="1">
      <c r="A654" s="107" t="s">
        <v>1959</v>
      </c>
      <c r="B654" s="107" t="s">
        <v>1908</v>
      </c>
      <c r="C654" s="107"/>
      <c r="D654" s="108"/>
      <c r="E654" s="107"/>
      <c r="F654" s="107" t="s">
        <v>167</v>
      </c>
      <c r="G654" s="107"/>
      <c r="H654" s="107"/>
      <c r="I654" s="109"/>
      <c r="J654" s="109"/>
      <c r="K654" s="109"/>
      <c r="L654" s="109"/>
      <c r="M654" s="109"/>
      <c r="N654" s="109"/>
      <c r="O654" s="109"/>
      <c r="P654" s="109">
        <v>1.0</v>
      </c>
      <c r="Q654" s="56" t="s">
        <v>131</v>
      </c>
      <c r="R654" s="107" t="str">
        <f t="shared" si="1"/>
        <v>2025</v>
      </c>
      <c r="S654" s="109" t="str">
        <f>SUM(Hoja1!$I654:$P654)</f>
        <v>1</v>
      </c>
      <c r="T654" s="109" t="str">
        <f>IF(OR(Hoja1!$J654=1,Hoja1!$K654=1,Hoja1!$L654=1,Hoja1!$M654=1,Hoja1!$N654=1,Hoja1!$O654=1,Hoja1!$P654=1),"SI","NO")</f>
        <v>SI</v>
      </c>
      <c r="U654" s="59" t="str">
        <f>IF(OR(Hoja1!$K654=1,Hoja1!$L654=1,Hoja1!$M654=1,Hoja1!$N654=1,Hoja1!$O654=1,Hoja1!$P654=1),"SI","NO")</f>
        <v>SI</v>
      </c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>
        <v>34.0</v>
      </c>
      <c r="AP654" s="110">
        <v>5.0</v>
      </c>
      <c r="AQ654" s="110">
        <v>39.0</v>
      </c>
      <c r="AR654" s="110">
        <v>39.0</v>
      </c>
      <c r="AS654" s="110"/>
      <c r="AT654" s="110"/>
      <c r="AU654" s="110"/>
      <c r="AV654" s="110"/>
      <c r="AW654" s="110"/>
      <c r="AX654" s="110"/>
      <c r="AY654" s="110"/>
      <c r="AZ654" s="110"/>
      <c r="BA654" s="110"/>
      <c r="BB654" s="110"/>
      <c r="BC654" s="110"/>
      <c r="BD654" s="110"/>
      <c r="BE654" s="111"/>
      <c r="BF654" s="111"/>
      <c r="BG654" s="111"/>
      <c r="BH654" s="111"/>
      <c r="BI654" s="112" t="str">
        <f t="shared" si="281"/>
        <v>#REF!</v>
      </c>
      <c r="BJ654" s="111" t="str">
        <f t="shared" si="282"/>
        <v>#REF!</v>
      </c>
      <c r="BK654" s="111"/>
      <c r="BL654" s="111"/>
      <c r="BM654" s="111"/>
      <c r="BN654" s="112" t="str">
        <f t="shared" si="283"/>
        <v>#REF!</v>
      </c>
      <c r="BO654" s="111" t="str">
        <f t="shared" si="284"/>
        <v>#REF!</v>
      </c>
      <c r="BP654" s="113"/>
      <c r="BQ654" s="113"/>
      <c r="BR654" s="113"/>
      <c r="BS654" s="112" t="str">
        <f t="shared" si="285"/>
        <v>#REF!</v>
      </c>
      <c r="BT654" s="111" t="str">
        <f>'[1]DATA CONSOLIDADA 2018-2025 '!$BR654-Hoja1!$BO654</f>
        <v>#REF!</v>
      </c>
      <c r="BU654" s="111"/>
      <c r="BV654" s="113"/>
      <c r="BW654" s="113"/>
      <c r="BX654" s="112" t="str">
        <f t="shared" si="286"/>
        <v>#REF!</v>
      </c>
      <c r="BY654" s="111" t="str">
        <f t="shared" si="287"/>
        <v>#REF!</v>
      </c>
      <c r="BZ654" s="113"/>
      <c r="CA654" s="113"/>
      <c r="CB654" s="113"/>
      <c r="CC654" s="112" t="str">
        <f t="shared" si="288"/>
        <v>#REF!</v>
      </c>
      <c r="CD654" s="111" t="str">
        <f>'[1]DATA CONSOLIDADA 2018-2025 '!$CB654-Hoja1!$BW654</f>
        <v>#REF!</v>
      </c>
      <c r="CE654" s="114"/>
      <c r="CF654" s="114"/>
      <c r="CG654" s="114"/>
      <c r="CH654" s="112" t="str">
        <f t="shared" si="289"/>
        <v>#REF!</v>
      </c>
      <c r="CI654" s="111" t="str">
        <f>'[1]DATA CONSOLIDADA 2018-2025 '!$CG654-Hoja1!$CB654</f>
        <v>#REF!</v>
      </c>
      <c r="CJ654" s="111" t="str">
        <f t="shared" si="271"/>
        <v>#REF!</v>
      </c>
      <c r="CK654" s="64">
        <v>179896.76082489974</v>
      </c>
      <c r="CL654" s="64">
        <v>0.0</v>
      </c>
      <c r="CM654" s="64">
        <v>179896.76082489974</v>
      </c>
      <c r="CN654" s="64" t="str">
        <f t="shared" si="12"/>
        <v>#REF!</v>
      </c>
      <c r="CO654" s="68" t="str">
        <f>'[1]DATA CONSOLIDADA 2018-2025 '!$CM654-Hoja1!$CG654</f>
        <v>#REF!</v>
      </c>
      <c r="CP654" s="114"/>
      <c r="CQ654" s="114"/>
      <c r="CR654" s="114"/>
      <c r="CS654" s="114"/>
      <c r="CT654" s="114"/>
      <c r="CU654" s="114"/>
      <c r="CV654" s="111"/>
      <c r="CW654" s="111"/>
      <c r="CX654" s="111"/>
      <c r="CY654" s="111"/>
      <c r="CZ654" s="111"/>
      <c r="DA654" s="111"/>
      <c r="DB654" s="111"/>
      <c r="DC654" s="72">
        <v>0.0</v>
      </c>
      <c r="DD654" s="72">
        <v>0.0</v>
      </c>
      <c r="DE654" s="72">
        <v>179896.76082489974</v>
      </c>
      <c r="DF654" s="72">
        <v>0.0</v>
      </c>
      <c r="DG654" s="72">
        <v>0.0</v>
      </c>
      <c r="DH654" s="72">
        <v>179896.76082489974</v>
      </c>
      <c r="DI654" s="105"/>
      <c r="DJ654" s="115"/>
      <c r="DK654" s="115" t="s">
        <v>138</v>
      </c>
      <c r="DL654" s="77"/>
      <c r="DM654" s="77"/>
      <c r="DN654" s="77"/>
      <c r="DO654" s="77"/>
      <c r="DP654" s="77"/>
      <c r="DQ654" s="77"/>
      <c r="DR654" s="77"/>
      <c r="DS654" s="77"/>
      <c r="DT654" s="77"/>
      <c r="DU654" s="77"/>
      <c r="DV654" s="77"/>
      <c r="DW654" s="77"/>
      <c r="DX654" s="77"/>
      <c r="DY654" s="77"/>
      <c r="DZ654" s="77"/>
      <c r="EA654" s="77"/>
      <c r="EB654" s="77"/>
      <c r="EC654" s="77"/>
      <c r="ED654" s="77"/>
      <c r="EE654" s="77"/>
    </row>
    <row r="655" ht="47.25" hidden="1" customHeight="1">
      <c r="A655" s="55" t="s">
        <v>1960</v>
      </c>
      <c r="B655" s="55" t="s">
        <v>491</v>
      </c>
      <c r="C655" s="55" t="s">
        <v>491</v>
      </c>
      <c r="D655" s="55" t="s">
        <v>127</v>
      </c>
      <c r="E655" s="55" t="s">
        <v>1733</v>
      </c>
      <c r="F655" s="55" t="s">
        <v>127</v>
      </c>
      <c r="G655" s="55" t="s">
        <v>148</v>
      </c>
      <c r="H655" s="55" t="s">
        <v>1734</v>
      </c>
      <c r="I655" s="56"/>
      <c r="J655" s="56"/>
      <c r="K655" s="56"/>
      <c r="L655" s="56"/>
      <c r="M655" s="56"/>
      <c r="N655" s="56"/>
      <c r="O655" s="56"/>
      <c r="P655" s="56">
        <v>1.0</v>
      </c>
      <c r="Q655" s="56" t="s">
        <v>131</v>
      </c>
      <c r="R655" s="58" t="str">
        <f t="shared" si="1"/>
        <v>2025</v>
      </c>
      <c r="S655" s="59"/>
      <c r="T655" s="109" t="str">
        <f>IF(OR(Hoja1!$J655=1,Hoja1!$K655=1,Hoja1!$L655=1,Hoja1!$M655=1,Hoja1!$N655=1,Hoja1!$O655=1,Hoja1!$P655=1),"SI","NO")</f>
        <v>SI</v>
      </c>
      <c r="U655" s="59" t="str">
        <f>IF(OR(Hoja1!$K655=1,Hoja1!$L655=1,Hoja1!$M655=1,Hoja1!$N655=1,Hoja1!$O655=1,Hoja1!$P655=1),"SI","NO")</f>
        <v>SI</v>
      </c>
      <c r="V655" s="60"/>
      <c r="W655" s="61"/>
      <c r="X655" s="61"/>
      <c r="Y655" s="60"/>
      <c r="Z655" s="61"/>
      <c r="AA655" s="61"/>
      <c r="AB655" s="60"/>
      <c r="AC655" s="61"/>
      <c r="AD655" s="61"/>
      <c r="AE655" s="60"/>
      <c r="AF655" s="61"/>
      <c r="AG655" s="61"/>
      <c r="AH655" s="60"/>
      <c r="AI655" s="61"/>
      <c r="AJ655" s="61"/>
      <c r="AK655" s="60"/>
      <c r="AL655" s="61"/>
      <c r="AM655" s="61"/>
      <c r="AN655" s="60"/>
      <c r="AO655" s="62">
        <v>36.0</v>
      </c>
      <c r="AP655" s="62">
        <v>6.0</v>
      </c>
      <c r="AQ655" s="60">
        <v>42.0</v>
      </c>
      <c r="AR655" s="60" t="str">
        <f>IF(Hoja1!$AQ655&gt;0,Hoja1!$AQ655,IF(Hoja1!$AN655&gt;0,Hoja1!$AN655,IF(Hoja1!$AK655&gt;0,Hoja1!$AK655,IF(Hoja1!$AH655&gt;0,Hoja1!$AH655,IF(Hoja1!$AE655&gt;0,Hoja1!$AE655,IF(Hoja1!$AB655&gt;0,Hoja1!$AB655,IF(Hoja1!$Y655&gt;0,Hoja1!$Y655,IF(Hoja1!$V655&gt;0,Hoja1!$V655," ---"))))))))</f>
        <v>42</v>
      </c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>
        <v>20.0</v>
      </c>
      <c r="BD655" s="63">
        <v>4.0</v>
      </c>
      <c r="BE655" s="64"/>
      <c r="BF655" s="69"/>
      <c r="BG655" s="69"/>
      <c r="BH655" s="64"/>
      <c r="BI655" s="67" t="str">
        <f t="shared" si="281"/>
        <v>#REF!</v>
      </c>
      <c r="BJ655" s="68" t="str">
        <f t="shared" si="282"/>
        <v>#REF!</v>
      </c>
      <c r="BK655" s="69"/>
      <c r="BL655" s="69"/>
      <c r="BM655" s="64"/>
      <c r="BN655" s="67" t="str">
        <f t="shared" si="283"/>
        <v>#REF!</v>
      </c>
      <c r="BO655" s="68" t="str">
        <f t="shared" si="284"/>
        <v>#REF!</v>
      </c>
      <c r="BP655" s="65"/>
      <c r="BQ655" s="65"/>
      <c r="BR655" s="66"/>
      <c r="BS655" s="67" t="str">
        <f t="shared" si="285"/>
        <v>#REF!</v>
      </c>
      <c r="BT655" s="68" t="str">
        <f>'[1]DATA CONSOLIDADA 2018-2025 '!$BR655-Hoja1!$BO655</f>
        <v>#REF!</v>
      </c>
      <c r="BU655" s="69"/>
      <c r="BV655" s="65"/>
      <c r="BW655" s="66"/>
      <c r="BX655" s="67" t="str">
        <f t="shared" si="286"/>
        <v>#REF!</v>
      </c>
      <c r="BY655" s="68" t="str">
        <f t="shared" si="287"/>
        <v>#REF!</v>
      </c>
      <c r="BZ655" s="65"/>
      <c r="CA655" s="65"/>
      <c r="CB655" s="66"/>
      <c r="CC655" s="67" t="str">
        <f t="shared" si="288"/>
        <v>#REF!</v>
      </c>
      <c r="CD655" s="68" t="str">
        <f>'[1]DATA CONSOLIDADA 2018-2025 '!$CB655-Hoja1!$BW655</f>
        <v>#REF!</v>
      </c>
      <c r="CE655" s="70"/>
      <c r="CF655" s="70"/>
      <c r="CG655" s="71"/>
      <c r="CH655" s="67" t="str">
        <f t="shared" si="289"/>
        <v>#REF!</v>
      </c>
      <c r="CI655" s="68" t="str">
        <f>'[1]DATA CONSOLIDADA 2018-2025 '!$CG655-Hoja1!$CB655</f>
        <v>#REF!</v>
      </c>
      <c r="CJ655" s="64" t="str">
        <f t="shared" si="271"/>
        <v>#REF!</v>
      </c>
      <c r="CK655" s="64">
        <v>0.0</v>
      </c>
      <c r="CL655" s="64">
        <v>0.0</v>
      </c>
      <c r="CM655" s="64">
        <v>0.0</v>
      </c>
      <c r="CN655" s="64" t="str">
        <f t="shared" si="12"/>
        <v>#REF!</v>
      </c>
      <c r="CO655" s="68" t="str">
        <f>'[1]DATA CONSOLIDADA 2018-2025 '!$CM655-Hoja1!$CG655</f>
        <v>#REF!</v>
      </c>
      <c r="CP655" s="70"/>
      <c r="CQ655" s="70"/>
      <c r="CR655" s="70"/>
      <c r="CS655" s="70"/>
      <c r="CT655" s="70"/>
      <c r="CU655" s="70"/>
      <c r="CV655" s="64"/>
      <c r="CW655" s="64"/>
      <c r="CX655" s="64"/>
      <c r="CY655" s="64"/>
      <c r="CZ655" s="64"/>
      <c r="DA655" s="64"/>
      <c r="DB655" s="64"/>
      <c r="DC655" s="72">
        <v>0.0</v>
      </c>
      <c r="DD655" s="72">
        <v>0.0</v>
      </c>
      <c r="DE655" s="72">
        <v>0.0</v>
      </c>
      <c r="DF655" s="72">
        <v>0.0</v>
      </c>
      <c r="DG655" s="72">
        <v>0.0</v>
      </c>
      <c r="DH655" s="72">
        <v>0.0</v>
      </c>
      <c r="DI655" s="73"/>
      <c r="DJ655" s="74"/>
      <c r="DK655" s="74"/>
      <c r="DL655" s="77"/>
      <c r="DM655" s="77"/>
      <c r="DN655" s="77"/>
      <c r="DO655" s="77"/>
      <c r="DP655" s="77"/>
      <c r="DQ655" s="77"/>
      <c r="DR655" s="77"/>
      <c r="DS655" s="77"/>
      <c r="DT655" s="77"/>
      <c r="DU655" s="77"/>
      <c r="DV655" s="77"/>
      <c r="DW655" s="77"/>
      <c r="DX655" s="77"/>
      <c r="DY655" s="77"/>
      <c r="DZ655" s="77"/>
      <c r="EA655" s="77"/>
      <c r="EB655" s="77"/>
      <c r="EC655" s="77"/>
      <c r="ED655" s="77"/>
      <c r="EE655" s="77"/>
    </row>
    <row r="656" ht="47.25" hidden="1" customHeight="1">
      <c r="A656" s="55" t="s">
        <v>1961</v>
      </c>
      <c r="B656" s="55" t="s">
        <v>491</v>
      </c>
      <c r="C656" s="55" t="s">
        <v>491</v>
      </c>
      <c r="D656" s="55" t="s">
        <v>127</v>
      </c>
      <c r="E656" s="55" t="s">
        <v>1733</v>
      </c>
      <c r="F656" s="55" t="s">
        <v>127</v>
      </c>
      <c r="G656" s="55" t="s">
        <v>148</v>
      </c>
      <c r="H656" s="55" t="s">
        <v>1734</v>
      </c>
      <c r="I656" s="56"/>
      <c r="J656" s="56"/>
      <c r="K656" s="56"/>
      <c r="L656" s="56"/>
      <c r="M656" s="56"/>
      <c r="N656" s="56"/>
      <c r="O656" s="56"/>
      <c r="P656" s="56">
        <v>1.0</v>
      </c>
      <c r="Q656" s="56" t="s">
        <v>131</v>
      </c>
      <c r="R656" s="58" t="str">
        <f t="shared" si="1"/>
        <v>2025</v>
      </c>
      <c r="S656" s="59"/>
      <c r="T656" s="109" t="str">
        <f>IF(OR(Hoja1!$J656=1,Hoja1!$K656=1,Hoja1!$L656=1,Hoja1!$M656=1,Hoja1!$N656=1,Hoja1!$O656=1,Hoja1!$P656=1),"SI","NO")</f>
        <v>SI</v>
      </c>
      <c r="U656" s="59" t="str">
        <f>IF(OR(Hoja1!$K656=1,Hoja1!$L656=1,Hoja1!$M656=1,Hoja1!$N656=1,Hoja1!$O656=1,Hoja1!$P656=1),"SI","NO")</f>
        <v>SI</v>
      </c>
      <c r="V656" s="60"/>
      <c r="W656" s="61"/>
      <c r="X656" s="61"/>
      <c r="Y656" s="60"/>
      <c r="Z656" s="61"/>
      <c r="AA656" s="61"/>
      <c r="AB656" s="60"/>
      <c r="AC656" s="61"/>
      <c r="AD656" s="61"/>
      <c r="AE656" s="60"/>
      <c r="AF656" s="61"/>
      <c r="AG656" s="61"/>
      <c r="AH656" s="60"/>
      <c r="AI656" s="61"/>
      <c r="AJ656" s="61"/>
      <c r="AK656" s="60"/>
      <c r="AL656" s="61"/>
      <c r="AM656" s="61"/>
      <c r="AN656" s="60"/>
      <c r="AO656" s="62">
        <v>35.0</v>
      </c>
      <c r="AP656" s="62">
        <v>15.0</v>
      </c>
      <c r="AQ656" s="60">
        <v>50.0</v>
      </c>
      <c r="AR656" s="60" t="str">
        <f>IF(Hoja1!$AQ656&gt;0,Hoja1!$AQ656,IF(Hoja1!$AN656&gt;0,Hoja1!$AN656,IF(Hoja1!$AK656&gt;0,Hoja1!$AK656,IF(Hoja1!$AH656&gt;0,Hoja1!$AH656,IF(Hoja1!$AE656&gt;0,Hoja1!$AE656,IF(Hoja1!$AB656&gt;0,Hoja1!$AB656,IF(Hoja1!$Y656&gt;0,Hoja1!$Y656,IF(Hoja1!$V656&gt;0,Hoja1!$V656," ---"))))))))</f>
        <v>50</v>
      </c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>
        <v>20.0</v>
      </c>
      <c r="BD656" s="63">
        <v>4.0</v>
      </c>
      <c r="BE656" s="64"/>
      <c r="BF656" s="69"/>
      <c r="BG656" s="69"/>
      <c r="BH656" s="64"/>
      <c r="BI656" s="67" t="str">
        <f t="shared" si="281"/>
        <v>#REF!</v>
      </c>
      <c r="BJ656" s="68" t="str">
        <f t="shared" si="282"/>
        <v>#REF!</v>
      </c>
      <c r="BK656" s="69"/>
      <c r="BL656" s="69"/>
      <c r="BM656" s="64"/>
      <c r="BN656" s="67" t="str">
        <f t="shared" si="283"/>
        <v>#REF!</v>
      </c>
      <c r="BO656" s="68" t="str">
        <f t="shared" si="284"/>
        <v>#REF!</v>
      </c>
      <c r="BP656" s="65"/>
      <c r="BQ656" s="65"/>
      <c r="BR656" s="66"/>
      <c r="BS656" s="67" t="str">
        <f t="shared" si="285"/>
        <v>#REF!</v>
      </c>
      <c r="BT656" s="68" t="str">
        <f>'[1]DATA CONSOLIDADA 2018-2025 '!$BR656-Hoja1!$BO656</f>
        <v>#REF!</v>
      </c>
      <c r="BU656" s="69"/>
      <c r="BV656" s="65"/>
      <c r="BW656" s="66"/>
      <c r="BX656" s="67" t="str">
        <f t="shared" si="286"/>
        <v>#REF!</v>
      </c>
      <c r="BY656" s="68" t="str">
        <f t="shared" si="287"/>
        <v>#REF!</v>
      </c>
      <c r="BZ656" s="65"/>
      <c r="CA656" s="65"/>
      <c r="CB656" s="66"/>
      <c r="CC656" s="67" t="str">
        <f t="shared" si="288"/>
        <v>#REF!</v>
      </c>
      <c r="CD656" s="68" t="str">
        <f>'[1]DATA CONSOLIDADA 2018-2025 '!$CB656-Hoja1!$BW656</f>
        <v>#REF!</v>
      </c>
      <c r="CE656" s="70"/>
      <c r="CF656" s="70"/>
      <c r="CG656" s="71"/>
      <c r="CH656" s="67" t="str">
        <f t="shared" si="289"/>
        <v>#REF!</v>
      </c>
      <c r="CI656" s="68" t="str">
        <f>'[1]DATA CONSOLIDADA 2018-2025 '!$CG656-Hoja1!$CB656</f>
        <v>#REF!</v>
      </c>
      <c r="CJ656" s="64" t="str">
        <f t="shared" si="271"/>
        <v>#REF!</v>
      </c>
      <c r="CK656" s="64">
        <v>10000.0</v>
      </c>
      <c r="CL656" s="64">
        <v>0.0</v>
      </c>
      <c r="CM656" s="64">
        <v>10000.0</v>
      </c>
      <c r="CN656" s="64" t="str">
        <f t="shared" si="12"/>
        <v>#REF!</v>
      </c>
      <c r="CO656" s="68" t="str">
        <f>'[1]DATA CONSOLIDADA 2018-2025 '!$CM656-Hoja1!$CG656</f>
        <v>#REF!</v>
      </c>
      <c r="CP656" s="70"/>
      <c r="CQ656" s="70"/>
      <c r="CR656" s="70"/>
      <c r="CS656" s="70"/>
      <c r="CT656" s="70"/>
      <c r="CU656" s="70"/>
      <c r="CV656" s="64"/>
      <c r="CW656" s="64"/>
      <c r="CX656" s="64"/>
      <c r="CY656" s="64"/>
      <c r="CZ656" s="64"/>
      <c r="DA656" s="64"/>
      <c r="DB656" s="64"/>
      <c r="DC656" s="72">
        <v>10000.0</v>
      </c>
      <c r="DD656" s="72">
        <v>0.0</v>
      </c>
      <c r="DE656" s="72">
        <v>0.0</v>
      </c>
      <c r="DF656" s="72">
        <v>0.0</v>
      </c>
      <c r="DG656" s="72">
        <v>0.0</v>
      </c>
      <c r="DH656" s="72">
        <v>10000.0</v>
      </c>
      <c r="DI656" s="73"/>
      <c r="DJ656" s="74"/>
      <c r="DK656" s="74"/>
      <c r="DL656" s="77"/>
      <c r="DM656" s="77"/>
      <c r="DN656" s="77"/>
      <c r="DO656" s="77"/>
      <c r="DP656" s="77"/>
      <c r="DQ656" s="77"/>
      <c r="DR656" s="77"/>
      <c r="DS656" s="77"/>
      <c r="DT656" s="77"/>
      <c r="DU656" s="77"/>
      <c r="DV656" s="77"/>
      <c r="DW656" s="77"/>
      <c r="DX656" s="77"/>
      <c r="DY656" s="77"/>
      <c r="DZ656" s="77"/>
      <c r="EA656" s="77"/>
      <c r="EB656" s="77"/>
      <c r="EC656" s="77"/>
      <c r="ED656" s="77"/>
      <c r="EE656" s="77"/>
    </row>
    <row r="657" ht="47.25" hidden="1" customHeight="1">
      <c r="A657" s="55" t="s">
        <v>1962</v>
      </c>
      <c r="B657" s="55" t="s">
        <v>126</v>
      </c>
      <c r="C657" s="55" t="s">
        <v>126</v>
      </c>
      <c r="D657" s="55" t="s">
        <v>434</v>
      </c>
      <c r="E657" s="55" t="s">
        <v>531</v>
      </c>
      <c r="F657" s="55" t="s">
        <v>434</v>
      </c>
      <c r="G657" s="55" t="s">
        <v>476</v>
      </c>
      <c r="H657" s="55" t="s">
        <v>532</v>
      </c>
      <c r="I657" s="56"/>
      <c r="J657" s="56"/>
      <c r="K657" s="56"/>
      <c r="L657" s="56"/>
      <c r="M657" s="56"/>
      <c r="N657" s="56"/>
      <c r="O657" s="56"/>
      <c r="P657" s="56">
        <v>1.0</v>
      </c>
      <c r="Q657" s="56" t="s">
        <v>131</v>
      </c>
      <c r="R657" s="58" t="str">
        <f t="shared" si="1"/>
        <v>2025</v>
      </c>
      <c r="S657" s="59"/>
      <c r="T657" s="109" t="str">
        <f>IF(OR(Hoja1!$J657=1,Hoja1!$K657=1,Hoja1!$L657=1,Hoja1!$M657=1,Hoja1!$N657=1,Hoja1!$O657=1,Hoja1!$P657=1),"SI","NO")</f>
        <v>SI</v>
      </c>
      <c r="U657" s="59" t="str">
        <f>IF(OR(Hoja1!$K657=1,Hoja1!$L657=1,Hoja1!$M657=1,Hoja1!$N657=1,Hoja1!$O657=1,Hoja1!$P657=1),"SI","NO")</f>
        <v>SI</v>
      </c>
      <c r="V657" s="60"/>
      <c r="W657" s="61"/>
      <c r="X657" s="61"/>
      <c r="Y657" s="60"/>
      <c r="Z657" s="61"/>
      <c r="AA657" s="61"/>
      <c r="AB657" s="60"/>
      <c r="AC657" s="61"/>
      <c r="AD657" s="61"/>
      <c r="AE657" s="60"/>
      <c r="AF657" s="61"/>
      <c r="AG657" s="61"/>
      <c r="AH657" s="60"/>
      <c r="AI657" s="61"/>
      <c r="AJ657" s="61"/>
      <c r="AK657" s="60"/>
      <c r="AL657" s="61"/>
      <c r="AM657" s="61"/>
      <c r="AN657" s="60"/>
      <c r="AO657" s="62">
        <v>30.0</v>
      </c>
      <c r="AP657" s="62">
        <v>14.0</v>
      </c>
      <c r="AQ657" s="60">
        <v>44.0</v>
      </c>
      <c r="AR657" s="60" t="str">
        <f>IF(Hoja1!$AQ657&gt;0,Hoja1!$AQ657,IF(Hoja1!$AN657&gt;0,Hoja1!$AN657,IF(Hoja1!$AK657&gt;0,Hoja1!$AK657,IF(Hoja1!$AH657&gt;0,Hoja1!$AH657,IF(Hoja1!$AE657&gt;0,Hoja1!$AE657,IF(Hoja1!$AB657&gt;0,Hoja1!$AB657,IF(Hoja1!$Y657&gt;0,Hoja1!$Y657,IF(Hoja1!$V657&gt;0,Hoja1!$V657," ---"))))))))</f>
        <v>44</v>
      </c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>
        <v>15.0</v>
      </c>
      <c r="BD657" s="63">
        <v>3.0</v>
      </c>
      <c r="BE657" s="64"/>
      <c r="BF657" s="69"/>
      <c r="BG657" s="69"/>
      <c r="BH657" s="64"/>
      <c r="BI657" s="67" t="str">
        <f t="shared" si="281"/>
        <v>#REF!</v>
      </c>
      <c r="BJ657" s="68" t="str">
        <f t="shared" si="282"/>
        <v>#REF!</v>
      </c>
      <c r="BK657" s="69"/>
      <c r="BL657" s="69"/>
      <c r="BM657" s="64"/>
      <c r="BN657" s="67" t="str">
        <f t="shared" si="283"/>
        <v>#REF!</v>
      </c>
      <c r="BO657" s="68" t="str">
        <f t="shared" si="284"/>
        <v>#REF!</v>
      </c>
      <c r="BP657" s="65"/>
      <c r="BQ657" s="65"/>
      <c r="BR657" s="66"/>
      <c r="BS657" s="67" t="str">
        <f t="shared" si="285"/>
        <v>#REF!</v>
      </c>
      <c r="BT657" s="68" t="str">
        <f>'[1]DATA CONSOLIDADA 2018-2025 '!$BR657-Hoja1!$BO657</f>
        <v>#REF!</v>
      </c>
      <c r="BU657" s="69"/>
      <c r="BV657" s="65"/>
      <c r="BW657" s="66"/>
      <c r="BX657" s="67" t="str">
        <f t="shared" si="286"/>
        <v>#REF!</v>
      </c>
      <c r="BY657" s="68" t="str">
        <f t="shared" si="287"/>
        <v>#REF!</v>
      </c>
      <c r="BZ657" s="65"/>
      <c r="CA657" s="65"/>
      <c r="CB657" s="66"/>
      <c r="CC657" s="67" t="str">
        <f t="shared" si="288"/>
        <v>#REF!</v>
      </c>
      <c r="CD657" s="68" t="str">
        <f>'[1]DATA CONSOLIDADA 2018-2025 '!$CB657-Hoja1!$BW657</f>
        <v>#REF!</v>
      </c>
      <c r="CE657" s="70"/>
      <c r="CF657" s="70"/>
      <c r="CG657" s="71"/>
      <c r="CH657" s="67" t="str">
        <f t="shared" si="289"/>
        <v>#REF!</v>
      </c>
      <c r="CI657" s="68" t="str">
        <f>'[1]DATA CONSOLIDADA 2018-2025 '!$CG657-Hoja1!$CB657</f>
        <v>#REF!</v>
      </c>
      <c r="CJ657" s="64" t="str">
        <f t="shared" si="271"/>
        <v>#REF!</v>
      </c>
      <c r="CK657" s="64">
        <v>132161.69857930002</v>
      </c>
      <c r="CL657" s="64">
        <v>0.0</v>
      </c>
      <c r="CM657" s="64">
        <v>132161.69857930002</v>
      </c>
      <c r="CN657" s="64" t="str">
        <f t="shared" si="12"/>
        <v>#REF!</v>
      </c>
      <c r="CO657" s="68" t="str">
        <f>'[1]DATA CONSOLIDADA 2018-2025 '!$CM657-Hoja1!$CG657</f>
        <v>#REF!</v>
      </c>
      <c r="CP657" s="70"/>
      <c r="CQ657" s="70"/>
      <c r="CR657" s="70"/>
      <c r="CS657" s="70"/>
      <c r="CT657" s="70"/>
      <c r="CU657" s="70"/>
      <c r="CV657" s="64"/>
      <c r="CW657" s="64"/>
      <c r="CX657" s="64"/>
      <c r="CY657" s="64"/>
      <c r="CZ657" s="64"/>
      <c r="DA657" s="64"/>
      <c r="DB657" s="64"/>
      <c r="DC657" s="72">
        <v>0.0</v>
      </c>
      <c r="DD657" s="72">
        <v>132161.69857930002</v>
      </c>
      <c r="DE657" s="72">
        <v>0.0</v>
      </c>
      <c r="DF657" s="72">
        <v>0.0</v>
      </c>
      <c r="DG657" s="72">
        <v>0.0</v>
      </c>
      <c r="DH657" s="72">
        <v>132161.69857930002</v>
      </c>
      <c r="DI657" s="73"/>
      <c r="DJ657" s="74"/>
      <c r="DK657" s="74"/>
      <c r="DL657" s="77"/>
      <c r="DM657" s="77"/>
      <c r="DN657" s="77"/>
      <c r="DO657" s="77"/>
      <c r="DP657" s="77"/>
      <c r="DQ657" s="77"/>
      <c r="DR657" s="77"/>
      <c r="DS657" s="77"/>
      <c r="DT657" s="77"/>
      <c r="DU657" s="77"/>
      <c r="DV657" s="77"/>
      <c r="DW657" s="77"/>
      <c r="DX657" s="77"/>
      <c r="DY657" s="77"/>
      <c r="DZ657" s="77"/>
      <c r="EA657" s="77"/>
      <c r="EB657" s="77"/>
      <c r="EC657" s="77"/>
      <c r="ED657" s="77"/>
      <c r="EE657" s="77"/>
    </row>
    <row r="658" ht="47.25" hidden="1" customHeight="1">
      <c r="A658" s="55" t="s">
        <v>1963</v>
      </c>
      <c r="B658" s="55" t="s">
        <v>126</v>
      </c>
      <c r="C658" s="55" t="s">
        <v>126</v>
      </c>
      <c r="D658" s="55" t="s">
        <v>434</v>
      </c>
      <c r="E658" s="55" t="s">
        <v>1964</v>
      </c>
      <c r="F658" s="55" t="s">
        <v>434</v>
      </c>
      <c r="G658" s="55" t="s">
        <v>435</v>
      </c>
      <c r="H658" s="55" t="s">
        <v>1594</v>
      </c>
      <c r="I658" s="56"/>
      <c r="J658" s="56"/>
      <c r="K658" s="56"/>
      <c r="L658" s="56"/>
      <c r="M658" s="56"/>
      <c r="N658" s="56"/>
      <c r="O658" s="56"/>
      <c r="P658" s="56">
        <v>1.0</v>
      </c>
      <c r="Q658" s="56" t="s">
        <v>131</v>
      </c>
      <c r="R658" s="58" t="str">
        <f t="shared" si="1"/>
        <v>2025</v>
      </c>
      <c r="S658" s="59"/>
      <c r="T658" s="109" t="str">
        <f>IF(OR(Hoja1!$J658=1,Hoja1!$K658=1,Hoja1!$L658=1,Hoja1!$M658=1,Hoja1!$N658=1,Hoja1!$O658=1,Hoja1!$P658=1),"SI","NO")</f>
        <v>SI</v>
      </c>
      <c r="U658" s="59" t="str">
        <f>IF(OR(Hoja1!$K658=1,Hoja1!$L658=1,Hoja1!$M658=1,Hoja1!$N658=1,Hoja1!$O658=1,Hoja1!$P658=1),"SI","NO")</f>
        <v>SI</v>
      </c>
      <c r="V658" s="60"/>
      <c r="W658" s="61"/>
      <c r="X658" s="61"/>
      <c r="Y658" s="60"/>
      <c r="Z658" s="61"/>
      <c r="AA658" s="61"/>
      <c r="AB658" s="60"/>
      <c r="AC658" s="61"/>
      <c r="AD658" s="61"/>
      <c r="AE658" s="60"/>
      <c r="AF658" s="61"/>
      <c r="AG658" s="61"/>
      <c r="AH658" s="60"/>
      <c r="AI658" s="61"/>
      <c r="AJ658" s="61"/>
      <c r="AK658" s="60"/>
      <c r="AL658" s="61"/>
      <c r="AM658" s="61"/>
      <c r="AN658" s="60"/>
      <c r="AO658" s="62">
        <v>58.0</v>
      </c>
      <c r="AP658" s="62">
        <v>10.0</v>
      </c>
      <c r="AQ658" s="60">
        <v>68.0</v>
      </c>
      <c r="AR658" s="60" t="str">
        <f>IF(Hoja1!$AQ658&gt;0,Hoja1!$AQ658,IF(Hoja1!$AN658&gt;0,Hoja1!$AN658,IF(Hoja1!$AK658&gt;0,Hoja1!$AK658,IF(Hoja1!$AH658&gt;0,Hoja1!$AH658,IF(Hoja1!$AE658&gt;0,Hoja1!$AE658,IF(Hoja1!$AB658&gt;0,Hoja1!$AB658,IF(Hoja1!$Y658&gt;0,Hoja1!$Y658,IF(Hoja1!$V658&gt;0,Hoja1!$V658," ---"))))))))</f>
        <v>68</v>
      </c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>
        <v>20.0</v>
      </c>
      <c r="BD658" s="63">
        <v>4.0</v>
      </c>
      <c r="BE658" s="64"/>
      <c r="BF658" s="69"/>
      <c r="BG658" s="69"/>
      <c r="BH658" s="64"/>
      <c r="BI658" s="67" t="str">
        <f t="shared" si="281"/>
        <v>#REF!</v>
      </c>
      <c r="BJ658" s="68" t="str">
        <f t="shared" si="282"/>
        <v>#REF!</v>
      </c>
      <c r="BK658" s="69"/>
      <c r="BL658" s="69"/>
      <c r="BM658" s="64"/>
      <c r="BN658" s="67" t="str">
        <f t="shared" si="283"/>
        <v>#REF!</v>
      </c>
      <c r="BO658" s="68" t="str">
        <f t="shared" si="284"/>
        <v>#REF!</v>
      </c>
      <c r="BP658" s="65"/>
      <c r="BQ658" s="65"/>
      <c r="BR658" s="66"/>
      <c r="BS658" s="67" t="str">
        <f t="shared" si="285"/>
        <v>#REF!</v>
      </c>
      <c r="BT658" s="68" t="str">
        <f>'[1]DATA CONSOLIDADA 2018-2025 '!$BR658-Hoja1!$BO658</f>
        <v>#REF!</v>
      </c>
      <c r="BU658" s="69"/>
      <c r="BV658" s="65"/>
      <c r="BW658" s="66"/>
      <c r="BX658" s="67" t="str">
        <f t="shared" si="286"/>
        <v>#REF!</v>
      </c>
      <c r="BY658" s="68" t="str">
        <f t="shared" si="287"/>
        <v>#REF!</v>
      </c>
      <c r="BZ658" s="65"/>
      <c r="CA658" s="65"/>
      <c r="CB658" s="66"/>
      <c r="CC658" s="67" t="str">
        <f t="shared" si="288"/>
        <v>#REF!</v>
      </c>
      <c r="CD658" s="68" t="str">
        <f>'[1]DATA CONSOLIDADA 2018-2025 '!$CB658-Hoja1!$BW658</f>
        <v>#REF!</v>
      </c>
      <c r="CE658" s="70"/>
      <c r="CF658" s="70"/>
      <c r="CG658" s="71"/>
      <c r="CH658" s="67" t="str">
        <f t="shared" si="289"/>
        <v>#REF!</v>
      </c>
      <c r="CI658" s="68" t="str">
        <f>'[1]DATA CONSOLIDADA 2018-2025 '!$CG658-Hoja1!$CB658</f>
        <v>#REF!</v>
      </c>
      <c r="CJ658" s="64" t="str">
        <f t="shared" si="271"/>
        <v>#REF!</v>
      </c>
      <c r="CK658" s="64">
        <v>168485.133017</v>
      </c>
      <c r="CL658" s="64">
        <v>0.0</v>
      </c>
      <c r="CM658" s="64">
        <v>168485.133017</v>
      </c>
      <c r="CN658" s="64" t="str">
        <f t="shared" si="12"/>
        <v>#REF!</v>
      </c>
      <c r="CO658" s="68" t="str">
        <f>'[1]DATA CONSOLIDADA 2018-2025 '!$CM658-Hoja1!$CG658</f>
        <v>#REF!</v>
      </c>
      <c r="CP658" s="70"/>
      <c r="CQ658" s="70"/>
      <c r="CR658" s="70"/>
      <c r="CS658" s="70"/>
      <c r="CT658" s="70"/>
      <c r="CU658" s="70"/>
      <c r="CV658" s="64"/>
      <c r="CW658" s="64"/>
      <c r="CX658" s="64"/>
      <c r="CY658" s="64"/>
      <c r="CZ658" s="64"/>
      <c r="DA658" s="64"/>
      <c r="DB658" s="64"/>
      <c r="DC658" s="72">
        <v>0.0</v>
      </c>
      <c r="DD658" s="72">
        <v>168485.133017</v>
      </c>
      <c r="DE658" s="72">
        <v>0.0</v>
      </c>
      <c r="DF658" s="72">
        <v>0.0</v>
      </c>
      <c r="DG658" s="72">
        <v>0.0</v>
      </c>
      <c r="DH658" s="72">
        <v>168485.133017</v>
      </c>
      <c r="DI658" s="73"/>
      <c r="DJ658" s="74"/>
      <c r="DK658" s="74"/>
      <c r="DL658" s="77"/>
      <c r="DM658" s="77"/>
      <c r="DN658" s="77"/>
      <c r="DO658" s="77"/>
      <c r="DP658" s="77"/>
      <c r="DQ658" s="77"/>
      <c r="DR658" s="77"/>
      <c r="DS658" s="77"/>
      <c r="DT658" s="77"/>
      <c r="DU658" s="77"/>
      <c r="DV658" s="77"/>
      <c r="DW658" s="77"/>
      <c r="DX658" s="77"/>
      <c r="DY658" s="77"/>
      <c r="DZ658" s="77"/>
      <c r="EA658" s="77"/>
      <c r="EB658" s="77"/>
      <c r="EC658" s="77"/>
      <c r="ED658" s="77"/>
      <c r="EE658" s="77"/>
    </row>
    <row r="659" ht="47.25" hidden="1" customHeight="1">
      <c r="A659" s="55" t="s">
        <v>1965</v>
      </c>
      <c r="B659" s="55" t="s">
        <v>126</v>
      </c>
      <c r="C659" s="55" t="s">
        <v>126</v>
      </c>
      <c r="D659" s="55" t="s">
        <v>434</v>
      </c>
      <c r="E659" s="55" t="s">
        <v>531</v>
      </c>
      <c r="F659" s="55" t="s">
        <v>434</v>
      </c>
      <c r="G659" s="55" t="s">
        <v>476</v>
      </c>
      <c r="H659" s="55" t="s">
        <v>532</v>
      </c>
      <c r="I659" s="56"/>
      <c r="J659" s="56"/>
      <c r="K659" s="56"/>
      <c r="L659" s="56"/>
      <c r="M659" s="56"/>
      <c r="N659" s="56"/>
      <c r="O659" s="56"/>
      <c r="P659" s="56">
        <v>1.0</v>
      </c>
      <c r="Q659" s="56" t="s">
        <v>131</v>
      </c>
      <c r="R659" s="58" t="str">
        <f t="shared" si="1"/>
        <v>2025</v>
      </c>
      <c r="S659" s="59"/>
      <c r="T659" s="109" t="str">
        <f>IF(OR(Hoja1!$J659=1,Hoja1!$K659=1,Hoja1!$L659=1,Hoja1!$M659=1,Hoja1!$N659=1,Hoja1!$O659=1,Hoja1!$P659=1),"SI","NO")</f>
        <v>SI</v>
      </c>
      <c r="U659" s="59" t="str">
        <f>IF(OR(Hoja1!$K659=1,Hoja1!$L659=1,Hoja1!$M659=1,Hoja1!$N659=1,Hoja1!$O659=1,Hoja1!$P659=1),"SI","NO")</f>
        <v>SI</v>
      </c>
      <c r="V659" s="60"/>
      <c r="W659" s="61"/>
      <c r="X659" s="61"/>
      <c r="Y659" s="60"/>
      <c r="Z659" s="61"/>
      <c r="AA659" s="61"/>
      <c r="AB659" s="60"/>
      <c r="AC659" s="61"/>
      <c r="AD659" s="61"/>
      <c r="AE659" s="60"/>
      <c r="AF659" s="61"/>
      <c r="AG659" s="61"/>
      <c r="AH659" s="60"/>
      <c r="AI659" s="61"/>
      <c r="AJ659" s="61"/>
      <c r="AK659" s="60"/>
      <c r="AL659" s="61"/>
      <c r="AM659" s="61"/>
      <c r="AN659" s="60"/>
      <c r="AO659" s="62">
        <v>29.0</v>
      </c>
      <c r="AP659" s="62">
        <v>7.0</v>
      </c>
      <c r="AQ659" s="60">
        <v>36.0</v>
      </c>
      <c r="AR659" s="60" t="str">
        <f>IF(Hoja1!$AQ659&gt;0,Hoja1!$AQ659,IF(Hoja1!$AN659&gt;0,Hoja1!$AN659,IF(Hoja1!$AK659&gt;0,Hoja1!$AK659,IF(Hoja1!$AH659&gt;0,Hoja1!$AH659,IF(Hoja1!$AE659&gt;0,Hoja1!$AE659,IF(Hoja1!$AB659&gt;0,Hoja1!$AB659,IF(Hoja1!$Y659&gt;0,Hoja1!$Y659,IF(Hoja1!$V659&gt;0,Hoja1!$V659," ---"))))))))</f>
        <v>36</v>
      </c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>
        <v>7.0</v>
      </c>
      <c r="BD659" s="63">
        <v>1.0</v>
      </c>
      <c r="BE659" s="64"/>
      <c r="BF659" s="69"/>
      <c r="BG659" s="69"/>
      <c r="BH659" s="64"/>
      <c r="BI659" s="67" t="str">
        <f t="shared" si="281"/>
        <v>#REF!</v>
      </c>
      <c r="BJ659" s="68" t="str">
        <f t="shared" si="282"/>
        <v>#REF!</v>
      </c>
      <c r="BK659" s="69"/>
      <c r="BL659" s="69"/>
      <c r="BM659" s="64"/>
      <c r="BN659" s="67" t="str">
        <f t="shared" si="283"/>
        <v>#REF!</v>
      </c>
      <c r="BO659" s="68" t="str">
        <f t="shared" si="284"/>
        <v>#REF!</v>
      </c>
      <c r="BP659" s="65"/>
      <c r="BQ659" s="65"/>
      <c r="BR659" s="66"/>
      <c r="BS659" s="67" t="str">
        <f t="shared" si="285"/>
        <v>#REF!</v>
      </c>
      <c r="BT659" s="68" t="str">
        <f>'[1]DATA CONSOLIDADA 2018-2025 '!$BR659-Hoja1!$BO659</f>
        <v>#REF!</v>
      </c>
      <c r="BU659" s="69"/>
      <c r="BV659" s="65"/>
      <c r="BW659" s="66"/>
      <c r="BX659" s="67" t="str">
        <f t="shared" si="286"/>
        <v>#REF!</v>
      </c>
      <c r="BY659" s="68" t="str">
        <f t="shared" si="287"/>
        <v>#REF!</v>
      </c>
      <c r="BZ659" s="65"/>
      <c r="CA659" s="65"/>
      <c r="CB659" s="66"/>
      <c r="CC659" s="67" t="str">
        <f t="shared" si="288"/>
        <v>#REF!</v>
      </c>
      <c r="CD659" s="68" t="str">
        <f>'[1]DATA CONSOLIDADA 2018-2025 '!$CB659-Hoja1!$BW659</f>
        <v>#REF!</v>
      </c>
      <c r="CE659" s="70"/>
      <c r="CF659" s="70"/>
      <c r="CG659" s="71"/>
      <c r="CH659" s="67" t="str">
        <f t="shared" si="289"/>
        <v>#REF!</v>
      </c>
      <c r="CI659" s="68" t="str">
        <f>'[1]DATA CONSOLIDADA 2018-2025 '!$CG659-Hoja1!$CB659</f>
        <v>#REF!</v>
      </c>
      <c r="CJ659" s="64" t="str">
        <f t="shared" si="271"/>
        <v>#REF!</v>
      </c>
      <c r="CK659" s="64">
        <v>496625.1938106</v>
      </c>
      <c r="CL659" s="64">
        <v>0.0</v>
      </c>
      <c r="CM659" s="64">
        <v>496625.1938106</v>
      </c>
      <c r="CN659" s="64" t="str">
        <f t="shared" si="12"/>
        <v>#REF!</v>
      </c>
      <c r="CO659" s="68" t="str">
        <f>'[1]DATA CONSOLIDADA 2018-2025 '!$CM659-Hoja1!$CG659</f>
        <v>#REF!</v>
      </c>
      <c r="CP659" s="70"/>
      <c r="CQ659" s="70"/>
      <c r="CR659" s="70"/>
      <c r="CS659" s="70"/>
      <c r="CT659" s="70"/>
      <c r="CU659" s="70"/>
      <c r="CV659" s="64"/>
      <c r="CW659" s="64"/>
      <c r="CX659" s="64"/>
      <c r="CY659" s="64"/>
      <c r="CZ659" s="64"/>
      <c r="DA659" s="64"/>
      <c r="DB659" s="64"/>
      <c r="DC659" s="72">
        <v>0.0</v>
      </c>
      <c r="DD659" s="72">
        <v>496625.1938106</v>
      </c>
      <c r="DE659" s="72">
        <v>0.0</v>
      </c>
      <c r="DF659" s="72">
        <v>0.0</v>
      </c>
      <c r="DG659" s="72">
        <v>0.0</v>
      </c>
      <c r="DH659" s="72">
        <v>496625.1938106</v>
      </c>
      <c r="DI659" s="73"/>
      <c r="DJ659" s="74"/>
      <c r="DK659" s="74"/>
      <c r="DL659" s="77"/>
      <c r="DM659" s="77"/>
      <c r="DN659" s="77"/>
      <c r="DO659" s="77"/>
      <c r="DP659" s="77"/>
      <c r="DQ659" s="77"/>
      <c r="DR659" s="77"/>
      <c r="DS659" s="77"/>
      <c r="DT659" s="77"/>
      <c r="DU659" s="77"/>
      <c r="DV659" s="77"/>
      <c r="DW659" s="77"/>
      <c r="DX659" s="77"/>
      <c r="DY659" s="77"/>
      <c r="DZ659" s="77"/>
      <c r="EA659" s="77"/>
      <c r="EB659" s="77"/>
      <c r="EC659" s="77"/>
      <c r="ED659" s="77"/>
      <c r="EE659" s="77"/>
    </row>
    <row r="660" ht="47.25" hidden="1" customHeight="1">
      <c r="A660" s="55" t="s">
        <v>1966</v>
      </c>
      <c r="B660" s="55" t="s">
        <v>1210</v>
      </c>
      <c r="C660" s="55" t="s">
        <v>1210</v>
      </c>
      <c r="D660" s="55" t="s">
        <v>768</v>
      </c>
      <c r="E660" s="55" t="s">
        <v>1967</v>
      </c>
      <c r="F660" s="55" t="s">
        <v>768</v>
      </c>
      <c r="G660" s="55" t="s">
        <v>768</v>
      </c>
      <c r="H660" s="55" t="s">
        <v>1968</v>
      </c>
      <c r="I660" s="56"/>
      <c r="J660" s="56"/>
      <c r="K660" s="56"/>
      <c r="L660" s="56"/>
      <c r="M660" s="56"/>
      <c r="N660" s="56"/>
      <c r="O660" s="56"/>
      <c r="P660" s="56">
        <v>1.0</v>
      </c>
      <c r="Q660" s="56" t="s">
        <v>131</v>
      </c>
      <c r="R660" s="58" t="str">
        <f t="shared" si="1"/>
        <v>2025</v>
      </c>
      <c r="S660" s="59"/>
      <c r="T660" s="109" t="str">
        <f>IF(OR(Hoja1!$J660=1,Hoja1!$K660=1,Hoja1!$L660=1,Hoja1!$M660=1,Hoja1!$N660=1,Hoja1!$O660=1,Hoja1!$P660=1),"SI","NO")</f>
        <v>SI</v>
      </c>
      <c r="U660" s="59" t="str">
        <f>IF(OR(Hoja1!$K660=1,Hoja1!$L660=1,Hoja1!$M660=1,Hoja1!$N660=1,Hoja1!$O660=1,Hoja1!$P660=1),"SI","NO")</f>
        <v>SI</v>
      </c>
      <c r="V660" s="60"/>
      <c r="W660" s="61"/>
      <c r="X660" s="61"/>
      <c r="Y660" s="60"/>
      <c r="Z660" s="61"/>
      <c r="AA660" s="61"/>
      <c r="AB660" s="60"/>
      <c r="AC660" s="61"/>
      <c r="AD660" s="61"/>
      <c r="AE660" s="60"/>
      <c r="AF660" s="61"/>
      <c r="AG660" s="61"/>
      <c r="AH660" s="60"/>
      <c r="AI660" s="61"/>
      <c r="AJ660" s="61"/>
      <c r="AK660" s="60"/>
      <c r="AL660" s="61"/>
      <c r="AM660" s="61"/>
      <c r="AN660" s="60"/>
      <c r="AO660" s="62">
        <v>62.0</v>
      </c>
      <c r="AP660" s="62">
        <v>10.0</v>
      </c>
      <c r="AQ660" s="60">
        <v>72.0</v>
      </c>
      <c r="AR660" s="60" t="str">
        <f>IF(Hoja1!$AQ660&gt;0,Hoja1!$AQ660,IF(Hoja1!$AN660&gt;0,Hoja1!$AN660,IF(Hoja1!$AK660&gt;0,Hoja1!$AK660,IF(Hoja1!$AH660&gt;0,Hoja1!$AH660,IF(Hoja1!$AE660&gt;0,Hoja1!$AE660,IF(Hoja1!$AB660&gt;0,Hoja1!$AB660,IF(Hoja1!$Y660&gt;0,Hoja1!$Y660,IF(Hoja1!$V660&gt;0,Hoja1!$V660," ---"))))))))</f>
        <v>72</v>
      </c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>
        <v>10.0</v>
      </c>
      <c r="BD660" s="63">
        <v>2.0</v>
      </c>
      <c r="BE660" s="64"/>
      <c r="BF660" s="69"/>
      <c r="BG660" s="69"/>
      <c r="BH660" s="64"/>
      <c r="BI660" s="67" t="str">
        <f t="shared" si="281"/>
        <v>#REF!</v>
      </c>
      <c r="BJ660" s="68" t="str">
        <f t="shared" si="282"/>
        <v>#REF!</v>
      </c>
      <c r="BK660" s="69"/>
      <c r="BL660" s="69"/>
      <c r="BM660" s="64"/>
      <c r="BN660" s="67" t="str">
        <f t="shared" si="283"/>
        <v>#REF!</v>
      </c>
      <c r="BO660" s="68" t="str">
        <f t="shared" si="284"/>
        <v>#REF!</v>
      </c>
      <c r="BP660" s="65"/>
      <c r="BQ660" s="65"/>
      <c r="BR660" s="66"/>
      <c r="BS660" s="67" t="str">
        <f t="shared" si="285"/>
        <v>#REF!</v>
      </c>
      <c r="BT660" s="68" t="str">
        <f>'[1]DATA CONSOLIDADA 2018-2025 '!$BR660-Hoja1!$BO660</f>
        <v>#REF!</v>
      </c>
      <c r="BU660" s="69"/>
      <c r="BV660" s="65"/>
      <c r="BW660" s="66"/>
      <c r="BX660" s="67" t="str">
        <f t="shared" si="286"/>
        <v>#REF!</v>
      </c>
      <c r="BY660" s="68" t="str">
        <f t="shared" si="287"/>
        <v>#REF!</v>
      </c>
      <c r="BZ660" s="65"/>
      <c r="CA660" s="65"/>
      <c r="CB660" s="66"/>
      <c r="CC660" s="67" t="str">
        <f t="shared" si="288"/>
        <v>#REF!</v>
      </c>
      <c r="CD660" s="68" t="str">
        <f>'[1]DATA CONSOLIDADA 2018-2025 '!$CB660-Hoja1!$BW660</f>
        <v>#REF!</v>
      </c>
      <c r="CE660" s="70"/>
      <c r="CF660" s="70"/>
      <c r="CG660" s="71"/>
      <c r="CH660" s="67" t="str">
        <f t="shared" si="289"/>
        <v>#REF!</v>
      </c>
      <c r="CI660" s="68" t="str">
        <f>'[1]DATA CONSOLIDADA 2018-2025 '!$CG660-Hoja1!$CB660</f>
        <v>#REF!</v>
      </c>
      <c r="CJ660" s="64" t="str">
        <f t="shared" si="271"/>
        <v>#REF!</v>
      </c>
      <c r="CK660" s="64">
        <v>22435.0025</v>
      </c>
      <c r="CL660" s="64">
        <v>0.0</v>
      </c>
      <c r="CM660" s="64">
        <v>22435.0025</v>
      </c>
      <c r="CN660" s="64" t="str">
        <f t="shared" si="12"/>
        <v>#REF!</v>
      </c>
      <c r="CO660" s="68" t="str">
        <f>'[1]DATA CONSOLIDADA 2018-2025 '!$CM660-Hoja1!$CG660</f>
        <v>#REF!</v>
      </c>
      <c r="CP660" s="70"/>
      <c r="CQ660" s="70"/>
      <c r="CR660" s="70"/>
      <c r="CS660" s="70"/>
      <c r="CT660" s="70"/>
      <c r="CU660" s="70"/>
      <c r="CV660" s="64"/>
      <c r="CW660" s="64"/>
      <c r="CX660" s="64"/>
      <c r="CY660" s="64"/>
      <c r="CZ660" s="64"/>
      <c r="DA660" s="64"/>
      <c r="DB660" s="64"/>
      <c r="DC660" s="72">
        <v>0.0</v>
      </c>
      <c r="DD660" s="72">
        <v>0.0</v>
      </c>
      <c r="DE660" s="72">
        <v>22435.0025</v>
      </c>
      <c r="DF660" s="72">
        <v>0.0</v>
      </c>
      <c r="DG660" s="72">
        <v>0.0</v>
      </c>
      <c r="DH660" s="72">
        <v>22435.0025</v>
      </c>
      <c r="DI660" s="73"/>
      <c r="DJ660" s="74"/>
      <c r="DK660" s="74"/>
      <c r="DL660" s="77"/>
      <c r="DM660" s="77"/>
      <c r="DN660" s="77"/>
      <c r="DO660" s="77"/>
      <c r="DP660" s="77"/>
      <c r="DQ660" s="77"/>
      <c r="DR660" s="77"/>
      <c r="DS660" s="77"/>
      <c r="DT660" s="77"/>
      <c r="DU660" s="77"/>
      <c r="DV660" s="77"/>
      <c r="DW660" s="77"/>
      <c r="DX660" s="77"/>
      <c r="DY660" s="77"/>
      <c r="DZ660" s="77"/>
      <c r="EA660" s="77"/>
      <c r="EB660" s="77"/>
      <c r="EC660" s="77"/>
      <c r="ED660" s="77"/>
      <c r="EE660" s="77"/>
    </row>
    <row r="661" ht="47.25" hidden="1" customHeight="1">
      <c r="A661" s="55" t="s">
        <v>1969</v>
      </c>
      <c r="B661" s="55" t="s">
        <v>1210</v>
      </c>
      <c r="C661" s="55" t="s">
        <v>1210</v>
      </c>
      <c r="D661" s="55" t="s">
        <v>768</v>
      </c>
      <c r="E661" s="55" t="s">
        <v>1967</v>
      </c>
      <c r="F661" s="55" t="s">
        <v>768</v>
      </c>
      <c r="G661" s="55" t="s">
        <v>768</v>
      </c>
      <c r="H661" s="55" t="s">
        <v>1968</v>
      </c>
      <c r="I661" s="56"/>
      <c r="J661" s="56"/>
      <c r="K661" s="56"/>
      <c r="L661" s="56"/>
      <c r="M661" s="56"/>
      <c r="N661" s="56"/>
      <c r="O661" s="56"/>
      <c r="P661" s="56">
        <v>1.0</v>
      </c>
      <c r="Q661" s="56" t="s">
        <v>131</v>
      </c>
      <c r="R661" s="58" t="str">
        <f t="shared" si="1"/>
        <v>2025</v>
      </c>
      <c r="S661" s="59"/>
      <c r="T661" s="109" t="str">
        <f>IF(OR(Hoja1!$J661=1,Hoja1!$K661=1,Hoja1!$L661=1,Hoja1!$M661=1,Hoja1!$N661=1,Hoja1!$O661=1,Hoja1!$P661=1),"SI","NO")</f>
        <v>SI</v>
      </c>
      <c r="U661" s="59" t="str">
        <f>IF(OR(Hoja1!$K661=1,Hoja1!$L661=1,Hoja1!$M661=1,Hoja1!$N661=1,Hoja1!$O661=1,Hoja1!$P661=1),"SI","NO")</f>
        <v>SI</v>
      </c>
      <c r="V661" s="60"/>
      <c r="W661" s="61"/>
      <c r="X661" s="61"/>
      <c r="Y661" s="60"/>
      <c r="Z661" s="61"/>
      <c r="AA661" s="61"/>
      <c r="AB661" s="60"/>
      <c r="AC661" s="61"/>
      <c r="AD661" s="61"/>
      <c r="AE661" s="60"/>
      <c r="AF661" s="61"/>
      <c r="AG661" s="61"/>
      <c r="AH661" s="60"/>
      <c r="AI661" s="61"/>
      <c r="AJ661" s="61"/>
      <c r="AK661" s="60"/>
      <c r="AL661" s="61"/>
      <c r="AM661" s="61"/>
      <c r="AN661" s="60"/>
      <c r="AO661" s="62">
        <v>35.0</v>
      </c>
      <c r="AP661" s="62">
        <v>26.0</v>
      </c>
      <c r="AQ661" s="60">
        <v>61.0</v>
      </c>
      <c r="AR661" s="60" t="str">
        <f>IF(Hoja1!$AQ661&gt;0,Hoja1!$AQ661,IF(Hoja1!$AN661&gt;0,Hoja1!$AN661,IF(Hoja1!$AK661&gt;0,Hoja1!$AK661,IF(Hoja1!$AH661&gt;0,Hoja1!$AH661,IF(Hoja1!$AE661&gt;0,Hoja1!$AE661,IF(Hoja1!$AB661&gt;0,Hoja1!$AB661,IF(Hoja1!$Y661&gt;0,Hoja1!$Y661,IF(Hoja1!$V661&gt;0,Hoja1!$V661," ---"))))))))</f>
        <v>61</v>
      </c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>
        <v>10.0</v>
      </c>
      <c r="BD661" s="63">
        <v>2.0</v>
      </c>
      <c r="BE661" s="64"/>
      <c r="BF661" s="69"/>
      <c r="BG661" s="69"/>
      <c r="BH661" s="64"/>
      <c r="BI661" s="67" t="str">
        <f t="shared" si="281"/>
        <v>#REF!</v>
      </c>
      <c r="BJ661" s="68" t="str">
        <f t="shared" si="282"/>
        <v>#REF!</v>
      </c>
      <c r="BK661" s="69"/>
      <c r="BL661" s="69"/>
      <c r="BM661" s="64"/>
      <c r="BN661" s="67" t="str">
        <f t="shared" si="283"/>
        <v>#REF!</v>
      </c>
      <c r="BO661" s="68" t="str">
        <f t="shared" si="284"/>
        <v>#REF!</v>
      </c>
      <c r="BP661" s="65"/>
      <c r="BQ661" s="65"/>
      <c r="BR661" s="66"/>
      <c r="BS661" s="67" t="str">
        <f t="shared" si="285"/>
        <v>#REF!</v>
      </c>
      <c r="BT661" s="68" t="str">
        <f>'[1]DATA CONSOLIDADA 2018-2025 '!$BR661-Hoja1!$BO661</f>
        <v>#REF!</v>
      </c>
      <c r="BU661" s="69"/>
      <c r="BV661" s="65"/>
      <c r="BW661" s="66"/>
      <c r="BX661" s="67" t="str">
        <f t="shared" si="286"/>
        <v>#REF!</v>
      </c>
      <c r="BY661" s="68" t="str">
        <f t="shared" si="287"/>
        <v>#REF!</v>
      </c>
      <c r="BZ661" s="65"/>
      <c r="CA661" s="65"/>
      <c r="CB661" s="66"/>
      <c r="CC661" s="67" t="str">
        <f t="shared" si="288"/>
        <v>#REF!</v>
      </c>
      <c r="CD661" s="68" t="str">
        <f>'[1]DATA CONSOLIDADA 2018-2025 '!$CB661-Hoja1!$BW661</f>
        <v>#REF!</v>
      </c>
      <c r="CE661" s="70"/>
      <c r="CF661" s="70"/>
      <c r="CG661" s="71"/>
      <c r="CH661" s="67" t="str">
        <f t="shared" si="289"/>
        <v>#REF!</v>
      </c>
      <c r="CI661" s="68" t="str">
        <f>'[1]DATA CONSOLIDADA 2018-2025 '!$CG661-Hoja1!$CB661</f>
        <v>#REF!</v>
      </c>
      <c r="CJ661" s="64" t="str">
        <f t="shared" si="271"/>
        <v>#REF!</v>
      </c>
      <c r="CK661" s="64">
        <v>0.0</v>
      </c>
      <c r="CL661" s="64">
        <v>0.0</v>
      </c>
      <c r="CM661" s="64">
        <v>0.0</v>
      </c>
      <c r="CN661" s="64" t="str">
        <f t="shared" si="12"/>
        <v>#REF!</v>
      </c>
      <c r="CO661" s="68" t="str">
        <f>'[1]DATA CONSOLIDADA 2018-2025 '!$CM661-Hoja1!$CG661</f>
        <v>#REF!</v>
      </c>
      <c r="CP661" s="70"/>
      <c r="CQ661" s="70"/>
      <c r="CR661" s="70"/>
      <c r="CS661" s="70"/>
      <c r="CT661" s="70"/>
      <c r="CU661" s="70"/>
      <c r="CV661" s="64"/>
      <c r="CW661" s="64"/>
      <c r="CX661" s="64"/>
      <c r="CY661" s="64"/>
      <c r="CZ661" s="64"/>
      <c r="DA661" s="64"/>
      <c r="DB661" s="64"/>
      <c r="DC661" s="72">
        <v>0.0</v>
      </c>
      <c r="DD661" s="72">
        <v>0.0</v>
      </c>
      <c r="DE661" s="72">
        <v>0.0</v>
      </c>
      <c r="DF661" s="72">
        <v>0.0</v>
      </c>
      <c r="DG661" s="72">
        <v>0.0</v>
      </c>
      <c r="DH661" s="72">
        <v>0.0</v>
      </c>
      <c r="DI661" s="73"/>
      <c r="DJ661" s="74"/>
      <c r="DK661" s="74"/>
      <c r="DL661" s="77"/>
      <c r="DM661" s="77"/>
      <c r="DN661" s="77"/>
      <c r="DO661" s="77"/>
      <c r="DP661" s="77"/>
      <c r="DQ661" s="77"/>
      <c r="DR661" s="77"/>
      <c r="DS661" s="77"/>
      <c r="DT661" s="77"/>
      <c r="DU661" s="77"/>
      <c r="DV661" s="77"/>
      <c r="DW661" s="77"/>
      <c r="DX661" s="77"/>
      <c r="DY661" s="77"/>
      <c r="DZ661" s="77"/>
      <c r="EA661" s="77"/>
      <c r="EB661" s="77"/>
      <c r="EC661" s="77"/>
      <c r="ED661" s="77"/>
      <c r="EE661" s="77"/>
    </row>
    <row r="662" ht="47.25" hidden="1" customHeight="1">
      <c r="A662" s="55" t="s">
        <v>1970</v>
      </c>
      <c r="B662" s="55" t="s">
        <v>1210</v>
      </c>
      <c r="C662" s="55" t="s">
        <v>1210</v>
      </c>
      <c r="D662" s="55" t="s">
        <v>768</v>
      </c>
      <c r="E662" s="55" t="s">
        <v>1967</v>
      </c>
      <c r="F662" s="55" t="s">
        <v>768</v>
      </c>
      <c r="G662" s="55" t="s">
        <v>768</v>
      </c>
      <c r="H662" s="55" t="s">
        <v>1968</v>
      </c>
      <c r="I662" s="56"/>
      <c r="J662" s="56"/>
      <c r="K662" s="56"/>
      <c r="L662" s="56"/>
      <c r="M662" s="56"/>
      <c r="N662" s="56"/>
      <c r="O662" s="56"/>
      <c r="P662" s="56">
        <v>1.0</v>
      </c>
      <c r="Q662" s="56" t="s">
        <v>131</v>
      </c>
      <c r="R662" s="58" t="str">
        <f t="shared" si="1"/>
        <v>2025</v>
      </c>
      <c r="S662" s="59"/>
      <c r="T662" s="109" t="str">
        <f>IF(OR(Hoja1!$J662=1,Hoja1!$K662=1,Hoja1!$L662=1,Hoja1!$M662=1,Hoja1!$N662=1,Hoja1!$O662=1,Hoja1!$P662=1),"SI","NO")</f>
        <v>SI</v>
      </c>
      <c r="U662" s="59" t="str">
        <f>IF(OR(Hoja1!$K662=1,Hoja1!$L662=1,Hoja1!$M662=1,Hoja1!$N662=1,Hoja1!$O662=1,Hoja1!$P662=1),"SI","NO")</f>
        <v>SI</v>
      </c>
      <c r="V662" s="60"/>
      <c r="W662" s="61"/>
      <c r="X662" s="61"/>
      <c r="Y662" s="60"/>
      <c r="Z662" s="61"/>
      <c r="AA662" s="61"/>
      <c r="AB662" s="60"/>
      <c r="AC662" s="61"/>
      <c r="AD662" s="61"/>
      <c r="AE662" s="60"/>
      <c r="AF662" s="61"/>
      <c r="AG662" s="61"/>
      <c r="AH662" s="60"/>
      <c r="AI662" s="61"/>
      <c r="AJ662" s="61"/>
      <c r="AK662" s="60"/>
      <c r="AL662" s="61"/>
      <c r="AM662" s="61"/>
      <c r="AN662" s="60"/>
      <c r="AO662" s="62">
        <v>23.0</v>
      </c>
      <c r="AP662" s="62">
        <v>5.0</v>
      </c>
      <c r="AQ662" s="60">
        <v>28.0</v>
      </c>
      <c r="AR662" s="60" t="str">
        <f>IF(Hoja1!$AQ662&gt;0,Hoja1!$AQ662,IF(Hoja1!$AN662&gt;0,Hoja1!$AN662,IF(Hoja1!$AK662&gt;0,Hoja1!$AK662,IF(Hoja1!$AH662&gt;0,Hoja1!$AH662,IF(Hoja1!$AE662&gt;0,Hoja1!$AE662,IF(Hoja1!$AB662&gt;0,Hoja1!$AB662,IF(Hoja1!$Y662&gt;0,Hoja1!$Y662,IF(Hoja1!$V662&gt;0,Hoja1!$V662," ---"))))))))</f>
        <v>28</v>
      </c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>
        <v>10.0</v>
      </c>
      <c r="BD662" s="63">
        <v>2.0</v>
      </c>
      <c r="BE662" s="64"/>
      <c r="BF662" s="69"/>
      <c r="BG662" s="69"/>
      <c r="BH662" s="64"/>
      <c r="BI662" s="67" t="str">
        <f t="shared" si="281"/>
        <v>#REF!</v>
      </c>
      <c r="BJ662" s="68" t="str">
        <f t="shared" si="282"/>
        <v>#REF!</v>
      </c>
      <c r="BK662" s="69"/>
      <c r="BL662" s="69"/>
      <c r="BM662" s="64"/>
      <c r="BN662" s="67" t="str">
        <f t="shared" si="283"/>
        <v>#REF!</v>
      </c>
      <c r="BO662" s="68" t="str">
        <f t="shared" si="284"/>
        <v>#REF!</v>
      </c>
      <c r="BP662" s="65"/>
      <c r="BQ662" s="65"/>
      <c r="BR662" s="66"/>
      <c r="BS662" s="67" t="str">
        <f t="shared" si="285"/>
        <v>#REF!</v>
      </c>
      <c r="BT662" s="68" t="str">
        <f>'[1]DATA CONSOLIDADA 2018-2025 '!$BR662-Hoja1!$BO662</f>
        <v>#REF!</v>
      </c>
      <c r="BU662" s="69"/>
      <c r="BV662" s="65"/>
      <c r="BW662" s="66"/>
      <c r="BX662" s="67" t="str">
        <f t="shared" si="286"/>
        <v>#REF!</v>
      </c>
      <c r="BY662" s="68" t="str">
        <f t="shared" si="287"/>
        <v>#REF!</v>
      </c>
      <c r="BZ662" s="65"/>
      <c r="CA662" s="65"/>
      <c r="CB662" s="66"/>
      <c r="CC662" s="67" t="str">
        <f t="shared" si="288"/>
        <v>#REF!</v>
      </c>
      <c r="CD662" s="68" t="str">
        <f>'[1]DATA CONSOLIDADA 2018-2025 '!$CB662-Hoja1!$BW662</f>
        <v>#REF!</v>
      </c>
      <c r="CE662" s="70"/>
      <c r="CF662" s="70"/>
      <c r="CG662" s="71"/>
      <c r="CH662" s="67" t="str">
        <f t="shared" si="289"/>
        <v>#REF!</v>
      </c>
      <c r="CI662" s="68" t="str">
        <f>'[1]DATA CONSOLIDADA 2018-2025 '!$CG662-Hoja1!$CB662</f>
        <v>#REF!</v>
      </c>
      <c r="CJ662" s="64" t="str">
        <f t="shared" si="271"/>
        <v>#REF!</v>
      </c>
      <c r="CK662" s="64">
        <v>0.0</v>
      </c>
      <c r="CL662" s="64">
        <v>0.0</v>
      </c>
      <c r="CM662" s="64">
        <v>0.0</v>
      </c>
      <c r="CN662" s="64" t="str">
        <f t="shared" si="12"/>
        <v>#REF!</v>
      </c>
      <c r="CO662" s="68" t="str">
        <f>'[1]DATA CONSOLIDADA 2018-2025 '!$CM662-Hoja1!$CG662</f>
        <v>#REF!</v>
      </c>
      <c r="CP662" s="70"/>
      <c r="CQ662" s="70"/>
      <c r="CR662" s="70"/>
      <c r="CS662" s="70"/>
      <c r="CT662" s="70"/>
      <c r="CU662" s="70"/>
      <c r="CV662" s="64"/>
      <c r="CW662" s="64"/>
      <c r="CX662" s="64"/>
      <c r="CY662" s="64"/>
      <c r="CZ662" s="64"/>
      <c r="DA662" s="64"/>
      <c r="DB662" s="64"/>
      <c r="DC662" s="72">
        <v>0.0</v>
      </c>
      <c r="DD662" s="72">
        <v>0.0</v>
      </c>
      <c r="DE662" s="72">
        <v>0.0</v>
      </c>
      <c r="DF662" s="72">
        <v>0.0</v>
      </c>
      <c r="DG662" s="72">
        <v>0.0</v>
      </c>
      <c r="DH662" s="72">
        <v>0.0</v>
      </c>
      <c r="DI662" s="73"/>
      <c r="DJ662" s="74"/>
      <c r="DK662" s="74"/>
      <c r="DL662" s="77"/>
      <c r="DM662" s="77"/>
      <c r="DN662" s="77"/>
      <c r="DO662" s="77"/>
      <c r="DP662" s="77"/>
      <c r="DQ662" s="77"/>
      <c r="DR662" s="77"/>
      <c r="DS662" s="77"/>
      <c r="DT662" s="77"/>
      <c r="DU662" s="77"/>
      <c r="DV662" s="77"/>
      <c r="DW662" s="77"/>
      <c r="DX662" s="77"/>
      <c r="DY662" s="77"/>
      <c r="DZ662" s="77"/>
      <c r="EA662" s="77"/>
      <c r="EB662" s="77"/>
      <c r="EC662" s="77"/>
      <c r="ED662" s="77"/>
      <c r="EE662" s="77"/>
    </row>
    <row r="663" ht="47.25" hidden="1" customHeight="1">
      <c r="A663" s="55" t="s">
        <v>1971</v>
      </c>
      <c r="B663" s="55" t="s">
        <v>1945</v>
      </c>
      <c r="C663" s="55" t="s">
        <v>1945</v>
      </c>
      <c r="D663" s="55" t="s">
        <v>768</v>
      </c>
      <c r="E663" s="55" t="s">
        <v>1972</v>
      </c>
      <c r="F663" s="55" t="s">
        <v>768</v>
      </c>
      <c r="G663" s="55" t="s">
        <v>768</v>
      </c>
      <c r="H663" s="55" t="s">
        <v>1973</v>
      </c>
      <c r="I663" s="56"/>
      <c r="J663" s="56"/>
      <c r="K663" s="56"/>
      <c r="L663" s="56"/>
      <c r="M663" s="56"/>
      <c r="N663" s="56"/>
      <c r="O663" s="56"/>
      <c r="P663" s="56">
        <v>1.0</v>
      </c>
      <c r="Q663" s="56" t="s">
        <v>131</v>
      </c>
      <c r="R663" s="58" t="str">
        <f t="shared" si="1"/>
        <v>2025</v>
      </c>
      <c r="S663" s="59"/>
      <c r="T663" s="109" t="str">
        <f>IF(OR(Hoja1!$J663=1,Hoja1!$K663=1,Hoja1!$L663=1,Hoja1!$M663=1,Hoja1!$N663=1,Hoja1!$O663=1,Hoja1!$P663=1),"SI","NO")</f>
        <v>SI</v>
      </c>
      <c r="U663" s="59" t="str">
        <f>IF(OR(Hoja1!$K663=1,Hoja1!$L663=1,Hoja1!$M663=1,Hoja1!$N663=1,Hoja1!$O663=1,Hoja1!$P663=1),"SI","NO")</f>
        <v>SI</v>
      </c>
      <c r="V663" s="60"/>
      <c r="W663" s="61"/>
      <c r="X663" s="61"/>
      <c r="Y663" s="60"/>
      <c r="Z663" s="61"/>
      <c r="AA663" s="61"/>
      <c r="AB663" s="60"/>
      <c r="AC663" s="61"/>
      <c r="AD663" s="61"/>
      <c r="AE663" s="60"/>
      <c r="AF663" s="61"/>
      <c r="AG663" s="61"/>
      <c r="AH663" s="60"/>
      <c r="AI663" s="61"/>
      <c r="AJ663" s="61"/>
      <c r="AK663" s="60"/>
      <c r="AL663" s="61"/>
      <c r="AM663" s="61"/>
      <c r="AN663" s="60"/>
      <c r="AO663" s="62">
        <v>27.0</v>
      </c>
      <c r="AP663" s="62">
        <v>10.0</v>
      </c>
      <c r="AQ663" s="60">
        <v>37.0</v>
      </c>
      <c r="AR663" s="60" t="str">
        <f>IF(Hoja1!$AQ663&gt;0,Hoja1!$AQ663,IF(Hoja1!$AN663&gt;0,Hoja1!$AN663,IF(Hoja1!$AK663&gt;0,Hoja1!$AK663,IF(Hoja1!$AH663&gt;0,Hoja1!$AH663,IF(Hoja1!$AE663&gt;0,Hoja1!$AE663,IF(Hoja1!$AB663&gt;0,Hoja1!$AB663,IF(Hoja1!$Y663&gt;0,Hoja1!$Y663,IF(Hoja1!$V663&gt;0,Hoja1!$V663," ---"))))))))</f>
        <v>37</v>
      </c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>
        <v>14.0</v>
      </c>
      <c r="BD663" s="63">
        <v>8.0</v>
      </c>
      <c r="BE663" s="64"/>
      <c r="BF663" s="69"/>
      <c r="BG663" s="69"/>
      <c r="BH663" s="64"/>
      <c r="BI663" s="67" t="str">
        <f t="shared" si="281"/>
        <v>#REF!</v>
      </c>
      <c r="BJ663" s="68" t="str">
        <f t="shared" si="282"/>
        <v>#REF!</v>
      </c>
      <c r="BK663" s="69"/>
      <c r="BL663" s="69"/>
      <c r="BM663" s="64"/>
      <c r="BN663" s="67" t="str">
        <f t="shared" si="283"/>
        <v>#REF!</v>
      </c>
      <c r="BO663" s="68" t="str">
        <f t="shared" si="284"/>
        <v>#REF!</v>
      </c>
      <c r="BP663" s="65"/>
      <c r="BQ663" s="65"/>
      <c r="BR663" s="66"/>
      <c r="BS663" s="67" t="str">
        <f t="shared" si="285"/>
        <v>#REF!</v>
      </c>
      <c r="BT663" s="68" t="str">
        <f>'[1]DATA CONSOLIDADA 2018-2025 '!$BR663-Hoja1!$BO663</f>
        <v>#REF!</v>
      </c>
      <c r="BU663" s="69"/>
      <c r="BV663" s="65"/>
      <c r="BW663" s="66"/>
      <c r="BX663" s="67" t="str">
        <f t="shared" si="286"/>
        <v>#REF!</v>
      </c>
      <c r="BY663" s="68" t="str">
        <f t="shared" si="287"/>
        <v>#REF!</v>
      </c>
      <c r="BZ663" s="65"/>
      <c r="CA663" s="65"/>
      <c r="CB663" s="66"/>
      <c r="CC663" s="67" t="str">
        <f t="shared" si="288"/>
        <v>#REF!</v>
      </c>
      <c r="CD663" s="68" t="str">
        <f>'[1]DATA CONSOLIDADA 2018-2025 '!$CB663-Hoja1!$BW663</f>
        <v>#REF!</v>
      </c>
      <c r="CE663" s="70"/>
      <c r="CF663" s="70"/>
      <c r="CG663" s="71"/>
      <c r="CH663" s="67" t="str">
        <f t="shared" si="289"/>
        <v>#REF!</v>
      </c>
      <c r="CI663" s="68" t="str">
        <f>'[1]DATA CONSOLIDADA 2018-2025 '!$CG663-Hoja1!$CB663</f>
        <v>#REF!</v>
      </c>
      <c r="CJ663" s="64" t="str">
        <f t="shared" si="271"/>
        <v>#REF!</v>
      </c>
      <c r="CK663" s="64">
        <v>20000.0</v>
      </c>
      <c r="CL663" s="64">
        <v>0.0</v>
      </c>
      <c r="CM663" s="64">
        <v>20000.0</v>
      </c>
      <c r="CN663" s="64" t="str">
        <f t="shared" si="12"/>
        <v>#REF!</v>
      </c>
      <c r="CO663" s="68" t="str">
        <f>'[1]DATA CONSOLIDADA 2018-2025 '!$CM663-Hoja1!$CG663</f>
        <v>#REF!</v>
      </c>
      <c r="CP663" s="70"/>
      <c r="CQ663" s="70"/>
      <c r="CR663" s="70"/>
      <c r="CS663" s="70"/>
      <c r="CT663" s="70"/>
      <c r="CU663" s="70"/>
      <c r="CV663" s="64"/>
      <c r="CW663" s="64"/>
      <c r="CX663" s="64"/>
      <c r="CY663" s="64"/>
      <c r="CZ663" s="64"/>
      <c r="DA663" s="64"/>
      <c r="DB663" s="64"/>
      <c r="DC663" s="72">
        <v>0.0</v>
      </c>
      <c r="DD663" s="72">
        <v>20000.0</v>
      </c>
      <c r="DE663" s="72">
        <v>0.0</v>
      </c>
      <c r="DF663" s="72">
        <v>0.0</v>
      </c>
      <c r="DG663" s="72">
        <v>0.0</v>
      </c>
      <c r="DH663" s="72">
        <v>20000.0</v>
      </c>
      <c r="DI663" s="73"/>
      <c r="DJ663" s="74"/>
      <c r="DK663" s="74"/>
      <c r="DL663" s="77"/>
      <c r="DM663" s="77"/>
      <c r="DN663" s="77"/>
      <c r="DO663" s="77"/>
      <c r="DP663" s="77"/>
      <c r="DQ663" s="77"/>
      <c r="DR663" s="77"/>
      <c r="DS663" s="77"/>
      <c r="DT663" s="77"/>
      <c r="DU663" s="77"/>
      <c r="DV663" s="77"/>
      <c r="DW663" s="77"/>
      <c r="DX663" s="77"/>
      <c r="DY663" s="77"/>
      <c r="DZ663" s="77"/>
      <c r="EA663" s="77"/>
      <c r="EB663" s="77"/>
      <c r="EC663" s="77"/>
      <c r="ED663" s="77"/>
      <c r="EE663" s="77"/>
    </row>
    <row r="664" ht="47.25" hidden="1" customHeight="1">
      <c r="A664" s="55" t="s">
        <v>1974</v>
      </c>
      <c r="B664" s="55" t="s">
        <v>250</v>
      </c>
      <c r="C664" s="55" t="s">
        <v>250</v>
      </c>
      <c r="D664" s="55" t="s">
        <v>1117</v>
      </c>
      <c r="E664" s="55" t="s">
        <v>1135</v>
      </c>
      <c r="F664" s="55" t="s">
        <v>1117</v>
      </c>
      <c r="G664" s="55" t="s">
        <v>1136</v>
      </c>
      <c r="H664" s="55" t="s">
        <v>1137</v>
      </c>
      <c r="I664" s="56"/>
      <c r="J664" s="56"/>
      <c r="K664" s="56"/>
      <c r="L664" s="56"/>
      <c r="M664" s="56"/>
      <c r="N664" s="56"/>
      <c r="O664" s="56"/>
      <c r="P664" s="56">
        <v>1.0</v>
      </c>
      <c r="Q664" s="56" t="s">
        <v>131</v>
      </c>
      <c r="R664" s="58" t="str">
        <f t="shared" si="1"/>
        <v>2025</v>
      </c>
      <c r="S664" s="59"/>
      <c r="T664" s="109" t="str">
        <f>IF(OR(Hoja1!$J664=1,Hoja1!$K664=1,Hoja1!$L664=1,Hoja1!$M664=1,Hoja1!$N664=1,Hoja1!$O664=1,Hoja1!$P664=1),"SI","NO")</f>
        <v>SI</v>
      </c>
      <c r="U664" s="59" t="str">
        <f>IF(OR(Hoja1!$K664=1,Hoja1!$L664=1,Hoja1!$M664=1,Hoja1!$N664=1,Hoja1!$O664=1,Hoja1!$P664=1),"SI","NO")</f>
        <v>SI</v>
      </c>
      <c r="V664" s="60"/>
      <c r="W664" s="61"/>
      <c r="X664" s="61"/>
      <c r="Y664" s="60"/>
      <c r="Z664" s="61"/>
      <c r="AA664" s="61"/>
      <c r="AB664" s="60"/>
      <c r="AC664" s="61"/>
      <c r="AD664" s="61"/>
      <c r="AE664" s="60"/>
      <c r="AF664" s="61"/>
      <c r="AG664" s="61"/>
      <c r="AH664" s="60"/>
      <c r="AI664" s="61"/>
      <c r="AJ664" s="61"/>
      <c r="AK664" s="60"/>
      <c r="AL664" s="61"/>
      <c r="AM664" s="61"/>
      <c r="AN664" s="60"/>
      <c r="AO664" s="62">
        <v>19.0</v>
      </c>
      <c r="AP664" s="62">
        <v>12.0</v>
      </c>
      <c r="AQ664" s="60">
        <v>31.0</v>
      </c>
      <c r="AR664" s="60" t="str">
        <f>IF(Hoja1!$AQ664&gt;0,Hoja1!$AQ664,IF(Hoja1!$AN664&gt;0,Hoja1!$AN664,IF(Hoja1!$AK664&gt;0,Hoja1!$AK664,IF(Hoja1!$AH664&gt;0,Hoja1!$AH664,IF(Hoja1!$AE664&gt;0,Hoja1!$AE664,IF(Hoja1!$AB664&gt;0,Hoja1!$AB664,IF(Hoja1!$Y664&gt;0,Hoja1!$Y664,IF(Hoja1!$V664&gt;0,Hoja1!$V664," ---"))))))))</f>
        <v>31</v>
      </c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>
        <v>3.0</v>
      </c>
      <c r="BD664" s="63">
        <v>2.0</v>
      </c>
      <c r="BE664" s="64"/>
      <c r="BF664" s="69"/>
      <c r="BG664" s="69"/>
      <c r="BH664" s="64"/>
      <c r="BI664" s="67" t="str">
        <f t="shared" si="281"/>
        <v>#REF!</v>
      </c>
      <c r="BJ664" s="68" t="str">
        <f t="shared" si="282"/>
        <v>#REF!</v>
      </c>
      <c r="BK664" s="69"/>
      <c r="BL664" s="69"/>
      <c r="BM664" s="64"/>
      <c r="BN664" s="67" t="str">
        <f t="shared" si="283"/>
        <v>#REF!</v>
      </c>
      <c r="BO664" s="68" t="str">
        <f t="shared" si="284"/>
        <v>#REF!</v>
      </c>
      <c r="BP664" s="65"/>
      <c r="BQ664" s="65"/>
      <c r="BR664" s="66"/>
      <c r="BS664" s="67" t="str">
        <f t="shared" si="285"/>
        <v>#REF!</v>
      </c>
      <c r="BT664" s="68" t="str">
        <f>'[1]DATA CONSOLIDADA 2018-2025 '!$BR664-Hoja1!$BO664</f>
        <v>#REF!</v>
      </c>
      <c r="BU664" s="69"/>
      <c r="BV664" s="65"/>
      <c r="BW664" s="66"/>
      <c r="BX664" s="67" t="str">
        <f t="shared" si="286"/>
        <v>#REF!</v>
      </c>
      <c r="BY664" s="68" t="str">
        <f t="shared" si="287"/>
        <v>#REF!</v>
      </c>
      <c r="BZ664" s="65"/>
      <c r="CA664" s="65"/>
      <c r="CB664" s="66"/>
      <c r="CC664" s="67" t="str">
        <f t="shared" si="288"/>
        <v>#REF!</v>
      </c>
      <c r="CD664" s="68" t="str">
        <f>'[1]DATA CONSOLIDADA 2018-2025 '!$CB664-Hoja1!$BW664</f>
        <v>#REF!</v>
      </c>
      <c r="CE664" s="70"/>
      <c r="CF664" s="70"/>
      <c r="CG664" s="71"/>
      <c r="CH664" s="67" t="str">
        <f t="shared" si="289"/>
        <v>#REF!</v>
      </c>
      <c r="CI664" s="68" t="str">
        <f>'[1]DATA CONSOLIDADA 2018-2025 '!$CG664-Hoja1!$CB664</f>
        <v>#REF!</v>
      </c>
      <c r="CJ664" s="64" t="str">
        <f t="shared" si="271"/>
        <v>#REF!</v>
      </c>
      <c r="CK664" s="64">
        <v>20136.0</v>
      </c>
      <c r="CL664" s="64">
        <v>0.0</v>
      </c>
      <c r="CM664" s="64">
        <v>20136.0</v>
      </c>
      <c r="CN664" s="64" t="str">
        <f t="shared" si="12"/>
        <v>#REF!</v>
      </c>
      <c r="CO664" s="68" t="str">
        <f>'[1]DATA CONSOLIDADA 2018-2025 '!$CM664-Hoja1!$CG664</f>
        <v>#REF!</v>
      </c>
      <c r="CP664" s="70"/>
      <c r="CQ664" s="70"/>
      <c r="CR664" s="70"/>
      <c r="CS664" s="70"/>
      <c r="CT664" s="70"/>
      <c r="CU664" s="70"/>
      <c r="CV664" s="64"/>
      <c r="CW664" s="64"/>
      <c r="CX664" s="64"/>
      <c r="CY664" s="64"/>
      <c r="CZ664" s="64"/>
      <c r="DA664" s="64"/>
      <c r="DB664" s="64"/>
      <c r="DC664" s="72">
        <v>0.0</v>
      </c>
      <c r="DD664" s="72">
        <v>20136.0</v>
      </c>
      <c r="DE664" s="72">
        <v>0.0</v>
      </c>
      <c r="DF664" s="72">
        <v>0.0</v>
      </c>
      <c r="DG664" s="72">
        <v>0.0</v>
      </c>
      <c r="DH664" s="72">
        <v>20136.0</v>
      </c>
      <c r="DI664" s="73"/>
      <c r="DJ664" s="74"/>
      <c r="DK664" s="74"/>
      <c r="DL664" s="77"/>
      <c r="DM664" s="77"/>
      <c r="DN664" s="77"/>
      <c r="DO664" s="77"/>
      <c r="DP664" s="77"/>
      <c r="DQ664" s="77"/>
      <c r="DR664" s="77"/>
      <c r="DS664" s="77"/>
      <c r="DT664" s="77"/>
      <c r="DU664" s="77"/>
      <c r="DV664" s="77"/>
      <c r="DW664" s="77"/>
      <c r="DX664" s="77"/>
      <c r="DY664" s="77"/>
      <c r="DZ664" s="77"/>
      <c r="EA664" s="77"/>
      <c r="EB664" s="77"/>
      <c r="EC664" s="77"/>
      <c r="ED664" s="77"/>
      <c r="EE664" s="77"/>
    </row>
    <row r="665" ht="47.25" hidden="1" customHeight="1">
      <c r="A665" s="55" t="s">
        <v>1975</v>
      </c>
      <c r="B665" s="55" t="s">
        <v>1822</v>
      </c>
      <c r="C665" s="55" t="s">
        <v>1822</v>
      </c>
      <c r="D665" s="55" t="s">
        <v>1117</v>
      </c>
      <c r="E665" s="55" t="s">
        <v>1976</v>
      </c>
      <c r="F665" s="55" t="s">
        <v>1117</v>
      </c>
      <c r="G665" s="55" t="s">
        <v>1117</v>
      </c>
      <c r="H665" s="55" t="s">
        <v>1857</v>
      </c>
      <c r="I665" s="56"/>
      <c r="J665" s="56"/>
      <c r="K665" s="56"/>
      <c r="L665" s="56"/>
      <c r="M665" s="56"/>
      <c r="N665" s="56"/>
      <c r="O665" s="56"/>
      <c r="P665" s="56">
        <v>1.0</v>
      </c>
      <c r="Q665" s="56" t="s">
        <v>131</v>
      </c>
      <c r="R665" s="58" t="str">
        <f t="shared" si="1"/>
        <v>2025</v>
      </c>
      <c r="S665" s="59"/>
      <c r="T665" s="109" t="str">
        <f>IF(OR(Hoja1!$J665=1,Hoja1!$K665=1,Hoja1!$L665=1,Hoja1!$M665=1,Hoja1!$N665=1,Hoja1!$O665=1,Hoja1!$P665=1),"SI","NO")</f>
        <v>SI</v>
      </c>
      <c r="U665" s="59" t="str">
        <f>IF(OR(Hoja1!$K665=1,Hoja1!$L665=1,Hoja1!$M665=1,Hoja1!$N665=1,Hoja1!$O665=1,Hoja1!$P665=1),"SI","NO")</f>
        <v>SI</v>
      </c>
      <c r="V665" s="60"/>
      <c r="W665" s="61"/>
      <c r="X665" s="61"/>
      <c r="Y665" s="60"/>
      <c r="Z665" s="61"/>
      <c r="AA665" s="61"/>
      <c r="AB665" s="60"/>
      <c r="AC665" s="61"/>
      <c r="AD665" s="61"/>
      <c r="AE665" s="60"/>
      <c r="AF665" s="61"/>
      <c r="AG665" s="61"/>
      <c r="AH665" s="60"/>
      <c r="AI665" s="61"/>
      <c r="AJ665" s="61"/>
      <c r="AK665" s="60"/>
      <c r="AL665" s="61"/>
      <c r="AM665" s="61"/>
      <c r="AN665" s="60"/>
      <c r="AO665" s="62">
        <v>57.0</v>
      </c>
      <c r="AP665" s="62">
        <v>24.0</v>
      </c>
      <c r="AQ665" s="60">
        <v>81.0</v>
      </c>
      <c r="AR665" s="60" t="str">
        <f>IF(Hoja1!$AQ665&gt;0,Hoja1!$AQ665,IF(Hoja1!$AN665&gt;0,Hoja1!$AN665,IF(Hoja1!$AK665&gt;0,Hoja1!$AK665,IF(Hoja1!$AH665&gt;0,Hoja1!$AH665,IF(Hoja1!$AE665&gt;0,Hoja1!$AE665,IF(Hoja1!$AB665&gt;0,Hoja1!$AB665,IF(Hoja1!$Y665&gt;0,Hoja1!$Y665,IF(Hoja1!$V665&gt;0,Hoja1!$V665," ---"))))))))</f>
        <v>81</v>
      </c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>
        <v>5.0</v>
      </c>
      <c r="BD665" s="63">
        <v>1.0</v>
      </c>
      <c r="BE665" s="64"/>
      <c r="BF665" s="69"/>
      <c r="BG665" s="69"/>
      <c r="BH665" s="64"/>
      <c r="BI665" s="67" t="str">
        <f t="shared" si="281"/>
        <v>#REF!</v>
      </c>
      <c r="BJ665" s="68" t="str">
        <f t="shared" si="282"/>
        <v>#REF!</v>
      </c>
      <c r="BK665" s="69"/>
      <c r="BL665" s="69"/>
      <c r="BM665" s="64"/>
      <c r="BN665" s="67" t="str">
        <f t="shared" si="283"/>
        <v>#REF!</v>
      </c>
      <c r="BO665" s="68" t="str">
        <f t="shared" si="284"/>
        <v>#REF!</v>
      </c>
      <c r="BP665" s="65"/>
      <c r="BQ665" s="65"/>
      <c r="BR665" s="66"/>
      <c r="BS665" s="67" t="str">
        <f t="shared" si="285"/>
        <v>#REF!</v>
      </c>
      <c r="BT665" s="68" t="str">
        <f>'[1]DATA CONSOLIDADA 2018-2025 '!$BR665-Hoja1!$BO665</f>
        <v>#REF!</v>
      </c>
      <c r="BU665" s="69"/>
      <c r="BV665" s="65"/>
      <c r="BW665" s="66"/>
      <c r="BX665" s="67" t="str">
        <f t="shared" si="286"/>
        <v>#REF!</v>
      </c>
      <c r="BY665" s="68" t="str">
        <f t="shared" si="287"/>
        <v>#REF!</v>
      </c>
      <c r="BZ665" s="65"/>
      <c r="CA665" s="65"/>
      <c r="CB665" s="66"/>
      <c r="CC665" s="67" t="str">
        <f t="shared" si="288"/>
        <v>#REF!</v>
      </c>
      <c r="CD665" s="68" t="str">
        <f>'[1]DATA CONSOLIDADA 2018-2025 '!$CB665-Hoja1!$BW665</f>
        <v>#REF!</v>
      </c>
      <c r="CE665" s="70"/>
      <c r="CF665" s="70"/>
      <c r="CG665" s="71"/>
      <c r="CH665" s="67" t="str">
        <f t="shared" si="289"/>
        <v>#REF!</v>
      </c>
      <c r="CI665" s="68" t="str">
        <f>'[1]DATA CONSOLIDADA 2018-2025 '!$CG665-Hoja1!$CB665</f>
        <v>#REF!</v>
      </c>
      <c r="CJ665" s="64" t="str">
        <f t="shared" si="271"/>
        <v>#REF!</v>
      </c>
      <c r="CK665" s="64">
        <v>4399495.0</v>
      </c>
      <c r="CL665" s="64">
        <v>0.0</v>
      </c>
      <c r="CM665" s="64">
        <v>4399495.0</v>
      </c>
      <c r="CN665" s="64" t="str">
        <f t="shared" si="12"/>
        <v>#REF!</v>
      </c>
      <c r="CO665" s="68" t="str">
        <f>'[1]DATA CONSOLIDADA 2018-2025 '!$CM665-Hoja1!$CG665</f>
        <v>#REF!</v>
      </c>
      <c r="CP665" s="70"/>
      <c r="CQ665" s="70"/>
      <c r="CR665" s="70"/>
      <c r="CS665" s="70"/>
      <c r="CT665" s="70"/>
      <c r="CU665" s="70"/>
      <c r="CV665" s="64"/>
      <c r="CW665" s="64"/>
      <c r="CX665" s="64"/>
      <c r="CY665" s="64"/>
      <c r="CZ665" s="64"/>
      <c r="DA665" s="64"/>
      <c r="DB665" s="64"/>
      <c r="DC665" s="72">
        <v>0.0</v>
      </c>
      <c r="DD665" s="72">
        <v>4399495.0</v>
      </c>
      <c r="DE665" s="72">
        <v>0.0</v>
      </c>
      <c r="DF665" s="72">
        <v>0.0</v>
      </c>
      <c r="DG665" s="72">
        <v>0.0</v>
      </c>
      <c r="DH665" s="72">
        <v>4399495.0</v>
      </c>
      <c r="DI665" s="73"/>
      <c r="DJ665" s="74"/>
      <c r="DK665" s="74"/>
      <c r="DL665" s="77"/>
      <c r="DM665" s="77"/>
      <c r="DN665" s="77"/>
      <c r="DO665" s="77"/>
      <c r="DP665" s="77"/>
      <c r="DQ665" s="77"/>
      <c r="DR665" s="77"/>
      <c r="DS665" s="77"/>
      <c r="DT665" s="77"/>
      <c r="DU665" s="77"/>
      <c r="DV665" s="77"/>
      <c r="DW665" s="77"/>
      <c r="DX665" s="77"/>
      <c r="DY665" s="77"/>
      <c r="DZ665" s="77"/>
      <c r="EA665" s="77"/>
      <c r="EB665" s="77"/>
      <c r="EC665" s="77"/>
      <c r="ED665" s="77"/>
      <c r="EE665" s="77"/>
    </row>
    <row r="666" ht="47.25" hidden="1" customHeight="1">
      <c r="A666" s="55" t="s">
        <v>1977</v>
      </c>
      <c r="B666" s="55" t="s">
        <v>455</v>
      </c>
      <c r="C666" s="55" t="s">
        <v>455</v>
      </c>
      <c r="D666" s="55" t="s">
        <v>1117</v>
      </c>
      <c r="E666" s="55" t="s">
        <v>1119</v>
      </c>
      <c r="F666" s="55" t="s">
        <v>1117</v>
      </c>
      <c r="G666" s="55" t="s">
        <v>1120</v>
      </c>
      <c r="H666" s="55" t="s">
        <v>1121</v>
      </c>
      <c r="I666" s="56"/>
      <c r="J666" s="56"/>
      <c r="K666" s="56"/>
      <c r="L666" s="56"/>
      <c r="M666" s="56"/>
      <c r="N666" s="56"/>
      <c r="O666" s="56"/>
      <c r="P666" s="56">
        <v>1.0</v>
      </c>
      <c r="Q666" s="56" t="s">
        <v>131</v>
      </c>
      <c r="R666" s="58" t="str">
        <f t="shared" si="1"/>
        <v>2025</v>
      </c>
      <c r="S666" s="59"/>
      <c r="T666" s="109" t="str">
        <f>IF(OR(Hoja1!$J666=1,Hoja1!$K666=1,Hoja1!$L666=1,Hoja1!$M666=1,Hoja1!$N666=1,Hoja1!$O666=1,Hoja1!$P666=1),"SI","NO")</f>
        <v>SI</v>
      </c>
      <c r="U666" s="59" t="str">
        <f>IF(OR(Hoja1!$K666=1,Hoja1!$L666=1,Hoja1!$M666=1,Hoja1!$N666=1,Hoja1!$O666=1,Hoja1!$P666=1),"SI","NO")</f>
        <v>SI</v>
      </c>
      <c r="V666" s="60"/>
      <c r="W666" s="61"/>
      <c r="X666" s="61"/>
      <c r="Y666" s="60"/>
      <c r="Z666" s="61"/>
      <c r="AA666" s="61"/>
      <c r="AB666" s="60"/>
      <c r="AC666" s="61"/>
      <c r="AD666" s="61"/>
      <c r="AE666" s="60"/>
      <c r="AF666" s="61"/>
      <c r="AG666" s="61"/>
      <c r="AH666" s="60"/>
      <c r="AI666" s="61"/>
      <c r="AJ666" s="61"/>
      <c r="AK666" s="60"/>
      <c r="AL666" s="61"/>
      <c r="AM666" s="61"/>
      <c r="AN666" s="60"/>
      <c r="AO666" s="62">
        <v>5.0</v>
      </c>
      <c r="AP666" s="62">
        <v>5.0</v>
      </c>
      <c r="AQ666" s="60">
        <v>10.0</v>
      </c>
      <c r="AR666" s="60" t="str">
        <f>IF(Hoja1!$AQ666&gt;0,Hoja1!$AQ666,IF(Hoja1!$AN666&gt;0,Hoja1!$AN666,IF(Hoja1!$AK666&gt;0,Hoja1!$AK666,IF(Hoja1!$AH666&gt;0,Hoja1!$AH666,IF(Hoja1!$AE666&gt;0,Hoja1!$AE666,IF(Hoja1!$AB666&gt;0,Hoja1!$AB666,IF(Hoja1!$Y666&gt;0,Hoja1!$Y666,IF(Hoja1!$V666&gt;0,Hoja1!$V666," ---"))))))))</f>
        <v>10</v>
      </c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>
        <v>5.0</v>
      </c>
      <c r="BD666" s="63">
        <v>1.0</v>
      </c>
      <c r="BE666" s="64"/>
      <c r="BF666" s="69"/>
      <c r="BG666" s="69"/>
      <c r="BH666" s="64"/>
      <c r="BI666" s="67" t="str">
        <f t="shared" si="281"/>
        <v>#REF!</v>
      </c>
      <c r="BJ666" s="68" t="str">
        <f t="shared" si="282"/>
        <v>#REF!</v>
      </c>
      <c r="BK666" s="69"/>
      <c r="BL666" s="69"/>
      <c r="BM666" s="64"/>
      <c r="BN666" s="67" t="str">
        <f t="shared" si="283"/>
        <v>#REF!</v>
      </c>
      <c r="BO666" s="68" t="str">
        <f t="shared" si="284"/>
        <v>#REF!</v>
      </c>
      <c r="BP666" s="65"/>
      <c r="BQ666" s="65"/>
      <c r="BR666" s="66"/>
      <c r="BS666" s="67" t="str">
        <f t="shared" si="285"/>
        <v>#REF!</v>
      </c>
      <c r="BT666" s="68" t="str">
        <f>'[1]DATA CONSOLIDADA 2018-2025 '!$BR666-Hoja1!$BO666</f>
        <v>#REF!</v>
      </c>
      <c r="BU666" s="69"/>
      <c r="BV666" s="65"/>
      <c r="BW666" s="66"/>
      <c r="BX666" s="67" t="str">
        <f t="shared" si="286"/>
        <v>#REF!</v>
      </c>
      <c r="BY666" s="68" t="str">
        <f t="shared" si="287"/>
        <v>#REF!</v>
      </c>
      <c r="BZ666" s="65"/>
      <c r="CA666" s="65"/>
      <c r="CB666" s="66"/>
      <c r="CC666" s="67" t="str">
        <f t="shared" si="288"/>
        <v>#REF!</v>
      </c>
      <c r="CD666" s="68" t="str">
        <f>'[1]DATA CONSOLIDADA 2018-2025 '!$CB666-Hoja1!$BW666</f>
        <v>#REF!</v>
      </c>
      <c r="CE666" s="70"/>
      <c r="CF666" s="70"/>
      <c r="CG666" s="71"/>
      <c r="CH666" s="67" t="str">
        <f t="shared" si="289"/>
        <v>#REF!</v>
      </c>
      <c r="CI666" s="68" t="str">
        <f>'[1]DATA CONSOLIDADA 2018-2025 '!$CG666-Hoja1!$CB666</f>
        <v>#REF!</v>
      </c>
      <c r="CJ666" s="64" t="str">
        <f t="shared" si="271"/>
        <v>#REF!</v>
      </c>
      <c r="CK666" s="64">
        <v>67220.0</v>
      </c>
      <c r="CL666" s="64">
        <v>0.0</v>
      </c>
      <c r="CM666" s="64">
        <v>67220.0</v>
      </c>
      <c r="CN666" s="64" t="str">
        <f t="shared" si="12"/>
        <v>#REF!</v>
      </c>
      <c r="CO666" s="68" t="str">
        <f>'[1]DATA CONSOLIDADA 2018-2025 '!$CM666-Hoja1!$CG666</f>
        <v>#REF!</v>
      </c>
      <c r="CP666" s="70"/>
      <c r="CQ666" s="70"/>
      <c r="CR666" s="70"/>
      <c r="CS666" s="70"/>
      <c r="CT666" s="70"/>
      <c r="CU666" s="70"/>
      <c r="CV666" s="64"/>
      <c r="CW666" s="64"/>
      <c r="CX666" s="64"/>
      <c r="CY666" s="64"/>
      <c r="CZ666" s="64"/>
      <c r="DA666" s="64"/>
      <c r="DB666" s="64"/>
      <c r="DC666" s="72">
        <v>0.0</v>
      </c>
      <c r="DD666" s="72">
        <v>67220.0</v>
      </c>
      <c r="DE666" s="72">
        <v>0.0</v>
      </c>
      <c r="DF666" s="72">
        <v>0.0</v>
      </c>
      <c r="DG666" s="72">
        <v>0.0</v>
      </c>
      <c r="DH666" s="72">
        <v>67220.0</v>
      </c>
      <c r="DI666" s="73"/>
      <c r="DJ666" s="74"/>
      <c r="DK666" s="74"/>
      <c r="DL666" s="77"/>
      <c r="DM666" s="77"/>
      <c r="DN666" s="77"/>
      <c r="DO666" s="77"/>
      <c r="DP666" s="77"/>
      <c r="DQ666" s="77"/>
      <c r="DR666" s="77"/>
      <c r="DS666" s="77"/>
      <c r="DT666" s="77"/>
      <c r="DU666" s="77"/>
      <c r="DV666" s="77"/>
      <c r="DW666" s="77"/>
      <c r="DX666" s="77"/>
      <c r="DY666" s="77"/>
      <c r="DZ666" s="77"/>
      <c r="EA666" s="77"/>
      <c r="EB666" s="77"/>
      <c r="EC666" s="77"/>
      <c r="ED666" s="77"/>
      <c r="EE666" s="77"/>
    </row>
    <row r="667" ht="47.25" hidden="1" customHeight="1">
      <c r="A667" s="55" t="s">
        <v>1978</v>
      </c>
      <c r="B667" s="55" t="s">
        <v>166</v>
      </c>
      <c r="C667" s="55" t="s">
        <v>166</v>
      </c>
      <c r="D667" s="55" t="s">
        <v>1117</v>
      </c>
      <c r="E667" s="55" t="s">
        <v>1119</v>
      </c>
      <c r="F667" s="55" t="s">
        <v>1117</v>
      </c>
      <c r="G667" s="55" t="s">
        <v>1120</v>
      </c>
      <c r="H667" s="55" t="s">
        <v>1121</v>
      </c>
      <c r="I667" s="56"/>
      <c r="J667" s="56"/>
      <c r="K667" s="56"/>
      <c r="L667" s="56"/>
      <c r="M667" s="56"/>
      <c r="N667" s="56"/>
      <c r="O667" s="56"/>
      <c r="P667" s="56">
        <v>1.0</v>
      </c>
      <c r="Q667" s="56" t="s">
        <v>131</v>
      </c>
      <c r="R667" s="58" t="str">
        <f t="shared" si="1"/>
        <v>2025</v>
      </c>
      <c r="S667" s="59"/>
      <c r="T667" s="109" t="str">
        <f>IF(OR(Hoja1!$J667=1,Hoja1!$K667=1,Hoja1!$L667=1,Hoja1!$M667=1,Hoja1!$N667=1,Hoja1!$O667=1,Hoja1!$P667=1),"SI","NO")</f>
        <v>SI</v>
      </c>
      <c r="U667" s="59" t="str">
        <f>IF(OR(Hoja1!$K667=1,Hoja1!$L667=1,Hoja1!$M667=1,Hoja1!$N667=1,Hoja1!$O667=1,Hoja1!$P667=1),"SI","NO")</f>
        <v>SI</v>
      </c>
      <c r="V667" s="60"/>
      <c r="W667" s="61"/>
      <c r="X667" s="61"/>
      <c r="Y667" s="60"/>
      <c r="Z667" s="61"/>
      <c r="AA667" s="61"/>
      <c r="AB667" s="60"/>
      <c r="AC667" s="61"/>
      <c r="AD667" s="61"/>
      <c r="AE667" s="60"/>
      <c r="AF667" s="61"/>
      <c r="AG667" s="61"/>
      <c r="AH667" s="60"/>
      <c r="AI667" s="61"/>
      <c r="AJ667" s="61"/>
      <c r="AK667" s="60"/>
      <c r="AL667" s="61"/>
      <c r="AM667" s="61"/>
      <c r="AN667" s="60"/>
      <c r="AO667" s="62">
        <v>19.0</v>
      </c>
      <c r="AP667" s="62">
        <v>11.0</v>
      </c>
      <c r="AQ667" s="60">
        <v>30.0</v>
      </c>
      <c r="AR667" s="60" t="str">
        <f>IF(Hoja1!$AQ667&gt;0,Hoja1!$AQ667,IF(Hoja1!$AN667&gt;0,Hoja1!$AN667,IF(Hoja1!$AK667&gt;0,Hoja1!$AK667,IF(Hoja1!$AH667&gt;0,Hoja1!$AH667,IF(Hoja1!$AE667&gt;0,Hoja1!$AE667,IF(Hoja1!$AB667&gt;0,Hoja1!$AB667,IF(Hoja1!$Y667&gt;0,Hoja1!$Y667,IF(Hoja1!$V667&gt;0,Hoja1!$V667," ---"))))))))</f>
        <v>30</v>
      </c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>
        <v>5.0</v>
      </c>
      <c r="BD667" s="63">
        <v>1.0</v>
      </c>
      <c r="BE667" s="64"/>
      <c r="BF667" s="69"/>
      <c r="BG667" s="69"/>
      <c r="BH667" s="64"/>
      <c r="BI667" s="67" t="str">
        <f t="shared" si="281"/>
        <v>#REF!</v>
      </c>
      <c r="BJ667" s="68" t="str">
        <f t="shared" si="282"/>
        <v>#REF!</v>
      </c>
      <c r="BK667" s="69"/>
      <c r="BL667" s="69"/>
      <c r="BM667" s="64"/>
      <c r="BN667" s="67" t="str">
        <f t="shared" si="283"/>
        <v>#REF!</v>
      </c>
      <c r="BO667" s="68" t="str">
        <f t="shared" si="284"/>
        <v>#REF!</v>
      </c>
      <c r="BP667" s="65"/>
      <c r="BQ667" s="65"/>
      <c r="BR667" s="66"/>
      <c r="BS667" s="67" t="str">
        <f t="shared" si="285"/>
        <v>#REF!</v>
      </c>
      <c r="BT667" s="68" t="str">
        <f>'[1]DATA CONSOLIDADA 2018-2025 '!$BR667-Hoja1!$BO667</f>
        <v>#REF!</v>
      </c>
      <c r="BU667" s="69"/>
      <c r="BV667" s="65"/>
      <c r="BW667" s="66"/>
      <c r="BX667" s="67" t="str">
        <f t="shared" si="286"/>
        <v>#REF!</v>
      </c>
      <c r="BY667" s="68" t="str">
        <f t="shared" si="287"/>
        <v>#REF!</v>
      </c>
      <c r="BZ667" s="65"/>
      <c r="CA667" s="65"/>
      <c r="CB667" s="66"/>
      <c r="CC667" s="67" t="str">
        <f t="shared" si="288"/>
        <v>#REF!</v>
      </c>
      <c r="CD667" s="68" t="str">
        <f>'[1]DATA CONSOLIDADA 2018-2025 '!$CB667-Hoja1!$BW667</f>
        <v>#REF!</v>
      </c>
      <c r="CE667" s="70"/>
      <c r="CF667" s="70"/>
      <c r="CG667" s="71"/>
      <c r="CH667" s="67" t="str">
        <f t="shared" si="289"/>
        <v>#REF!</v>
      </c>
      <c r="CI667" s="68" t="str">
        <f>'[1]DATA CONSOLIDADA 2018-2025 '!$CG667-Hoja1!$CB667</f>
        <v>#REF!</v>
      </c>
      <c r="CJ667" s="64" t="str">
        <f t="shared" si="271"/>
        <v>#REF!</v>
      </c>
      <c r="CK667" s="64">
        <v>2550.0</v>
      </c>
      <c r="CL667" s="64">
        <v>0.0</v>
      </c>
      <c r="CM667" s="64">
        <v>2550.0</v>
      </c>
      <c r="CN667" s="64" t="str">
        <f t="shared" si="12"/>
        <v>#REF!</v>
      </c>
      <c r="CO667" s="68" t="str">
        <f>'[1]DATA CONSOLIDADA 2018-2025 '!$CM667-Hoja1!$CG667</f>
        <v>#REF!</v>
      </c>
      <c r="CP667" s="70"/>
      <c r="CQ667" s="70"/>
      <c r="CR667" s="70"/>
      <c r="CS667" s="70"/>
      <c r="CT667" s="70"/>
      <c r="CU667" s="70"/>
      <c r="CV667" s="64"/>
      <c r="CW667" s="64"/>
      <c r="CX667" s="64"/>
      <c r="CY667" s="64"/>
      <c r="CZ667" s="64"/>
      <c r="DA667" s="64"/>
      <c r="DB667" s="64"/>
      <c r="DC667" s="72">
        <v>0.0</v>
      </c>
      <c r="DD667" s="72">
        <v>2550.0</v>
      </c>
      <c r="DE667" s="72">
        <v>0.0</v>
      </c>
      <c r="DF667" s="72">
        <v>0.0</v>
      </c>
      <c r="DG667" s="72">
        <v>0.0</v>
      </c>
      <c r="DH667" s="72">
        <v>2550.0</v>
      </c>
      <c r="DI667" s="73"/>
      <c r="DJ667" s="74"/>
      <c r="DK667" s="74"/>
      <c r="DL667" s="77"/>
      <c r="DM667" s="77"/>
      <c r="DN667" s="77"/>
      <c r="DO667" s="77"/>
      <c r="DP667" s="77"/>
      <c r="DQ667" s="77"/>
      <c r="DR667" s="77"/>
      <c r="DS667" s="77"/>
      <c r="DT667" s="77"/>
      <c r="DU667" s="77"/>
      <c r="DV667" s="77"/>
      <c r="DW667" s="77"/>
      <c r="DX667" s="77"/>
      <c r="DY667" s="77"/>
      <c r="DZ667" s="77"/>
      <c r="EA667" s="77"/>
      <c r="EB667" s="77"/>
      <c r="EC667" s="77"/>
      <c r="ED667" s="77"/>
      <c r="EE667" s="77"/>
    </row>
    <row r="668" ht="24.75" hidden="1" customHeight="1">
      <c r="A668" s="55" t="s">
        <v>1979</v>
      </c>
      <c r="B668" s="55" t="s">
        <v>554</v>
      </c>
      <c r="C668" s="55" t="s">
        <v>554</v>
      </c>
      <c r="D668" s="116" t="s">
        <v>1940</v>
      </c>
      <c r="E668" s="117" t="s">
        <v>1980</v>
      </c>
      <c r="F668" s="117" t="s">
        <v>1940</v>
      </c>
      <c r="G668" s="116" t="s">
        <v>1940</v>
      </c>
      <c r="H668" s="118" t="s">
        <v>1981</v>
      </c>
      <c r="I668" s="56"/>
      <c r="J668" s="56"/>
      <c r="K668" s="56"/>
      <c r="L668" s="56"/>
      <c r="M668" s="56"/>
      <c r="N668" s="56"/>
      <c r="O668" s="56"/>
      <c r="P668" s="56">
        <v>1.0</v>
      </c>
      <c r="Q668" s="56" t="s">
        <v>131</v>
      </c>
      <c r="R668" s="58" t="str">
        <f t="shared" si="1"/>
        <v>2025</v>
      </c>
      <c r="S668" s="59"/>
      <c r="T668" s="109" t="str">
        <f>IF(OR(Hoja1!$J668=1,Hoja1!$K668=1,Hoja1!$L668=1,Hoja1!$M668=1,Hoja1!$N668=1,Hoja1!$O668=1,Hoja1!$P668=1),"SI","NO")</f>
        <v>SI</v>
      </c>
      <c r="U668" s="59" t="str">
        <f>IF(OR(Hoja1!$K668=1,Hoja1!$L668=1,Hoja1!$M668=1,Hoja1!$N668=1,Hoja1!$O668=1,Hoja1!$P668=1),"SI","NO")</f>
        <v>SI</v>
      </c>
      <c r="V668" s="60"/>
      <c r="W668" s="61"/>
      <c r="X668" s="61"/>
      <c r="Y668" s="60"/>
      <c r="Z668" s="61"/>
      <c r="AA668" s="61"/>
      <c r="AB668" s="60"/>
      <c r="AC668" s="61"/>
      <c r="AD668" s="61"/>
      <c r="AE668" s="60"/>
      <c r="AF668" s="61"/>
      <c r="AG668" s="61"/>
      <c r="AH668" s="60"/>
      <c r="AI668" s="61"/>
      <c r="AJ668" s="61"/>
      <c r="AK668" s="60"/>
      <c r="AL668" s="61"/>
      <c r="AM668" s="61"/>
      <c r="AN668" s="60"/>
      <c r="AO668" s="62">
        <v>26.0</v>
      </c>
      <c r="AP668" s="62">
        <v>11.0</v>
      </c>
      <c r="AQ668" s="60">
        <v>97.0</v>
      </c>
      <c r="AR668" s="60" t="str">
        <f>IF(Hoja1!$AQ668&gt;0,Hoja1!$AQ668,IF(Hoja1!$AN668&gt;0,Hoja1!$AN668,IF(Hoja1!$AK668&gt;0,Hoja1!$AK668,IF(Hoja1!$AH668&gt;0,Hoja1!$AH668,IF(Hoja1!$AE668&gt;0,Hoja1!$AE668,IF(Hoja1!$AB668&gt;0,Hoja1!$AB668,IF(Hoja1!$Y668&gt;0,Hoja1!$Y668,IF(Hoja1!$V668&gt;0,Hoja1!$V668," ---"))))))))</f>
        <v>97</v>
      </c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>
        <v>7.0</v>
      </c>
      <c r="BD668" s="63">
        <v>3.0</v>
      </c>
      <c r="BE668" s="64"/>
      <c r="BF668" s="69"/>
      <c r="BG668" s="69"/>
      <c r="BH668" s="64"/>
      <c r="BI668" s="67" t="str">
        <f t="shared" si="281"/>
        <v>#REF!</v>
      </c>
      <c r="BJ668" s="68" t="str">
        <f t="shared" si="282"/>
        <v>#REF!</v>
      </c>
      <c r="BK668" s="69"/>
      <c r="BL668" s="69"/>
      <c r="BM668" s="64"/>
      <c r="BN668" s="67" t="str">
        <f t="shared" si="283"/>
        <v>#REF!</v>
      </c>
      <c r="BO668" s="68" t="str">
        <f t="shared" si="284"/>
        <v>#REF!</v>
      </c>
      <c r="BP668" s="65"/>
      <c r="BQ668" s="65"/>
      <c r="BR668" s="66"/>
      <c r="BS668" s="67" t="str">
        <f t="shared" si="285"/>
        <v>#REF!</v>
      </c>
      <c r="BT668" s="68" t="str">
        <f>'[1]DATA CONSOLIDADA 2018-2025 '!$BR668-Hoja1!$BO668</f>
        <v>#REF!</v>
      </c>
      <c r="BU668" s="69"/>
      <c r="BV668" s="65"/>
      <c r="BW668" s="66"/>
      <c r="BX668" s="67" t="str">
        <f t="shared" si="286"/>
        <v>#REF!</v>
      </c>
      <c r="BY668" s="68" t="str">
        <f t="shared" si="287"/>
        <v>#REF!</v>
      </c>
      <c r="BZ668" s="65"/>
      <c r="CA668" s="65"/>
      <c r="CB668" s="66"/>
      <c r="CC668" s="67" t="str">
        <f t="shared" si="288"/>
        <v>#REF!</v>
      </c>
      <c r="CD668" s="68" t="str">
        <f>'[1]DATA CONSOLIDADA 2018-2025 '!$CB668-Hoja1!$BW668</f>
        <v>#REF!</v>
      </c>
      <c r="CE668" s="70"/>
      <c r="CF668" s="70"/>
      <c r="CG668" s="71"/>
      <c r="CH668" s="67" t="str">
        <f t="shared" si="289"/>
        <v>#REF!</v>
      </c>
      <c r="CI668" s="68" t="str">
        <f>'[1]DATA CONSOLIDADA 2018-2025 '!$CG668-Hoja1!$CB668</f>
        <v>#REF!</v>
      </c>
      <c r="CJ668" s="64" t="str">
        <f t="shared" si="271"/>
        <v>#REF!</v>
      </c>
      <c r="CK668" s="64">
        <v>39145.99999855</v>
      </c>
      <c r="CL668" s="64">
        <v>0.0</v>
      </c>
      <c r="CM668" s="64">
        <v>39145.99999855</v>
      </c>
      <c r="CN668" s="64" t="str">
        <f t="shared" si="12"/>
        <v>#REF!</v>
      </c>
      <c r="CO668" s="68" t="str">
        <f>'[1]DATA CONSOLIDADA 2018-2025 '!$CM668-Hoja1!$CG668</f>
        <v>#REF!</v>
      </c>
      <c r="CP668" s="70"/>
      <c r="CQ668" s="70"/>
      <c r="CR668" s="70"/>
      <c r="CS668" s="70"/>
      <c r="CT668" s="70"/>
      <c r="CU668" s="70"/>
      <c r="CV668" s="64"/>
      <c r="CW668" s="64"/>
      <c r="CX668" s="64"/>
      <c r="CY668" s="64"/>
      <c r="CZ668" s="64"/>
      <c r="DA668" s="64"/>
      <c r="DB668" s="64"/>
      <c r="DC668" s="72">
        <v>0.0</v>
      </c>
      <c r="DD668" s="72">
        <v>39145.99999855</v>
      </c>
      <c r="DE668" s="72">
        <v>0.0</v>
      </c>
      <c r="DF668" s="72">
        <v>0.0</v>
      </c>
      <c r="DG668" s="72">
        <v>0.0</v>
      </c>
      <c r="DH668" s="72">
        <v>39145.99999855</v>
      </c>
      <c r="DI668" s="73"/>
      <c r="DJ668" s="74"/>
      <c r="DK668" s="74"/>
      <c r="DL668" s="2"/>
      <c r="DM668" s="2"/>
      <c r="DN668" s="2"/>
      <c r="DO668" s="2"/>
      <c r="DP668" s="2"/>
      <c r="DQ668" s="2"/>
      <c r="DR668" s="2"/>
      <c r="DS668" s="2"/>
      <c r="DT668" s="119"/>
      <c r="DU668" s="119"/>
      <c r="DV668" s="119"/>
      <c r="DW668" s="119"/>
      <c r="DX668" s="119"/>
      <c r="DY668" s="119"/>
      <c r="DZ668" s="119"/>
      <c r="EA668" s="119"/>
      <c r="EB668" s="119"/>
      <c r="EC668" s="119"/>
      <c r="ED668" s="119"/>
      <c r="EE668" s="119"/>
    </row>
    <row r="669" ht="24.75" hidden="1" customHeight="1">
      <c r="A669" s="83" t="s">
        <v>1982</v>
      </c>
      <c r="B669" s="55" t="s">
        <v>166</v>
      </c>
      <c r="C669" s="55" t="s">
        <v>166</v>
      </c>
      <c r="D669" s="55" t="s">
        <v>167</v>
      </c>
      <c r="E669" s="55"/>
      <c r="F669" s="55" t="s">
        <v>167</v>
      </c>
      <c r="G669" s="55" t="s">
        <v>169</v>
      </c>
      <c r="H669" s="55" t="s">
        <v>1956</v>
      </c>
      <c r="I669" s="56"/>
      <c r="J669" s="56"/>
      <c r="K669" s="56"/>
      <c r="L669" s="56"/>
      <c r="M669" s="56"/>
      <c r="N669" s="56"/>
      <c r="O669" s="56"/>
      <c r="P669" s="56">
        <v>1.0</v>
      </c>
      <c r="Q669" s="56" t="s">
        <v>131</v>
      </c>
      <c r="R669" s="58" t="str">
        <f t="shared" si="1"/>
        <v>2025</v>
      </c>
      <c r="S669" s="59" t="str">
        <f>SUM(Hoja1!$I669:$P669)</f>
        <v>1</v>
      </c>
      <c r="T669" s="109" t="str">
        <f>IF(OR(Hoja1!$J669=1,Hoja1!$K669=1,Hoja1!$L669=1,Hoja1!$M669=1,Hoja1!$N669=1,Hoja1!$O669=1,Hoja1!$P669=1),"SI","NO")</f>
        <v>SI</v>
      </c>
      <c r="U669" s="59" t="str">
        <f>IF(OR(Hoja1!$K669=1,Hoja1!$L669=1,Hoja1!$M669=1,Hoja1!$N669=1,Hoja1!$O669=1,Hoja1!$P669=1),"SI","NO")</f>
        <v>SI</v>
      </c>
      <c r="V669" s="60"/>
      <c r="W669" s="61"/>
      <c r="X669" s="61"/>
      <c r="Y669" s="60"/>
      <c r="Z669" s="61"/>
      <c r="AA669" s="61"/>
      <c r="AB669" s="60"/>
      <c r="AC669" s="61"/>
      <c r="AD669" s="61"/>
      <c r="AE669" s="60"/>
      <c r="AF669" s="61"/>
      <c r="AG669" s="61"/>
      <c r="AH669" s="60"/>
      <c r="AI669" s="61"/>
      <c r="AJ669" s="61"/>
      <c r="AK669" s="60"/>
      <c r="AL669" s="61"/>
      <c r="AM669" s="61"/>
      <c r="AN669" s="60"/>
      <c r="AO669" s="62">
        <v>4.0</v>
      </c>
      <c r="AP669" s="62">
        <v>7.0</v>
      </c>
      <c r="AQ669" s="60">
        <v>11.0</v>
      </c>
      <c r="AR669" s="60" t="str">
        <f>IF(Hoja1!$AQ669&gt;0,Hoja1!$AQ669,IF(Hoja1!$AN669&gt;0,Hoja1!$AN669,IF(Hoja1!$AK669&gt;0,Hoja1!$AK669,IF(Hoja1!$AH669&gt;0,Hoja1!$AH669,IF(Hoja1!$AE669&gt;0,Hoja1!$AE669,IF(Hoja1!$AB669&gt;0,Hoja1!$AB669,IF(Hoja1!$Y669&gt;0,Hoja1!$Y669,IF(Hoja1!$V669&gt;0,Hoja1!$V669," ---"))))))))</f>
        <v>11</v>
      </c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4"/>
      <c r="BF669" s="69"/>
      <c r="BG669" s="69"/>
      <c r="BH669" s="64"/>
      <c r="BI669" s="67" t="str">
        <f t="shared" si="281"/>
        <v>#REF!</v>
      </c>
      <c r="BJ669" s="68" t="str">
        <f t="shared" si="282"/>
        <v>#REF!</v>
      </c>
      <c r="BK669" s="69"/>
      <c r="BL669" s="69"/>
      <c r="BM669" s="64"/>
      <c r="BN669" s="67" t="str">
        <f t="shared" si="283"/>
        <v>#REF!</v>
      </c>
      <c r="BO669" s="68" t="str">
        <f t="shared" si="284"/>
        <v>#REF!</v>
      </c>
      <c r="BP669" s="65"/>
      <c r="BQ669" s="65"/>
      <c r="BR669" s="66"/>
      <c r="BS669" s="67" t="str">
        <f t="shared" si="285"/>
        <v>#REF!</v>
      </c>
      <c r="BT669" s="68" t="str">
        <f>'[1]DATA CONSOLIDADA 2018-2025 '!$BR669-Hoja1!$BO669</f>
        <v>#REF!</v>
      </c>
      <c r="BU669" s="69"/>
      <c r="BV669" s="65"/>
      <c r="BW669" s="66"/>
      <c r="BX669" s="67" t="str">
        <f t="shared" si="286"/>
        <v>#REF!</v>
      </c>
      <c r="BY669" s="68" t="str">
        <f t="shared" si="287"/>
        <v>#REF!</v>
      </c>
      <c r="BZ669" s="65"/>
      <c r="CA669" s="65"/>
      <c r="CB669" s="66"/>
      <c r="CC669" s="67" t="str">
        <f t="shared" si="288"/>
        <v>#REF!</v>
      </c>
      <c r="CD669" s="68" t="str">
        <f>'[1]DATA CONSOLIDADA 2018-2025 '!$CB669-Hoja1!$BW669</f>
        <v>#REF!</v>
      </c>
      <c r="CE669" s="70"/>
      <c r="CF669" s="70"/>
      <c r="CG669" s="71"/>
      <c r="CH669" s="67" t="str">
        <f t="shared" si="289"/>
        <v>#REF!</v>
      </c>
      <c r="CI669" s="68" t="str">
        <f>'[1]DATA CONSOLIDADA 2018-2025 '!$CG669-Hoja1!$CB669</f>
        <v>#REF!</v>
      </c>
      <c r="CJ669" s="64" t="str">
        <f t="shared" si="271"/>
        <v>#REF!</v>
      </c>
      <c r="CK669" s="64">
        <v>120000.0</v>
      </c>
      <c r="CL669" s="64">
        <v>0.0</v>
      </c>
      <c r="CM669" s="64">
        <v>120000.0</v>
      </c>
      <c r="CN669" s="64" t="str">
        <f t="shared" si="12"/>
        <v>#REF!</v>
      </c>
      <c r="CO669" s="68" t="str">
        <f>'[1]DATA CONSOLIDADA 2018-2025 '!$CM669-Hoja1!$CG669</f>
        <v>#REF!</v>
      </c>
      <c r="CP669" s="70"/>
      <c r="CQ669" s="70"/>
      <c r="CR669" s="70"/>
      <c r="CS669" s="70"/>
      <c r="CT669" s="70"/>
      <c r="CU669" s="70"/>
      <c r="CV669" s="64"/>
      <c r="CW669" s="64"/>
      <c r="CX669" s="64"/>
      <c r="CY669" s="64"/>
      <c r="CZ669" s="64"/>
      <c r="DA669" s="64"/>
      <c r="DB669" s="64"/>
      <c r="DC669" s="72">
        <v>0.0</v>
      </c>
      <c r="DD669" s="72">
        <v>120000.0</v>
      </c>
      <c r="DE669" s="72">
        <v>0.0</v>
      </c>
      <c r="DF669" s="72">
        <v>0.0</v>
      </c>
      <c r="DG669" s="72">
        <v>0.0</v>
      </c>
      <c r="DH669" s="72">
        <v>120000.0</v>
      </c>
      <c r="DI669" s="73"/>
      <c r="DJ669" s="74"/>
      <c r="DK669" s="74"/>
      <c r="DL669" s="2"/>
      <c r="DM669" s="2"/>
      <c r="DN669" s="2"/>
      <c r="DO669" s="2"/>
      <c r="DP669" s="2"/>
      <c r="DQ669" s="2"/>
      <c r="DR669" s="2"/>
      <c r="DS669" s="2"/>
      <c r="DT669" s="119"/>
      <c r="DU669" s="119"/>
      <c r="DV669" s="119"/>
      <c r="DW669" s="119"/>
      <c r="DX669" s="119"/>
      <c r="DY669" s="119"/>
      <c r="DZ669" s="119"/>
      <c r="EA669" s="119"/>
      <c r="EB669" s="119"/>
      <c r="EC669" s="119"/>
      <c r="ED669" s="119"/>
      <c r="EE669" s="119"/>
    </row>
    <row r="670" ht="24.75" hidden="1" customHeight="1">
      <c r="A670" s="55" t="s">
        <v>1983</v>
      </c>
      <c r="B670" s="55" t="s">
        <v>1984</v>
      </c>
      <c r="C670" s="55" t="s">
        <v>1984</v>
      </c>
      <c r="D670" s="55" t="s">
        <v>1985</v>
      </c>
      <c r="E670" s="55"/>
      <c r="F670" s="55" t="s">
        <v>1985</v>
      </c>
      <c r="G670" s="116" t="s">
        <v>1985</v>
      </c>
      <c r="H670" s="118" t="s">
        <v>1986</v>
      </c>
      <c r="I670" s="56"/>
      <c r="J670" s="56"/>
      <c r="K670" s="56"/>
      <c r="L670" s="56"/>
      <c r="M670" s="56"/>
      <c r="N670" s="56"/>
      <c r="O670" s="56"/>
      <c r="P670" s="56">
        <v>1.0</v>
      </c>
      <c r="Q670" s="56" t="s">
        <v>131</v>
      </c>
      <c r="R670" s="58" t="str">
        <f t="shared" si="1"/>
        <v>2025</v>
      </c>
      <c r="S670" s="59" t="str">
        <f>SUM(Hoja1!$I670:$P670)</f>
        <v>1</v>
      </c>
      <c r="T670" s="109" t="str">
        <f>IF(OR(Hoja1!$J670=1,Hoja1!$K670=1,Hoja1!$L670=1,Hoja1!$M670=1,Hoja1!$N670=1,Hoja1!$O670=1,Hoja1!$P670=1),"SI","NO")</f>
        <v>SI</v>
      </c>
      <c r="U670" s="59" t="str">
        <f>IF(OR(Hoja1!$K670=1,Hoja1!$L670=1,Hoja1!$M670=1,Hoja1!$N670=1,Hoja1!$O670=1,Hoja1!$P670=1),"SI","NO")</f>
        <v>SI</v>
      </c>
      <c r="V670" s="60"/>
      <c r="W670" s="61"/>
      <c r="X670" s="61"/>
      <c r="Y670" s="60"/>
      <c r="Z670" s="61"/>
      <c r="AA670" s="61"/>
      <c r="AB670" s="60"/>
      <c r="AC670" s="61"/>
      <c r="AD670" s="61"/>
      <c r="AE670" s="60"/>
      <c r="AF670" s="61"/>
      <c r="AG670" s="61"/>
      <c r="AH670" s="60"/>
      <c r="AI670" s="61"/>
      <c r="AJ670" s="61"/>
      <c r="AK670" s="60"/>
      <c r="AL670" s="61"/>
      <c r="AM670" s="61"/>
      <c r="AN670" s="60"/>
      <c r="AO670" s="62">
        <v>19.0</v>
      </c>
      <c r="AP670" s="62">
        <v>3.0</v>
      </c>
      <c r="AQ670" s="60">
        <v>22.0</v>
      </c>
      <c r="AR670" s="60" t="str">
        <f>IF(Hoja1!$AQ670&gt;0,Hoja1!$AQ670,IF(Hoja1!$AN670&gt;0,Hoja1!$AN670,IF(Hoja1!$AK670&gt;0,Hoja1!$AK670,IF(Hoja1!$AH670&gt;0,Hoja1!$AH670,IF(Hoja1!$AE670&gt;0,Hoja1!$AE670,IF(Hoja1!$AB670&gt;0,Hoja1!$AB670,IF(Hoja1!$Y670&gt;0,Hoja1!$Y670,IF(Hoja1!$V670&gt;0,Hoja1!$V670," ---"))))))))</f>
        <v>22</v>
      </c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4"/>
      <c r="BF670" s="69"/>
      <c r="BG670" s="69"/>
      <c r="BH670" s="64"/>
      <c r="BI670" s="67" t="str">
        <f t="shared" si="281"/>
        <v>#REF!</v>
      </c>
      <c r="BJ670" s="68" t="str">
        <f t="shared" si="282"/>
        <v>#REF!</v>
      </c>
      <c r="BK670" s="69"/>
      <c r="BL670" s="69"/>
      <c r="BM670" s="64"/>
      <c r="BN670" s="67" t="str">
        <f t="shared" si="283"/>
        <v>#REF!</v>
      </c>
      <c r="BO670" s="68" t="str">
        <f t="shared" si="284"/>
        <v>#REF!</v>
      </c>
      <c r="BP670" s="65"/>
      <c r="BQ670" s="65"/>
      <c r="BR670" s="66"/>
      <c r="BS670" s="67" t="str">
        <f t="shared" si="285"/>
        <v>#REF!</v>
      </c>
      <c r="BT670" s="68" t="str">
        <f>'[1]DATA CONSOLIDADA 2018-2025 '!$BR670-Hoja1!$BO670</f>
        <v>#REF!</v>
      </c>
      <c r="BU670" s="69"/>
      <c r="BV670" s="65"/>
      <c r="BW670" s="66"/>
      <c r="BX670" s="67" t="str">
        <f t="shared" si="286"/>
        <v>#REF!</v>
      </c>
      <c r="BY670" s="68" t="str">
        <f t="shared" si="287"/>
        <v>#REF!</v>
      </c>
      <c r="BZ670" s="65"/>
      <c r="CA670" s="65"/>
      <c r="CB670" s="66"/>
      <c r="CC670" s="67" t="str">
        <f t="shared" si="288"/>
        <v>#REF!</v>
      </c>
      <c r="CD670" s="68" t="str">
        <f>'[1]DATA CONSOLIDADA 2018-2025 '!$CB670-Hoja1!$BW670</f>
        <v>#REF!</v>
      </c>
      <c r="CE670" s="70"/>
      <c r="CF670" s="70"/>
      <c r="CG670" s="71"/>
      <c r="CH670" s="67" t="str">
        <f t="shared" si="289"/>
        <v>#REF!</v>
      </c>
      <c r="CI670" s="68" t="str">
        <f>'[1]DATA CONSOLIDADA 2018-2025 '!$CG670-Hoja1!$CB670</f>
        <v>#REF!</v>
      </c>
      <c r="CJ670" s="64" t="str">
        <f t="shared" si="271"/>
        <v>#REF!</v>
      </c>
      <c r="CK670" s="64">
        <v>126500.0</v>
      </c>
      <c r="CL670" s="64">
        <v>0.0</v>
      </c>
      <c r="CM670" s="64">
        <v>126500.0</v>
      </c>
      <c r="CN670" s="64" t="str">
        <f t="shared" si="12"/>
        <v>#REF!</v>
      </c>
      <c r="CO670" s="68" t="str">
        <f>'[1]DATA CONSOLIDADA 2018-2025 '!$CM670-Hoja1!$CG670</f>
        <v>#REF!</v>
      </c>
      <c r="CP670" s="70"/>
      <c r="CQ670" s="70"/>
      <c r="CR670" s="70"/>
      <c r="CS670" s="70"/>
      <c r="CT670" s="70"/>
      <c r="CU670" s="70"/>
      <c r="CV670" s="64"/>
      <c r="CW670" s="64"/>
      <c r="CX670" s="64"/>
      <c r="CY670" s="64"/>
      <c r="CZ670" s="64"/>
      <c r="DA670" s="64"/>
      <c r="DB670" s="64"/>
      <c r="DC670" s="72">
        <v>0.0</v>
      </c>
      <c r="DD670" s="72">
        <v>126500.0</v>
      </c>
      <c r="DE670" s="72">
        <v>0.0</v>
      </c>
      <c r="DF670" s="72">
        <v>0.0</v>
      </c>
      <c r="DG670" s="72">
        <v>0.0</v>
      </c>
      <c r="DH670" s="72">
        <v>126500.0</v>
      </c>
      <c r="DI670" s="73"/>
      <c r="DJ670" s="74"/>
      <c r="DK670" s="74"/>
      <c r="DL670" s="2"/>
      <c r="DM670" s="2"/>
      <c r="DN670" s="2"/>
      <c r="DO670" s="2"/>
      <c r="DP670" s="2"/>
      <c r="DQ670" s="2"/>
      <c r="DR670" s="2"/>
      <c r="DS670" s="2"/>
      <c r="DT670" s="119"/>
      <c r="DU670" s="119"/>
      <c r="DV670" s="119"/>
      <c r="DW670" s="119"/>
      <c r="DX670" s="119"/>
      <c r="DY670" s="119"/>
      <c r="DZ670" s="119"/>
      <c r="EA670" s="119"/>
      <c r="EB670" s="119"/>
      <c r="EC670" s="119"/>
      <c r="ED670" s="119"/>
      <c r="EE670" s="119"/>
    </row>
    <row r="671" ht="24.75" hidden="1" customHeight="1">
      <c r="A671" s="55" t="s">
        <v>1987</v>
      </c>
      <c r="B671" s="55" t="s">
        <v>907</v>
      </c>
      <c r="C671" s="55" t="s">
        <v>907</v>
      </c>
      <c r="D671" s="55" t="s">
        <v>1988</v>
      </c>
      <c r="E671" s="55"/>
      <c r="F671" s="55" t="s">
        <v>807</v>
      </c>
      <c r="G671" s="55" t="s">
        <v>1989</v>
      </c>
      <c r="H671" s="55" t="s">
        <v>1990</v>
      </c>
      <c r="I671" s="56"/>
      <c r="J671" s="56"/>
      <c r="K671" s="56"/>
      <c r="L671" s="56"/>
      <c r="M671" s="56"/>
      <c r="N671" s="56"/>
      <c r="O671" s="56"/>
      <c r="P671" s="56">
        <v>1.0</v>
      </c>
      <c r="Q671" s="56" t="s">
        <v>131</v>
      </c>
      <c r="R671" s="58" t="str">
        <f t="shared" si="1"/>
        <v>2025</v>
      </c>
      <c r="S671" s="59" t="str">
        <f>SUM(Hoja1!$I671:$P671)</f>
        <v>1</v>
      </c>
      <c r="T671" s="109" t="str">
        <f>IF(OR(Hoja1!$J671=1,Hoja1!$K671=1,Hoja1!$L671=1,Hoja1!$M671=1,Hoja1!$N671=1,Hoja1!$O671=1,Hoja1!$P671=1),"SI","NO")</f>
        <v>SI</v>
      </c>
      <c r="U671" s="59" t="str">
        <f>IF(OR(Hoja1!$K671=1,Hoja1!$L671=1,Hoja1!$M671=1,Hoja1!$N671=1,Hoja1!$O671=1,Hoja1!$P671=1),"SI","NO")</f>
        <v>SI</v>
      </c>
      <c r="V671" s="60"/>
      <c r="W671" s="61"/>
      <c r="X671" s="61"/>
      <c r="Y671" s="60"/>
      <c r="Z671" s="61"/>
      <c r="AA671" s="61"/>
      <c r="AB671" s="60"/>
      <c r="AC671" s="61"/>
      <c r="AD671" s="61"/>
      <c r="AE671" s="60"/>
      <c r="AF671" s="61"/>
      <c r="AG671" s="61"/>
      <c r="AH671" s="60"/>
      <c r="AI671" s="61"/>
      <c r="AJ671" s="61"/>
      <c r="AK671" s="60"/>
      <c r="AL671" s="61"/>
      <c r="AM671" s="61"/>
      <c r="AN671" s="60"/>
      <c r="AO671" s="62">
        <v>10.0</v>
      </c>
      <c r="AP671" s="62">
        <v>9.0</v>
      </c>
      <c r="AQ671" s="60">
        <v>19.0</v>
      </c>
      <c r="AR671" s="60" t="str">
        <f>IF(Hoja1!$AQ671&gt;0,Hoja1!$AQ671,IF(Hoja1!$AN671&gt;0,Hoja1!$AN671,IF(Hoja1!$AK671&gt;0,Hoja1!$AK671,IF(Hoja1!$AH671&gt;0,Hoja1!$AH671,IF(Hoja1!$AE671&gt;0,Hoja1!$AE671,IF(Hoja1!$AB671&gt;0,Hoja1!$AB671,IF(Hoja1!$Y671&gt;0,Hoja1!$Y671,IF(Hoja1!$V671&gt;0,Hoja1!$V671," ---"))))))))</f>
        <v>19</v>
      </c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4"/>
      <c r="BF671" s="69"/>
      <c r="BG671" s="69"/>
      <c r="BH671" s="64"/>
      <c r="BI671" s="67" t="str">
        <f t="shared" si="281"/>
        <v>#REF!</v>
      </c>
      <c r="BJ671" s="68" t="str">
        <f t="shared" si="282"/>
        <v>#REF!</v>
      </c>
      <c r="BK671" s="69"/>
      <c r="BL671" s="69"/>
      <c r="BM671" s="64"/>
      <c r="BN671" s="67" t="str">
        <f t="shared" si="283"/>
        <v>#REF!</v>
      </c>
      <c r="BO671" s="68" t="str">
        <f t="shared" si="284"/>
        <v>#REF!</v>
      </c>
      <c r="BP671" s="65"/>
      <c r="BQ671" s="65"/>
      <c r="BR671" s="66"/>
      <c r="BS671" s="67" t="str">
        <f t="shared" si="285"/>
        <v>#REF!</v>
      </c>
      <c r="BT671" s="68" t="str">
        <f>'[1]DATA CONSOLIDADA 2018-2025 '!$BR671-Hoja1!$BO671</f>
        <v>#REF!</v>
      </c>
      <c r="BU671" s="69"/>
      <c r="BV671" s="65"/>
      <c r="BW671" s="66"/>
      <c r="BX671" s="67" t="str">
        <f t="shared" si="286"/>
        <v>#REF!</v>
      </c>
      <c r="BY671" s="68" t="str">
        <f t="shared" si="287"/>
        <v>#REF!</v>
      </c>
      <c r="BZ671" s="65"/>
      <c r="CA671" s="65"/>
      <c r="CB671" s="66"/>
      <c r="CC671" s="67" t="str">
        <f t="shared" si="288"/>
        <v>#REF!</v>
      </c>
      <c r="CD671" s="68" t="str">
        <f>'[1]DATA CONSOLIDADA 2018-2025 '!$CB671-Hoja1!$BW671</f>
        <v>#REF!</v>
      </c>
      <c r="CE671" s="70"/>
      <c r="CF671" s="70"/>
      <c r="CG671" s="71"/>
      <c r="CH671" s="67" t="str">
        <f t="shared" si="289"/>
        <v>#REF!</v>
      </c>
      <c r="CI671" s="68" t="str">
        <f>'[1]DATA CONSOLIDADA 2018-2025 '!$CG671-Hoja1!$CB671</f>
        <v>#REF!</v>
      </c>
      <c r="CJ671" s="64" t="str">
        <f t="shared" si="271"/>
        <v>#REF!</v>
      </c>
      <c r="CK671" s="64">
        <v>176451.0</v>
      </c>
      <c r="CL671" s="64">
        <v>0.0</v>
      </c>
      <c r="CM671" s="64">
        <v>176451.0</v>
      </c>
      <c r="CN671" s="64" t="str">
        <f t="shared" si="12"/>
        <v>#REF!</v>
      </c>
      <c r="CO671" s="68" t="str">
        <f>'[1]DATA CONSOLIDADA 2018-2025 '!$CM671-Hoja1!$CG671</f>
        <v>#REF!</v>
      </c>
      <c r="CP671" s="70"/>
      <c r="CQ671" s="70"/>
      <c r="CR671" s="70"/>
      <c r="CS671" s="70"/>
      <c r="CT671" s="70"/>
      <c r="CU671" s="70"/>
      <c r="CV671" s="64"/>
      <c r="CW671" s="64"/>
      <c r="CX671" s="64"/>
      <c r="CY671" s="64"/>
      <c r="CZ671" s="64"/>
      <c r="DA671" s="64"/>
      <c r="DB671" s="64"/>
      <c r="DC671" s="72">
        <v>0.0</v>
      </c>
      <c r="DD671" s="72">
        <v>0.0</v>
      </c>
      <c r="DE671" s="72">
        <v>176451.0</v>
      </c>
      <c r="DF671" s="72">
        <v>0.0</v>
      </c>
      <c r="DG671" s="72">
        <v>0.0</v>
      </c>
      <c r="DH671" s="72">
        <v>176451.0</v>
      </c>
      <c r="DI671" s="73"/>
      <c r="DJ671" s="74"/>
      <c r="DK671" s="74"/>
      <c r="DL671" s="2"/>
      <c r="DM671" s="2"/>
      <c r="DN671" s="2"/>
      <c r="DO671" s="2"/>
      <c r="DP671" s="2"/>
      <c r="DQ671" s="2"/>
      <c r="DR671" s="2"/>
      <c r="DS671" s="2"/>
      <c r="DT671" s="119"/>
      <c r="DU671" s="119"/>
      <c r="DV671" s="119"/>
      <c r="DW671" s="119"/>
      <c r="DX671" s="119"/>
      <c r="DY671" s="119"/>
      <c r="DZ671" s="119"/>
      <c r="EA671" s="119"/>
      <c r="EB671" s="119"/>
      <c r="EC671" s="119"/>
      <c r="ED671" s="119"/>
      <c r="EE671" s="119"/>
    </row>
    <row r="672" ht="24.75" hidden="1" customHeight="1">
      <c r="A672" s="55" t="s">
        <v>1991</v>
      </c>
      <c r="B672" s="55" t="s">
        <v>907</v>
      </c>
      <c r="C672" s="55" t="s">
        <v>907</v>
      </c>
      <c r="D672" s="55" t="s">
        <v>1988</v>
      </c>
      <c r="E672" s="55"/>
      <c r="F672" s="55" t="s">
        <v>807</v>
      </c>
      <c r="G672" s="55" t="s">
        <v>1989</v>
      </c>
      <c r="H672" s="55" t="s">
        <v>1990</v>
      </c>
      <c r="I672" s="56"/>
      <c r="J672" s="56"/>
      <c r="K672" s="56"/>
      <c r="L672" s="56"/>
      <c r="M672" s="56"/>
      <c r="N672" s="56"/>
      <c r="O672" s="56"/>
      <c r="P672" s="56">
        <v>1.0</v>
      </c>
      <c r="Q672" s="56" t="s">
        <v>131</v>
      </c>
      <c r="R672" s="58" t="str">
        <f t="shared" si="1"/>
        <v>2025</v>
      </c>
      <c r="S672" s="59" t="str">
        <f>SUM(Hoja1!$I672:$P672)</f>
        <v>1</v>
      </c>
      <c r="T672" s="109" t="str">
        <f>IF(OR(Hoja1!$J672=1,Hoja1!$K672=1,Hoja1!$L672=1,Hoja1!$M672=1,Hoja1!$N672=1,Hoja1!$O672=1,Hoja1!$P672=1),"SI","NO")</f>
        <v>SI</v>
      </c>
      <c r="U672" s="59" t="str">
        <f>IF(OR(Hoja1!$K672=1,Hoja1!$L672=1,Hoja1!$M672=1,Hoja1!$N672=1,Hoja1!$O672=1,Hoja1!$P672=1),"SI","NO")</f>
        <v>SI</v>
      </c>
      <c r="V672" s="60"/>
      <c r="W672" s="61"/>
      <c r="X672" s="61"/>
      <c r="Y672" s="60"/>
      <c r="Z672" s="61"/>
      <c r="AA672" s="61"/>
      <c r="AB672" s="60"/>
      <c r="AC672" s="61"/>
      <c r="AD672" s="61"/>
      <c r="AE672" s="60"/>
      <c r="AF672" s="61"/>
      <c r="AG672" s="61"/>
      <c r="AH672" s="60"/>
      <c r="AI672" s="61"/>
      <c r="AJ672" s="61"/>
      <c r="AK672" s="60"/>
      <c r="AL672" s="61"/>
      <c r="AM672" s="61"/>
      <c r="AN672" s="60"/>
      <c r="AO672" s="62">
        <v>32.0</v>
      </c>
      <c r="AP672" s="62">
        <v>14.0</v>
      </c>
      <c r="AQ672" s="60">
        <v>46.0</v>
      </c>
      <c r="AR672" s="60" t="str">
        <f>IF(Hoja1!$AQ672&gt;0,Hoja1!$AQ672,IF(Hoja1!$AN672&gt;0,Hoja1!$AN672,IF(Hoja1!$AK672&gt;0,Hoja1!$AK672,IF(Hoja1!$AH672&gt;0,Hoja1!$AH672,IF(Hoja1!$AE672&gt;0,Hoja1!$AE672,IF(Hoja1!$AB672&gt;0,Hoja1!$AB672,IF(Hoja1!$Y672&gt;0,Hoja1!$Y672,IF(Hoja1!$V672&gt;0,Hoja1!$V672," ---"))))))))</f>
        <v>46</v>
      </c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4"/>
      <c r="BF672" s="69"/>
      <c r="BG672" s="69"/>
      <c r="BH672" s="64"/>
      <c r="BI672" s="67" t="str">
        <f t="shared" si="281"/>
        <v>#REF!</v>
      </c>
      <c r="BJ672" s="68" t="str">
        <f t="shared" si="282"/>
        <v>#REF!</v>
      </c>
      <c r="BK672" s="69"/>
      <c r="BL672" s="69"/>
      <c r="BM672" s="64"/>
      <c r="BN672" s="67" t="str">
        <f t="shared" si="283"/>
        <v>#REF!</v>
      </c>
      <c r="BO672" s="68" t="str">
        <f t="shared" si="284"/>
        <v>#REF!</v>
      </c>
      <c r="BP672" s="65"/>
      <c r="BQ672" s="65"/>
      <c r="BR672" s="66"/>
      <c r="BS672" s="67" t="str">
        <f t="shared" si="285"/>
        <v>#REF!</v>
      </c>
      <c r="BT672" s="68" t="str">
        <f>'[1]DATA CONSOLIDADA 2018-2025 '!$BR672-Hoja1!$BO672</f>
        <v>#REF!</v>
      </c>
      <c r="BU672" s="69"/>
      <c r="BV672" s="65"/>
      <c r="BW672" s="66"/>
      <c r="BX672" s="67" t="str">
        <f t="shared" si="286"/>
        <v>#REF!</v>
      </c>
      <c r="BY672" s="68" t="str">
        <f t="shared" si="287"/>
        <v>#REF!</v>
      </c>
      <c r="BZ672" s="65"/>
      <c r="CA672" s="65"/>
      <c r="CB672" s="66"/>
      <c r="CC672" s="67" t="str">
        <f t="shared" si="288"/>
        <v>#REF!</v>
      </c>
      <c r="CD672" s="68" t="str">
        <f>'[1]DATA CONSOLIDADA 2018-2025 '!$CB672-Hoja1!$BW672</f>
        <v>#REF!</v>
      </c>
      <c r="CE672" s="70"/>
      <c r="CF672" s="70"/>
      <c r="CG672" s="71"/>
      <c r="CH672" s="67" t="str">
        <f t="shared" si="289"/>
        <v>#REF!</v>
      </c>
      <c r="CI672" s="68" t="str">
        <f>'[1]DATA CONSOLIDADA 2018-2025 '!$CG672-Hoja1!$CB672</f>
        <v>#REF!</v>
      </c>
      <c r="CJ672" s="64" t="str">
        <f t="shared" si="271"/>
        <v>#REF!</v>
      </c>
      <c r="CK672" s="64">
        <v>0.0</v>
      </c>
      <c r="CL672" s="64">
        <v>0.0</v>
      </c>
      <c r="CM672" s="64">
        <v>0.0</v>
      </c>
      <c r="CN672" s="64" t="str">
        <f t="shared" si="12"/>
        <v>#REF!</v>
      </c>
      <c r="CO672" s="64" t="str">
        <f>'[1]DATA CONSOLIDADA 2018-2025 '!$CM672-Hoja1!$CG672</f>
        <v>#REF!</v>
      </c>
      <c r="CP672" s="70"/>
      <c r="CQ672" s="70"/>
      <c r="CR672" s="70"/>
      <c r="CS672" s="70"/>
      <c r="CT672" s="70"/>
      <c r="CU672" s="70"/>
      <c r="CV672" s="64"/>
      <c r="CW672" s="64"/>
      <c r="CX672" s="64"/>
      <c r="CY672" s="64"/>
      <c r="CZ672" s="64"/>
      <c r="DA672" s="64"/>
      <c r="DB672" s="64"/>
      <c r="DC672" s="72">
        <v>0.0</v>
      </c>
      <c r="DD672" s="72">
        <v>0.0</v>
      </c>
      <c r="DE672" s="72">
        <v>0.0</v>
      </c>
      <c r="DF672" s="72">
        <v>0.0</v>
      </c>
      <c r="DG672" s="72">
        <v>0.0</v>
      </c>
      <c r="DH672" s="72">
        <v>0.0</v>
      </c>
      <c r="DI672" s="73"/>
      <c r="DJ672" s="74"/>
      <c r="DK672" s="74"/>
      <c r="DL672" s="2"/>
      <c r="DM672" s="2"/>
      <c r="DN672" s="2"/>
      <c r="DO672" s="2"/>
      <c r="DP672" s="2"/>
      <c r="DQ672" s="2"/>
      <c r="DR672" s="2"/>
      <c r="DS672" s="2"/>
      <c r="DT672" s="119"/>
      <c r="DU672" s="119"/>
      <c r="DV672" s="119"/>
      <c r="DW672" s="119"/>
      <c r="DX672" s="119"/>
      <c r="DY672" s="119"/>
      <c r="DZ672" s="119"/>
      <c r="EA672" s="119"/>
      <c r="EB672" s="119"/>
      <c r="EC672" s="119"/>
      <c r="ED672" s="119"/>
      <c r="EE672" s="119"/>
    </row>
    <row r="673" ht="24.75" hidden="1" customHeight="1">
      <c r="A673" s="55" t="s">
        <v>1992</v>
      </c>
      <c r="B673" s="55" t="s">
        <v>907</v>
      </c>
      <c r="C673" s="55" t="s">
        <v>907</v>
      </c>
      <c r="D673" s="55" t="s">
        <v>1988</v>
      </c>
      <c r="E673" s="55"/>
      <c r="F673" s="55" t="s">
        <v>807</v>
      </c>
      <c r="G673" s="55" t="s">
        <v>1989</v>
      </c>
      <c r="H673" s="55" t="s">
        <v>1990</v>
      </c>
      <c r="I673" s="56"/>
      <c r="J673" s="56"/>
      <c r="K673" s="56"/>
      <c r="L673" s="56"/>
      <c r="M673" s="56"/>
      <c r="N673" s="56"/>
      <c r="O673" s="56"/>
      <c r="P673" s="56">
        <v>1.0</v>
      </c>
      <c r="Q673" s="56" t="s">
        <v>131</v>
      </c>
      <c r="R673" s="58" t="str">
        <f t="shared" si="1"/>
        <v>2025</v>
      </c>
      <c r="S673" s="59" t="str">
        <f>SUM(Hoja1!$I673:$P673)</f>
        <v>1</v>
      </c>
      <c r="T673" s="109" t="str">
        <f>IF(OR(Hoja1!$J673=1,Hoja1!$K673=1,Hoja1!$L673=1,Hoja1!$M673=1,Hoja1!$N673=1,Hoja1!$O673=1,Hoja1!$P673=1),"SI","NO")</f>
        <v>SI</v>
      </c>
      <c r="U673" s="59" t="str">
        <f>IF(OR(Hoja1!$K673=1,Hoja1!$L673=1,Hoja1!$M673=1,Hoja1!$N673=1,Hoja1!$O673=1,Hoja1!$P673=1),"SI","NO")</f>
        <v>SI</v>
      </c>
      <c r="V673" s="60"/>
      <c r="W673" s="61"/>
      <c r="X673" s="61"/>
      <c r="Y673" s="60"/>
      <c r="Z673" s="61"/>
      <c r="AA673" s="61"/>
      <c r="AB673" s="60"/>
      <c r="AC673" s="61"/>
      <c r="AD673" s="61"/>
      <c r="AE673" s="60"/>
      <c r="AF673" s="61"/>
      <c r="AG673" s="61"/>
      <c r="AH673" s="60"/>
      <c r="AI673" s="61"/>
      <c r="AJ673" s="61"/>
      <c r="AK673" s="60"/>
      <c r="AL673" s="61"/>
      <c r="AM673" s="61"/>
      <c r="AN673" s="60"/>
      <c r="AO673" s="62">
        <v>18.0</v>
      </c>
      <c r="AP673" s="62">
        <v>9.0</v>
      </c>
      <c r="AQ673" s="60">
        <v>27.0</v>
      </c>
      <c r="AR673" s="60" t="str">
        <f>IF(Hoja1!$AQ673&gt;0,Hoja1!$AQ673,IF(Hoja1!$AN673&gt;0,Hoja1!$AN673,IF(Hoja1!$AK673&gt;0,Hoja1!$AK673,IF(Hoja1!$AH673&gt;0,Hoja1!$AH673,IF(Hoja1!$AE673&gt;0,Hoja1!$AE673,IF(Hoja1!$AB673&gt;0,Hoja1!$AB673,IF(Hoja1!$Y673&gt;0,Hoja1!$Y673,IF(Hoja1!$V673&gt;0,Hoja1!$V673," ---"))))))))</f>
        <v>27</v>
      </c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4"/>
      <c r="BF673" s="69"/>
      <c r="BG673" s="69"/>
      <c r="BH673" s="64"/>
      <c r="BI673" s="67" t="str">
        <f t="shared" si="281"/>
        <v>#REF!</v>
      </c>
      <c r="BJ673" s="68" t="str">
        <f t="shared" si="282"/>
        <v>#REF!</v>
      </c>
      <c r="BK673" s="69"/>
      <c r="BL673" s="69"/>
      <c r="BM673" s="64"/>
      <c r="BN673" s="67" t="str">
        <f t="shared" si="283"/>
        <v>#REF!</v>
      </c>
      <c r="BO673" s="68" t="str">
        <f t="shared" si="284"/>
        <v>#REF!</v>
      </c>
      <c r="BP673" s="65"/>
      <c r="BQ673" s="65"/>
      <c r="BR673" s="66"/>
      <c r="BS673" s="67" t="str">
        <f t="shared" si="285"/>
        <v>#REF!</v>
      </c>
      <c r="BT673" s="68" t="str">
        <f>'[1]DATA CONSOLIDADA 2018-2025 '!$BR673-Hoja1!$BO673</f>
        <v>#REF!</v>
      </c>
      <c r="BU673" s="69"/>
      <c r="BV673" s="65"/>
      <c r="BW673" s="66"/>
      <c r="BX673" s="67" t="str">
        <f t="shared" si="286"/>
        <v>#REF!</v>
      </c>
      <c r="BY673" s="68" t="str">
        <f t="shared" si="287"/>
        <v>#REF!</v>
      </c>
      <c r="BZ673" s="65"/>
      <c r="CA673" s="65"/>
      <c r="CB673" s="66"/>
      <c r="CC673" s="67" t="str">
        <f t="shared" si="288"/>
        <v>#REF!</v>
      </c>
      <c r="CD673" s="68" t="str">
        <f>'[1]DATA CONSOLIDADA 2018-2025 '!$CB673-Hoja1!$BW673</f>
        <v>#REF!</v>
      </c>
      <c r="CE673" s="70"/>
      <c r="CF673" s="70"/>
      <c r="CG673" s="71"/>
      <c r="CH673" s="67" t="str">
        <f t="shared" si="289"/>
        <v>#REF!</v>
      </c>
      <c r="CI673" s="68" t="str">
        <f>'[1]DATA CONSOLIDADA 2018-2025 '!$CG673-Hoja1!$CB673</f>
        <v>#REF!</v>
      </c>
      <c r="CJ673" s="64" t="str">
        <f t="shared" si="271"/>
        <v>#REF!</v>
      </c>
      <c r="CK673" s="64">
        <v>0.0</v>
      </c>
      <c r="CL673" s="64">
        <v>0.0</v>
      </c>
      <c r="CM673" s="64">
        <v>0.0</v>
      </c>
      <c r="CN673" s="64" t="str">
        <f t="shared" si="12"/>
        <v>#REF!</v>
      </c>
      <c r="CO673" s="64" t="str">
        <f>'[1]DATA CONSOLIDADA 2018-2025 '!$CM673-Hoja1!$CG673</f>
        <v>#REF!</v>
      </c>
      <c r="CP673" s="70"/>
      <c r="CQ673" s="70"/>
      <c r="CR673" s="70"/>
      <c r="CS673" s="70"/>
      <c r="CT673" s="70"/>
      <c r="CU673" s="70"/>
      <c r="CV673" s="64"/>
      <c r="CW673" s="64"/>
      <c r="CX673" s="64"/>
      <c r="CY673" s="64"/>
      <c r="CZ673" s="64"/>
      <c r="DA673" s="64"/>
      <c r="DB673" s="64"/>
      <c r="DC673" s="72">
        <v>0.0</v>
      </c>
      <c r="DD673" s="72">
        <v>0.0</v>
      </c>
      <c r="DE673" s="72">
        <v>0.0</v>
      </c>
      <c r="DF673" s="72">
        <v>0.0</v>
      </c>
      <c r="DG673" s="72">
        <v>0.0</v>
      </c>
      <c r="DH673" s="72">
        <v>0.0</v>
      </c>
      <c r="DI673" s="73"/>
      <c r="DJ673" s="74"/>
      <c r="DK673" s="74"/>
      <c r="DL673" s="2"/>
      <c r="DM673" s="2"/>
      <c r="DN673" s="2"/>
      <c r="DO673" s="2"/>
      <c r="DP673" s="2"/>
      <c r="DQ673" s="2"/>
      <c r="DR673" s="2"/>
      <c r="DS673" s="2"/>
      <c r="DT673" s="119"/>
      <c r="DU673" s="119"/>
      <c r="DV673" s="119"/>
      <c r="DW673" s="119"/>
      <c r="DX673" s="119"/>
      <c r="DY673" s="119"/>
      <c r="DZ673" s="119"/>
      <c r="EA673" s="119"/>
      <c r="EB673" s="119"/>
      <c r="EC673" s="119"/>
      <c r="ED673" s="119"/>
      <c r="EE673" s="119"/>
    </row>
    <row r="674" ht="24.75" hidden="1" customHeight="1">
      <c r="A674" s="55" t="s">
        <v>1993</v>
      </c>
      <c r="B674" s="55" t="s">
        <v>250</v>
      </c>
      <c r="C674" s="55" t="s">
        <v>250</v>
      </c>
      <c r="D674" s="55" t="s">
        <v>911</v>
      </c>
      <c r="E674" s="55"/>
      <c r="F674" s="55" t="s">
        <v>911</v>
      </c>
      <c r="G674" s="55" t="s">
        <v>911</v>
      </c>
      <c r="H674" s="55" t="s">
        <v>921</v>
      </c>
      <c r="I674" s="56"/>
      <c r="J674" s="56"/>
      <c r="K674" s="56"/>
      <c r="L674" s="56"/>
      <c r="M674" s="56"/>
      <c r="N674" s="56"/>
      <c r="O674" s="56"/>
      <c r="P674" s="56">
        <v>1.0</v>
      </c>
      <c r="Q674" s="56" t="s">
        <v>131</v>
      </c>
      <c r="R674" s="58" t="str">
        <f t="shared" si="1"/>
        <v>2025</v>
      </c>
      <c r="S674" s="59" t="str">
        <f>SUM(Hoja1!$I674:$P674)</f>
        <v>1</v>
      </c>
      <c r="T674" s="109" t="str">
        <f>IF(OR(Hoja1!$J674=1,Hoja1!$K674=1,Hoja1!$L674=1,Hoja1!$M674=1,Hoja1!$N674=1,Hoja1!$O674=1,Hoja1!$P674=1),"SI","NO")</f>
        <v>SI</v>
      </c>
      <c r="U674" s="59" t="str">
        <f>IF(OR(Hoja1!$K674=1,Hoja1!$L674=1,Hoja1!$M674=1,Hoja1!$N674=1,Hoja1!$O674=1,Hoja1!$P674=1),"SI","NO")</f>
        <v>SI</v>
      </c>
      <c r="V674" s="60"/>
      <c r="W674" s="61"/>
      <c r="X674" s="61"/>
      <c r="Y674" s="60"/>
      <c r="Z674" s="61"/>
      <c r="AA674" s="61"/>
      <c r="AB674" s="60"/>
      <c r="AC674" s="61"/>
      <c r="AD674" s="61"/>
      <c r="AE674" s="60"/>
      <c r="AF674" s="61"/>
      <c r="AG674" s="61"/>
      <c r="AH674" s="60"/>
      <c r="AI674" s="61"/>
      <c r="AJ674" s="61"/>
      <c r="AK674" s="60"/>
      <c r="AL674" s="61"/>
      <c r="AM674" s="61"/>
      <c r="AN674" s="60"/>
      <c r="AO674" s="62">
        <v>112.0</v>
      </c>
      <c r="AP674" s="62">
        <v>60.0</v>
      </c>
      <c r="AQ674" s="60">
        <v>172.0</v>
      </c>
      <c r="AR674" s="60" t="str">
        <f>IF(Hoja1!$AQ674&gt;0,Hoja1!$AQ674,IF(Hoja1!$AN674&gt;0,Hoja1!$AN674,IF(Hoja1!$AK674&gt;0,Hoja1!$AK674,IF(Hoja1!$AH674&gt;0,Hoja1!$AH674,IF(Hoja1!$AE674&gt;0,Hoja1!$AE674,IF(Hoja1!$AB674&gt;0,Hoja1!$AB674,IF(Hoja1!$Y674&gt;0,Hoja1!$Y674,IF(Hoja1!$V674&gt;0,Hoja1!$V674," ---"))))))))</f>
        <v>172</v>
      </c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4"/>
      <c r="BF674" s="69"/>
      <c r="BG674" s="69"/>
      <c r="BH674" s="64"/>
      <c r="BI674" s="67" t="str">
        <f t="shared" si="281"/>
        <v>#REF!</v>
      </c>
      <c r="BJ674" s="68" t="str">
        <f t="shared" si="282"/>
        <v>#REF!</v>
      </c>
      <c r="BK674" s="69"/>
      <c r="BL674" s="69"/>
      <c r="BM674" s="64"/>
      <c r="BN674" s="67" t="str">
        <f t="shared" si="283"/>
        <v>#REF!</v>
      </c>
      <c r="BO674" s="68" t="str">
        <f t="shared" si="284"/>
        <v>#REF!</v>
      </c>
      <c r="BP674" s="65"/>
      <c r="BQ674" s="65"/>
      <c r="BR674" s="66"/>
      <c r="BS674" s="67" t="str">
        <f t="shared" si="285"/>
        <v>#REF!</v>
      </c>
      <c r="BT674" s="68" t="str">
        <f>'[1]DATA CONSOLIDADA 2018-2025 '!$BR674-Hoja1!$BO674</f>
        <v>#REF!</v>
      </c>
      <c r="BU674" s="69"/>
      <c r="BV674" s="65"/>
      <c r="BW674" s="66"/>
      <c r="BX674" s="67" t="str">
        <f t="shared" si="286"/>
        <v>#REF!</v>
      </c>
      <c r="BY674" s="68" t="str">
        <f t="shared" si="287"/>
        <v>#REF!</v>
      </c>
      <c r="BZ674" s="65"/>
      <c r="CA674" s="65"/>
      <c r="CB674" s="66"/>
      <c r="CC674" s="67" t="str">
        <f t="shared" si="288"/>
        <v>#REF!</v>
      </c>
      <c r="CD674" s="68" t="str">
        <f>'[1]DATA CONSOLIDADA 2018-2025 '!$CB674-Hoja1!$BW674</f>
        <v>#REF!</v>
      </c>
      <c r="CE674" s="70"/>
      <c r="CF674" s="70"/>
      <c r="CG674" s="71"/>
      <c r="CH674" s="67" t="str">
        <f t="shared" si="289"/>
        <v>#REF!</v>
      </c>
      <c r="CI674" s="68" t="str">
        <f>'[1]DATA CONSOLIDADA 2018-2025 '!$CG674-Hoja1!$CB674</f>
        <v>#REF!</v>
      </c>
      <c r="CJ674" s="64" t="str">
        <f t="shared" si="271"/>
        <v>#REF!</v>
      </c>
      <c r="CK674" s="64">
        <v>0.0</v>
      </c>
      <c r="CL674" s="64">
        <v>0.0</v>
      </c>
      <c r="CM674" s="64">
        <v>0.0</v>
      </c>
      <c r="CN674" s="64" t="str">
        <f t="shared" si="12"/>
        <v>#REF!</v>
      </c>
      <c r="CO674" s="64" t="str">
        <f>'[1]DATA CONSOLIDADA 2018-2025 '!$CM674-Hoja1!$CG674</f>
        <v>#REF!</v>
      </c>
      <c r="CP674" s="70"/>
      <c r="CQ674" s="70"/>
      <c r="CR674" s="70"/>
      <c r="CS674" s="70"/>
      <c r="CT674" s="70"/>
      <c r="CU674" s="70"/>
      <c r="CV674" s="64"/>
      <c r="CW674" s="64"/>
      <c r="CX674" s="64"/>
      <c r="CY674" s="64"/>
      <c r="CZ674" s="64"/>
      <c r="DA674" s="64"/>
      <c r="DB674" s="64"/>
      <c r="DC674" s="72">
        <v>0.0</v>
      </c>
      <c r="DD674" s="72">
        <v>0.0</v>
      </c>
      <c r="DE674" s="72">
        <v>0.0</v>
      </c>
      <c r="DF674" s="72">
        <v>0.0</v>
      </c>
      <c r="DG674" s="72">
        <v>0.0</v>
      </c>
      <c r="DH674" s="72">
        <v>0.0</v>
      </c>
      <c r="DI674" s="73"/>
      <c r="DJ674" s="74"/>
      <c r="DK674" s="74"/>
      <c r="DL674" s="2"/>
      <c r="DM674" s="2"/>
      <c r="DN674" s="2"/>
      <c r="DO674" s="2"/>
      <c r="DP674" s="2"/>
      <c r="DQ674" s="2"/>
      <c r="DR674" s="2"/>
      <c r="DS674" s="2"/>
      <c r="DT674" s="119"/>
      <c r="DU674" s="119"/>
      <c r="DV674" s="119"/>
      <c r="DW674" s="119"/>
      <c r="DX674" s="119"/>
      <c r="DY674" s="119"/>
      <c r="DZ674" s="119"/>
      <c r="EA674" s="119"/>
      <c r="EB674" s="119"/>
      <c r="EC674" s="119"/>
      <c r="ED674" s="119"/>
      <c r="EE674" s="119"/>
    </row>
    <row r="675" ht="24.75" hidden="1" customHeight="1">
      <c r="A675" s="55" t="s">
        <v>1994</v>
      </c>
      <c r="B675" s="55" t="s">
        <v>1984</v>
      </c>
      <c r="C675" s="55" t="s">
        <v>1984</v>
      </c>
      <c r="D675" s="55" t="s">
        <v>1985</v>
      </c>
      <c r="E675" s="55"/>
      <c r="F675" s="55" t="s">
        <v>1985</v>
      </c>
      <c r="G675" s="55" t="s">
        <v>1985</v>
      </c>
      <c r="H675" s="55" t="s">
        <v>1995</v>
      </c>
      <c r="I675" s="56"/>
      <c r="J675" s="56"/>
      <c r="K675" s="56"/>
      <c r="L675" s="56"/>
      <c r="M675" s="56"/>
      <c r="N675" s="56"/>
      <c r="O675" s="56"/>
      <c r="P675" s="56">
        <v>1.0</v>
      </c>
      <c r="Q675" s="56" t="s">
        <v>131</v>
      </c>
      <c r="R675" s="58" t="str">
        <f t="shared" si="1"/>
        <v>2025</v>
      </c>
      <c r="S675" s="59" t="str">
        <f>SUM(Hoja1!$I675:$P675)</f>
        <v>1</v>
      </c>
      <c r="T675" s="109" t="str">
        <f>IF(OR(Hoja1!$J675=1,Hoja1!$K675=1,Hoja1!$L675=1,Hoja1!$M675=1,Hoja1!$N675=1,Hoja1!$O675=1,Hoja1!$P675=1),"SI","NO")</f>
        <v>SI</v>
      </c>
      <c r="U675" s="59" t="str">
        <f>IF(OR(Hoja1!$K675=1,Hoja1!$L675=1,Hoja1!$M675=1,Hoja1!$N675=1,Hoja1!$O675=1,Hoja1!$P675=1),"SI","NO")</f>
        <v>SI</v>
      </c>
      <c r="V675" s="60"/>
      <c r="W675" s="61"/>
      <c r="X675" s="61"/>
      <c r="Y675" s="60"/>
      <c r="Z675" s="61"/>
      <c r="AA675" s="61"/>
      <c r="AB675" s="60"/>
      <c r="AC675" s="61"/>
      <c r="AD675" s="61"/>
      <c r="AE675" s="60"/>
      <c r="AF675" s="61"/>
      <c r="AG675" s="61"/>
      <c r="AH675" s="60"/>
      <c r="AI675" s="61"/>
      <c r="AJ675" s="61"/>
      <c r="AK675" s="60"/>
      <c r="AL675" s="61"/>
      <c r="AM675" s="61"/>
      <c r="AN675" s="60"/>
      <c r="AO675" s="62">
        <v>55.0</v>
      </c>
      <c r="AP675" s="62">
        <v>61.0</v>
      </c>
      <c r="AQ675" s="60">
        <v>116.0</v>
      </c>
      <c r="AR675" s="60" t="str">
        <f>IF(Hoja1!$AQ675&gt;0,Hoja1!$AQ675,IF(Hoja1!$AN675&gt;0,Hoja1!$AN675,IF(Hoja1!$AK675&gt;0,Hoja1!$AK675,IF(Hoja1!$AH675&gt;0,Hoja1!$AH675,IF(Hoja1!$AE675&gt;0,Hoja1!$AE675,IF(Hoja1!$AB675&gt;0,Hoja1!$AB675,IF(Hoja1!$Y675&gt;0,Hoja1!$Y675,IF(Hoja1!$V675&gt;0,Hoja1!$V675," ---"))))))))</f>
        <v>116</v>
      </c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4"/>
      <c r="BF675" s="69"/>
      <c r="BG675" s="69"/>
      <c r="BH675" s="64"/>
      <c r="BI675" s="67" t="str">
        <f t="shared" si="281"/>
        <v>#REF!</v>
      </c>
      <c r="BJ675" s="68" t="str">
        <f t="shared" si="282"/>
        <v>#REF!</v>
      </c>
      <c r="BK675" s="69"/>
      <c r="BL675" s="69"/>
      <c r="BM675" s="64"/>
      <c r="BN675" s="67" t="str">
        <f t="shared" si="283"/>
        <v>#REF!</v>
      </c>
      <c r="BO675" s="68" t="str">
        <f t="shared" si="284"/>
        <v>#REF!</v>
      </c>
      <c r="BP675" s="65"/>
      <c r="BQ675" s="65"/>
      <c r="BR675" s="66"/>
      <c r="BS675" s="67" t="str">
        <f t="shared" si="285"/>
        <v>#REF!</v>
      </c>
      <c r="BT675" s="68" t="str">
        <f>'[1]DATA CONSOLIDADA 2018-2025 '!$BR675-Hoja1!$BO675</f>
        <v>#REF!</v>
      </c>
      <c r="BU675" s="69"/>
      <c r="BV675" s="65"/>
      <c r="BW675" s="66"/>
      <c r="BX675" s="67" t="str">
        <f t="shared" si="286"/>
        <v>#REF!</v>
      </c>
      <c r="BY675" s="68" t="str">
        <f t="shared" si="287"/>
        <v>#REF!</v>
      </c>
      <c r="BZ675" s="65"/>
      <c r="CA675" s="65"/>
      <c r="CB675" s="66"/>
      <c r="CC675" s="67" t="str">
        <f t="shared" si="288"/>
        <v>#REF!</v>
      </c>
      <c r="CD675" s="68" t="str">
        <f>'[1]DATA CONSOLIDADA 2018-2025 '!$CB675-Hoja1!$BW675</f>
        <v>#REF!</v>
      </c>
      <c r="CE675" s="70"/>
      <c r="CF675" s="70"/>
      <c r="CG675" s="71"/>
      <c r="CH675" s="67" t="str">
        <f t="shared" si="289"/>
        <v>#REF!</v>
      </c>
      <c r="CI675" s="68" t="str">
        <f>'[1]DATA CONSOLIDADA 2018-2025 '!$CG675-Hoja1!$CB675</f>
        <v>#REF!</v>
      </c>
      <c r="CJ675" s="64" t="str">
        <f t="shared" si="271"/>
        <v>#REF!</v>
      </c>
      <c r="CK675" s="64">
        <v>0.0</v>
      </c>
      <c r="CL675" s="64">
        <v>0.0</v>
      </c>
      <c r="CM675" s="64">
        <v>0.0</v>
      </c>
      <c r="CN675" s="64" t="str">
        <f t="shared" si="12"/>
        <v>#REF!</v>
      </c>
      <c r="CO675" s="64" t="str">
        <f>'[1]DATA CONSOLIDADA 2018-2025 '!$CM675-Hoja1!$CG675</f>
        <v>#REF!</v>
      </c>
      <c r="CP675" s="70"/>
      <c r="CQ675" s="70"/>
      <c r="CR675" s="70"/>
      <c r="CS675" s="70"/>
      <c r="CT675" s="70"/>
      <c r="CU675" s="70"/>
      <c r="CV675" s="64"/>
      <c r="CW675" s="64"/>
      <c r="CX675" s="64"/>
      <c r="CY675" s="64"/>
      <c r="CZ675" s="64"/>
      <c r="DA675" s="64"/>
      <c r="DB675" s="64"/>
      <c r="DC675" s="72">
        <v>0.0</v>
      </c>
      <c r="DD675" s="72">
        <v>0.0</v>
      </c>
      <c r="DE675" s="72">
        <v>0.0</v>
      </c>
      <c r="DF675" s="72">
        <v>0.0</v>
      </c>
      <c r="DG675" s="72">
        <v>0.0</v>
      </c>
      <c r="DH675" s="72">
        <v>0.0</v>
      </c>
      <c r="DI675" s="73"/>
      <c r="DJ675" s="74"/>
      <c r="DK675" s="74"/>
      <c r="DL675" s="2"/>
      <c r="DM675" s="2"/>
      <c r="DN675" s="2"/>
      <c r="DO675" s="2"/>
      <c r="DP675" s="2"/>
      <c r="DQ675" s="2"/>
      <c r="DR675" s="2"/>
      <c r="DS675" s="2"/>
      <c r="DT675" s="119"/>
      <c r="DU675" s="119"/>
      <c r="DV675" s="119"/>
      <c r="DW675" s="119"/>
      <c r="DX675" s="119"/>
      <c r="DY675" s="119"/>
      <c r="DZ675" s="119"/>
      <c r="EA675" s="119"/>
      <c r="EB675" s="119"/>
      <c r="EC675" s="119"/>
      <c r="ED675" s="119"/>
      <c r="EE675" s="119"/>
    </row>
    <row r="676" ht="24.75" hidden="1" customHeight="1">
      <c r="A676" s="55" t="s">
        <v>1996</v>
      </c>
      <c r="B676" s="55" t="s">
        <v>1997</v>
      </c>
      <c r="C676" s="55" t="s">
        <v>1997</v>
      </c>
      <c r="D676" s="55" t="s">
        <v>1985</v>
      </c>
      <c r="E676" s="55"/>
      <c r="F676" s="55" t="s">
        <v>1985</v>
      </c>
      <c r="G676" s="55" t="s">
        <v>1998</v>
      </c>
      <c r="H676" s="55" t="s">
        <v>1999</v>
      </c>
      <c r="I676" s="56"/>
      <c r="J676" s="56"/>
      <c r="K676" s="56"/>
      <c r="L676" s="56"/>
      <c r="M676" s="56"/>
      <c r="N676" s="56"/>
      <c r="O676" s="56"/>
      <c r="P676" s="56">
        <v>1.0</v>
      </c>
      <c r="Q676" s="56" t="s">
        <v>131</v>
      </c>
      <c r="R676" s="58" t="str">
        <f t="shared" si="1"/>
        <v>2025</v>
      </c>
      <c r="S676" s="59" t="str">
        <f>SUM(Hoja1!$I676:$P676)</f>
        <v>1</v>
      </c>
      <c r="T676" s="109" t="str">
        <f>IF(OR(Hoja1!$J676=1,Hoja1!$K676=1,Hoja1!$L676=1,Hoja1!$M676=1,Hoja1!$N676=1,Hoja1!$O676=1,Hoja1!$P676=1),"SI","NO")</f>
        <v>SI</v>
      </c>
      <c r="U676" s="59" t="str">
        <f>IF(OR(Hoja1!$K676=1,Hoja1!$L676=1,Hoja1!$M676=1,Hoja1!$N676=1,Hoja1!$O676=1,Hoja1!$P676=1),"SI","NO")</f>
        <v>SI</v>
      </c>
      <c r="V676" s="60"/>
      <c r="W676" s="61"/>
      <c r="X676" s="61"/>
      <c r="Y676" s="60"/>
      <c r="Z676" s="61"/>
      <c r="AA676" s="61"/>
      <c r="AB676" s="60"/>
      <c r="AC676" s="61"/>
      <c r="AD676" s="61"/>
      <c r="AE676" s="60"/>
      <c r="AF676" s="61"/>
      <c r="AG676" s="61"/>
      <c r="AH676" s="60"/>
      <c r="AI676" s="61"/>
      <c r="AJ676" s="61"/>
      <c r="AK676" s="60"/>
      <c r="AL676" s="61"/>
      <c r="AM676" s="61"/>
      <c r="AN676" s="60"/>
      <c r="AO676" s="62">
        <v>101.0</v>
      </c>
      <c r="AP676" s="62">
        <v>41.0</v>
      </c>
      <c r="AQ676" s="60">
        <v>142.0</v>
      </c>
      <c r="AR676" s="60" t="str">
        <f>IF(Hoja1!$AQ676&gt;0,Hoja1!$AQ676,IF(Hoja1!$AN676&gt;0,Hoja1!$AN676,IF(Hoja1!$AK676&gt;0,Hoja1!$AK676,IF(Hoja1!$AH676&gt;0,Hoja1!$AH676,IF(Hoja1!$AE676&gt;0,Hoja1!$AE676,IF(Hoja1!$AB676&gt;0,Hoja1!$AB676,IF(Hoja1!$Y676&gt;0,Hoja1!$Y676,IF(Hoja1!$V676&gt;0,Hoja1!$V676," ---"))))))))</f>
        <v>142</v>
      </c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4"/>
      <c r="BF676" s="69"/>
      <c r="BG676" s="69"/>
      <c r="BH676" s="64"/>
      <c r="BI676" s="67" t="str">
        <f t="shared" si="281"/>
        <v>#REF!</v>
      </c>
      <c r="BJ676" s="68" t="str">
        <f t="shared" si="282"/>
        <v>#REF!</v>
      </c>
      <c r="BK676" s="69"/>
      <c r="BL676" s="69"/>
      <c r="BM676" s="64"/>
      <c r="BN676" s="67" t="str">
        <f t="shared" si="283"/>
        <v>#REF!</v>
      </c>
      <c r="BO676" s="68" t="str">
        <f t="shared" si="284"/>
        <v>#REF!</v>
      </c>
      <c r="BP676" s="65"/>
      <c r="BQ676" s="65"/>
      <c r="BR676" s="66"/>
      <c r="BS676" s="67" t="str">
        <f t="shared" si="285"/>
        <v>#REF!</v>
      </c>
      <c r="BT676" s="68" t="str">
        <f>'[1]DATA CONSOLIDADA 2018-2025 '!$BR676-Hoja1!$BO676</f>
        <v>#REF!</v>
      </c>
      <c r="BU676" s="69"/>
      <c r="BV676" s="65"/>
      <c r="BW676" s="66"/>
      <c r="BX676" s="67" t="str">
        <f t="shared" si="286"/>
        <v>#REF!</v>
      </c>
      <c r="BY676" s="68" t="str">
        <f t="shared" si="287"/>
        <v>#REF!</v>
      </c>
      <c r="BZ676" s="65"/>
      <c r="CA676" s="65"/>
      <c r="CB676" s="66"/>
      <c r="CC676" s="67" t="str">
        <f t="shared" si="288"/>
        <v>#REF!</v>
      </c>
      <c r="CD676" s="68" t="str">
        <f>'[1]DATA CONSOLIDADA 2018-2025 '!$CB676-Hoja1!$BW676</f>
        <v>#REF!</v>
      </c>
      <c r="CE676" s="70"/>
      <c r="CF676" s="70"/>
      <c r="CG676" s="71"/>
      <c r="CH676" s="67" t="str">
        <f t="shared" si="289"/>
        <v>#REF!</v>
      </c>
      <c r="CI676" s="68" t="str">
        <f>'[1]DATA CONSOLIDADA 2018-2025 '!$CG676-Hoja1!$CB676</f>
        <v>#REF!</v>
      </c>
      <c r="CJ676" s="64" t="str">
        <f t="shared" si="271"/>
        <v>#REF!</v>
      </c>
      <c r="CK676" s="64">
        <v>0.0</v>
      </c>
      <c r="CL676" s="64">
        <v>0.0</v>
      </c>
      <c r="CM676" s="64">
        <v>0.0</v>
      </c>
      <c r="CN676" s="64" t="str">
        <f t="shared" si="12"/>
        <v>#REF!</v>
      </c>
      <c r="CO676" s="64" t="str">
        <f>'[1]DATA CONSOLIDADA 2018-2025 '!$CM676-Hoja1!$CG676</f>
        <v>#REF!</v>
      </c>
      <c r="CP676" s="70"/>
      <c r="CQ676" s="70"/>
      <c r="CR676" s="70"/>
      <c r="CS676" s="70"/>
      <c r="CT676" s="70"/>
      <c r="CU676" s="70"/>
      <c r="CV676" s="64"/>
      <c r="CW676" s="64"/>
      <c r="CX676" s="64"/>
      <c r="CY676" s="64"/>
      <c r="CZ676" s="64"/>
      <c r="DA676" s="64"/>
      <c r="DB676" s="64"/>
      <c r="DC676" s="72">
        <v>0.0</v>
      </c>
      <c r="DD676" s="72">
        <v>0.0</v>
      </c>
      <c r="DE676" s="72">
        <v>0.0</v>
      </c>
      <c r="DF676" s="72">
        <v>0.0</v>
      </c>
      <c r="DG676" s="72">
        <v>0.0</v>
      </c>
      <c r="DH676" s="72">
        <v>0.0</v>
      </c>
      <c r="DI676" s="73"/>
      <c r="DJ676" s="74"/>
      <c r="DK676" s="74"/>
      <c r="DL676" s="2"/>
      <c r="DM676" s="2"/>
      <c r="DN676" s="2"/>
      <c r="DO676" s="2"/>
      <c r="DP676" s="2"/>
      <c r="DQ676" s="2"/>
      <c r="DR676" s="2"/>
      <c r="DS676" s="2"/>
      <c r="DT676" s="119"/>
      <c r="DU676" s="119"/>
      <c r="DV676" s="119"/>
      <c r="DW676" s="119"/>
      <c r="DX676" s="119"/>
      <c r="DY676" s="119"/>
      <c r="DZ676" s="119"/>
      <c r="EA676" s="119"/>
      <c r="EB676" s="119"/>
      <c r="EC676" s="119"/>
      <c r="ED676" s="119"/>
      <c r="EE676" s="119"/>
    </row>
    <row r="677" ht="24.75" hidden="1" customHeight="1">
      <c r="A677" s="55" t="s">
        <v>2000</v>
      </c>
      <c r="B677" s="55" t="s">
        <v>1997</v>
      </c>
      <c r="C677" s="55" t="s">
        <v>1997</v>
      </c>
      <c r="D677" s="55" t="s">
        <v>1985</v>
      </c>
      <c r="E677" s="55"/>
      <c r="F677" s="55" t="s">
        <v>1985</v>
      </c>
      <c r="G677" s="55" t="s">
        <v>1985</v>
      </c>
      <c r="H677" s="55" t="s">
        <v>1995</v>
      </c>
      <c r="I677" s="56"/>
      <c r="J677" s="56"/>
      <c r="K677" s="56"/>
      <c r="L677" s="56"/>
      <c r="M677" s="56"/>
      <c r="N677" s="56"/>
      <c r="O677" s="56"/>
      <c r="P677" s="56">
        <v>1.0</v>
      </c>
      <c r="Q677" s="56" t="s">
        <v>131</v>
      </c>
      <c r="R677" s="58" t="str">
        <f t="shared" si="1"/>
        <v>2025</v>
      </c>
      <c r="S677" s="59" t="str">
        <f>SUM(Hoja1!$I677:$P677)</f>
        <v>1</v>
      </c>
      <c r="T677" s="109" t="str">
        <f>IF(OR(Hoja1!$J677=1,Hoja1!$K677=1,Hoja1!$L677=1,Hoja1!$M677=1,Hoja1!$N677=1,Hoja1!$O677=1,Hoja1!$P677=1),"SI","NO")</f>
        <v>SI</v>
      </c>
      <c r="U677" s="59" t="str">
        <f>IF(OR(Hoja1!$K677=1,Hoja1!$L677=1,Hoja1!$M677=1,Hoja1!$N677=1,Hoja1!$O677=1,Hoja1!$P677=1),"SI","NO")</f>
        <v>SI</v>
      </c>
      <c r="V677" s="60"/>
      <c r="W677" s="61"/>
      <c r="X677" s="61"/>
      <c r="Y677" s="60"/>
      <c r="Z677" s="61"/>
      <c r="AA677" s="61"/>
      <c r="AB677" s="60"/>
      <c r="AC677" s="61"/>
      <c r="AD677" s="61"/>
      <c r="AE677" s="60"/>
      <c r="AF677" s="61"/>
      <c r="AG677" s="61"/>
      <c r="AH677" s="60"/>
      <c r="AI677" s="61"/>
      <c r="AJ677" s="61"/>
      <c r="AK677" s="60"/>
      <c r="AL677" s="61"/>
      <c r="AM677" s="61"/>
      <c r="AN677" s="60"/>
      <c r="AO677" s="62">
        <v>4.0</v>
      </c>
      <c r="AP677" s="62">
        <v>4.0</v>
      </c>
      <c r="AQ677" s="60">
        <v>8.0</v>
      </c>
      <c r="AR677" s="60" t="str">
        <f>IF(Hoja1!$AQ677&gt;0,Hoja1!$AQ677,IF(Hoja1!$AN677&gt;0,Hoja1!$AN677,IF(Hoja1!$AK677&gt;0,Hoja1!$AK677,IF(Hoja1!$AH677&gt;0,Hoja1!$AH677,IF(Hoja1!$AE677&gt;0,Hoja1!$AE677,IF(Hoja1!$AB677&gt;0,Hoja1!$AB677,IF(Hoja1!$Y677&gt;0,Hoja1!$Y677,IF(Hoja1!$V677&gt;0,Hoja1!$V677," ---"))))))))</f>
        <v>8</v>
      </c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4"/>
      <c r="BF677" s="69"/>
      <c r="BG677" s="69"/>
      <c r="BH677" s="64"/>
      <c r="BI677" s="67" t="str">
        <f t="shared" si="281"/>
        <v>#REF!</v>
      </c>
      <c r="BJ677" s="68" t="str">
        <f t="shared" si="282"/>
        <v>#REF!</v>
      </c>
      <c r="BK677" s="69"/>
      <c r="BL677" s="69"/>
      <c r="BM677" s="64"/>
      <c r="BN677" s="67" t="str">
        <f t="shared" si="283"/>
        <v>#REF!</v>
      </c>
      <c r="BO677" s="68" t="str">
        <f t="shared" si="284"/>
        <v>#REF!</v>
      </c>
      <c r="BP677" s="65"/>
      <c r="BQ677" s="65"/>
      <c r="BR677" s="66"/>
      <c r="BS677" s="67" t="str">
        <f t="shared" si="285"/>
        <v>#REF!</v>
      </c>
      <c r="BT677" s="68" t="str">
        <f>'[1]DATA CONSOLIDADA 2018-2025 '!$BR677-Hoja1!$BO677</f>
        <v>#REF!</v>
      </c>
      <c r="BU677" s="69"/>
      <c r="BV677" s="65"/>
      <c r="BW677" s="66"/>
      <c r="BX677" s="67" t="str">
        <f t="shared" si="286"/>
        <v>#REF!</v>
      </c>
      <c r="BY677" s="68" t="str">
        <f t="shared" si="287"/>
        <v>#REF!</v>
      </c>
      <c r="BZ677" s="65"/>
      <c r="CA677" s="65"/>
      <c r="CB677" s="66"/>
      <c r="CC677" s="67" t="str">
        <f t="shared" si="288"/>
        <v>#REF!</v>
      </c>
      <c r="CD677" s="68" t="str">
        <f>'[1]DATA CONSOLIDADA 2018-2025 '!$CB677-Hoja1!$BW677</f>
        <v>#REF!</v>
      </c>
      <c r="CE677" s="70"/>
      <c r="CF677" s="70"/>
      <c r="CG677" s="71"/>
      <c r="CH677" s="67" t="str">
        <f t="shared" si="289"/>
        <v>#REF!</v>
      </c>
      <c r="CI677" s="68" t="str">
        <f>'[1]DATA CONSOLIDADA 2018-2025 '!$CG677-Hoja1!$CB677</f>
        <v>#REF!</v>
      </c>
      <c r="CJ677" s="64" t="str">
        <f t="shared" si="271"/>
        <v>#REF!</v>
      </c>
      <c r="CK677" s="64">
        <v>0.0</v>
      </c>
      <c r="CL677" s="64">
        <v>0.0</v>
      </c>
      <c r="CM677" s="64">
        <v>0.0</v>
      </c>
      <c r="CN677" s="64" t="str">
        <f t="shared" si="12"/>
        <v>#REF!</v>
      </c>
      <c r="CO677" s="64" t="str">
        <f>'[1]DATA CONSOLIDADA 2018-2025 '!$CM677-Hoja1!$CG677</f>
        <v>#REF!</v>
      </c>
      <c r="CP677" s="70"/>
      <c r="CQ677" s="70"/>
      <c r="CR677" s="70"/>
      <c r="CS677" s="70"/>
      <c r="CT677" s="70"/>
      <c r="CU677" s="70"/>
      <c r="CV677" s="64"/>
      <c r="CW677" s="64"/>
      <c r="CX677" s="64"/>
      <c r="CY677" s="64"/>
      <c r="CZ677" s="64"/>
      <c r="DA677" s="64"/>
      <c r="DB677" s="64"/>
      <c r="DC677" s="72">
        <v>0.0</v>
      </c>
      <c r="DD677" s="72">
        <v>0.0</v>
      </c>
      <c r="DE677" s="72">
        <v>0.0</v>
      </c>
      <c r="DF677" s="72">
        <v>0.0</v>
      </c>
      <c r="DG677" s="72">
        <v>0.0</v>
      </c>
      <c r="DH677" s="72">
        <v>0.0</v>
      </c>
      <c r="DI677" s="73"/>
      <c r="DJ677" s="74"/>
      <c r="DK677" s="74"/>
      <c r="DL677" s="2"/>
      <c r="DM677" s="2"/>
      <c r="DN677" s="2"/>
      <c r="DO677" s="2"/>
      <c r="DP677" s="2"/>
      <c r="DQ677" s="2"/>
      <c r="DR677" s="2"/>
      <c r="DS677" s="2"/>
      <c r="DT677" s="119"/>
      <c r="DU677" s="119"/>
      <c r="DV677" s="119"/>
      <c r="DW677" s="119"/>
      <c r="DX677" s="119"/>
      <c r="DY677" s="119"/>
      <c r="DZ677" s="119"/>
      <c r="EA677" s="119"/>
      <c r="EB677" s="119"/>
      <c r="EC677" s="119"/>
      <c r="ED677" s="119"/>
      <c r="EE677" s="119"/>
    </row>
    <row r="678" ht="15.75" customHeight="1">
      <c r="A678" s="120"/>
      <c r="B678" s="120"/>
      <c r="C678" s="120"/>
      <c r="D678" s="120"/>
      <c r="E678" s="120"/>
      <c r="F678" s="120"/>
      <c r="G678" s="120"/>
      <c r="H678" s="120"/>
      <c r="I678" s="120" t="str">
        <f>SUBTOTAL(109,Hoja1!$I$5:$I$677)</f>
        <v>25</v>
      </c>
      <c r="J678" s="120" t="str">
        <f>SUBTOTAL(109,Hoja1!$J$5:$J$677)</f>
        <v>48</v>
      </c>
      <c r="K678" s="120" t="str">
        <f>SUBTOTAL(109,Hoja1!$K$5:$K$677)</f>
        <v>28</v>
      </c>
      <c r="L678" s="120" t="str">
        <f>SUBTOTAL(109,Hoja1!$L$5:$L$677)</f>
        <v>26</v>
      </c>
      <c r="M678" s="120" t="str">
        <f>SUBTOTAL(109,Hoja1!$M$5:$M$677)</f>
        <v>24</v>
      </c>
      <c r="N678" s="120" t="str">
        <f>SUBTOTAL(109,Hoja1!$N$5:$N$677)</f>
        <v>27</v>
      </c>
      <c r="O678" s="120" t="str">
        <f>SUBTOTAL(109,Hoja1!$O$5:$O$677)</f>
        <v>32</v>
      </c>
      <c r="P678" s="120" t="str">
        <f>SUBTOTAL(109,Hoja1!$P$5:$P$677)</f>
        <v>36</v>
      </c>
      <c r="Q678" s="120"/>
      <c r="R678" s="120"/>
      <c r="S678" s="120"/>
      <c r="T678" s="120"/>
      <c r="U678" s="120"/>
      <c r="V678" s="121" t="str">
        <f>SUBTOTAL(109,Hoja1!$V$5:$V$677)</f>
        <v>2,873</v>
      </c>
      <c r="W678" s="121"/>
      <c r="X678" s="121"/>
      <c r="Y678" s="121" t="str">
        <f>SUBTOTAL(109,Hoja1!$Y$5:$Y$677)</f>
        <v>3,730</v>
      </c>
      <c r="Z678" s="121"/>
      <c r="AA678" s="121"/>
      <c r="AB678" s="121" t="str">
        <f>SUBTOTAL(109,Hoja1!$AB$5:$AB$677)</f>
        <v>3,626</v>
      </c>
      <c r="AC678" s="121"/>
      <c r="AD678" s="121"/>
      <c r="AE678" s="121" t="str">
        <f>SUBTOTAL(109,Hoja1!$AE$5:$AE$677)</f>
        <v>3,880</v>
      </c>
      <c r="AF678" s="121"/>
      <c r="AG678" s="121"/>
      <c r="AH678" s="121" t="str">
        <f>SUBTOTAL(109,Hoja1!$AH$5:$AH$677)</f>
        <v>3,669</v>
      </c>
      <c r="AI678" s="121"/>
      <c r="AJ678" s="121"/>
      <c r="AK678" s="121" t="str">
        <f>SUBTOTAL(109,Hoja1!$AK$5:$AK$677)</f>
        <v>4,055</v>
      </c>
      <c r="AL678" s="121"/>
      <c r="AM678" s="121"/>
      <c r="AN678" s="121" t="str">
        <f>SUBTOTAL(109,Hoja1!$AN$5:$AN$677)</f>
        <v>3,972</v>
      </c>
      <c r="AO678" s="121" t="str">
        <f>SUBTOTAL(109,Hoja1!$AO$5:$AO$677)</f>
        <v>2,719</v>
      </c>
      <c r="AP678" s="121" t="str">
        <f>SUBTOTAL(109,Hoja1!$AP$5:$AP$677)</f>
        <v>1,105</v>
      </c>
      <c r="AQ678" s="121" t="str">
        <f>SUBTOTAL(109,Hoja1!$AQ$5:$AQ$677)</f>
        <v>3,824</v>
      </c>
      <c r="AR678" s="121" t="str">
        <f>SUBTOTAL(109,Hoja1!$AR$5:$AR$677)</f>
        <v>10,489</v>
      </c>
      <c r="AS678" s="121" t="str">
        <f>SUBTOTAL(109,Hoja1!$AS$5:$AS$677)</f>
        <v>0</v>
      </c>
      <c r="AT678" s="121" t="str">
        <f>SUBTOTAL(109,Hoja1!$AT$5:$AT$677)</f>
        <v>27</v>
      </c>
      <c r="AU678" s="121" t="str">
        <f>SUBTOTAL(109,Hoja1!$AU$5:$AU$677)</f>
        <v>918</v>
      </c>
      <c r="AV678" s="121" t="str">
        <f>SUBTOTAL(109,Hoja1!$AV$5:$AV$677)</f>
        <v>152</v>
      </c>
      <c r="AW678" s="121" t="str">
        <f>SUBTOTAL(109,Hoja1!$AW$5:$AW$677)</f>
        <v>855</v>
      </c>
      <c r="AX678" s="121" t="str">
        <f>SUBTOTAL(109,Hoja1!$AX$5:$AX$677)</f>
        <v>119</v>
      </c>
      <c r="AY678" s="121" t="str">
        <f>SUBTOTAL(109,Hoja1!$AY$5:$AY$677)</f>
        <v>800</v>
      </c>
      <c r="AZ678" s="121" t="str">
        <f>SUBTOTAL(109,Hoja1!$AZ$5:$AZ$677)</f>
        <v>61</v>
      </c>
      <c r="BA678" s="121" t="str">
        <f>SUBTOTAL(109,Hoja1!$BA$5:$BA$677)</f>
        <v>872</v>
      </c>
      <c r="BB678" s="121" t="str">
        <f>SUBTOTAL(109,Hoja1!$BB$5:$BB$677)</f>
        <v>74</v>
      </c>
      <c r="BC678" s="121" t="str">
        <f>SUBTOTAL(109,Hoja1!$BC$5:$BC$677)</f>
        <v>726</v>
      </c>
      <c r="BD678" s="121" t="str">
        <f>SUBTOTAL(109,Hoja1!$BD$5:$BD$677)</f>
        <v>53</v>
      </c>
      <c r="BE678" s="122"/>
      <c r="BF678" s="122"/>
      <c r="BG678" s="122"/>
      <c r="BH678" s="122"/>
      <c r="BI678" s="120"/>
      <c r="BJ678" s="120"/>
      <c r="BK678" s="122"/>
      <c r="BL678" s="122"/>
      <c r="BM678" s="122"/>
      <c r="BN678" s="120"/>
      <c r="BO678" s="120"/>
      <c r="BP678" s="122"/>
      <c r="BQ678" s="122"/>
      <c r="BR678" s="122"/>
      <c r="BS678" s="120"/>
      <c r="BT678" s="120"/>
      <c r="BU678" s="122"/>
      <c r="BV678" s="122"/>
      <c r="BW678" s="122"/>
      <c r="BX678" s="120"/>
      <c r="BY678" s="120"/>
      <c r="BZ678" s="122"/>
      <c r="CA678" s="122"/>
      <c r="CB678" s="122"/>
      <c r="CC678" s="120"/>
      <c r="CD678" s="120"/>
      <c r="CE678" s="122" t="str">
        <f>SUBTOTAL(109,Hoja1!$CE$5:$CE$677)</f>
        <v> S/  17,977,530.87 </v>
      </c>
      <c r="CF678" s="122" t="str">
        <f>SUBTOTAL(109,Hoja1!$CF$5:$CF$677)</f>
        <v> S/  79,399,694.49 </v>
      </c>
      <c r="CG678" s="122" t="str">
        <f>SUBTOTAL(109,Hoja1!$CG$5:$CG$677)</f>
        <v> S/  97,377,225.36 </v>
      </c>
      <c r="CH678" s="120"/>
      <c r="CI678" s="120"/>
      <c r="CJ678" s="122"/>
      <c r="CK678" s="122" t="str">
        <f>SUBTOTAL(109,Hoja1!$CK$5:$CK$677)</f>
        <v> S/  48,076,449.47 </v>
      </c>
      <c r="CL678" s="122" t="str">
        <f>SUBTOTAL(109,Hoja1!$CL$5:$CL$677)</f>
        <v> S/  132,850,074.03 </v>
      </c>
      <c r="CM678" s="122" t="str">
        <f>SUBTOTAL(109,Hoja1!$CM$5:$CM$677)</f>
        <v> S/  180,926,523.51 </v>
      </c>
      <c r="CN678" s="122"/>
      <c r="CO678" s="122"/>
      <c r="CP678" s="120"/>
      <c r="CQ678" s="120"/>
      <c r="CR678" s="120"/>
      <c r="CS678" s="120"/>
      <c r="CT678" s="120"/>
      <c r="CU678" s="120"/>
      <c r="CV678" s="120"/>
      <c r="CW678" s="122" t="str">
        <f>SUBTOTAL(109,Hoja1!$CW$5:$CW$677)</f>
        <v> S/  58,266.01 </v>
      </c>
      <c r="CX678" s="122" t="str">
        <f>SUBTOTAL(109,Hoja1!$CX$5:$CX$677)</f>
        <v> S/  1,523,574.37 </v>
      </c>
      <c r="CY678" s="122" t="str">
        <f>SUBTOTAL(109,Hoja1!$CY$5:$CY$677)</f>
        <v> S/  95,668,357.70 </v>
      </c>
      <c r="CZ678" s="122" t="str">
        <f>SUBTOTAL(109,Hoja1!$CZ$5:$CZ$677)</f>
        <v> S/  0.00 </v>
      </c>
      <c r="DA678" s="122" t="str">
        <f>SUBTOTAL(109,Hoja1!$DA$5:$DA$677)</f>
        <v> S/  127,027.28 </v>
      </c>
      <c r="DB678" s="122" t="str">
        <f>SUBTOTAL(109,Hoja1!$DB$5:$DB$677)</f>
        <v> S/  97,377,225.36 </v>
      </c>
      <c r="DC678" s="122" t="str">
        <f>SUBTOTAL(109,Hoja1!$DC$5:$DC$677)</f>
        <v> S/  233,900.60 </v>
      </c>
      <c r="DD678" s="122" t="str">
        <f>SUBTOTAL(109,Hoja1!$DD$5:$DD$677)</f>
        <v> S/  476,919.89 </v>
      </c>
      <c r="DE678" s="122" t="str">
        <f>SUBTOTAL(109,Hoja1!$DE$5:$DE$677)</f>
        <v> S/  180,215,703.01 </v>
      </c>
      <c r="DF678" s="122" t="str">
        <f>SUBTOTAL(109,Hoja1!$DF$5:$DF$677)</f>
        <v> S/  0.00 </v>
      </c>
      <c r="DG678" s="122" t="str">
        <f>SUBTOTAL(109,Hoja1!$DG$5:$DG$677)</f>
        <v> S/  0.00 </v>
      </c>
      <c r="DH678" s="122" t="str">
        <f>SUBTOTAL(109,Hoja1!$DH$5:$DH$677)</f>
        <v> S/  180,926,523.51 </v>
      </c>
      <c r="DI678" s="120"/>
      <c r="DJ678" s="120"/>
      <c r="DK678" s="120"/>
      <c r="DL678" s="2"/>
      <c r="DM678" s="2"/>
      <c r="DN678" s="2"/>
      <c r="DO678" s="2"/>
      <c r="DP678" s="2"/>
      <c r="DQ678" s="2"/>
      <c r="DR678" s="2"/>
      <c r="DS678" s="2"/>
      <c r="DT678" s="119"/>
      <c r="DU678" s="119"/>
      <c r="DV678" s="119"/>
      <c r="DW678" s="119"/>
      <c r="DX678" s="119"/>
      <c r="DY678" s="119"/>
      <c r="DZ678" s="119"/>
      <c r="EA678" s="119"/>
      <c r="EB678" s="119"/>
      <c r="EC678" s="119"/>
      <c r="ED678" s="119"/>
      <c r="EE678" s="119"/>
    </row>
    <row r="679" ht="15.75" customHeight="1">
      <c r="A679" s="123"/>
      <c r="B679" s="123"/>
      <c r="C679" s="123"/>
      <c r="D679" s="123"/>
      <c r="E679" s="123"/>
      <c r="F679" s="123"/>
      <c r="G679" s="123"/>
      <c r="H679" s="123"/>
      <c r="I679" s="1"/>
      <c r="J679" s="1"/>
      <c r="K679" s="1"/>
      <c r="L679" s="1"/>
      <c r="M679" s="1"/>
      <c r="N679" s="1"/>
      <c r="O679" s="1"/>
      <c r="P679" s="1"/>
      <c r="Q679" s="1"/>
      <c r="R679" s="124"/>
      <c r="S679" s="1"/>
      <c r="T679" s="1"/>
      <c r="U679" s="1"/>
      <c r="V679" s="125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126"/>
      <c r="AH679" s="126"/>
      <c r="AI679" s="126"/>
      <c r="AJ679" s="126"/>
      <c r="AK679" s="126"/>
      <c r="AL679" s="126"/>
      <c r="AM679" s="126"/>
      <c r="AN679" s="126"/>
      <c r="AO679" s="126"/>
      <c r="AP679" s="126"/>
      <c r="AQ679" s="126"/>
      <c r="AR679" s="126"/>
      <c r="AS679" s="126"/>
      <c r="AT679" s="126"/>
      <c r="AU679" s="126"/>
      <c r="AV679" s="126"/>
      <c r="AW679" s="126"/>
      <c r="AX679" s="126"/>
      <c r="AY679" s="126"/>
      <c r="AZ679" s="126"/>
      <c r="BA679" s="126"/>
      <c r="BB679" s="126"/>
      <c r="BC679" s="126"/>
      <c r="BD679" s="126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127"/>
      <c r="BQ679" s="127"/>
      <c r="BR679" s="127"/>
      <c r="BS679" s="127"/>
      <c r="BT679" s="127"/>
      <c r="BU679" s="127"/>
      <c r="BV679" s="128"/>
      <c r="BW679" s="119"/>
      <c r="BX679" s="119"/>
      <c r="BY679" s="119"/>
      <c r="BZ679" s="119"/>
      <c r="CA679" s="119"/>
      <c r="CB679" s="119"/>
      <c r="CC679" s="119"/>
      <c r="CD679" s="119"/>
      <c r="CE679" s="1"/>
      <c r="CF679" s="1"/>
      <c r="CG679" s="1"/>
      <c r="CH679" s="129" t="s">
        <v>2001</v>
      </c>
      <c r="CI679" s="130"/>
      <c r="CJ679" s="1"/>
      <c r="CK679" s="1"/>
      <c r="CL679" s="1"/>
      <c r="CM679" s="1"/>
      <c r="CN679" s="1"/>
      <c r="CO679" s="1"/>
      <c r="CP679" s="119"/>
      <c r="CQ679" s="119"/>
      <c r="CR679" s="119"/>
      <c r="CS679" s="119"/>
      <c r="CT679" s="119"/>
      <c r="CU679" s="119"/>
      <c r="CV679" s="119"/>
      <c r="CW679" s="119"/>
      <c r="CX679" s="119"/>
      <c r="CY679" s="119"/>
      <c r="CZ679" s="119"/>
      <c r="DA679" s="119"/>
      <c r="DB679" s="119"/>
      <c r="DC679" s="119"/>
      <c r="DD679" s="119"/>
      <c r="DE679" s="119"/>
      <c r="DF679" s="119"/>
      <c r="DG679" s="119"/>
      <c r="DH679" s="119"/>
      <c r="DI679" s="119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119"/>
      <c r="DU679" s="119"/>
      <c r="DV679" s="119"/>
      <c r="DW679" s="119"/>
      <c r="DX679" s="119"/>
      <c r="DY679" s="119"/>
      <c r="DZ679" s="119"/>
      <c r="EA679" s="119"/>
      <c r="EB679" s="119"/>
      <c r="EC679" s="119"/>
      <c r="ED679" s="119"/>
      <c r="EE679" s="119"/>
    </row>
    <row r="680" ht="15.75" customHeight="1">
      <c r="A680" s="123"/>
      <c r="B680" s="123"/>
      <c r="C680" s="123"/>
      <c r="D680" s="123"/>
      <c r="E680" s="123"/>
      <c r="F680" s="123"/>
      <c r="G680" s="123"/>
      <c r="H680" s="123"/>
      <c r="I680" s="1"/>
      <c r="J680" s="1"/>
      <c r="K680" s="1"/>
      <c r="L680" s="1"/>
      <c r="M680" s="1"/>
      <c r="N680" s="1"/>
      <c r="O680" s="1"/>
      <c r="P680" s="1"/>
      <c r="Q680" s="1"/>
      <c r="R680" s="124"/>
      <c r="S680" s="1"/>
      <c r="T680" s="1"/>
      <c r="U680" s="1"/>
      <c r="V680" s="125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126"/>
      <c r="AH680" s="126"/>
      <c r="AI680" s="126"/>
      <c r="AJ680" s="126"/>
      <c r="AK680" s="126"/>
      <c r="AL680" s="126"/>
      <c r="AM680" s="126"/>
      <c r="AN680" s="126"/>
      <c r="AO680" s="126"/>
      <c r="AP680" s="126"/>
      <c r="AQ680" s="126"/>
      <c r="AR680" s="126"/>
      <c r="AS680" s="126"/>
      <c r="AT680" s="126"/>
      <c r="AU680" s="126"/>
      <c r="AV680" s="126"/>
      <c r="AW680" s="126"/>
      <c r="AX680" s="126"/>
      <c r="AY680" s="126"/>
      <c r="AZ680" s="126"/>
      <c r="BA680" s="126"/>
      <c r="BB680" s="126"/>
      <c r="BC680" s="126"/>
      <c r="BD680" s="126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127"/>
      <c r="BQ680" s="127"/>
      <c r="BR680" s="127"/>
      <c r="BS680" s="127"/>
      <c r="BT680" s="127"/>
      <c r="BU680" s="127"/>
      <c r="BV680" s="127"/>
      <c r="BW680" s="119"/>
      <c r="BX680" s="119"/>
      <c r="BY680" s="119"/>
      <c r="BZ680" s="119"/>
      <c r="CA680" s="119"/>
      <c r="CB680" s="119"/>
      <c r="CC680" s="119"/>
      <c r="CD680" s="119"/>
      <c r="CE680" s="131"/>
      <c r="CF680" s="131"/>
      <c r="CG680" s="131"/>
      <c r="CH680" s="132">
        <v>1.0</v>
      </c>
      <c r="CI680" s="133" t="s">
        <v>2002</v>
      </c>
      <c r="CJ680" s="1"/>
      <c r="CK680" s="1"/>
      <c r="CL680" s="1"/>
      <c r="CM680" s="1"/>
      <c r="CN680" s="1"/>
      <c r="CO680" s="1"/>
      <c r="CP680" s="119"/>
      <c r="CQ680" s="119"/>
      <c r="CR680" s="119"/>
      <c r="CS680" s="119"/>
      <c r="CT680" s="119"/>
      <c r="CU680" s="119"/>
      <c r="CV680" s="119"/>
      <c r="CW680" s="119"/>
      <c r="CX680" s="119"/>
      <c r="CY680" s="119"/>
      <c r="CZ680" s="119"/>
      <c r="DA680" s="119"/>
      <c r="DB680" s="119"/>
      <c r="DC680" s="119"/>
      <c r="DD680" s="119"/>
      <c r="DE680" s="119"/>
      <c r="DF680" s="119"/>
      <c r="DG680" s="119"/>
      <c r="DH680" s="119"/>
      <c r="DI680" s="119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119"/>
      <c r="DU680" s="119"/>
      <c r="DV680" s="119"/>
      <c r="DW680" s="119"/>
      <c r="DX680" s="119"/>
      <c r="DY680" s="119"/>
      <c r="DZ680" s="119"/>
      <c r="EA680" s="119"/>
      <c r="EB680" s="119"/>
      <c r="EC680" s="119"/>
      <c r="ED680" s="119"/>
      <c r="EE680" s="119"/>
    </row>
    <row r="681" ht="15.75" customHeight="1">
      <c r="A681" s="123"/>
      <c r="B681" s="123"/>
      <c r="C681" s="123"/>
      <c r="D681" s="123"/>
      <c r="E681" s="123"/>
      <c r="F681" s="123"/>
      <c r="G681" s="123"/>
      <c r="H681" s="123"/>
      <c r="I681" s="1"/>
      <c r="J681" s="1"/>
      <c r="K681" s="1"/>
      <c r="L681" s="1"/>
      <c r="M681" s="1"/>
      <c r="N681" s="1"/>
      <c r="O681" s="1"/>
      <c r="P681" s="1"/>
      <c r="Q681" s="1"/>
      <c r="R681" s="124"/>
      <c r="S681" s="1"/>
      <c r="T681" s="1"/>
      <c r="U681" s="1"/>
      <c r="V681" s="125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126"/>
      <c r="AH681" s="126"/>
      <c r="AI681" s="126"/>
      <c r="AJ681" s="126"/>
      <c r="AK681" s="126"/>
      <c r="AL681" s="126"/>
      <c r="AM681" s="126"/>
      <c r="AN681" s="126"/>
      <c r="AO681" s="126"/>
      <c r="AP681" s="126"/>
      <c r="AQ681" s="126"/>
      <c r="AR681" s="126"/>
      <c r="AS681" s="126"/>
      <c r="AT681" s="126"/>
      <c r="AU681" s="126"/>
      <c r="AV681" s="126"/>
      <c r="AW681" s="126"/>
      <c r="AX681" s="126"/>
      <c r="AY681" s="126"/>
      <c r="AZ681" s="126"/>
      <c r="BA681" s="126"/>
      <c r="BB681" s="126"/>
      <c r="BC681" s="126"/>
      <c r="BD681" s="126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127"/>
      <c r="BQ681" s="127"/>
      <c r="BR681" s="127"/>
      <c r="BS681" s="127"/>
      <c r="BT681" s="127"/>
      <c r="BU681" s="127"/>
      <c r="BV681" s="127"/>
      <c r="BW681" s="119"/>
      <c r="BX681" s="119"/>
      <c r="BY681" s="119"/>
      <c r="BZ681" s="119"/>
      <c r="CA681" s="119"/>
      <c r="CB681" s="119"/>
      <c r="CC681" s="119"/>
      <c r="CD681" s="119"/>
      <c r="CE681" s="134"/>
      <c r="CF681" s="134"/>
      <c r="CG681" s="134"/>
      <c r="CH681" s="132">
        <v>0.0</v>
      </c>
      <c r="CI681" s="133" t="s">
        <v>2003</v>
      </c>
      <c r="CJ681" s="1"/>
      <c r="CK681" s="1"/>
      <c r="CL681" s="1"/>
      <c r="CM681" s="1"/>
      <c r="CN681" s="1"/>
      <c r="CO681" s="1"/>
      <c r="CP681" s="119"/>
      <c r="CQ681" s="119"/>
      <c r="CR681" s="119"/>
      <c r="CS681" s="119"/>
      <c r="CT681" s="119"/>
      <c r="CU681" s="119"/>
      <c r="CV681" s="119"/>
      <c r="CW681" s="119"/>
      <c r="CX681" s="119"/>
      <c r="CY681" s="119"/>
      <c r="CZ681" s="119"/>
      <c r="DA681" s="119"/>
      <c r="DB681" s="119"/>
      <c r="DC681" s="119"/>
      <c r="DD681" s="119"/>
      <c r="DE681" s="119"/>
      <c r="DF681" s="119"/>
      <c r="DG681" s="119"/>
      <c r="DH681" s="119"/>
      <c r="DI681" s="119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119"/>
      <c r="DU681" s="119"/>
      <c r="DV681" s="119"/>
      <c r="DW681" s="119"/>
      <c r="DX681" s="119"/>
      <c r="DY681" s="119"/>
      <c r="DZ681" s="119"/>
      <c r="EA681" s="119"/>
      <c r="EB681" s="119"/>
      <c r="EC681" s="119"/>
      <c r="ED681" s="119"/>
      <c r="EE681" s="119"/>
    </row>
    <row r="682" ht="15.75" customHeight="1">
      <c r="A682" s="123"/>
      <c r="B682" s="123"/>
      <c r="C682" s="123"/>
      <c r="D682" s="123"/>
      <c r="E682" s="123"/>
      <c r="F682" s="123"/>
      <c r="G682" s="123"/>
      <c r="H682" s="123"/>
      <c r="I682" s="1"/>
      <c r="J682" s="1"/>
      <c r="K682" s="1"/>
      <c r="L682" s="1"/>
      <c r="M682" s="1"/>
      <c r="N682" s="1"/>
      <c r="O682" s="1"/>
      <c r="P682" s="1"/>
      <c r="Q682" s="1"/>
      <c r="R682" s="124"/>
      <c r="S682" s="1"/>
      <c r="T682" s="1"/>
      <c r="U682" s="1"/>
      <c r="V682" s="125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126"/>
      <c r="AH682" s="126"/>
      <c r="AI682" s="126"/>
      <c r="AJ682" s="126"/>
      <c r="AK682" s="126"/>
      <c r="AL682" s="126"/>
      <c r="AM682" s="126"/>
      <c r="AN682" s="126"/>
      <c r="AO682" s="126"/>
      <c r="AP682" s="126"/>
      <c r="AQ682" s="126"/>
      <c r="AR682" s="126"/>
      <c r="AS682" s="126"/>
      <c r="AT682" s="126"/>
      <c r="AU682" s="126"/>
      <c r="AV682" s="126"/>
      <c r="AW682" s="126"/>
      <c r="AX682" s="126"/>
      <c r="AY682" s="126"/>
      <c r="AZ682" s="126"/>
      <c r="BA682" s="126"/>
      <c r="BB682" s="126"/>
      <c r="BC682" s="126"/>
      <c r="BD682" s="126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127"/>
      <c r="BQ682" s="127"/>
      <c r="BR682" s="127"/>
      <c r="BS682" s="127"/>
      <c r="BT682" s="127"/>
      <c r="BU682" s="127"/>
      <c r="BV682" s="127"/>
      <c r="BW682" s="119"/>
      <c r="BX682" s="119"/>
      <c r="BY682" s="119"/>
      <c r="BZ682" s="119"/>
      <c r="CA682" s="119"/>
      <c r="CB682" s="119"/>
      <c r="CC682" s="119"/>
      <c r="CD682" s="119"/>
      <c r="CE682" s="124"/>
      <c r="CF682" s="119"/>
      <c r="CG682" s="134"/>
      <c r="CH682" s="132">
        <v>-1.0</v>
      </c>
      <c r="CI682" s="133" t="s">
        <v>2004</v>
      </c>
      <c r="CJ682" s="1"/>
      <c r="CK682" s="1"/>
      <c r="CL682" s="1"/>
      <c r="CM682" s="1"/>
      <c r="CN682" s="1"/>
      <c r="CO682" s="1"/>
      <c r="CP682" s="119"/>
      <c r="CQ682" s="119"/>
      <c r="CR682" s="119"/>
      <c r="CS682" s="119"/>
      <c r="CT682" s="119"/>
      <c r="CU682" s="119"/>
      <c r="CV682" s="119"/>
      <c r="CW682" s="119"/>
      <c r="CX682" s="119"/>
      <c r="CY682" s="119"/>
      <c r="CZ682" s="119"/>
      <c r="DA682" s="119"/>
      <c r="DB682" s="119"/>
      <c r="DC682" s="119"/>
      <c r="DD682" s="119"/>
      <c r="DE682" s="119"/>
      <c r="DF682" s="119"/>
      <c r="DG682" s="119"/>
      <c r="DH682" s="119"/>
      <c r="DI682" s="119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119"/>
      <c r="DU682" s="119"/>
      <c r="DV682" s="119"/>
      <c r="DW682" s="119"/>
      <c r="DX682" s="119"/>
      <c r="DY682" s="119"/>
      <c r="DZ682" s="119"/>
      <c r="EA682" s="119"/>
      <c r="EB682" s="119"/>
      <c r="EC682" s="119"/>
      <c r="ED682" s="119"/>
      <c r="EE682" s="119"/>
    </row>
    <row r="683" ht="15.75" customHeight="1">
      <c r="A683" s="123"/>
      <c r="B683" s="123"/>
      <c r="C683" s="123"/>
      <c r="D683" s="123"/>
      <c r="E683" s="123"/>
      <c r="F683" s="123"/>
      <c r="G683" s="123"/>
      <c r="H683" s="123"/>
      <c r="I683" s="1"/>
      <c r="J683" s="1"/>
      <c r="K683" s="1"/>
      <c r="L683" s="1"/>
      <c r="M683" s="1"/>
      <c r="N683" s="1"/>
      <c r="O683" s="1"/>
      <c r="P683" s="1"/>
      <c r="Q683" s="1"/>
      <c r="R683" s="124"/>
      <c r="S683" s="1"/>
      <c r="T683" s="1"/>
      <c r="U683" s="1"/>
      <c r="V683" s="125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126"/>
      <c r="AH683" s="126"/>
      <c r="AI683" s="126"/>
      <c r="AJ683" s="126"/>
      <c r="AK683" s="126"/>
      <c r="AL683" s="126"/>
      <c r="AM683" s="126"/>
      <c r="AN683" s="126"/>
      <c r="AO683" s="126"/>
      <c r="AP683" s="126"/>
      <c r="AQ683" s="126"/>
      <c r="AR683" s="126"/>
      <c r="AS683" s="126"/>
      <c r="AT683" s="126"/>
      <c r="AU683" s="126"/>
      <c r="AV683" s="126"/>
      <c r="AW683" s="126"/>
      <c r="AX683" s="126"/>
      <c r="AY683" s="126"/>
      <c r="AZ683" s="126"/>
      <c r="BA683" s="126"/>
      <c r="BB683" s="126"/>
      <c r="BC683" s="126"/>
      <c r="BD683" s="126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127"/>
      <c r="BQ683" s="127"/>
      <c r="BR683" s="127"/>
      <c r="BS683" s="127"/>
      <c r="BT683" s="127"/>
      <c r="BU683" s="127"/>
      <c r="BV683" s="127"/>
      <c r="BW683" s="119"/>
      <c r="BX683" s="119"/>
      <c r="BY683" s="119"/>
      <c r="BZ683" s="119"/>
      <c r="CA683" s="119"/>
      <c r="CB683" s="119"/>
      <c r="CC683" s="119"/>
      <c r="CD683" s="119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19"/>
      <c r="CQ683" s="119"/>
      <c r="CR683" s="119"/>
      <c r="CS683" s="119"/>
      <c r="CT683" s="119"/>
      <c r="CU683" s="119"/>
      <c r="CV683" s="119"/>
      <c r="CW683" s="119"/>
      <c r="CX683" s="119"/>
      <c r="CY683" s="119"/>
      <c r="CZ683" s="119"/>
      <c r="DA683" s="119"/>
      <c r="DB683" s="119"/>
      <c r="DC683" s="119"/>
      <c r="DD683" s="119"/>
      <c r="DE683" s="119"/>
      <c r="DF683" s="119"/>
      <c r="DG683" s="119"/>
      <c r="DH683" s="119"/>
      <c r="DI683" s="119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119"/>
      <c r="DU683" s="119"/>
      <c r="DV683" s="119"/>
      <c r="DW683" s="119"/>
      <c r="DX683" s="119"/>
      <c r="DY683" s="119"/>
      <c r="DZ683" s="119"/>
      <c r="EA683" s="119"/>
      <c r="EB683" s="119"/>
      <c r="EC683" s="119"/>
      <c r="ED683" s="119"/>
      <c r="EE683" s="119"/>
    </row>
    <row r="684" ht="15.75" customHeight="1">
      <c r="A684" s="123"/>
      <c r="B684" s="123"/>
      <c r="C684" s="123"/>
      <c r="D684" s="123"/>
      <c r="E684" s="123"/>
      <c r="F684" s="123"/>
      <c r="G684" s="123"/>
      <c r="H684" s="123"/>
      <c r="I684" s="1"/>
      <c r="J684" s="1"/>
      <c r="K684" s="1"/>
      <c r="L684" s="1"/>
      <c r="M684" s="1"/>
      <c r="N684" s="1"/>
      <c r="O684" s="1"/>
      <c r="P684" s="1"/>
      <c r="Q684" s="1"/>
      <c r="R684" s="124"/>
      <c r="S684" s="1"/>
      <c r="T684" s="1"/>
      <c r="U684" s="1"/>
      <c r="V684" s="125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126"/>
      <c r="AH684" s="126"/>
      <c r="AI684" s="126"/>
      <c r="AJ684" s="126"/>
      <c r="AK684" s="126"/>
      <c r="AL684" s="126"/>
      <c r="AM684" s="126"/>
      <c r="AN684" s="126"/>
      <c r="AO684" s="126"/>
      <c r="AP684" s="126"/>
      <c r="AQ684" s="126"/>
      <c r="AR684" s="126"/>
      <c r="AS684" s="126"/>
      <c r="AT684" s="126"/>
      <c r="AU684" s="126"/>
      <c r="AV684" s="126"/>
      <c r="AW684" s="126"/>
      <c r="AX684" s="126"/>
      <c r="AY684" s="126"/>
      <c r="AZ684" s="126"/>
      <c r="BA684" s="126"/>
      <c r="BB684" s="126"/>
      <c r="BC684" s="126"/>
      <c r="BD684" s="126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127"/>
      <c r="BQ684" s="127"/>
      <c r="BR684" s="127"/>
      <c r="BS684" s="127"/>
      <c r="BT684" s="127"/>
      <c r="BU684" s="127"/>
      <c r="BV684" s="127"/>
      <c r="BW684" s="119"/>
      <c r="BX684" s="119"/>
      <c r="BY684" s="119"/>
      <c r="BZ684" s="119"/>
      <c r="CA684" s="119"/>
      <c r="CB684" s="119"/>
      <c r="CC684" s="119"/>
      <c r="CD684" s="119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19"/>
      <c r="CQ684" s="119"/>
      <c r="CR684" s="119"/>
      <c r="CS684" s="119"/>
      <c r="CT684" s="119"/>
      <c r="CU684" s="119"/>
      <c r="CV684" s="119"/>
      <c r="CW684" s="119"/>
      <c r="CX684" s="119"/>
      <c r="CY684" s="119"/>
      <c r="CZ684" s="119"/>
      <c r="DA684" s="119"/>
      <c r="DB684" s="119"/>
      <c r="DC684" s="119"/>
      <c r="DD684" s="119"/>
      <c r="DE684" s="119"/>
      <c r="DF684" s="119"/>
      <c r="DG684" s="119"/>
      <c r="DH684" s="119"/>
      <c r="DI684" s="119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119"/>
      <c r="DU684" s="119"/>
      <c r="DV684" s="119"/>
      <c r="DW684" s="119"/>
      <c r="DX684" s="119"/>
      <c r="DY684" s="119"/>
      <c r="DZ684" s="119"/>
      <c r="EA684" s="119"/>
      <c r="EB684" s="119"/>
      <c r="EC684" s="119"/>
      <c r="ED684" s="119"/>
      <c r="EE684" s="119"/>
    </row>
    <row r="685" ht="15.75" customHeight="1">
      <c r="A685" s="123"/>
      <c r="B685" s="123"/>
      <c r="C685" s="123"/>
      <c r="D685" s="123"/>
      <c r="E685" s="123"/>
      <c r="F685" s="123"/>
      <c r="G685" s="123"/>
      <c r="H685" s="123"/>
      <c r="I685" s="1"/>
      <c r="J685" s="1"/>
      <c r="K685" s="1"/>
      <c r="L685" s="1"/>
      <c r="M685" s="1"/>
      <c r="N685" s="1"/>
      <c r="O685" s="1"/>
      <c r="P685" s="1"/>
      <c r="Q685" s="1"/>
      <c r="R685" s="124"/>
      <c r="S685" s="1"/>
      <c r="T685" s="1"/>
      <c r="U685" s="1"/>
      <c r="V685" s="125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126"/>
      <c r="AH685" s="126"/>
      <c r="AI685" s="126"/>
      <c r="AJ685" s="126"/>
      <c r="AK685" s="126"/>
      <c r="AL685" s="126"/>
      <c r="AM685" s="126"/>
      <c r="AN685" s="126"/>
      <c r="AO685" s="126"/>
      <c r="AP685" s="126"/>
      <c r="AQ685" s="126"/>
      <c r="AR685" s="126"/>
      <c r="AS685" s="126"/>
      <c r="AT685" s="126"/>
      <c r="AU685" s="126"/>
      <c r="AV685" s="126"/>
      <c r="AW685" s="126"/>
      <c r="AX685" s="126"/>
      <c r="AY685" s="126"/>
      <c r="AZ685" s="126"/>
      <c r="BA685" s="126"/>
      <c r="BB685" s="126"/>
      <c r="BC685" s="126"/>
      <c r="BD685" s="126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127"/>
      <c r="BQ685" s="127"/>
      <c r="BR685" s="127"/>
      <c r="BS685" s="127"/>
      <c r="BT685" s="127"/>
      <c r="BU685" s="127"/>
      <c r="BV685" s="127"/>
      <c r="BW685" s="119"/>
      <c r="BX685" s="119"/>
      <c r="BY685" s="119"/>
      <c r="BZ685" s="119"/>
      <c r="CA685" s="119"/>
      <c r="CB685" s="119"/>
      <c r="CC685" s="119"/>
      <c r="CD685" s="119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19"/>
      <c r="CQ685" s="119"/>
      <c r="CR685" s="119"/>
      <c r="CS685" s="119"/>
      <c r="CT685" s="119"/>
      <c r="CU685" s="119"/>
      <c r="CV685" s="119"/>
      <c r="CW685" s="119"/>
      <c r="CX685" s="119"/>
      <c r="CY685" s="119"/>
      <c r="CZ685" s="119"/>
      <c r="DA685" s="119"/>
      <c r="DB685" s="119"/>
      <c r="DC685" s="119"/>
      <c r="DD685" s="119"/>
      <c r="DE685" s="119"/>
      <c r="DF685" s="119"/>
      <c r="DG685" s="119"/>
      <c r="DH685" s="119"/>
      <c r="DI685" s="119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119"/>
      <c r="DU685" s="119"/>
      <c r="DV685" s="119"/>
      <c r="DW685" s="119"/>
      <c r="DX685" s="119"/>
      <c r="DY685" s="119"/>
      <c r="DZ685" s="119"/>
      <c r="EA685" s="119"/>
      <c r="EB685" s="119"/>
      <c r="EC685" s="119"/>
      <c r="ED685" s="119"/>
      <c r="EE685" s="119"/>
    </row>
    <row r="686" ht="15.75" customHeight="1">
      <c r="A686" s="123"/>
      <c r="B686" s="123"/>
      <c r="C686" s="123"/>
      <c r="D686" s="123"/>
      <c r="E686" s="123"/>
      <c r="F686" s="123"/>
      <c r="G686" s="123"/>
      <c r="H686" s="123"/>
      <c r="I686" s="1"/>
      <c r="J686" s="1"/>
      <c r="K686" s="1"/>
      <c r="L686" s="1"/>
      <c r="M686" s="1"/>
      <c r="N686" s="1"/>
      <c r="O686" s="1"/>
      <c r="P686" s="1"/>
      <c r="Q686" s="1"/>
      <c r="R686" s="124"/>
      <c r="S686" s="1"/>
      <c r="T686" s="1"/>
      <c r="U686" s="1"/>
      <c r="V686" s="125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126"/>
      <c r="AH686" s="126"/>
      <c r="AI686" s="126"/>
      <c r="AJ686" s="126"/>
      <c r="AK686" s="126"/>
      <c r="AL686" s="126"/>
      <c r="AM686" s="126"/>
      <c r="AN686" s="126"/>
      <c r="AO686" s="126"/>
      <c r="AP686" s="126"/>
      <c r="AQ686" s="126"/>
      <c r="AR686" s="126"/>
      <c r="AS686" s="126"/>
      <c r="AT686" s="126"/>
      <c r="AU686" s="126"/>
      <c r="AV686" s="126"/>
      <c r="AW686" s="126"/>
      <c r="AX686" s="126"/>
      <c r="AY686" s="126"/>
      <c r="AZ686" s="126"/>
      <c r="BA686" s="126"/>
      <c r="BB686" s="126"/>
      <c r="BC686" s="126"/>
      <c r="BD686" s="126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127"/>
      <c r="BQ686" s="127"/>
      <c r="BR686" s="127"/>
      <c r="BS686" s="127"/>
      <c r="BT686" s="127"/>
      <c r="BU686" s="127"/>
      <c r="BV686" s="127"/>
      <c r="BW686" s="119"/>
      <c r="BX686" s="119"/>
      <c r="BY686" s="119"/>
      <c r="BZ686" s="119"/>
      <c r="CA686" s="119"/>
      <c r="CB686" s="119"/>
      <c r="CC686" s="119"/>
      <c r="CD686" s="119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19"/>
      <c r="CQ686" s="119"/>
      <c r="CR686" s="119"/>
      <c r="CS686" s="119"/>
      <c r="CT686" s="119"/>
      <c r="CU686" s="119"/>
      <c r="CV686" s="119"/>
      <c r="CW686" s="119"/>
      <c r="CX686" s="119"/>
      <c r="CY686" s="119"/>
      <c r="CZ686" s="119"/>
      <c r="DA686" s="119"/>
      <c r="DB686" s="119"/>
      <c r="DC686" s="119"/>
      <c r="DD686" s="119"/>
      <c r="DE686" s="119"/>
      <c r="DF686" s="119"/>
      <c r="DG686" s="119"/>
      <c r="DH686" s="119"/>
      <c r="DI686" s="119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119"/>
      <c r="DU686" s="119"/>
      <c r="DV686" s="119"/>
      <c r="DW686" s="119"/>
      <c r="DX686" s="119"/>
      <c r="DY686" s="119"/>
      <c r="DZ686" s="119"/>
      <c r="EA686" s="119"/>
      <c r="EB686" s="119"/>
      <c r="EC686" s="119"/>
      <c r="ED686" s="119"/>
      <c r="EE686" s="119"/>
    </row>
    <row r="687" ht="15.75" customHeight="1">
      <c r="A687" s="123"/>
      <c r="B687" s="123"/>
      <c r="C687" s="123"/>
      <c r="D687" s="123"/>
      <c r="E687" s="123"/>
      <c r="F687" s="123"/>
      <c r="G687" s="123"/>
      <c r="H687" s="123"/>
      <c r="I687" s="1"/>
      <c r="J687" s="1"/>
      <c r="K687" s="1"/>
      <c r="L687" s="1"/>
      <c r="M687" s="1"/>
      <c r="N687" s="1"/>
      <c r="O687" s="1"/>
      <c r="P687" s="1"/>
      <c r="Q687" s="1"/>
      <c r="R687" s="124"/>
      <c r="S687" s="1"/>
      <c r="T687" s="1"/>
      <c r="U687" s="1"/>
      <c r="V687" s="125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  <c r="AK687" s="126"/>
      <c r="AL687" s="126"/>
      <c r="AM687" s="126"/>
      <c r="AN687" s="126"/>
      <c r="AO687" s="126"/>
      <c r="AP687" s="126"/>
      <c r="AQ687" s="126"/>
      <c r="AR687" s="126"/>
      <c r="AS687" s="126"/>
      <c r="AT687" s="126"/>
      <c r="AU687" s="126"/>
      <c r="AV687" s="126"/>
      <c r="AW687" s="126"/>
      <c r="AX687" s="126"/>
      <c r="AY687" s="126"/>
      <c r="AZ687" s="126"/>
      <c r="BA687" s="126"/>
      <c r="BB687" s="126"/>
      <c r="BC687" s="126"/>
      <c r="BD687" s="126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127"/>
      <c r="BQ687" s="127"/>
      <c r="BR687" s="127"/>
      <c r="BS687" s="127"/>
      <c r="BT687" s="127"/>
      <c r="BU687" s="127"/>
      <c r="BV687" s="127"/>
      <c r="BW687" s="119"/>
      <c r="BX687" s="119"/>
      <c r="BY687" s="119"/>
      <c r="BZ687" s="119"/>
      <c r="CA687" s="119"/>
      <c r="CB687" s="119"/>
      <c r="CC687" s="119"/>
      <c r="CD687" s="119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19"/>
      <c r="CQ687" s="119"/>
      <c r="CR687" s="119"/>
      <c r="CS687" s="119"/>
      <c r="CT687" s="119"/>
      <c r="CU687" s="119"/>
      <c r="CV687" s="119"/>
      <c r="CW687" s="119"/>
      <c r="CX687" s="119"/>
      <c r="CY687" s="119"/>
      <c r="CZ687" s="119"/>
      <c r="DA687" s="119"/>
      <c r="DB687" s="119"/>
      <c r="DC687" s="119"/>
      <c r="DD687" s="119"/>
      <c r="DE687" s="119"/>
      <c r="DF687" s="119"/>
      <c r="DG687" s="119"/>
      <c r="DH687" s="119"/>
      <c r="DI687" s="119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119"/>
      <c r="DU687" s="119"/>
      <c r="DV687" s="119"/>
      <c r="DW687" s="119"/>
      <c r="DX687" s="119"/>
      <c r="DY687" s="119"/>
      <c r="DZ687" s="119"/>
      <c r="EA687" s="119"/>
      <c r="EB687" s="119"/>
      <c r="EC687" s="119"/>
      <c r="ED687" s="119"/>
      <c r="EE687" s="119"/>
    </row>
    <row r="688" ht="15.75" customHeight="1">
      <c r="A688" s="123"/>
      <c r="B688" s="123"/>
      <c r="C688" s="123"/>
      <c r="D688" s="123"/>
      <c r="E688" s="123"/>
      <c r="F688" s="123"/>
      <c r="G688" s="123"/>
      <c r="H688" s="123"/>
      <c r="I688" s="1"/>
      <c r="J688" s="1"/>
      <c r="K688" s="1"/>
      <c r="L688" s="1"/>
      <c r="M688" s="1"/>
      <c r="N688" s="1"/>
      <c r="O688" s="1"/>
      <c r="P688" s="1"/>
      <c r="Q688" s="1"/>
      <c r="R688" s="124"/>
      <c r="S688" s="1"/>
      <c r="T688" s="1"/>
      <c r="U688" s="1"/>
      <c r="V688" s="125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  <c r="AK688" s="126"/>
      <c r="AL688" s="126"/>
      <c r="AM688" s="126"/>
      <c r="AN688" s="126"/>
      <c r="AO688" s="126"/>
      <c r="AP688" s="126"/>
      <c r="AQ688" s="126"/>
      <c r="AR688" s="126"/>
      <c r="AS688" s="126"/>
      <c r="AT688" s="126"/>
      <c r="AU688" s="126"/>
      <c r="AV688" s="126"/>
      <c r="AW688" s="126"/>
      <c r="AX688" s="126"/>
      <c r="AY688" s="126"/>
      <c r="AZ688" s="126"/>
      <c r="BA688" s="126"/>
      <c r="BB688" s="126"/>
      <c r="BC688" s="126"/>
      <c r="BD688" s="126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127"/>
      <c r="BQ688" s="127"/>
      <c r="BR688" s="127"/>
      <c r="BS688" s="127"/>
      <c r="BT688" s="127"/>
      <c r="BU688" s="127"/>
      <c r="BV688" s="127"/>
      <c r="BW688" s="119"/>
      <c r="BX688" s="119"/>
      <c r="BY688" s="119"/>
      <c r="BZ688" s="119"/>
      <c r="CA688" s="119"/>
      <c r="CB688" s="119"/>
      <c r="CC688" s="119"/>
      <c r="CD688" s="119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19"/>
      <c r="CQ688" s="119"/>
      <c r="CR688" s="119"/>
      <c r="CS688" s="119"/>
      <c r="CT688" s="119"/>
      <c r="CU688" s="119"/>
      <c r="CV688" s="119"/>
      <c r="CW688" s="119"/>
      <c r="CX688" s="119"/>
      <c r="CY688" s="119"/>
      <c r="CZ688" s="119"/>
      <c r="DA688" s="119"/>
      <c r="DB688" s="119"/>
      <c r="DC688" s="119"/>
      <c r="DD688" s="119"/>
      <c r="DE688" s="119"/>
      <c r="DF688" s="119"/>
      <c r="DG688" s="119"/>
      <c r="DH688" s="119"/>
      <c r="DI688" s="119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119"/>
      <c r="DU688" s="119"/>
      <c r="DV688" s="119"/>
      <c r="DW688" s="119"/>
      <c r="DX688" s="119"/>
      <c r="DY688" s="119"/>
      <c r="DZ688" s="119"/>
      <c r="EA688" s="119"/>
      <c r="EB688" s="119"/>
      <c r="EC688" s="119"/>
      <c r="ED688" s="119"/>
      <c r="EE688" s="119"/>
    </row>
    <row r="689" ht="15.75" customHeight="1">
      <c r="A689" s="123"/>
      <c r="B689" s="123"/>
      <c r="C689" s="123"/>
      <c r="D689" s="123"/>
      <c r="E689" s="123"/>
      <c r="F689" s="123"/>
      <c r="G689" s="123"/>
      <c r="H689" s="123"/>
      <c r="I689" s="1"/>
      <c r="J689" s="1"/>
      <c r="K689" s="1"/>
      <c r="L689" s="1"/>
      <c r="M689" s="1"/>
      <c r="N689" s="1"/>
      <c r="O689" s="1"/>
      <c r="P689" s="1"/>
      <c r="Q689" s="1"/>
      <c r="R689" s="124"/>
      <c r="S689" s="1"/>
      <c r="T689" s="1"/>
      <c r="U689" s="1"/>
      <c r="V689" s="125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126"/>
      <c r="AH689" s="126"/>
      <c r="AI689" s="126"/>
      <c r="AJ689" s="126"/>
      <c r="AK689" s="126"/>
      <c r="AL689" s="126"/>
      <c r="AM689" s="126"/>
      <c r="AN689" s="126"/>
      <c r="AO689" s="126"/>
      <c r="AP689" s="126"/>
      <c r="AQ689" s="126"/>
      <c r="AR689" s="126"/>
      <c r="AS689" s="126"/>
      <c r="AT689" s="126"/>
      <c r="AU689" s="126"/>
      <c r="AV689" s="126"/>
      <c r="AW689" s="126"/>
      <c r="AX689" s="126"/>
      <c r="AY689" s="126"/>
      <c r="AZ689" s="126"/>
      <c r="BA689" s="126"/>
      <c r="BB689" s="126"/>
      <c r="BC689" s="126"/>
      <c r="BD689" s="126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127"/>
      <c r="BQ689" s="127"/>
      <c r="BR689" s="127"/>
      <c r="BS689" s="127"/>
      <c r="BT689" s="127"/>
      <c r="BU689" s="127"/>
      <c r="BV689" s="127"/>
      <c r="BW689" s="119"/>
      <c r="BX689" s="119"/>
      <c r="BY689" s="119"/>
      <c r="BZ689" s="119"/>
      <c r="CA689" s="119"/>
      <c r="CB689" s="119"/>
      <c r="CC689" s="119"/>
      <c r="CD689" s="119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19"/>
      <c r="CQ689" s="119"/>
      <c r="CR689" s="119"/>
      <c r="CS689" s="119"/>
      <c r="CT689" s="119"/>
      <c r="CU689" s="119"/>
      <c r="CV689" s="119"/>
      <c r="CW689" s="119"/>
      <c r="CX689" s="119"/>
      <c r="CY689" s="119"/>
      <c r="CZ689" s="119"/>
      <c r="DA689" s="119"/>
      <c r="DB689" s="119"/>
      <c r="DC689" s="119"/>
      <c r="DD689" s="119"/>
      <c r="DE689" s="119"/>
      <c r="DF689" s="119"/>
      <c r="DG689" s="119"/>
      <c r="DH689" s="119"/>
      <c r="DI689" s="119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119"/>
      <c r="DU689" s="119"/>
      <c r="DV689" s="119"/>
      <c r="DW689" s="119"/>
      <c r="DX689" s="119"/>
      <c r="DY689" s="119"/>
      <c r="DZ689" s="119"/>
      <c r="EA689" s="119"/>
      <c r="EB689" s="119"/>
      <c r="EC689" s="119"/>
      <c r="ED689" s="119"/>
      <c r="EE689" s="119"/>
    </row>
    <row r="690" ht="15.75" customHeight="1">
      <c r="A690" s="123"/>
      <c r="B690" s="123"/>
      <c r="C690" s="123"/>
      <c r="D690" s="123"/>
      <c r="E690" s="123"/>
      <c r="F690" s="123"/>
      <c r="G690" s="123"/>
      <c r="H690" s="123"/>
      <c r="I690" s="1"/>
      <c r="J690" s="1"/>
      <c r="K690" s="1"/>
      <c r="L690" s="1"/>
      <c r="M690" s="1"/>
      <c r="N690" s="1"/>
      <c r="O690" s="1"/>
      <c r="P690" s="1"/>
      <c r="Q690" s="1"/>
      <c r="R690" s="124"/>
      <c r="S690" s="1"/>
      <c r="T690" s="1"/>
      <c r="U690" s="1"/>
      <c r="V690" s="125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126"/>
      <c r="AH690" s="126"/>
      <c r="AI690" s="126"/>
      <c r="AJ690" s="126"/>
      <c r="AK690" s="126"/>
      <c r="AL690" s="126"/>
      <c r="AM690" s="126"/>
      <c r="AN690" s="126"/>
      <c r="AO690" s="126"/>
      <c r="AP690" s="126"/>
      <c r="AQ690" s="126"/>
      <c r="AR690" s="126"/>
      <c r="AS690" s="126"/>
      <c r="AT690" s="126"/>
      <c r="AU690" s="126"/>
      <c r="AV690" s="126"/>
      <c r="AW690" s="126"/>
      <c r="AX690" s="126"/>
      <c r="AY690" s="126"/>
      <c r="AZ690" s="126"/>
      <c r="BA690" s="126"/>
      <c r="BB690" s="126"/>
      <c r="BC690" s="126"/>
      <c r="BD690" s="126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127"/>
      <c r="BQ690" s="127"/>
      <c r="BR690" s="127"/>
      <c r="BS690" s="127"/>
      <c r="BT690" s="127"/>
      <c r="BU690" s="127"/>
      <c r="BV690" s="127"/>
      <c r="BW690" s="119"/>
      <c r="BX690" s="119"/>
      <c r="BY690" s="119"/>
      <c r="BZ690" s="119"/>
      <c r="CA690" s="119"/>
      <c r="CB690" s="119"/>
      <c r="CC690" s="119"/>
      <c r="CD690" s="119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19"/>
      <c r="CQ690" s="119"/>
      <c r="CR690" s="119"/>
      <c r="CS690" s="119"/>
      <c r="CT690" s="119"/>
      <c r="CU690" s="119"/>
      <c r="CV690" s="119"/>
      <c r="CW690" s="119"/>
      <c r="CX690" s="119"/>
      <c r="CY690" s="119"/>
      <c r="CZ690" s="119"/>
      <c r="DA690" s="119"/>
      <c r="DB690" s="119"/>
      <c r="DC690" s="119"/>
      <c r="DD690" s="119"/>
      <c r="DE690" s="119"/>
      <c r="DF690" s="119"/>
      <c r="DG690" s="119"/>
      <c r="DH690" s="119"/>
      <c r="DI690" s="119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119"/>
      <c r="DU690" s="119"/>
      <c r="DV690" s="119"/>
      <c r="DW690" s="119"/>
      <c r="DX690" s="119"/>
      <c r="DY690" s="119"/>
      <c r="DZ690" s="119"/>
      <c r="EA690" s="119"/>
      <c r="EB690" s="119"/>
      <c r="EC690" s="119"/>
      <c r="ED690" s="119"/>
      <c r="EE690" s="119"/>
    </row>
    <row r="691" ht="15.75" customHeight="1">
      <c r="A691" s="123"/>
      <c r="B691" s="123"/>
      <c r="C691" s="123"/>
      <c r="D691" s="123"/>
      <c r="E691" s="123"/>
      <c r="F691" s="123"/>
      <c r="G691" s="123"/>
      <c r="H691" s="123"/>
      <c r="I691" s="1"/>
      <c r="J691" s="1"/>
      <c r="K691" s="1"/>
      <c r="L691" s="1"/>
      <c r="M691" s="1"/>
      <c r="N691" s="1"/>
      <c r="O691" s="1"/>
      <c r="P691" s="1"/>
      <c r="Q691" s="1"/>
      <c r="R691" s="124"/>
      <c r="S691" s="1"/>
      <c r="T691" s="1"/>
      <c r="U691" s="1"/>
      <c r="V691" s="125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126"/>
      <c r="AH691" s="126"/>
      <c r="AI691" s="126"/>
      <c r="AJ691" s="126"/>
      <c r="AK691" s="126"/>
      <c r="AL691" s="126"/>
      <c r="AM691" s="126"/>
      <c r="AN691" s="126"/>
      <c r="AO691" s="126"/>
      <c r="AP691" s="126"/>
      <c r="AQ691" s="126"/>
      <c r="AR691" s="126"/>
      <c r="AS691" s="126"/>
      <c r="AT691" s="126"/>
      <c r="AU691" s="126"/>
      <c r="AV691" s="126"/>
      <c r="AW691" s="126"/>
      <c r="AX691" s="126"/>
      <c r="AY691" s="126"/>
      <c r="AZ691" s="126"/>
      <c r="BA691" s="126"/>
      <c r="BB691" s="126"/>
      <c r="BC691" s="126"/>
      <c r="BD691" s="126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127"/>
      <c r="BQ691" s="127"/>
      <c r="BR691" s="127"/>
      <c r="BS691" s="127"/>
      <c r="BT691" s="127"/>
      <c r="BU691" s="127"/>
      <c r="BV691" s="127"/>
      <c r="BW691" s="119"/>
      <c r="BX691" s="119"/>
      <c r="BY691" s="119"/>
      <c r="BZ691" s="119"/>
      <c r="CA691" s="119"/>
      <c r="CB691" s="119"/>
      <c r="CC691" s="119"/>
      <c r="CD691" s="119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19"/>
      <c r="CQ691" s="119"/>
      <c r="CR691" s="119"/>
      <c r="CS691" s="119"/>
      <c r="CT691" s="119"/>
      <c r="CU691" s="119"/>
      <c r="CV691" s="119"/>
      <c r="CW691" s="119"/>
      <c r="CX691" s="119"/>
      <c r="CY691" s="119"/>
      <c r="CZ691" s="119"/>
      <c r="DA691" s="119"/>
      <c r="DB691" s="119"/>
      <c r="DC691" s="119"/>
      <c r="DD691" s="119"/>
      <c r="DE691" s="119"/>
      <c r="DF691" s="119"/>
      <c r="DG691" s="119"/>
      <c r="DH691" s="119"/>
      <c r="DI691" s="119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119"/>
      <c r="DU691" s="119"/>
      <c r="DV691" s="119"/>
      <c r="DW691" s="119"/>
      <c r="DX691" s="119"/>
      <c r="DY691" s="119"/>
      <c r="DZ691" s="119"/>
      <c r="EA691" s="119"/>
      <c r="EB691" s="119"/>
      <c r="EC691" s="119"/>
      <c r="ED691" s="119"/>
      <c r="EE691" s="119"/>
    </row>
    <row r="692" ht="15.75" customHeight="1">
      <c r="A692" s="123"/>
      <c r="B692" s="123"/>
      <c r="C692" s="123"/>
      <c r="D692" s="123"/>
      <c r="E692" s="123"/>
      <c r="F692" s="123"/>
      <c r="G692" s="123"/>
      <c r="H692" s="123"/>
      <c r="I692" s="1"/>
      <c r="J692" s="1"/>
      <c r="K692" s="1"/>
      <c r="L692" s="1"/>
      <c r="M692" s="1"/>
      <c r="N692" s="1"/>
      <c r="O692" s="1"/>
      <c r="P692" s="1"/>
      <c r="Q692" s="1"/>
      <c r="R692" s="124"/>
      <c r="S692" s="1"/>
      <c r="T692" s="1"/>
      <c r="U692" s="1"/>
      <c r="V692" s="125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126"/>
      <c r="AH692" s="126"/>
      <c r="AI692" s="126"/>
      <c r="AJ692" s="126"/>
      <c r="AK692" s="126"/>
      <c r="AL692" s="126"/>
      <c r="AM692" s="126"/>
      <c r="AN692" s="126"/>
      <c r="AO692" s="126"/>
      <c r="AP692" s="126"/>
      <c r="AQ692" s="126"/>
      <c r="AR692" s="126"/>
      <c r="AS692" s="126"/>
      <c r="AT692" s="126"/>
      <c r="AU692" s="126"/>
      <c r="AV692" s="126"/>
      <c r="AW692" s="126"/>
      <c r="AX692" s="126"/>
      <c r="AY692" s="126"/>
      <c r="AZ692" s="126"/>
      <c r="BA692" s="126"/>
      <c r="BB692" s="126"/>
      <c r="BC692" s="126"/>
      <c r="BD692" s="126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127"/>
      <c r="BQ692" s="127"/>
      <c r="BR692" s="127"/>
      <c r="BS692" s="127"/>
      <c r="BT692" s="127"/>
      <c r="BU692" s="127"/>
      <c r="BV692" s="127"/>
      <c r="BW692" s="119"/>
      <c r="BX692" s="119"/>
      <c r="BY692" s="119"/>
      <c r="BZ692" s="119"/>
      <c r="CA692" s="119"/>
      <c r="CB692" s="119"/>
      <c r="CC692" s="119"/>
      <c r="CD692" s="119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19"/>
      <c r="CQ692" s="119"/>
      <c r="CR692" s="119"/>
      <c r="CS692" s="119"/>
      <c r="CT692" s="119"/>
      <c r="CU692" s="119"/>
      <c r="CV692" s="119"/>
      <c r="CW692" s="119"/>
      <c r="CX692" s="119"/>
      <c r="CY692" s="119"/>
      <c r="CZ692" s="119"/>
      <c r="DA692" s="119"/>
      <c r="DB692" s="119"/>
      <c r="DC692" s="119"/>
      <c r="DD692" s="119"/>
      <c r="DE692" s="119"/>
      <c r="DF692" s="119"/>
      <c r="DG692" s="119"/>
      <c r="DH692" s="119"/>
      <c r="DI692" s="119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119"/>
      <c r="DU692" s="119"/>
      <c r="DV692" s="119"/>
      <c r="DW692" s="119"/>
      <c r="DX692" s="119"/>
      <c r="DY692" s="119"/>
      <c r="DZ692" s="119"/>
      <c r="EA692" s="119"/>
      <c r="EB692" s="119"/>
      <c r="EC692" s="119"/>
      <c r="ED692" s="119"/>
      <c r="EE692" s="119"/>
    </row>
    <row r="693" ht="15.75" customHeight="1">
      <c r="A693" s="123"/>
      <c r="B693" s="123"/>
      <c r="C693" s="123"/>
      <c r="D693" s="123"/>
      <c r="E693" s="123"/>
      <c r="F693" s="123"/>
      <c r="G693" s="123"/>
      <c r="H693" s="123"/>
      <c r="I693" s="1"/>
      <c r="J693" s="1"/>
      <c r="K693" s="1"/>
      <c r="L693" s="1"/>
      <c r="M693" s="1"/>
      <c r="N693" s="1"/>
      <c r="O693" s="1"/>
      <c r="P693" s="1"/>
      <c r="Q693" s="1"/>
      <c r="R693" s="124"/>
      <c r="S693" s="1"/>
      <c r="T693" s="1"/>
      <c r="U693" s="1"/>
      <c r="V693" s="125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126"/>
      <c r="AH693" s="126"/>
      <c r="AI693" s="126"/>
      <c r="AJ693" s="126"/>
      <c r="AK693" s="126"/>
      <c r="AL693" s="126"/>
      <c r="AM693" s="126"/>
      <c r="AN693" s="126"/>
      <c r="AO693" s="126"/>
      <c r="AP693" s="126"/>
      <c r="AQ693" s="126"/>
      <c r="AR693" s="126"/>
      <c r="AS693" s="126"/>
      <c r="AT693" s="126"/>
      <c r="AU693" s="126"/>
      <c r="AV693" s="126"/>
      <c r="AW693" s="126"/>
      <c r="AX693" s="126"/>
      <c r="AY693" s="126"/>
      <c r="AZ693" s="126"/>
      <c r="BA693" s="126"/>
      <c r="BB693" s="126"/>
      <c r="BC693" s="126"/>
      <c r="BD693" s="126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127"/>
      <c r="BQ693" s="127"/>
      <c r="BR693" s="127"/>
      <c r="BS693" s="127"/>
      <c r="BT693" s="127"/>
      <c r="BU693" s="127"/>
      <c r="BV693" s="127"/>
      <c r="BW693" s="119"/>
      <c r="BX693" s="119"/>
      <c r="BY693" s="119"/>
      <c r="BZ693" s="119"/>
      <c r="CA693" s="119"/>
      <c r="CB693" s="119"/>
      <c r="CC693" s="119"/>
      <c r="CD693" s="119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19"/>
      <c r="CQ693" s="119"/>
      <c r="CR693" s="119"/>
      <c r="CS693" s="119"/>
      <c r="CT693" s="119"/>
      <c r="CU693" s="119"/>
      <c r="CV693" s="119"/>
      <c r="CW693" s="119"/>
      <c r="CX693" s="119"/>
      <c r="CY693" s="119"/>
      <c r="CZ693" s="119"/>
      <c r="DA693" s="119"/>
      <c r="DB693" s="119"/>
      <c r="DC693" s="119"/>
      <c r="DD693" s="119"/>
      <c r="DE693" s="119"/>
      <c r="DF693" s="119"/>
      <c r="DG693" s="119"/>
      <c r="DH693" s="119"/>
      <c r="DI693" s="119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119"/>
      <c r="DU693" s="119"/>
      <c r="DV693" s="119"/>
      <c r="DW693" s="119"/>
      <c r="DX693" s="119"/>
      <c r="DY693" s="119"/>
      <c r="DZ693" s="119"/>
      <c r="EA693" s="119"/>
      <c r="EB693" s="119"/>
      <c r="EC693" s="119"/>
      <c r="ED693" s="119"/>
      <c r="EE693" s="119"/>
    </row>
    <row r="694" ht="15.75" customHeight="1">
      <c r="A694" s="123"/>
      <c r="B694" s="123"/>
      <c r="C694" s="123"/>
      <c r="D694" s="123"/>
      <c r="E694" s="123"/>
      <c r="F694" s="123"/>
      <c r="G694" s="123"/>
      <c r="H694" s="123"/>
      <c r="I694" s="1"/>
      <c r="J694" s="1"/>
      <c r="K694" s="1"/>
      <c r="L694" s="1"/>
      <c r="M694" s="1"/>
      <c r="N694" s="1"/>
      <c r="O694" s="1"/>
      <c r="P694" s="1"/>
      <c r="Q694" s="1"/>
      <c r="R694" s="124"/>
      <c r="S694" s="1"/>
      <c r="T694" s="1"/>
      <c r="U694" s="1"/>
      <c r="V694" s="125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126"/>
      <c r="AH694" s="126"/>
      <c r="AI694" s="126"/>
      <c r="AJ694" s="126"/>
      <c r="AK694" s="126"/>
      <c r="AL694" s="126"/>
      <c r="AM694" s="126"/>
      <c r="AN694" s="126"/>
      <c r="AO694" s="126"/>
      <c r="AP694" s="126"/>
      <c r="AQ694" s="126"/>
      <c r="AR694" s="126"/>
      <c r="AS694" s="126"/>
      <c r="AT694" s="126"/>
      <c r="AU694" s="126"/>
      <c r="AV694" s="126"/>
      <c r="AW694" s="126"/>
      <c r="AX694" s="126"/>
      <c r="AY694" s="126"/>
      <c r="AZ694" s="126"/>
      <c r="BA694" s="126"/>
      <c r="BB694" s="126"/>
      <c r="BC694" s="126"/>
      <c r="BD694" s="126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127"/>
      <c r="BQ694" s="127"/>
      <c r="BR694" s="127"/>
      <c r="BS694" s="127"/>
      <c r="BT694" s="127"/>
      <c r="BU694" s="127"/>
      <c r="BV694" s="127"/>
      <c r="BW694" s="119"/>
      <c r="BX694" s="119"/>
      <c r="BY694" s="119"/>
      <c r="BZ694" s="119"/>
      <c r="CA694" s="119"/>
      <c r="CB694" s="119"/>
      <c r="CC694" s="119"/>
      <c r="CD694" s="119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19"/>
      <c r="CQ694" s="119"/>
      <c r="CR694" s="119"/>
      <c r="CS694" s="119"/>
      <c r="CT694" s="119"/>
      <c r="CU694" s="119"/>
      <c r="CV694" s="119"/>
      <c r="CW694" s="119"/>
      <c r="CX694" s="119"/>
      <c r="CY694" s="119"/>
      <c r="CZ694" s="119"/>
      <c r="DA694" s="119"/>
      <c r="DB694" s="119"/>
      <c r="DC694" s="119"/>
      <c r="DD694" s="119"/>
      <c r="DE694" s="119"/>
      <c r="DF694" s="119"/>
      <c r="DG694" s="119"/>
      <c r="DH694" s="119"/>
      <c r="DI694" s="119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119"/>
      <c r="DU694" s="119"/>
      <c r="DV694" s="119"/>
      <c r="DW694" s="119"/>
      <c r="DX694" s="119"/>
      <c r="DY694" s="119"/>
      <c r="DZ694" s="119"/>
      <c r="EA694" s="119"/>
      <c r="EB694" s="119"/>
      <c r="EC694" s="119"/>
      <c r="ED694" s="119"/>
      <c r="EE694" s="119"/>
    </row>
    <row r="695" ht="15.75" customHeight="1">
      <c r="A695" s="123"/>
      <c r="B695" s="123"/>
      <c r="C695" s="123"/>
      <c r="D695" s="123"/>
      <c r="E695" s="123"/>
      <c r="F695" s="123"/>
      <c r="G695" s="123"/>
      <c r="H695" s="123"/>
      <c r="I695" s="1"/>
      <c r="J695" s="1"/>
      <c r="K695" s="1"/>
      <c r="L695" s="1"/>
      <c r="M695" s="1"/>
      <c r="N695" s="1"/>
      <c r="O695" s="1"/>
      <c r="P695" s="1"/>
      <c r="Q695" s="1"/>
      <c r="R695" s="124"/>
      <c r="S695" s="1"/>
      <c r="T695" s="1"/>
      <c r="U695" s="1"/>
      <c r="V695" s="125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126"/>
      <c r="AH695" s="126"/>
      <c r="AI695" s="126"/>
      <c r="AJ695" s="126"/>
      <c r="AK695" s="126"/>
      <c r="AL695" s="126"/>
      <c r="AM695" s="126"/>
      <c r="AN695" s="126"/>
      <c r="AO695" s="126"/>
      <c r="AP695" s="126"/>
      <c r="AQ695" s="126"/>
      <c r="AR695" s="126"/>
      <c r="AS695" s="126"/>
      <c r="AT695" s="126"/>
      <c r="AU695" s="126"/>
      <c r="AV695" s="126"/>
      <c r="AW695" s="126"/>
      <c r="AX695" s="126"/>
      <c r="AY695" s="126"/>
      <c r="AZ695" s="126"/>
      <c r="BA695" s="126"/>
      <c r="BB695" s="126"/>
      <c r="BC695" s="126"/>
      <c r="BD695" s="126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127"/>
      <c r="BQ695" s="127"/>
      <c r="BR695" s="127"/>
      <c r="BS695" s="127"/>
      <c r="BT695" s="127"/>
      <c r="BU695" s="127"/>
      <c r="BV695" s="127"/>
      <c r="BW695" s="119"/>
      <c r="BX695" s="119"/>
      <c r="BY695" s="119"/>
      <c r="BZ695" s="119"/>
      <c r="CA695" s="119"/>
      <c r="CB695" s="119"/>
      <c r="CC695" s="119"/>
      <c r="CD695" s="119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19"/>
      <c r="CQ695" s="119"/>
      <c r="CR695" s="119"/>
      <c r="CS695" s="119"/>
      <c r="CT695" s="119"/>
      <c r="CU695" s="119"/>
      <c r="CV695" s="119"/>
      <c r="CW695" s="119"/>
      <c r="CX695" s="119"/>
      <c r="CY695" s="119"/>
      <c r="CZ695" s="119"/>
      <c r="DA695" s="119"/>
      <c r="DB695" s="119"/>
      <c r="DC695" s="119"/>
      <c r="DD695" s="119"/>
      <c r="DE695" s="119"/>
      <c r="DF695" s="119"/>
      <c r="DG695" s="119"/>
      <c r="DH695" s="119"/>
      <c r="DI695" s="119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119"/>
      <c r="DU695" s="119"/>
      <c r="DV695" s="119"/>
      <c r="DW695" s="119"/>
      <c r="DX695" s="119"/>
      <c r="DY695" s="119"/>
      <c r="DZ695" s="119"/>
      <c r="EA695" s="119"/>
      <c r="EB695" s="119"/>
      <c r="EC695" s="119"/>
      <c r="ED695" s="119"/>
      <c r="EE695" s="119"/>
    </row>
    <row r="696" ht="15.75" customHeight="1">
      <c r="A696" s="123"/>
      <c r="B696" s="123"/>
      <c r="C696" s="123"/>
      <c r="D696" s="123"/>
      <c r="E696" s="123"/>
      <c r="F696" s="123"/>
      <c r="G696" s="123"/>
      <c r="H696" s="123"/>
      <c r="I696" s="1"/>
      <c r="J696" s="1"/>
      <c r="K696" s="1"/>
      <c r="L696" s="1"/>
      <c r="M696" s="1"/>
      <c r="N696" s="1"/>
      <c r="O696" s="1"/>
      <c r="P696" s="1"/>
      <c r="Q696" s="1"/>
      <c r="R696" s="124"/>
      <c r="S696" s="1"/>
      <c r="T696" s="1"/>
      <c r="U696" s="1"/>
      <c r="V696" s="125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126"/>
      <c r="AH696" s="126"/>
      <c r="AI696" s="126"/>
      <c r="AJ696" s="126"/>
      <c r="AK696" s="126"/>
      <c r="AL696" s="126"/>
      <c r="AM696" s="126"/>
      <c r="AN696" s="126"/>
      <c r="AO696" s="126"/>
      <c r="AP696" s="126"/>
      <c r="AQ696" s="126"/>
      <c r="AR696" s="126"/>
      <c r="AS696" s="126"/>
      <c r="AT696" s="126"/>
      <c r="AU696" s="126"/>
      <c r="AV696" s="126"/>
      <c r="AW696" s="126"/>
      <c r="AX696" s="126"/>
      <c r="AY696" s="126"/>
      <c r="AZ696" s="126"/>
      <c r="BA696" s="126"/>
      <c r="BB696" s="126"/>
      <c r="BC696" s="126"/>
      <c r="BD696" s="126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127"/>
      <c r="BQ696" s="127"/>
      <c r="BR696" s="127"/>
      <c r="BS696" s="127"/>
      <c r="BT696" s="127"/>
      <c r="BU696" s="127"/>
      <c r="BV696" s="127"/>
      <c r="BW696" s="119"/>
      <c r="BX696" s="119"/>
      <c r="BY696" s="119"/>
      <c r="BZ696" s="119"/>
      <c r="CA696" s="119"/>
      <c r="CB696" s="119"/>
      <c r="CC696" s="119"/>
      <c r="CD696" s="119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19"/>
      <c r="CQ696" s="119"/>
      <c r="CR696" s="119"/>
      <c r="CS696" s="119"/>
      <c r="CT696" s="119"/>
      <c r="CU696" s="119"/>
      <c r="CV696" s="119"/>
      <c r="CW696" s="119"/>
      <c r="CX696" s="119"/>
      <c r="CY696" s="119"/>
      <c r="CZ696" s="119"/>
      <c r="DA696" s="119"/>
      <c r="DB696" s="119"/>
      <c r="DC696" s="119"/>
      <c r="DD696" s="119"/>
      <c r="DE696" s="119"/>
      <c r="DF696" s="119"/>
      <c r="DG696" s="119"/>
      <c r="DH696" s="119"/>
      <c r="DI696" s="119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119"/>
      <c r="DU696" s="119"/>
      <c r="DV696" s="119"/>
      <c r="DW696" s="119"/>
      <c r="DX696" s="119"/>
      <c r="DY696" s="119"/>
      <c r="DZ696" s="119"/>
      <c r="EA696" s="119"/>
      <c r="EB696" s="119"/>
      <c r="EC696" s="119"/>
      <c r="ED696" s="119"/>
      <c r="EE696" s="119"/>
    </row>
    <row r="697" ht="15.75" customHeight="1">
      <c r="A697" s="123"/>
      <c r="B697" s="123"/>
      <c r="C697" s="123"/>
      <c r="D697" s="123"/>
      <c r="E697" s="123"/>
      <c r="F697" s="123"/>
      <c r="G697" s="123"/>
      <c r="H697" s="123"/>
      <c r="I697" s="1"/>
      <c r="J697" s="1"/>
      <c r="K697" s="1"/>
      <c r="L697" s="1"/>
      <c r="M697" s="1"/>
      <c r="N697" s="1"/>
      <c r="O697" s="1"/>
      <c r="P697" s="1"/>
      <c r="Q697" s="1"/>
      <c r="R697" s="124"/>
      <c r="S697" s="1"/>
      <c r="T697" s="1"/>
      <c r="U697" s="1"/>
      <c r="V697" s="125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126"/>
      <c r="AH697" s="126"/>
      <c r="AI697" s="126"/>
      <c r="AJ697" s="126"/>
      <c r="AK697" s="126"/>
      <c r="AL697" s="126"/>
      <c r="AM697" s="126"/>
      <c r="AN697" s="126"/>
      <c r="AO697" s="126"/>
      <c r="AP697" s="126"/>
      <c r="AQ697" s="126"/>
      <c r="AR697" s="126"/>
      <c r="AS697" s="126"/>
      <c r="AT697" s="126"/>
      <c r="AU697" s="126"/>
      <c r="AV697" s="126"/>
      <c r="AW697" s="126"/>
      <c r="AX697" s="126"/>
      <c r="AY697" s="126"/>
      <c r="AZ697" s="126"/>
      <c r="BA697" s="126"/>
      <c r="BB697" s="126"/>
      <c r="BC697" s="126"/>
      <c r="BD697" s="126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127"/>
      <c r="BQ697" s="127"/>
      <c r="BR697" s="127"/>
      <c r="BS697" s="127"/>
      <c r="BT697" s="127"/>
      <c r="BU697" s="127"/>
      <c r="BV697" s="127"/>
      <c r="BW697" s="119"/>
      <c r="BX697" s="119"/>
      <c r="BY697" s="119"/>
      <c r="BZ697" s="119"/>
      <c r="CA697" s="119"/>
      <c r="CB697" s="119"/>
      <c r="CC697" s="119"/>
      <c r="CD697" s="119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19"/>
      <c r="CQ697" s="119"/>
      <c r="CR697" s="119"/>
      <c r="CS697" s="119"/>
      <c r="CT697" s="119"/>
      <c r="CU697" s="119"/>
      <c r="CV697" s="119"/>
      <c r="CW697" s="119"/>
      <c r="CX697" s="119"/>
      <c r="CY697" s="119"/>
      <c r="CZ697" s="119"/>
      <c r="DA697" s="119"/>
      <c r="DB697" s="119"/>
      <c r="DC697" s="119"/>
      <c r="DD697" s="119"/>
      <c r="DE697" s="119"/>
      <c r="DF697" s="119"/>
      <c r="DG697" s="119"/>
      <c r="DH697" s="119"/>
      <c r="DI697" s="119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119"/>
      <c r="DU697" s="119"/>
      <c r="DV697" s="119"/>
      <c r="DW697" s="119"/>
      <c r="DX697" s="119"/>
      <c r="DY697" s="119"/>
      <c r="DZ697" s="119"/>
      <c r="EA697" s="119"/>
      <c r="EB697" s="119"/>
      <c r="EC697" s="119"/>
      <c r="ED697" s="119"/>
      <c r="EE697" s="119"/>
    </row>
    <row r="698" ht="15.75" customHeight="1">
      <c r="A698" s="123"/>
      <c r="B698" s="123"/>
      <c r="C698" s="123"/>
      <c r="D698" s="123"/>
      <c r="E698" s="123"/>
      <c r="F698" s="123"/>
      <c r="G698" s="123"/>
      <c r="H698" s="123"/>
      <c r="I698" s="1"/>
      <c r="J698" s="1"/>
      <c r="K698" s="1"/>
      <c r="L698" s="1"/>
      <c r="M698" s="1"/>
      <c r="N698" s="1"/>
      <c r="O698" s="1"/>
      <c r="P698" s="1"/>
      <c r="Q698" s="1"/>
      <c r="R698" s="124"/>
      <c r="S698" s="1"/>
      <c r="T698" s="1"/>
      <c r="U698" s="1"/>
      <c r="V698" s="125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126"/>
      <c r="AH698" s="126"/>
      <c r="AI698" s="126"/>
      <c r="AJ698" s="126"/>
      <c r="AK698" s="126"/>
      <c r="AL698" s="126"/>
      <c r="AM698" s="126"/>
      <c r="AN698" s="126"/>
      <c r="AO698" s="126"/>
      <c r="AP698" s="126"/>
      <c r="AQ698" s="126"/>
      <c r="AR698" s="126"/>
      <c r="AS698" s="126"/>
      <c r="AT698" s="126"/>
      <c r="AU698" s="126"/>
      <c r="AV698" s="126"/>
      <c r="AW698" s="126"/>
      <c r="AX698" s="126"/>
      <c r="AY698" s="126"/>
      <c r="AZ698" s="126"/>
      <c r="BA698" s="126"/>
      <c r="BB698" s="126"/>
      <c r="BC698" s="126"/>
      <c r="BD698" s="126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127"/>
      <c r="BQ698" s="127"/>
      <c r="BR698" s="127"/>
      <c r="BS698" s="127"/>
      <c r="BT698" s="127"/>
      <c r="BU698" s="127"/>
      <c r="BV698" s="127"/>
      <c r="BW698" s="119"/>
      <c r="BX698" s="119"/>
      <c r="BY698" s="119"/>
      <c r="BZ698" s="119"/>
      <c r="CA698" s="119"/>
      <c r="CB698" s="119"/>
      <c r="CC698" s="119"/>
      <c r="CD698" s="119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19"/>
      <c r="CQ698" s="119"/>
      <c r="CR698" s="119"/>
      <c r="CS698" s="119"/>
      <c r="CT698" s="119"/>
      <c r="CU698" s="119"/>
      <c r="CV698" s="119"/>
      <c r="CW698" s="119"/>
      <c r="CX698" s="119"/>
      <c r="CY698" s="119"/>
      <c r="CZ698" s="119"/>
      <c r="DA698" s="119"/>
      <c r="DB698" s="119"/>
      <c r="DC698" s="119"/>
      <c r="DD698" s="119"/>
      <c r="DE698" s="119"/>
      <c r="DF698" s="119"/>
      <c r="DG698" s="119"/>
      <c r="DH698" s="119"/>
      <c r="DI698" s="119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119"/>
      <c r="DU698" s="119"/>
      <c r="DV698" s="119"/>
      <c r="DW698" s="119"/>
      <c r="DX698" s="119"/>
      <c r="DY698" s="119"/>
      <c r="DZ698" s="119"/>
      <c r="EA698" s="119"/>
      <c r="EB698" s="119"/>
      <c r="EC698" s="119"/>
      <c r="ED698" s="119"/>
      <c r="EE698" s="119"/>
    </row>
    <row r="699" ht="15.75" customHeight="1">
      <c r="A699" s="123"/>
      <c r="B699" s="123"/>
      <c r="C699" s="123"/>
      <c r="D699" s="123"/>
      <c r="E699" s="123"/>
      <c r="F699" s="123"/>
      <c r="G699" s="123"/>
      <c r="H699" s="123"/>
      <c r="I699" s="1"/>
      <c r="J699" s="1"/>
      <c r="K699" s="1"/>
      <c r="L699" s="1"/>
      <c r="M699" s="1"/>
      <c r="N699" s="1"/>
      <c r="O699" s="1"/>
      <c r="P699" s="1"/>
      <c r="Q699" s="1"/>
      <c r="R699" s="124"/>
      <c r="S699" s="1"/>
      <c r="T699" s="1"/>
      <c r="U699" s="1"/>
      <c r="V699" s="125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126"/>
      <c r="AH699" s="126"/>
      <c r="AI699" s="126"/>
      <c r="AJ699" s="126"/>
      <c r="AK699" s="126"/>
      <c r="AL699" s="126"/>
      <c r="AM699" s="126"/>
      <c r="AN699" s="126"/>
      <c r="AO699" s="126"/>
      <c r="AP699" s="126"/>
      <c r="AQ699" s="126"/>
      <c r="AR699" s="126"/>
      <c r="AS699" s="126"/>
      <c r="AT699" s="126"/>
      <c r="AU699" s="126"/>
      <c r="AV699" s="126"/>
      <c r="AW699" s="126"/>
      <c r="AX699" s="126"/>
      <c r="AY699" s="126"/>
      <c r="AZ699" s="126"/>
      <c r="BA699" s="126"/>
      <c r="BB699" s="126"/>
      <c r="BC699" s="126"/>
      <c r="BD699" s="126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127"/>
      <c r="BQ699" s="127"/>
      <c r="BR699" s="127"/>
      <c r="BS699" s="127"/>
      <c r="BT699" s="127"/>
      <c r="BU699" s="127"/>
      <c r="BV699" s="127"/>
      <c r="BW699" s="119"/>
      <c r="BX699" s="119"/>
      <c r="BY699" s="119"/>
      <c r="BZ699" s="119"/>
      <c r="CA699" s="119"/>
      <c r="CB699" s="119"/>
      <c r="CC699" s="119"/>
      <c r="CD699" s="119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19"/>
      <c r="CQ699" s="119"/>
      <c r="CR699" s="119"/>
      <c r="CS699" s="119"/>
      <c r="CT699" s="119"/>
      <c r="CU699" s="119"/>
      <c r="CV699" s="119"/>
      <c r="CW699" s="119"/>
      <c r="CX699" s="119"/>
      <c r="CY699" s="119"/>
      <c r="CZ699" s="119"/>
      <c r="DA699" s="119"/>
      <c r="DB699" s="119"/>
      <c r="DC699" s="119"/>
      <c r="DD699" s="119"/>
      <c r="DE699" s="119"/>
      <c r="DF699" s="119"/>
      <c r="DG699" s="119"/>
      <c r="DH699" s="119"/>
      <c r="DI699" s="119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119"/>
      <c r="DU699" s="119"/>
      <c r="DV699" s="119"/>
      <c r="DW699" s="119"/>
      <c r="DX699" s="119"/>
      <c r="DY699" s="119"/>
      <c r="DZ699" s="119"/>
      <c r="EA699" s="119"/>
      <c r="EB699" s="119"/>
      <c r="EC699" s="119"/>
      <c r="ED699" s="119"/>
      <c r="EE699" s="119"/>
    </row>
    <row r="700" ht="15.75" customHeight="1">
      <c r="A700" s="123"/>
      <c r="B700" s="123"/>
      <c r="C700" s="123"/>
      <c r="D700" s="123"/>
      <c r="E700" s="123"/>
      <c r="F700" s="123"/>
      <c r="G700" s="123"/>
      <c r="H700" s="123"/>
      <c r="I700" s="1"/>
      <c r="J700" s="1"/>
      <c r="K700" s="1"/>
      <c r="L700" s="1"/>
      <c r="M700" s="1"/>
      <c r="N700" s="1"/>
      <c r="O700" s="1"/>
      <c r="P700" s="1"/>
      <c r="Q700" s="1"/>
      <c r="R700" s="124"/>
      <c r="S700" s="1"/>
      <c r="T700" s="1"/>
      <c r="U700" s="1"/>
      <c r="V700" s="125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126"/>
      <c r="AH700" s="126"/>
      <c r="AI700" s="126"/>
      <c r="AJ700" s="126"/>
      <c r="AK700" s="126"/>
      <c r="AL700" s="126"/>
      <c r="AM700" s="126"/>
      <c r="AN700" s="126"/>
      <c r="AO700" s="126"/>
      <c r="AP700" s="126"/>
      <c r="AQ700" s="126"/>
      <c r="AR700" s="126"/>
      <c r="AS700" s="126"/>
      <c r="AT700" s="126"/>
      <c r="AU700" s="126"/>
      <c r="AV700" s="126"/>
      <c r="AW700" s="126"/>
      <c r="AX700" s="126"/>
      <c r="AY700" s="126"/>
      <c r="AZ700" s="126"/>
      <c r="BA700" s="126"/>
      <c r="BB700" s="126"/>
      <c r="BC700" s="126"/>
      <c r="BD700" s="126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127"/>
      <c r="BQ700" s="127"/>
      <c r="BR700" s="127"/>
      <c r="BS700" s="127"/>
      <c r="BT700" s="127"/>
      <c r="BU700" s="127"/>
      <c r="BV700" s="127"/>
      <c r="BW700" s="119"/>
      <c r="BX700" s="119"/>
      <c r="BY700" s="119"/>
      <c r="BZ700" s="119"/>
      <c r="CA700" s="119"/>
      <c r="CB700" s="119"/>
      <c r="CC700" s="119"/>
      <c r="CD700" s="119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19"/>
      <c r="CQ700" s="119"/>
      <c r="CR700" s="119"/>
      <c r="CS700" s="119"/>
      <c r="CT700" s="119"/>
      <c r="CU700" s="119"/>
      <c r="CV700" s="119"/>
      <c r="CW700" s="119"/>
      <c r="CX700" s="119"/>
      <c r="CY700" s="119"/>
      <c r="CZ700" s="119"/>
      <c r="DA700" s="119"/>
      <c r="DB700" s="119"/>
      <c r="DC700" s="119"/>
      <c r="DD700" s="119"/>
      <c r="DE700" s="119"/>
      <c r="DF700" s="119"/>
      <c r="DG700" s="119"/>
      <c r="DH700" s="119"/>
      <c r="DI700" s="119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119"/>
      <c r="DU700" s="119"/>
      <c r="DV700" s="119"/>
      <c r="DW700" s="119"/>
      <c r="DX700" s="119"/>
      <c r="DY700" s="119"/>
      <c r="DZ700" s="119"/>
      <c r="EA700" s="119"/>
      <c r="EB700" s="119"/>
      <c r="EC700" s="119"/>
      <c r="ED700" s="119"/>
      <c r="EE700" s="119"/>
    </row>
    <row r="701" ht="15.75" customHeight="1">
      <c r="A701" s="123"/>
      <c r="B701" s="123"/>
      <c r="C701" s="123"/>
      <c r="D701" s="123"/>
      <c r="E701" s="123"/>
      <c r="F701" s="123"/>
      <c r="G701" s="123"/>
      <c r="H701" s="123"/>
      <c r="I701" s="1"/>
      <c r="J701" s="1"/>
      <c r="K701" s="1"/>
      <c r="L701" s="1"/>
      <c r="M701" s="1"/>
      <c r="N701" s="1"/>
      <c r="O701" s="1"/>
      <c r="P701" s="1"/>
      <c r="Q701" s="1"/>
      <c r="R701" s="124"/>
      <c r="S701" s="1"/>
      <c r="T701" s="1"/>
      <c r="U701" s="1"/>
      <c r="V701" s="125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126"/>
      <c r="AH701" s="126"/>
      <c r="AI701" s="126"/>
      <c r="AJ701" s="126"/>
      <c r="AK701" s="126"/>
      <c r="AL701" s="126"/>
      <c r="AM701" s="126"/>
      <c r="AN701" s="126"/>
      <c r="AO701" s="126"/>
      <c r="AP701" s="126"/>
      <c r="AQ701" s="126"/>
      <c r="AR701" s="126"/>
      <c r="AS701" s="126"/>
      <c r="AT701" s="126"/>
      <c r="AU701" s="126"/>
      <c r="AV701" s="126"/>
      <c r="AW701" s="126"/>
      <c r="AX701" s="126"/>
      <c r="AY701" s="126"/>
      <c r="AZ701" s="126"/>
      <c r="BA701" s="126"/>
      <c r="BB701" s="126"/>
      <c r="BC701" s="126"/>
      <c r="BD701" s="126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127"/>
      <c r="BQ701" s="127"/>
      <c r="BR701" s="127"/>
      <c r="BS701" s="127"/>
      <c r="BT701" s="127"/>
      <c r="BU701" s="127"/>
      <c r="BV701" s="127"/>
      <c r="BW701" s="119"/>
      <c r="BX701" s="119"/>
      <c r="BY701" s="119"/>
      <c r="BZ701" s="119"/>
      <c r="CA701" s="119"/>
      <c r="CB701" s="119"/>
      <c r="CC701" s="119"/>
      <c r="CD701" s="119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19"/>
      <c r="CQ701" s="119"/>
      <c r="CR701" s="119"/>
      <c r="CS701" s="119"/>
      <c r="CT701" s="119"/>
      <c r="CU701" s="119"/>
      <c r="CV701" s="119"/>
      <c r="CW701" s="119"/>
      <c r="CX701" s="119"/>
      <c r="CY701" s="119"/>
      <c r="CZ701" s="119"/>
      <c r="DA701" s="119"/>
      <c r="DB701" s="119"/>
      <c r="DC701" s="119"/>
      <c r="DD701" s="119"/>
      <c r="DE701" s="119"/>
      <c r="DF701" s="119"/>
      <c r="DG701" s="119"/>
      <c r="DH701" s="119"/>
      <c r="DI701" s="119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119"/>
      <c r="DU701" s="119"/>
      <c r="DV701" s="119"/>
      <c r="DW701" s="119"/>
      <c r="DX701" s="119"/>
      <c r="DY701" s="119"/>
      <c r="DZ701" s="119"/>
      <c r="EA701" s="119"/>
      <c r="EB701" s="119"/>
      <c r="EC701" s="119"/>
      <c r="ED701" s="119"/>
      <c r="EE701" s="119"/>
    </row>
    <row r="702" ht="15.75" customHeight="1">
      <c r="A702" s="123"/>
      <c r="B702" s="123"/>
      <c r="C702" s="123"/>
      <c r="D702" s="123"/>
      <c r="E702" s="123"/>
      <c r="F702" s="123"/>
      <c r="G702" s="123"/>
      <c r="H702" s="123"/>
      <c r="I702" s="1"/>
      <c r="J702" s="1"/>
      <c r="K702" s="1"/>
      <c r="L702" s="1"/>
      <c r="M702" s="1"/>
      <c r="N702" s="1"/>
      <c r="O702" s="1"/>
      <c r="P702" s="1"/>
      <c r="Q702" s="1"/>
      <c r="R702" s="124"/>
      <c r="S702" s="1"/>
      <c r="T702" s="1"/>
      <c r="U702" s="1"/>
      <c r="V702" s="125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126"/>
      <c r="AH702" s="126"/>
      <c r="AI702" s="126"/>
      <c r="AJ702" s="126"/>
      <c r="AK702" s="126"/>
      <c r="AL702" s="126"/>
      <c r="AM702" s="126"/>
      <c r="AN702" s="126"/>
      <c r="AO702" s="126"/>
      <c r="AP702" s="126"/>
      <c r="AQ702" s="126"/>
      <c r="AR702" s="126"/>
      <c r="AS702" s="126"/>
      <c r="AT702" s="126"/>
      <c r="AU702" s="126"/>
      <c r="AV702" s="126"/>
      <c r="AW702" s="126"/>
      <c r="AX702" s="126"/>
      <c r="AY702" s="126"/>
      <c r="AZ702" s="126"/>
      <c r="BA702" s="126"/>
      <c r="BB702" s="126"/>
      <c r="BC702" s="126"/>
      <c r="BD702" s="126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127"/>
      <c r="BQ702" s="127"/>
      <c r="BR702" s="127"/>
      <c r="BS702" s="127"/>
      <c r="BT702" s="127"/>
      <c r="BU702" s="127"/>
      <c r="BV702" s="127"/>
      <c r="BW702" s="119"/>
      <c r="BX702" s="119"/>
      <c r="BY702" s="119"/>
      <c r="BZ702" s="119"/>
      <c r="CA702" s="119"/>
      <c r="CB702" s="119"/>
      <c r="CC702" s="119"/>
      <c r="CD702" s="119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19"/>
      <c r="CQ702" s="119"/>
      <c r="CR702" s="119"/>
      <c r="CS702" s="119"/>
      <c r="CT702" s="119"/>
      <c r="CU702" s="119"/>
      <c r="CV702" s="119"/>
      <c r="CW702" s="119"/>
      <c r="CX702" s="119"/>
      <c r="CY702" s="119"/>
      <c r="CZ702" s="119"/>
      <c r="DA702" s="119"/>
      <c r="DB702" s="119"/>
      <c r="DC702" s="119"/>
      <c r="DD702" s="119"/>
      <c r="DE702" s="119"/>
      <c r="DF702" s="119"/>
      <c r="DG702" s="119"/>
      <c r="DH702" s="119"/>
      <c r="DI702" s="119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119"/>
      <c r="DU702" s="119"/>
      <c r="DV702" s="119"/>
      <c r="DW702" s="119"/>
      <c r="DX702" s="119"/>
      <c r="DY702" s="119"/>
      <c r="DZ702" s="119"/>
      <c r="EA702" s="119"/>
      <c r="EB702" s="119"/>
      <c r="EC702" s="119"/>
      <c r="ED702" s="119"/>
      <c r="EE702" s="119"/>
    </row>
    <row r="703" ht="15.75" customHeight="1">
      <c r="A703" s="123"/>
      <c r="B703" s="123"/>
      <c r="C703" s="123"/>
      <c r="D703" s="123"/>
      <c r="E703" s="123"/>
      <c r="F703" s="123"/>
      <c r="G703" s="123"/>
      <c r="H703" s="123"/>
      <c r="I703" s="1"/>
      <c r="J703" s="1"/>
      <c r="K703" s="1"/>
      <c r="L703" s="1"/>
      <c r="M703" s="1"/>
      <c r="N703" s="1"/>
      <c r="O703" s="1"/>
      <c r="P703" s="1"/>
      <c r="Q703" s="1"/>
      <c r="R703" s="124"/>
      <c r="S703" s="1"/>
      <c r="T703" s="1"/>
      <c r="U703" s="1"/>
      <c r="V703" s="125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126"/>
      <c r="AH703" s="126"/>
      <c r="AI703" s="126"/>
      <c r="AJ703" s="126"/>
      <c r="AK703" s="126"/>
      <c r="AL703" s="126"/>
      <c r="AM703" s="126"/>
      <c r="AN703" s="126"/>
      <c r="AO703" s="126"/>
      <c r="AP703" s="126"/>
      <c r="AQ703" s="126"/>
      <c r="AR703" s="126"/>
      <c r="AS703" s="126"/>
      <c r="AT703" s="126"/>
      <c r="AU703" s="126"/>
      <c r="AV703" s="126"/>
      <c r="AW703" s="126"/>
      <c r="AX703" s="126"/>
      <c r="AY703" s="126"/>
      <c r="AZ703" s="126"/>
      <c r="BA703" s="126"/>
      <c r="BB703" s="126"/>
      <c r="BC703" s="126"/>
      <c r="BD703" s="126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127"/>
      <c r="BQ703" s="127"/>
      <c r="BR703" s="127"/>
      <c r="BS703" s="127"/>
      <c r="BT703" s="127"/>
      <c r="BU703" s="127"/>
      <c r="BV703" s="127"/>
      <c r="BW703" s="119"/>
      <c r="BX703" s="119"/>
      <c r="BY703" s="119"/>
      <c r="BZ703" s="119"/>
      <c r="CA703" s="119"/>
      <c r="CB703" s="119"/>
      <c r="CC703" s="119"/>
      <c r="CD703" s="119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19"/>
      <c r="CQ703" s="119"/>
      <c r="CR703" s="119"/>
      <c r="CS703" s="119"/>
      <c r="CT703" s="119"/>
      <c r="CU703" s="119"/>
      <c r="CV703" s="119"/>
      <c r="CW703" s="119"/>
      <c r="CX703" s="119"/>
      <c r="CY703" s="119"/>
      <c r="CZ703" s="119"/>
      <c r="DA703" s="119"/>
      <c r="DB703" s="119"/>
      <c r="DC703" s="119"/>
      <c r="DD703" s="119"/>
      <c r="DE703" s="119"/>
      <c r="DF703" s="119"/>
      <c r="DG703" s="119"/>
      <c r="DH703" s="119"/>
      <c r="DI703" s="119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119"/>
      <c r="DU703" s="119"/>
      <c r="DV703" s="119"/>
      <c r="DW703" s="119"/>
      <c r="DX703" s="119"/>
      <c r="DY703" s="119"/>
      <c r="DZ703" s="119"/>
      <c r="EA703" s="119"/>
      <c r="EB703" s="119"/>
      <c r="EC703" s="119"/>
      <c r="ED703" s="119"/>
      <c r="EE703" s="119"/>
    </row>
    <row r="704" ht="15.75" customHeight="1">
      <c r="A704" s="123"/>
      <c r="B704" s="123"/>
      <c r="C704" s="123"/>
      <c r="D704" s="123"/>
      <c r="E704" s="123"/>
      <c r="F704" s="123"/>
      <c r="G704" s="123"/>
      <c r="H704" s="123"/>
      <c r="I704" s="1"/>
      <c r="J704" s="1"/>
      <c r="K704" s="1"/>
      <c r="L704" s="1"/>
      <c r="M704" s="1"/>
      <c r="N704" s="1"/>
      <c r="O704" s="1"/>
      <c r="P704" s="1"/>
      <c r="Q704" s="1"/>
      <c r="R704" s="124"/>
      <c r="S704" s="1"/>
      <c r="T704" s="1"/>
      <c r="U704" s="1"/>
      <c r="V704" s="125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126"/>
      <c r="AH704" s="126"/>
      <c r="AI704" s="126"/>
      <c r="AJ704" s="126"/>
      <c r="AK704" s="126"/>
      <c r="AL704" s="126"/>
      <c r="AM704" s="126"/>
      <c r="AN704" s="126"/>
      <c r="AO704" s="126"/>
      <c r="AP704" s="126"/>
      <c r="AQ704" s="126"/>
      <c r="AR704" s="126"/>
      <c r="AS704" s="126"/>
      <c r="AT704" s="126"/>
      <c r="AU704" s="126"/>
      <c r="AV704" s="126"/>
      <c r="AW704" s="126"/>
      <c r="AX704" s="126"/>
      <c r="AY704" s="126"/>
      <c r="AZ704" s="126"/>
      <c r="BA704" s="126"/>
      <c r="BB704" s="126"/>
      <c r="BC704" s="126"/>
      <c r="BD704" s="126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127"/>
      <c r="BQ704" s="127"/>
      <c r="BR704" s="127"/>
      <c r="BS704" s="127"/>
      <c r="BT704" s="127"/>
      <c r="BU704" s="127"/>
      <c r="BV704" s="127"/>
      <c r="BW704" s="119"/>
      <c r="BX704" s="119"/>
      <c r="BY704" s="119"/>
      <c r="BZ704" s="119"/>
      <c r="CA704" s="119"/>
      <c r="CB704" s="119"/>
      <c r="CC704" s="119"/>
      <c r="CD704" s="119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19"/>
      <c r="CQ704" s="119"/>
      <c r="CR704" s="119"/>
      <c r="CS704" s="119"/>
      <c r="CT704" s="119"/>
      <c r="CU704" s="119"/>
      <c r="CV704" s="119"/>
      <c r="CW704" s="119"/>
      <c r="CX704" s="119"/>
      <c r="CY704" s="119"/>
      <c r="CZ704" s="119"/>
      <c r="DA704" s="119"/>
      <c r="DB704" s="119"/>
      <c r="DC704" s="119"/>
      <c r="DD704" s="119"/>
      <c r="DE704" s="119"/>
      <c r="DF704" s="119"/>
      <c r="DG704" s="119"/>
      <c r="DH704" s="119"/>
      <c r="DI704" s="119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119"/>
      <c r="DU704" s="119"/>
      <c r="DV704" s="119"/>
      <c r="DW704" s="119"/>
      <c r="DX704" s="119"/>
      <c r="DY704" s="119"/>
      <c r="DZ704" s="119"/>
      <c r="EA704" s="119"/>
      <c r="EB704" s="119"/>
      <c r="EC704" s="119"/>
      <c r="ED704" s="119"/>
      <c r="EE704" s="119"/>
    </row>
    <row r="705" ht="15.75" customHeight="1">
      <c r="A705" s="123"/>
      <c r="B705" s="123"/>
      <c r="C705" s="123"/>
      <c r="D705" s="123"/>
      <c r="E705" s="123"/>
      <c r="F705" s="123"/>
      <c r="G705" s="123"/>
      <c r="H705" s="123"/>
      <c r="I705" s="1"/>
      <c r="J705" s="1"/>
      <c r="K705" s="1"/>
      <c r="L705" s="1"/>
      <c r="M705" s="1"/>
      <c r="N705" s="1"/>
      <c r="O705" s="1"/>
      <c r="P705" s="1"/>
      <c r="Q705" s="1"/>
      <c r="R705" s="124"/>
      <c r="S705" s="1"/>
      <c r="T705" s="1"/>
      <c r="U705" s="1"/>
      <c r="V705" s="125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126"/>
      <c r="AH705" s="126"/>
      <c r="AI705" s="126"/>
      <c r="AJ705" s="126"/>
      <c r="AK705" s="126"/>
      <c r="AL705" s="126"/>
      <c r="AM705" s="126"/>
      <c r="AN705" s="126"/>
      <c r="AO705" s="126"/>
      <c r="AP705" s="126"/>
      <c r="AQ705" s="126"/>
      <c r="AR705" s="126"/>
      <c r="AS705" s="126"/>
      <c r="AT705" s="126"/>
      <c r="AU705" s="126"/>
      <c r="AV705" s="126"/>
      <c r="AW705" s="126"/>
      <c r="AX705" s="126"/>
      <c r="AY705" s="126"/>
      <c r="AZ705" s="126"/>
      <c r="BA705" s="126"/>
      <c r="BB705" s="126"/>
      <c r="BC705" s="126"/>
      <c r="BD705" s="126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127"/>
      <c r="BQ705" s="127"/>
      <c r="BR705" s="127"/>
      <c r="BS705" s="127"/>
      <c r="BT705" s="127"/>
      <c r="BU705" s="127"/>
      <c r="BV705" s="127"/>
      <c r="BW705" s="119"/>
      <c r="BX705" s="119"/>
      <c r="BY705" s="119"/>
      <c r="BZ705" s="119"/>
      <c r="CA705" s="119"/>
      <c r="CB705" s="119"/>
      <c r="CC705" s="119"/>
      <c r="CD705" s="119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19"/>
      <c r="CQ705" s="119"/>
      <c r="CR705" s="119"/>
      <c r="CS705" s="119"/>
      <c r="CT705" s="119"/>
      <c r="CU705" s="119"/>
      <c r="CV705" s="119"/>
      <c r="CW705" s="119"/>
      <c r="CX705" s="119"/>
      <c r="CY705" s="119"/>
      <c r="CZ705" s="119"/>
      <c r="DA705" s="119"/>
      <c r="DB705" s="119"/>
      <c r="DC705" s="119"/>
      <c r="DD705" s="119"/>
      <c r="DE705" s="119"/>
      <c r="DF705" s="119"/>
      <c r="DG705" s="119"/>
      <c r="DH705" s="119"/>
      <c r="DI705" s="119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119"/>
      <c r="DU705" s="119"/>
      <c r="DV705" s="119"/>
      <c r="DW705" s="119"/>
      <c r="DX705" s="119"/>
      <c r="DY705" s="119"/>
      <c r="DZ705" s="119"/>
      <c r="EA705" s="119"/>
      <c r="EB705" s="119"/>
      <c r="EC705" s="119"/>
      <c r="ED705" s="119"/>
      <c r="EE705" s="119"/>
    </row>
    <row r="706" ht="15.75" customHeight="1">
      <c r="A706" s="123"/>
      <c r="B706" s="123"/>
      <c r="C706" s="123"/>
      <c r="D706" s="123"/>
      <c r="E706" s="123"/>
      <c r="F706" s="123"/>
      <c r="G706" s="123"/>
      <c r="H706" s="123"/>
      <c r="I706" s="1"/>
      <c r="J706" s="1"/>
      <c r="K706" s="1"/>
      <c r="L706" s="1"/>
      <c r="M706" s="1"/>
      <c r="N706" s="1"/>
      <c r="O706" s="1"/>
      <c r="P706" s="1"/>
      <c r="Q706" s="1"/>
      <c r="R706" s="124"/>
      <c r="S706" s="1"/>
      <c r="T706" s="1"/>
      <c r="U706" s="1"/>
      <c r="V706" s="125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126"/>
      <c r="AH706" s="126"/>
      <c r="AI706" s="126"/>
      <c r="AJ706" s="126"/>
      <c r="AK706" s="126"/>
      <c r="AL706" s="126"/>
      <c r="AM706" s="126"/>
      <c r="AN706" s="126"/>
      <c r="AO706" s="126"/>
      <c r="AP706" s="126"/>
      <c r="AQ706" s="126"/>
      <c r="AR706" s="126"/>
      <c r="AS706" s="126"/>
      <c r="AT706" s="126"/>
      <c r="AU706" s="126"/>
      <c r="AV706" s="126"/>
      <c r="AW706" s="126"/>
      <c r="AX706" s="126"/>
      <c r="AY706" s="126"/>
      <c r="AZ706" s="126"/>
      <c r="BA706" s="126"/>
      <c r="BB706" s="126"/>
      <c r="BC706" s="126"/>
      <c r="BD706" s="126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127"/>
      <c r="BQ706" s="127"/>
      <c r="BR706" s="127"/>
      <c r="BS706" s="127"/>
      <c r="BT706" s="127"/>
      <c r="BU706" s="127"/>
      <c r="BV706" s="127"/>
      <c r="BW706" s="119"/>
      <c r="BX706" s="119"/>
      <c r="BY706" s="119"/>
      <c r="BZ706" s="119"/>
      <c r="CA706" s="119"/>
      <c r="CB706" s="119"/>
      <c r="CC706" s="119"/>
      <c r="CD706" s="119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19"/>
      <c r="CQ706" s="119"/>
      <c r="CR706" s="119"/>
      <c r="CS706" s="119"/>
      <c r="CT706" s="119"/>
      <c r="CU706" s="119"/>
      <c r="CV706" s="119"/>
      <c r="CW706" s="119"/>
      <c r="CX706" s="119"/>
      <c r="CY706" s="119"/>
      <c r="CZ706" s="119"/>
      <c r="DA706" s="119"/>
      <c r="DB706" s="119"/>
      <c r="DC706" s="119"/>
      <c r="DD706" s="119"/>
      <c r="DE706" s="119"/>
      <c r="DF706" s="119"/>
      <c r="DG706" s="119"/>
      <c r="DH706" s="119"/>
      <c r="DI706" s="119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119"/>
      <c r="DU706" s="119"/>
      <c r="DV706" s="119"/>
      <c r="DW706" s="119"/>
      <c r="DX706" s="119"/>
      <c r="DY706" s="119"/>
      <c r="DZ706" s="119"/>
      <c r="EA706" s="119"/>
      <c r="EB706" s="119"/>
      <c r="EC706" s="119"/>
      <c r="ED706" s="119"/>
      <c r="EE706" s="119"/>
    </row>
    <row r="707" ht="15.75" customHeight="1">
      <c r="A707" s="123"/>
      <c r="B707" s="123"/>
      <c r="C707" s="123"/>
      <c r="D707" s="123"/>
      <c r="E707" s="123"/>
      <c r="F707" s="123"/>
      <c r="G707" s="123"/>
      <c r="H707" s="123"/>
      <c r="I707" s="1"/>
      <c r="J707" s="1"/>
      <c r="K707" s="1"/>
      <c r="L707" s="1"/>
      <c r="M707" s="1"/>
      <c r="N707" s="1"/>
      <c r="O707" s="1"/>
      <c r="P707" s="1"/>
      <c r="Q707" s="1"/>
      <c r="R707" s="124"/>
      <c r="S707" s="1"/>
      <c r="T707" s="1"/>
      <c r="U707" s="1"/>
      <c r="V707" s="125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  <c r="AK707" s="126"/>
      <c r="AL707" s="126"/>
      <c r="AM707" s="126"/>
      <c r="AN707" s="126"/>
      <c r="AO707" s="126"/>
      <c r="AP707" s="126"/>
      <c r="AQ707" s="126"/>
      <c r="AR707" s="126"/>
      <c r="AS707" s="126"/>
      <c r="AT707" s="126"/>
      <c r="AU707" s="126"/>
      <c r="AV707" s="126"/>
      <c r="AW707" s="126"/>
      <c r="AX707" s="126"/>
      <c r="AY707" s="126"/>
      <c r="AZ707" s="126"/>
      <c r="BA707" s="126"/>
      <c r="BB707" s="126"/>
      <c r="BC707" s="126"/>
      <c r="BD707" s="126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127"/>
      <c r="BQ707" s="127"/>
      <c r="BR707" s="127"/>
      <c r="BS707" s="127"/>
      <c r="BT707" s="127"/>
      <c r="BU707" s="127"/>
      <c r="BV707" s="127"/>
      <c r="BW707" s="119"/>
      <c r="BX707" s="119"/>
      <c r="BY707" s="119"/>
      <c r="BZ707" s="119"/>
      <c r="CA707" s="119"/>
      <c r="CB707" s="119"/>
      <c r="CC707" s="119"/>
      <c r="CD707" s="119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19"/>
      <c r="CQ707" s="119"/>
      <c r="CR707" s="119"/>
      <c r="CS707" s="119"/>
      <c r="CT707" s="119"/>
      <c r="CU707" s="119"/>
      <c r="CV707" s="119"/>
      <c r="CW707" s="119"/>
      <c r="CX707" s="119"/>
      <c r="CY707" s="119"/>
      <c r="CZ707" s="119"/>
      <c r="DA707" s="119"/>
      <c r="DB707" s="119"/>
      <c r="DC707" s="119"/>
      <c r="DD707" s="119"/>
      <c r="DE707" s="119"/>
      <c r="DF707" s="119"/>
      <c r="DG707" s="119"/>
      <c r="DH707" s="119"/>
      <c r="DI707" s="119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119"/>
      <c r="DU707" s="119"/>
      <c r="DV707" s="119"/>
      <c r="DW707" s="119"/>
      <c r="DX707" s="119"/>
      <c r="DY707" s="119"/>
      <c r="DZ707" s="119"/>
      <c r="EA707" s="119"/>
      <c r="EB707" s="119"/>
      <c r="EC707" s="119"/>
      <c r="ED707" s="119"/>
      <c r="EE707" s="119"/>
    </row>
    <row r="708" ht="15.75" customHeight="1">
      <c r="A708" s="123"/>
      <c r="B708" s="123"/>
      <c r="C708" s="123"/>
      <c r="D708" s="123"/>
      <c r="E708" s="123"/>
      <c r="F708" s="123"/>
      <c r="G708" s="123"/>
      <c r="H708" s="123"/>
      <c r="I708" s="1"/>
      <c r="J708" s="1"/>
      <c r="K708" s="1"/>
      <c r="L708" s="1"/>
      <c r="M708" s="1"/>
      <c r="N708" s="1"/>
      <c r="O708" s="1"/>
      <c r="P708" s="1"/>
      <c r="Q708" s="1"/>
      <c r="R708" s="124"/>
      <c r="S708" s="1"/>
      <c r="T708" s="1"/>
      <c r="U708" s="1"/>
      <c r="V708" s="125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126"/>
      <c r="AH708" s="126"/>
      <c r="AI708" s="126"/>
      <c r="AJ708" s="126"/>
      <c r="AK708" s="126"/>
      <c r="AL708" s="126"/>
      <c r="AM708" s="126"/>
      <c r="AN708" s="126"/>
      <c r="AO708" s="126"/>
      <c r="AP708" s="126"/>
      <c r="AQ708" s="126"/>
      <c r="AR708" s="126"/>
      <c r="AS708" s="126"/>
      <c r="AT708" s="126"/>
      <c r="AU708" s="126"/>
      <c r="AV708" s="126"/>
      <c r="AW708" s="126"/>
      <c r="AX708" s="126"/>
      <c r="AY708" s="126"/>
      <c r="AZ708" s="126"/>
      <c r="BA708" s="126"/>
      <c r="BB708" s="126"/>
      <c r="BC708" s="126"/>
      <c r="BD708" s="126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127"/>
      <c r="BQ708" s="127"/>
      <c r="BR708" s="127"/>
      <c r="BS708" s="127"/>
      <c r="BT708" s="127"/>
      <c r="BU708" s="127"/>
      <c r="BV708" s="127"/>
      <c r="BW708" s="119"/>
      <c r="BX708" s="119"/>
      <c r="BY708" s="119"/>
      <c r="BZ708" s="119"/>
      <c r="CA708" s="119"/>
      <c r="CB708" s="119"/>
      <c r="CC708" s="119"/>
      <c r="CD708" s="119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19"/>
      <c r="CQ708" s="119"/>
      <c r="CR708" s="119"/>
      <c r="CS708" s="119"/>
      <c r="CT708" s="119"/>
      <c r="CU708" s="119"/>
      <c r="CV708" s="119"/>
      <c r="CW708" s="119"/>
      <c r="CX708" s="119"/>
      <c r="CY708" s="119"/>
      <c r="CZ708" s="119"/>
      <c r="DA708" s="119"/>
      <c r="DB708" s="119"/>
      <c r="DC708" s="119"/>
      <c r="DD708" s="119"/>
      <c r="DE708" s="119"/>
      <c r="DF708" s="119"/>
      <c r="DG708" s="119"/>
      <c r="DH708" s="119"/>
      <c r="DI708" s="119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119"/>
      <c r="DU708" s="119"/>
      <c r="DV708" s="119"/>
      <c r="DW708" s="119"/>
      <c r="DX708" s="119"/>
      <c r="DY708" s="119"/>
      <c r="DZ708" s="119"/>
      <c r="EA708" s="119"/>
      <c r="EB708" s="119"/>
      <c r="EC708" s="119"/>
      <c r="ED708" s="119"/>
      <c r="EE708" s="119"/>
    </row>
    <row r="709" ht="15.75" customHeight="1">
      <c r="A709" s="123"/>
      <c r="B709" s="123"/>
      <c r="C709" s="123"/>
      <c r="D709" s="123"/>
      <c r="E709" s="123"/>
      <c r="F709" s="123"/>
      <c r="G709" s="123"/>
      <c r="H709" s="123"/>
      <c r="I709" s="1"/>
      <c r="J709" s="1"/>
      <c r="K709" s="1"/>
      <c r="L709" s="1"/>
      <c r="M709" s="1"/>
      <c r="N709" s="1"/>
      <c r="O709" s="1"/>
      <c r="P709" s="1"/>
      <c r="Q709" s="1"/>
      <c r="R709" s="124"/>
      <c r="S709" s="1"/>
      <c r="T709" s="1"/>
      <c r="U709" s="1"/>
      <c r="V709" s="125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126"/>
      <c r="AH709" s="126"/>
      <c r="AI709" s="126"/>
      <c r="AJ709" s="126"/>
      <c r="AK709" s="126"/>
      <c r="AL709" s="126"/>
      <c r="AM709" s="126"/>
      <c r="AN709" s="126"/>
      <c r="AO709" s="126"/>
      <c r="AP709" s="126"/>
      <c r="AQ709" s="126"/>
      <c r="AR709" s="126"/>
      <c r="AS709" s="126"/>
      <c r="AT709" s="126"/>
      <c r="AU709" s="126"/>
      <c r="AV709" s="126"/>
      <c r="AW709" s="126"/>
      <c r="AX709" s="126"/>
      <c r="AY709" s="126"/>
      <c r="AZ709" s="126"/>
      <c r="BA709" s="126"/>
      <c r="BB709" s="126"/>
      <c r="BC709" s="126"/>
      <c r="BD709" s="126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127"/>
      <c r="BQ709" s="127"/>
      <c r="BR709" s="127"/>
      <c r="BS709" s="127"/>
      <c r="BT709" s="127"/>
      <c r="BU709" s="127"/>
      <c r="BV709" s="127"/>
      <c r="BW709" s="119"/>
      <c r="BX709" s="119"/>
      <c r="BY709" s="119"/>
      <c r="BZ709" s="119"/>
      <c r="CA709" s="119"/>
      <c r="CB709" s="119"/>
      <c r="CC709" s="119"/>
      <c r="CD709" s="119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19"/>
      <c r="CQ709" s="119"/>
      <c r="CR709" s="119"/>
      <c r="CS709" s="119"/>
      <c r="CT709" s="119"/>
      <c r="CU709" s="119"/>
      <c r="CV709" s="119"/>
      <c r="CW709" s="119"/>
      <c r="CX709" s="119"/>
      <c r="CY709" s="119"/>
      <c r="CZ709" s="119"/>
      <c r="DA709" s="119"/>
      <c r="DB709" s="119"/>
      <c r="DC709" s="119"/>
      <c r="DD709" s="119"/>
      <c r="DE709" s="119"/>
      <c r="DF709" s="119"/>
      <c r="DG709" s="119"/>
      <c r="DH709" s="119"/>
      <c r="DI709" s="119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119"/>
      <c r="DU709" s="119"/>
      <c r="DV709" s="119"/>
      <c r="DW709" s="119"/>
      <c r="DX709" s="119"/>
      <c r="DY709" s="119"/>
      <c r="DZ709" s="119"/>
      <c r="EA709" s="119"/>
      <c r="EB709" s="119"/>
      <c r="EC709" s="119"/>
      <c r="ED709" s="119"/>
      <c r="EE709" s="119"/>
    </row>
    <row r="710" ht="15.75" customHeight="1">
      <c r="A710" s="123"/>
      <c r="B710" s="123"/>
      <c r="C710" s="123"/>
      <c r="D710" s="123"/>
      <c r="E710" s="123"/>
      <c r="F710" s="123"/>
      <c r="G710" s="123"/>
      <c r="H710" s="123"/>
      <c r="I710" s="1"/>
      <c r="J710" s="1"/>
      <c r="K710" s="1"/>
      <c r="L710" s="1"/>
      <c r="M710" s="1"/>
      <c r="N710" s="1"/>
      <c r="O710" s="1"/>
      <c r="P710" s="1"/>
      <c r="Q710" s="1"/>
      <c r="R710" s="124"/>
      <c r="S710" s="1"/>
      <c r="T710" s="1"/>
      <c r="U710" s="1"/>
      <c r="V710" s="125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126"/>
      <c r="AH710" s="126"/>
      <c r="AI710" s="126"/>
      <c r="AJ710" s="126"/>
      <c r="AK710" s="126"/>
      <c r="AL710" s="126"/>
      <c r="AM710" s="126"/>
      <c r="AN710" s="126"/>
      <c r="AO710" s="126"/>
      <c r="AP710" s="126"/>
      <c r="AQ710" s="126"/>
      <c r="AR710" s="126"/>
      <c r="AS710" s="126"/>
      <c r="AT710" s="126"/>
      <c r="AU710" s="126"/>
      <c r="AV710" s="126"/>
      <c r="AW710" s="126"/>
      <c r="AX710" s="126"/>
      <c r="AY710" s="126"/>
      <c r="AZ710" s="126"/>
      <c r="BA710" s="126"/>
      <c r="BB710" s="126"/>
      <c r="BC710" s="126"/>
      <c r="BD710" s="126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127"/>
      <c r="BQ710" s="127"/>
      <c r="BR710" s="127"/>
      <c r="BS710" s="127"/>
      <c r="BT710" s="127"/>
      <c r="BU710" s="127"/>
      <c r="BV710" s="127"/>
      <c r="BW710" s="119"/>
      <c r="BX710" s="119"/>
      <c r="BY710" s="119"/>
      <c r="BZ710" s="119"/>
      <c r="CA710" s="119"/>
      <c r="CB710" s="119"/>
      <c r="CC710" s="119"/>
      <c r="CD710" s="119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19"/>
      <c r="CQ710" s="119"/>
      <c r="CR710" s="119"/>
      <c r="CS710" s="119"/>
      <c r="CT710" s="119"/>
      <c r="CU710" s="119"/>
      <c r="CV710" s="119"/>
      <c r="CW710" s="119"/>
      <c r="CX710" s="119"/>
      <c r="CY710" s="119"/>
      <c r="CZ710" s="119"/>
      <c r="DA710" s="119"/>
      <c r="DB710" s="119"/>
      <c r="DC710" s="119"/>
      <c r="DD710" s="119"/>
      <c r="DE710" s="119"/>
      <c r="DF710" s="119"/>
      <c r="DG710" s="119"/>
      <c r="DH710" s="119"/>
      <c r="DI710" s="119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119"/>
      <c r="DU710" s="119"/>
      <c r="DV710" s="119"/>
      <c r="DW710" s="119"/>
      <c r="DX710" s="119"/>
      <c r="DY710" s="119"/>
      <c r="DZ710" s="119"/>
      <c r="EA710" s="119"/>
      <c r="EB710" s="119"/>
      <c r="EC710" s="119"/>
      <c r="ED710" s="119"/>
      <c r="EE710" s="119"/>
    </row>
    <row r="711" ht="15.75" customHeight="1">
      <c r="A711" s="123"/>
      <c r="B711" s="123"/>
      <c r="C711" s="123"/>
      <c r="D711" s="123"/>
      <c r="E711" s="123"/>
      <c r="F711" s="123"/>
      <c r="G711" s="123"/>
      <c r="H711" s="123"/>
      <c r="I711" s="1"/>
      <c r="J711" s="1"/>
      <c r="K711" s="1"/>
      <c r="L711" s="1"/>
      <c r="M711" s="1"/>
      <c r="N711" s="1"/>
      <c r="O711" s="1"/>
      <c r="P711" s="1"/>
      <c r="Q711" s="1"/>
      <c r="R711" s="124"/>
      <c r="S711" s="1"/>
      <c r="T711" s="1"/>
      <c r="U711" s="1"/>
      <c r="V711" s="125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126"/>
      <c r="AH711" s="126"/>
      <c r="AI711" s="126"/>
      <c r="AJ711" s="126"/>
      <c r="AK711" s="126"/>
      <c r="AL711" s="126"/>
      <c r="AM711" s="126"/>
      <c r="AN711" s="126"/>
      <c r="AO711" s="126"/>
      <c r="AP711" s="126"/>
      <c r="AQ711" s="126"/>
      <c r="AR711" s="126"/>
      <c r="AS711" s="126"/>
      <c r="AT711" s="126"/>
      <c r="AU711" s="126"/>
      <c r="AV711" s="126"/>
      <c r="AW711" s="126"/>
      <c r="AX711" s="126"/>
      <c r="AY711" s="126"/>
      <c r="AZ711" s="126"/>
      <c r="BA711" s="126"/>
      <c r="BB711" s="126"/>
      <c r="BC711" s="126"/>
      <c r="BD711" s="126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127"/>
      <c r="BQ711" s="127"/>
      <c r="BR711" s="127"/>
      <c r="BS711" s="127"/>
      <c r="BT711" s="127"/>
      <c r="BU711" s="127"/>
      <c r="BV711" s="127"/>
      <c r="BW711" s="119"/>
      <c r="BX711" s="119"/>
      <c r="BY711" s="119"/>
      <c r="BZ711" s="119"/>
      <c r="CA711" s="119"/>
      <c r="CB711" s="119"/>
      <c r="CC711" s="119"/>
      <c r="CD711" s="119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19"/>
      <c r="CQ711" s="119"/>
      <c r="CR711" s="119"/>
      <c r="CS711" s="119"/>
      <c r="CT711" s="119"/>
      <c r="CU711" s="119"/>
      <c r="CV711" s="119"/>
      <c r="CW711" s="119"/>
      <c r="CX711" s="119"/>
      <c r="CY711" s="119"/>
      <c r="CZ711" s="119"/>
      <c r="DA711" s="119"/>
      <c r="DB711" s="119"/>
      <c r="DC711" s="119"/>
      <c r="DD711" s="119"/>
      <c r="DE711" s="119"/>
      <c r="DF711" s="119"/>
      <c r="DG711" s="119"/>
      <c r="DH711" s="119"/>
      <c r="DI711" s="119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119"/>
      <c r="DU711" s="119"/>
      <c r="DV711" s="119"/>
      <c r="DW711" s="119"/>
      <c r="DX711" s="119"/>
      <c r="DY711" s="119"/>
      <c r="DZ711" s="119"/>
      <c r="EA711" s="119"/>
      <c r="EB711" s="119"/>
      <c r="EC711" s="119"/>
      <c r="ED711" s="119"/>
      <c r="EE711" s="119"/>
    </row>
    <row r="712" ht="15.75" customHeight="1">
      <c r="A712" s="123"/>
      <c r="B712" s="123"/>
      <c r="C712" s="123"/>
      <c r="D712" s="123"/>
      <c r="E712" s="123"/>
      <c r="F712" s="123"/>
      <c r="G712" s="123"/>
      <c r="H712" s="123"/>
      <c r="I712" s="1"/>
      <c r="J712" s="1"/>
      <c r="K712" s="1"/>
      <c r="L712" s="1"/>
      <c r="M712" s="1"/>
      <c r="N712" s="1"/>
      <c r="O712" s="1"/>
      <c r="P712" s="1"/>
      <c r="Q712" s="1"/>
      <c r="R712" s="124"/>
      <c r="S712" s="1"/>
      <c r="T712" s="1"/>
      <c r="U712" s="1"/>
      <c r="V712" s="125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126"/>
      <c r="AH712" s="126"/>
      <c r="AI712" s="126"/>
      <c r="AJ712" s="126"/>
      <c r="AK712" s="126"/>
      <c r="AL712" s="126"/>
      <c r="AM712" s="126"/>
      <c r="AN712" s="126"/>
      <c r="AO712" s="126"/>
      <c r="AP712" s="126"/>
      <c r="AQ712" s="126"/>
      <c r="AR712" s="126"/>
      <c r="AS712" s="126"/>
      <c r="AT712" s="126"/>
      <c r="AU712" s="126"/>
      <c r="AV712" s="126"/>
      <c r="AW712" s="126"/>
      <c r="AX712" s="126"/>
      <c r="AY712" s="126"/>
      <c r="AZ712" s="126"/>
      <c r="BA712" s="126"/>
      <c r="BB712" s="126"/>
      <c r="BC712" s="126"/>
      <c r="BD712" s="126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127"/>
      <c r="BQ712" s="127"/>
      <c r="BR712" s="127"/>
      <c r="BS712" s="127"/>
      <c r="BT712" s="127"/>
      <c r="BU712" s="127"/>
      <c r="BV712" s="127"/>
      <c r="BW712" s="119"/>
      <c r="BX712" s="119"/>
      <c r="BY712" s="119"/>
      <c r="BZ712" s="119"/>
      <c r="CA712" s="119"/>
      <c r="CB712" s="119"/>
      <c r="CC712" s="119"/>
      <c r="CD712" s="119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19"/>
      <c r="CQ712" s="119"/>
      <c r="CR712" s="119"/>
      <c r="CS712" s="119"/>
      <c r="CT712" s="119"/>
      <c r="CU712" s="119"/>
      <c r="CV712" s="119"/>
      <c r="CW712" s="119"/>
      <c r="CX712" s="119"/>
      <c r="CY712" s="119"/>
      <c r="CZ712" s="119"/>
      <c r="DA712" s="119"/>
      <c r="DB712" s="119"/>
      <c r="DC712" s="119"/>
      <c r="DD712" s="119"/>
      <c r="DE712" s="119"/>
      <c r="DF712" s="119"/>
      <c r="DG712" s="119"/>
      <c r="DH712" s="119"/>
      <c r="DI712" s="119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119"/>
      <c r="DU712" s="119"/>
      <c r="DV712" s="119"/>
      <c r="DW712" s="119"/>
      <c r="DX712" s="119"/>
      <c r="DY712" s="119"/>
      <c r="DZ712" s="119"/>
      <c r="EA712" s="119"/>
      <c r="EB712" s="119"/>
      <c r="EC712" s="119"/>
      <c r="ED712" s="119"/>
      <c r="EE712" s="119"/>
    </row>
    <row r="713" ht="15.75" customHeight="1">
      <c r="A713" s="123"/>
      <c r="B713" s="123"/>
      <c r="C713" s="123"/>
      <c r="D713" s="123"/>
      <c r="E713" s="123"/>
      <c r="F713" s="123"/>
      <c r="G713" s="123"/>
      <c r="H713" s="123"/>
      <c r="I713" s="1"/>
      <c r="J713" s="1"/>
      <c r="K713" s="1"/>
      <c r="L713" s="1"/>
      <c r="M713" s="1"/>
      <c r="N713" s="1"/>
      <c r="O713" s="1"/>
      <c r="P713" s="1"/>
      <c r="Q713" s="1"/>
      <c r="R713" s="124"/>
      <c r="S713" s="1"/>
      <c r="T713" s="1"/>
      <c r="U713" s="1"/>
      <c r="V713" s="125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126"/>
      <c r="AH713" s="126"/>
      <c r="AI713" s="126"/>
      <c r="AJ713" s="126"/>
      <c r="AK713" s="126"/>
      <c r="AL713" s="126"/>
      <c r="AM713" s="126"/>
      <c r="AN713" s="126"/>
      <c r="AO713" s="126"/>
      <c r="AP713" s="126"/>
      <c r="AQ713" s="126"/>
      <c r="AR713" s="126"/>
      <c r="AS713" s="126"/>
      <c r="AT713" s="126"/>
      <c r="AU713" s="126"/>
      <c r="AV713" s="126"/>
      <c r="AW713" s="126"/>
      <c r="AX713" s="126"/>
      <c r="AY713" s="126"/>
      <c r="AZ713" s="126"/>
      <c r="BA713" s="126"/>
      <c r="BB713" s="126"/>
      <c r="BC713" s="126"/>
      <c r="BD713" s="126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127"/>
      <c r="BQ713" s="127"/>
      <c r="BR713" s="127"/>
      <c r="BS713" s="127"/>
      <c r="BT713" s="127"/>
      <c r="BU713" s="127"/>
      <c r="BV713" s="127"/>
      <c r="BW713" s="119"/>
      <c r="BX713" s="119"/>
      <c r="BY713" s="119"/>
      <c r="BZ713" s="119"/>
      <c r="CA713" s="119"/>
      <c r="CB713" s="119"/>
      <c r="CC713" s="119"/>
      <c r="CD713" s="119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19"/>
      <c r="CQ713" s="119"/>
      <c r="CR713" s="119"/>
      <c r="CS713" s="119"/>
      <c r="CT713" s="119"/>
      <c r="CU713" s="119"/>
      <c r="CV713" s="119"/>
      <c r="CW713" s="119"/>
      <c r="CX713" s="119"/>
      <c r="CY713" s="119"/>
      <c r="CZ713" s="119"/>
      <c r="DA713" s="119"/>
      <c r="DB713" s="119"/>
      <c r="DC713" s="119"/>
      <c r="DD713" s="119"/>
      <c r="DE713" s="119"/>
      <c r="DF713" s="119"/>
      <c r="DG713" s="119"/>
      <c r="DH713" s="119"/>
      <c r="DI713" s="119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119"/>
      <c r="DU713" s="119"/>
      <c r="DV713" s="119"/>
      <c r="DW713" s="119"/>
      <c r="DX713" s="119"/>
      <c r="DY713" s="119"/>
      <c r="DZ713" s="119"/>
      <c r="EA713" s="119"/>
      <c r="EB713" s="119"/>
      <c r="EC713" s="119"/>
      <c r="ED713" s="119"/>
      <c r="EE713" s="119"/>
    </row>
    <row r="714" ht="15.75" customHeight="1">
      <c r="A714" s="123"/>
      <c r="B714" s="123"/>
      <c r="C714" s="123"/>
      <c r="D714" s="123"/>
      <c r="E714" s="123"/>
      <c r="F714" s="123"/>
      <c r="G714" s="123"/>
      <c r="H714" s="123"/>
      <c r="I714" s="1"/>
      <c r="J714" s="1"/>
      <c r="K714" s="1"/>
      <c r="L714" s="1"/>
      <c r="M714" s="1"/>
      <c r="N714" s="1"/>
      <c r="O714" s="1"/>
      <c r="P714" s="1"/>
      <c r="Q714" s="1"/>
      <c r="R714" s="124"/>
      <c r="S714" s="1"/>
      <c r="T714" s="1"/>
      <c r="U714" s="1"/>
      <c r="V714" s="125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126"/>
      <c r="AH714" s="126"/>
      <c r="AI714" s="126"/>
      <c r="AJ714" s="126"/>
      <c r="AK714" s="126"/>
      <c r="AL714" s="126"/>
      <c r="AM714" s="126"/>
      <c r="AN714" s="126"/>
      <c r="AO714" s="126"/>
      <c r="AP714" s="126"/>
      <c r="AQ714" s="126"/>
      <c r="AR714" s="126"/>
      <c r="AS714" s="126"/>
      <c r="AT714" s="126"/>
      <c r="AU714" s="126"/>
      <c r="AV714" s="126"/>
      <c r="AW714" s="126"/>
      <c r="AX714" s="126"/>
      <c r="AY714" s="126"/>
      <c r="AZ714" s="126"/>
      <c r="BA714" s="126"/>
      <c r="BB714" s="126"/>
      <c r="BC714" s="126"/>
      <c r="BD714" s="126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127"/>
      <c r="BQ714" s="127"/>
      <c r="BR714" s="127"/>
      <c r="BS714" s="127"/>
      <c r="BT714" s="127"/>
      <c r="BU714" s="127"/>
      <c r="BV714" s="127"/>
      <c r="BW714" s="119"/>
      <c r="BX714" s="119"/>
      <c r="BY714" s="119"/>
      <c r="BZ714" s="119"/>
      <c r="CA714" s="119"/>
      <c r="CB714" s="119"/>
      <c r="CC714" s="119"/>
      <c r="CD714" s="119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19"/>
      <c r="CQ714" s="119"/>
      <c r="CR714" s="119"/>
      <c r="CS714" s="119"/>
      <c r="CT714" s="119"/>
      <c r="CU714" s="119"/>
      <c r="CV714" s="119"/>
      <c r="CW714" s="119"/>
      <c r="CX714" s="119"/>
      <c r="CY714" s="119"/>
      <c r="CZ714" s="119"/>
      <c r="DA714" s="119"/>
      <c r="DB714" s="119"/>
      <c r="DC714" s="119"/>
      <c r="DD714" s="119"/>
      <c r="DE714" s="119"/>
      <c r="DF714" s="119"/>
      <c r="DG714" s="119"/>
      <c r="DH714" s="119"/>
      <c r="DI714" s="119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119"/>
      <c r="DU714" s="119"/>
      <c r="DV714" s="119"/>
      <c r="DW714" s="119"/>
      <c r="DX714" s="119"/>
      <c r="DY714" s="119"/>
      <c r="DZ714" s="119"/>
      <c r="EA714" s="119"/>
      <c r="EB714" s="119"/>
      <c r="EC714" s="119"/>
      <c r="ED714" s="119"/>
      <c r="EE714" s="119"/>
    </row>
    <row r="715" ht="15.75" customHeight="1">
      <c r="A715" s="123"/>
      <c r="B715" s="123"/>
      <c r="C715" s="123"/>
      <c r="D715" s="123"/>
      <c r="E715" s="123"/>
      <c r="F715" s="123"/>
      <c r="G715" s="123"/>
      <c r="H715" s="123"/>
      <c r="I715" s="1"/>
      <c r="J715" s="1"/>
      <c r="K715" s="1"/>
      <c r="L715" s="1"/>
      <c r="M715" s="1"/>
      <c r="N715" s="1"/>
      <c r="O715" s="1"/>
      <c r="P715" s="1"/>
      <c r="Q715" s="1"/>
      <c r="R715" s="124"/>
      <c r="S715" s="1"/>
      <c r="T715" s="1"/>
      <c r="U715" s="1"/>
      <c r="V715" s="125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126"/>
      <c r="AH715" s="126"/>
      <c r="AI715" s="126"/>
      <c r="AJ715" s="126"/>
      <c r="AK715" s="126"/>
      <c r="AL715" s="126"/>
      <c r="AM715" s="126"/>
      <c r="AN715" s="126"/>
      <c r="AO715" s="126"/>
      <c r="AP715" s="126"/>
      <c r="AQ715" s="126"/>
      <c r="AR715" s="126"/>
      <c r="AS715" s="126"/>
      <c r="AT715" s="126"/>
      <c r="AU715" s="126"/>
      <c r="AV715" s="126"/>
      <c r="AW715" s="126"/>
      <c r="AX715" s="126"/>
      <c r="AY715" s="126"/>
      <c r="AZ715" s="126"/>
      <c r="BA715" s="126"/>
      <c r="BB715" s="126"/>
      <c r="BC715" s="126"/>
      <c r="BD715" s="126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127"/>
      <c r="BQ715" s="127"/>
      <c r="BR715" s="127"/>
      <c r="BS715" s="127"/>
      <c r="BT715" s="127"/>
      <c r="BU715" s="127"/>
      <c r="BV715" s="127"/>
      <c r="BW715" s="119"/>
      <c r="BX715" s="119"/>
      <c r="BY715" s="119"/>
      <c r="BZ715" s="119"/>
      <c r="CA715" s="119"/>
      <c r="CB715" s="119"/>
      <c r="CC715" s="119"/>
      <c r="CD715" s="119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19"/>
      <c r="CQ715" s="119"/>
      <c r="CR715" s="119"/>
      <c r="CS715" s="119"/>
      <c r="CT715" s="119"/>
      <c r="CU715" s="119"/>
      <c r="CV715" s="119"/>
      <c r="CW715" s="119"/>
      <c r="CX715" s="119"/>
      <c r="CY715" s="119"/>
      <c r="CZ715" s="119"/>
      <c r="DA715" s="119"/>
      <c r="DB715" s="119"/>
      <c r="DC715" s="119"/>
      <c r="DD715" s="119"/>
      <c r="DE715" s="119"/>
      <c r="DF715" s="119"/>
      <c r="DG715" s="119"/>
      <c r="DH715" s="119"/>
      <c r="DI715" s="119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119"/>
      <c r="DU715" s="119"/>
      <c r="DV715" s="119"/>
      <c r="DW715" s="119"/>
      <c r="DX715" s="119"/>
      <c r="DY715" s="119"/>
      <c r="DZ715" s="119"/>
      <c r="EA715" s="119"/>
      <c r="EB715" s="119"/>
      <c r="EC715" s="119"/>
      <c r="ED715" s="119"/>
      <c r="EE715" s="119"/>
    </row>
    <row r="716" ht="15.75" customHeight="1">
      <c r="A716" s="123"/>
      <c r="B716" s="123"/>
      <c r="C716" s="123"/>
      <c r="D716" s="123"/>
      <c r="E716" s="123"/>
      <c r="F716" s="123"/>
      <c r="G716" s="123"/>
      <c r="H716" s="123"/>
      <c r="I716" s="1"/>
      <c r="J716" s="1"/>
      <c r="K716" s="1"/>
      <c r="L716" s="1"/>
      <c r="M716" s="1"/>
      <c r="N716" s="1"/>
      <c r="O716" s="1"/>
      <c r="P716" s="1"/>
      <c r="Q716" s="1"/>
      <c r="R716" s="124"/>
      <c r="S716" s="1"/>
      <c r="T716" s="1"/>
      <c r="U716" s="1"/>
      <c r="V716" s="125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126"/>
      <c r="AH716" s="126"/>
      <c r="AI716" s="126"/>
      <c r="AJ716" s="126"/>
      <c r="AK716" s="126"/>
      <c r="AL716" s="126"/>
      <c r="AM716" s="126"/>
      <c r="AN716" s="126"/>
      <c r="AO716" s="126"/>
      <c r="AP716" s="126"/>
      <c r="AQ716" s="126"/>
      <c r="AR716" s="126"/>
      <c r="AS716" s="126"/>
      <c r="AT716" s="126"/>
      <c r="AU716" s="126"/>
      <c r="AV716" s="126"/>
      <c r="AW716" s="126"/>
      <c r="AX716" s="126"/>
      <c r="AY716" s="126"/>
      <c r="AZ716" s="126"/>
      <c r="BA716" s="126"/>
      <c r="BB716" s="126"/>
      <c r="BC716" s="126"/>
      <c r="BD716" s="126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127"/>
      <c r="BQ716" s="127"/>
      <c r="BR716" s="127"/>
      <c r="BS716" s="127"/>
      <c r="BT716" s="127"/>
      <c r="BU716" s="127"/>
      <c r="BV716" s="127"/>
      <c r="BW716" s="119"/>
      <c r="BX716" s="119"/>
      <c r="BY716" s="119"/>
      <c r="BZ716" s="119"/>
      <c r="CA716" s="119"/>
      <c r="CB716" s="119"/>
      <c r="CC716" s="119"/>
      <c r="CD716" s="119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19"/>
      <c r="CQ716" s="119"/>
      <c r="CR716" s="119"/>
      <c r="CS716" s="119"/>
      <c r="CT716" s="119"/>
      <c r="CU716" s="119"/>
      <c r="CV716" s="119"/>
      <c r="CW716" s="119"/>
      <c r="CX716" s="119"/>
      <c r="CY716" s="119"/>
      <c r="CZ716" s="119"/>
      <c r="DA716" s="119"/>
      <c r="DB716" s="119"/>
      <c r="DC716" s="119"/>
      <c r="DD716" s="119"/>
      <c r="DE716" s="119"/>
      <c r="DF716" s="119"/>
      <c r="DG716" s="119"/>
      <c r="DH716" s="119"/>
      <c r="DI716" s="119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119"/>
      <c r="DU716" s="119"/>
      <c r="DV716" s="119"/>
      <c r="DW716" s="119"/>
      <c r="DX716" s="119"/>
      <c r="DY716" s="119"/>
      <c r="DZ716" s="119"/>
      <c r="EA716" s="119"/>
      <c r="EB716" s="119"/>
      <c r="EC716" s="119"/>
      <c r="ED716" s="119"/>
      <c r="EE716" s="119"/>
    </row>
    <row r="717" ht="15.75" customHeight="1">
      <c r="A717" s="123"/>
      <c r="B717" s="123"/>
      <c r="C717" s="123"/>
      <c r="D717" s="123"/>
      <c r="E717" s="123"/>
      <c r="F717" s="123"/>
      <c r="G717" s="123"/>
      <c r="H717" s="123"/>
      <c r="I717" s="1"/>
      <c r="J717" s="1"/>
      <c r="K717" s="1"/>
      <c r="L717" s="1"/>
      <c r="M717" s="1"/>
      <c r="N717" s="1"/>
      <c r="O717" s="1"/>
      <c r="P717" s="1"/>
      <c r="Q717" s="1"/>
      <c r="R717" s="124"/>
      <c r="S717" s="1"/>
      <c r="T717" s="1"/>
      <c r="U717" s="1"/>
      <c r="V717" s="125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126"/>
      <c r="AH717" s="126"/>
      <c r="AI717" s="126"/>
      <c r="AJ717" s="126"/>
      <c r="AK717" s="126"/>
      <c r="AL717" s="126"/>
      <c r="AM717" s="126"/>
      <c r="AN717" s="126"/>
      <c r="AO717" s="126"/>
      <c r="AP717" s="126"/>
      <c r="AQ717" s="126"/>
      <c r="AR717" s="126"/>
      <c r="AS717" s="126"/>
      <c r="AT717" s="126"/>
      <c r="AU717" s="126"/>
      <c r="AV717" s="126"/>
      <c r="AW717" s="126"/>
      <c r="AX717" s="126"/>
      <c r="AY717" s="126"/>
      <c r="AZ717" s="126"/>
      <c r="BA717" s="126"/>
      <c r="BB717" s="126"/>
      <c r="BC717" s="126"/>
      <c r="BD717" s="126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127"/>
      <c r="BQ717" s="127"/>
      <c r="BR717" s="127"/>
      <c r="BS717" s="127"/>
      <c r="BT717" s="127"/>
      <c r="BU717" s="127"/>
      <c r="BV717" s="127"/>
      <c r="BW717" s="119"/>
      <c r="BX717" s="119"/>
      <c r="BY717" s="119"/>
      <c r="BZ717" s="119"/>
      <c r="CA717" s="119"/>
      <c r="CB717" s="119"/>
      <c r="CC717" s="119"/>
      <c r="CD717" s="119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19"/>
      <c r="CQ717" s="119"/>
      <c r="CR717" s="119"/>
      <c r="CS717" s="119"/>
      <c r="CT717" s="119"/>
      <c r="CU717" s="119"/>
      <c r="CV717" s="119"/>
      <c r="CW717" s="119"/>
      <c r="CX717" s="119"/>
      <c r="CY717" s="119"/>
      <c r="CZ717" s="119"/>
      <c r="DA717" s="119"/>
      <c r="DB717" s="119"/>
      <c r="DC717" s="119"/>
      <c r="DD717" s="119"/>
      <c r="DE717" s="119"/>
      <c r="DF717" s="119"/>
      <c r="DG717" s="119"/>
      <c r="DH717" s="119"/>
      <c r="DI717" s="119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119"/>
      <c r="DU717" s="119"/>
      <c r="DV717" s="119"/>
      <c r="DW717" s="119"/>
      <c r="DX717" s="119"/>
      <c r="DY717" s="119"/>
      <c r="DZ717" s="119"/>
      <c r="EA717" s="119"/>
      <c r="EB717" s="119"/>
      <c r="EC717" s="119"/>
      <c r="ED717" s="119"/>
      <c r="EE717" s="119"/>
    </row>
    <row r="718" ht="15.75" customHeight="1">
      <c r="A718" s="123"/>
      <c r="B718" s="123"/>
      <c r="C718" s="123"/>
      <c r="D718" s="123"/>
      <c r="E718" s="123"/>
      <c r="F718" s="123"/>
      <c r="G718" s="123"/>
      <c r="H718" s="123"/>
      <c r="I718" s="1"/>
      <c r="J718" s="1"/>
      <c r="K718" s="1"/>
      <c r="L718" s="1"/>
      <c r="M718" s="1"/>
      <c r="N718" s="1"/>
      <c r="O718" s="1"/>
      <c r="P718" s="1"/>
      <c r="Q718" s="1"/>
      <c r="R718" s="124"/>
      <c r="S718" s="1"/>
      <c r="T718" s="1"/>
      <c r="U718" s="1"/>
      <c r="V718" s="125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126"/>
      <c r="AH718" s="126"/>
      <c r="AI718" s="126"/>
      <c r="AJ718" s="126"/>
      <c r="AK718" s="126"/>
      <c r="AL718" s="126"/>
      <c r="AM718" s="126"/>
      <c r="AN718" s="126"/>
      <c r="AO718" s="126"/>
      <c r="AP718" s="126"/>
      <c r="AQ718" s="126"/>
      <c r="AR718" s="126"/>
      <c r="AS718" s="126"/>
      <c r="AT718" s="126"/>
      <c r="AU718" s="126"/>
      <c r="AV718" s="126"/>
      <c r="AW718" s="126"/>
      <c r="AX718" s="126"/>
      <c r="AY718" s="126"/>
      <c r="AZ718" s="126"/>
      <c r="BA718" s="126"/>
      <c r="BB718" s="126"/>
      <c r="BC718" s="126"/>
      <c r="BD718" s="126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127"/>
      <c r="BQ718" s="127"/>
      <c r="BR718" s="127"/>
      <c r="BS718" s="127"/>
      <c r="BT718" s="127"/>
      <c r="BU718" s="127"/>
      <c r="BV718" s="127"/>
      <c r="BW718" s="119"/>
      <c r="BX718" s="119"/>
      <c r="BY718" s="119"/>
      <c r="BZ718" s="119"/>
      <c r="CA718" s="119"/>
      <c r="CB718" s="119"/>
      <c r="CC718" s="119"/>
      <c r="CD718" s="119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19"/>
      <c r="CQ718" s="119"/>
      <c r="CR718" s="119"/>
      <c r="CS718" s="119"/>
      <c r="CT718" s="119"/>
      <c r="CU718" s="119"/>
      <c r="CV718" s="119"/>
      <c r="CW718" s="119"/>
      <c r="CX718" s="119"/>
      <c r="CY718" s="119"/>
      <c r="CZ718" s="119"/>
      <c r="DA718" s="119"/>
      <c r="DB718" s="119"/>
      <c r="DC718" s="119"/>
      <c r="DD718" s="119"/>
      <c r="DE718" s="119"/>
      <c r="DF718" s="119"/>
      <c r="DG718" s="119"/>
      <c r="DH718" s="119"/>
      <c r="DI718" s="119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119"/>
      <c r="DU718" s="119"/>
      <c r="DV718" s="119"/>
      <c r="DW718" s="119"/>
      <c r="DX718" s="119"/>
      <c r="DY718" s="119"/>
      <c r="DZ718" s="119"/>
      <c r="EA718" s="119"/>
      <c r="EB718" s="119"/>
      <c r="EC718" s="119"/>
      <c r="ED718" s="119"/>
      <c r="EE718" s="119"/>
    </row>
    <row r="719" ht="15.75" customHeight="1">
      <c r="A719" s="123"/>
      <c r="B719" s="123"/>
      <c r="C719" s="123"/>
      <c r="D719" s="123"/>
      <c r="E719" s="123"/>
      <c r="F719" s="123"/>
      <c r="G719" s="123"/>
      <c r="H719" s="123"/>
      <c r="I719" s="1"/>
      <c r="J719" s="1"/>
      <c r="K719" s="1"/>
      <c r="L719" s="1"/>
      <c r="M719" s="1"/>
      <c r="N719" s="1"/>
      <c r="O719" s="1"/>
      <c r="P719" s="1"/>
      <c r="Q719" s="1"/>
      <c r="R719" s="124"/>
      <c r="S719" s="1"/>
      <c r="T719" s="1"/>
      <c r="U719" s="1"/>
      <c r="V719" s="125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126"/>
      <c r="AH719" s="126"/>
      <c r="AI719" s="126"/>
      <c r="AJ719" s="126"/>
      <c r="AK719" s="126"/>
      <c r="AL719" s="126"/>
      <c r="AM719" s="126"/>
      <c r="AN719" s="126"/>
      <c r="AO719" s="126"/>
      <c r="AP719" s="126"/>
      <c r="AQ719" s="126"/>
      <c r="AR719" s="126"/>
      <c r="AS719" s="126"/>
      <c r="AT719" s="126"/>
      <c r="AU719" s="126"/>
      <c r="AV719" s="126"/>
      <c r="AW719" s="126"/>
      <c r="AX719" s="126"/>
      <c r="AY719" s="126"/>
      <c r="AZ719" s="126"/>
      <c r="BA719" s="126"/>
      <c r="BB719" s="126"/>
      <c r="BC719" s="126"/>
      <c r="BD719" s="126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127"/>
      <c r="BQ719" s="127"/>
      <c r="BR719" s="127"/>
      <c r="BS719" s="127"/>
      <c r="BT719" s="127"/>
      <c r="BU719" s="127"/>
      <c r="BV719" s="127"/>
      <c r="BW719" s="119"/>
      <c r="BX719" s="119"/>
      <c r="BY719" s="119"/>
      <c r="BZ719" s="119"/>
      <c r="CA719" s="119"/>
      <c r="CB719" s="119"/>
      <c r="CC719" s="119"/>
      <c r="CD719" s="119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19"/>
      <c r="CQ719" s="119"/>
      <c r="CR719" s="119"/>
      <c r="CS719" s="119"/>
      <c r="CT719" s="119"/>
      <c r="CU719" s="119"/>
      <c r="CV719" s="119"/>
      <c r="CW719" s="119"/>
      <c r="CX719" s="119"/>
      <c r="CY719" s="119"/>
      <c r="CZ719" s="119"/>
      <c r="DA719" s="119"/>
      <c r="DB719" s="119"/>
      <c r="DC719" s="119"/>
      <c r="DD719" s="119"/>
      <c r="DE719" s="119"/>
      <c r="DF719" s="119"/>
      <c r="DG719" s="119"/>
      <c r="DH719" s="119"/>
      <c r="DI719" s="119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119"/>
      <c r="DU719" s="119"/>
      <c r="DV719" s="119"/>
      <c r="DW719" s="119"/>
      <c r="DX719" s="119"/>
      <c r="DY719" s="119"/>
      <c r="DZ719" s="119"/>
      <c r="EA719" s="119"/>
      <c r="EB719" s="119"/>
      <c r="EC719" s="119"/>
      <c r="ED719" s="119"/>
      <c r="EE719" s="119"/>
    </row>
    <row r="720" ht="15.75" customHeight="1">
      <c r="A720" s="135"/>
      <c r="B720" s="135"/>
      <c r="C720" s="135"/>
      <c r="D720" s="135"/>
      <c r="E720" s="135"/>
      <c r="F720" s="135"/>
      <c r="G720" s="135"/>
      <c r="H720" s="135"/>
      <c r="I720" s="1"/>
      <c r="J720" s="1"/>
      <c r="K720" s="1"/>
      <c r="L720" s="1"/>
      <c r="M720" s="1"/>
      <c r="N720" s="1"/>
      <c r="O720" s="1"/>
      <c r="P720" s="1"/>
      <c r="Q720" s="1"/>
      <c r="R720" s="124"/>
      <c r="S720" s="1"/>
      <c r="T720" s="1"/>
      <c r="U720" s="1"/>
      <c r="V720" s="125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126"/>
      <c r="AH720" s="126"/>
      <c r="AI720" s="126"/>
      <c r="AJ720" s="126"/>
      <c r="AK720" s="126"/>
      <c r="AL720" s="126"/>
      <c r="AM720" s="126"/>
      <c r="AN720" s="126"/>
      <c r="AO720" s="126"/>
      <c r="AP720" s="126"/>
      <c r="AQ720" s="126"/>
      <c r="AR720" s="126"/>
      <c r="AS720" s="126"/>
      <c r="AT720" s="126"/>
      <c r="AU720" s="126"/>
      <c r="AV720" s="126"/>
      <c r="AW720" s="126"/>
      <c r="AX720" s="126"/>
      <c r="AY720" s="126"/>
      <c r="AZ720" s="126"/>
      <c r="BA720" s="126"/>
      <c r="BB720" s="126"/>
      <c r="BC720" s="126"/>
      <c r="BD720" s="126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127"/>
      <c r="BQ720" s="127"/>
      <c r="BR720" s="127"/>
      <c r="BS720" s="127"/>
      <c r="BT720" s="127"/>
      <c r="BU720" s="127"/>
      <c r="BV720" s="127"/>
      <c r="BW720" s="119"/>
      <c r="BX720" s="119"/>
      <c r="BY720" s="119"/>
      <c r="BZ720" s="119"/>
      <c r="CA720" s="119"/>
      <c r="CB720" s="119"/>
      <c r="CC720" s="119"/>
      <c r="CD720" s="119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19"/>
      <c r="CQ720" s="119"/>
      <c r="CR720" s="119"/>
      <c r="CS720" s="119"/>
      <c r="CT720" s="119"/>
      <c r="CU720" s="119"/>
      <c r="CV720" s="119"/>
      <c r="CW720" s="119"/>
      <c r="CX720" s="119"/>
      <c r="CY720" s="119"/>
      <c r="CZ720" s="119"/>
      <c r="DA720" s="119"/>
      <c r="DB720" s="119"/>
      <c r="DC720" s="119"/>
      <c r="DD720" s="119"/>
      <c r="DE720" s="119"/>
      <c r="DF720" s="119"/>
      <c r="DG720" s="119"/>
      <c r="DH720" s="119"/>
      <c r="DI720" s="119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119"/>
      <c r="DU720" s="119"/>
      <c r="DV720" s="119"/>
      <c r="DW720" s="119"/>
      <c r="DX720" s="119"/>
      <c r="DY720" s="119"/>
      <c r="DZ720" s="119"/>
      <c r="EA720" s="119"/>
      <c r="EB720" s="119"/>
      <c r="EC720" s="119"/>
      <c r="ED720" s="119"/>
      <c r="EE720" s="119"/>
    </row>
    <row r="721" ht="15.75" customHeight="1">
      <c r="A721" s="135"/>
      <c r="B721" s="135"/>
      <c r="C721" s="135"/>
      <c r="D721" s="135"/>
      <c r="E721" s="135"/>
      <c r="F721" s="135"/>
      <c r="G721" s="135"/>
      <c r="H721" s="135"/>
      <c r="I721" s="1"/>
      <c r="J721" s="1"/>
      <c r="K721" s="1"/>
      <c r="L721" s="1"/>
      <c r="M721" s="1"/>
      <c r="N721" s="1"/>
      <c r="O721" s="1"/>
      <c r="P721" s="1"/>
      <c r="Q721" s="1"/>
      <c r="R721" s="124"/>
      <c r="S721" s="1"/>
      <c r="T721" s="1"/>
      <c r="U721" s="1"/>
      <c r="V721" s="125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126"/>
      <c r="AH721" s="126"/>
      <c r="AI721" s="126"/>
      <c r="AJ721" s="126"/>
      <c r="AK721" s="126"/>
      <c r="AL721" s="126"/>
      <c r="AM721" s="126"/>
      <c r="AN721" s="126"/>
      <c r="AO721" s="126"/>
      <c r="AP721" s="126"/>
      <c r="AQ721" s="126"/>
      <c r="AR721" s="126"/>
      <c r="AS721" s="126"/>
      <c r="AT721" s="126"/>
      <c r="AU721" s="126"/>
      <c r="AV721" s="126"/>
      <c r="AW721" s="126"/>
      <c r="AX721" s="126"/>
      <c r="AY721" s="126"/>
      <c r="AZ721" s="126"/>
      <c r="BA721" s="126"/>
      <c r="BB721" s="126"/>
      <c r="BC721" s="126"/>
      <c r="BD721" s="126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127"/>
      <c r="BQ721" s="127"/>
      <c r="BR721" s="127"/>
      <c r="BS721" s="127"/>
      <c r="BT721" s="127"/>
      <c r="BU721" s="127"/>
      <c r="BV721" s="127"/>
      <c r="BW721" s="119"/>
      <c r="BX721" s="119"/>
      <c r="BY721" s="119"/>
      <c r="BZ721" s="119"/>
      <c r="CA721" s="119"/>
      <c r="CB721" s="119"/>
      <c r="CC721" s="119"/>
      <c r="CD721" s="119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19"/>
      <c r="CQ721" s="119"/>
      <c r="CR721" s="119"/>
      <c r="CS721" s="119"/>
      <c r="CT721" s="119"/>
      <c r="CU721" s="119"/>
      <c r="CV721" s="119"/>
      <c r="CW721" s="119"/>
      <c r="CX721" s="119"/>
      <c r="CY721" s="119"/>
      <c r="CZ721" s="119"/>
      <c r="DA721" s="119"/>
      <c r="DB721" s="119"/>
      <c r="DC721" s="119"/>
      <c r="DD721" s="119"/>
      <c r="DE721" s="119"/>
      <c r="DF721" s="119"/>
      <c r="DG721" s="119"/>
      <c r="DH721" s="119"/>
      <c r="DI721" s="119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119"/>
      <c r="DU721" s="119"/>
      <c r="DV721" s="119"/>
      <c r="DW721" s="119"/>
      <c r="DX721" s="119"/>
      <c r="DY721" s="119"/>
      <c r="DZ721" s="119"/>
      <c r="EA721" s="119"/>
      <c r="EB721" s="119"/>
      <c r="EC721" s="119"/>
      <c r="ED721" s="119"/>
      <c r="EE721" s="119"/>
    </row>
    <row r="722" ht="15.75" customHeight="1">
      <c r="A722" s="135"/>
      <c r="B722" s="135"/>
      <c r="C722" s="135"/>
      <c r="D722" s="135"/>
      <c r="E722" s="135"/>
      <c r="F722" s="135"/>
      <c r="G722" s="135"/>
      <c r="H722" s="135"/>
      <c r="I722" s="1"/>
      <c r="J722" s="1"/>
      <c r="K722" s="1"/>
      <c r="L722" s="1"/>
      <c r="M722" s="1"/>
      <c r="N722" s="1"/>
      <c r="O722" s="1"/>
      <c r="P722" s="1"/>
      <c r="Q722" s="1"/>
      <c r="R722" s="124"/>
      <c r="S722" s="1"/>
      <c r="T722" s="1"/>
      <c r="U722" s="1"/>
      <c r="V722" s="125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126"/>
      <c r="AH722" s="126"/>
      <c r="AI722" s="126"/>
      <c r="AJ722" s="126"/>
      <c r="AK722" s="126"/>
      <c r="AL722" s="126"/>
      <c r="AM722" s="126"/>
      <c r="AN722" s="126"/>
      <c r="AO722" s="126"/>
      <c r="AP722" s="126"/>
      <c r="AQ722" s="126"/>
      <c r="AR722" s="126"/>
      <c r="AS722" s="126"/>
      <c r="AT722" s="126"/>
      <c r="AU722" s="126"/>
      <c r="AV722" s="126"/>
      <c r="AW722" s="126"/>
      <c r="AX722" s="126"/>
      <c r="AY722" s="126"/>
      <c r="AZ722" s="126"/>
      <c r="BA722" s="126"/>
      <c r="BB722" s="126"/>
      <c r="BC722" s="126"/>
      <c r="BD722" s="126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127"/>
      <c r="BQ722" s="127"/>
      <c r="BR722" s="127"/>
      <c r="BS722" s="127"/>
      <c r="BT722" s="127"/>
      <c r="BU722" s="127"/>
      <c r="BV722" s="127"/>
      <c r="BW722" s="119"/>
      <c r="BX722" s="119"/>
      <c r="BY722" s="119"/>
      <c r="BZ722" s="119"/>
      <c r="CA722" s="119"/>
      <c r="CB722" s="119"/>
      <c r="CC722" s="119"/>
      <c r="CD722" s="119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19"/>
      <c r="CQ722" s="119"/>
      <c r="CR722" s="119"/>
      <c r="CS722" s="119"/>
      <c r="CT722" s="119"/>
      <c r="CU722" s="119"/>
      <c r="CV722" s="119"/>
      <c r="CW722" s="119"/>
      <c r="CX722" s="119"/>
      <c r="CY722" s="119"/>
      <c r="CZ722" s="119"/>
      <c r="DA722" s="119"/>
      <c r="DB722" s="119"/>
      <c r="DC722" s="119"/>
      <c r="DD722" s="119"/>
      <c r="DE722" s="119"/>
      <c r="DF722" s="119"/>
      <c r="DG722" s="119"/>
      <c r="DH722" s="119"/>
      <c r="DI722" s="119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119"/>
      <c r="DU722" s="119"/>
      <c r="DV722" s="119"/>
      <c r="DW722" s="119"/>
      <c r="DX722" s="119"/>
      <c r="DY722" s="119"/>
      <c r="DZ722" s="119"/>
      <c r="EA722" s="119"/>
      <c r="EB722" s="119"/>
      <c r="EC722" s="119"/>
      <c r="ED722" s="119"/>
      <c r="EE722" s="119"/>
    </row>
    <row r="723" ht="15.75" customHeight="1">
      <c r="A723" s="135"/>
      <c r="B723" s="135"/>
      <c r="C723" s="135"/>
      <c r="D723" s="135"/>
      <c r="E723" s="135"/>
      <c r="F723" s="135"/>
      <c r="G723" s="135"/>
      <c r="H723" s="135"/>
      <c r="I723" s="1"/>
      <c r="J723" s="1"/>
      <c r="K723" s="1"/>
      <c r="L723" s="1"/>
      <c r="M723" s="1"/>
      <c r="N723" s="1"/>
      <c r="O723" s="1"/>
      <c r="P723" s="1"/>
      <c r="Q723" s="1"/>
      <c r="R723" s="124"/>
      <c r="S723" s="1"/>
      <c r="T723" s="1"/>
      <c r="U723" s="1"/>
      <c r="V723" s="125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126"/>
      <c r="AH723" s="126"/>
      <c r="AI723" s="126"/>
      <c r="AJ723" s="126"/>
      <c r="AK723" s="126"/>
      <c r="AL723" s="126"/>
      <c r="AM723" s="126"/>
      <c r="AN723" s="126"/>
      <c r="AO723" s="126"/>
      <c r="AP723" s="126"/>
      <c r="AQ723" s="126"/>
      <c r="AR723" s="126"/>
      <c r="AS723" s="126"/>
      <c r="AT723" s="126"/>
      <c r="AU723" s="126"/>
      <c r="AV723" s="126"/>
      <c r="AW723" s="126"/>
      <c r="AX723" s="126"/>
      <c r="AY723" s="126"/>
      <c r="AZ723" s="126"/>
      <c r="BA723" s="126"/>
      <c r="BB723" s="126"/>
      <c r="BC723" s="126"/>
      <c r="BD723" s="126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127"/>
      <c r="BQ723" s="127"/>
      <c r="BR723" s="127"/>
      <c r="BS723" s="127"/>
      <c r="BT723" s="127"/>
      <c r="BU723" s="127"/>
      <c r="BV723" s="127"/>
      <c r="BW723" s="119"/>
      <c r="BX723" s="119"/>
      <c r="BY723" s="119"/>
      <c r="BZ723" s="119"/>
      <c r="CA723" s="119"/>
      <c r="CB723" s="119"/>
      <c r="CC723" s="119"/>
      <c r="CD723" s="119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19"/>
      <c r="CQ723" s="119"/>
      <c r="CR723" s="119"/>
      <c r="CS723" s="119"/>
      <c r="CT723" s="119"/>
      <c r="CU723" s="119"/>
      <c r="CV723" s="119"/>
      <c r="CW723" s="119"/>
      <c r="CX723" s="119"/>
      <c r="CY723" s="119"/>
      <c r="CZ723" s="119"/>
      <c r="DA723" s="119"/>
      <c r="DB723" s="119"/>
      <c r="DC723" s="119"/>
      <c r="DD723" s="119"/>
      <c r="DE723" s="119"/>
      <c r="DF723" s="119"/>
      <c r="DG723" s="119"/>
      <c r="DH723" s="119"/>
      <c r="DI723" s="119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119"/>
      <c r="DU723" s="119"/>
      <c r="DV723" s="119"/>
      <c r="DW723" s="119"/>
      <c r="DX723" s="119"/>
      <c r="DY723" s="119"/>
      <c r="DZ723" s="119"/>
      <c r="EA723" s="119"/>
      <c r="EB723" s="119"/>
      <c r="EC723" s="119"/>
      <c r="ED723" s="119"/>
      <c r="EE723" s="119"/>
    </row>
    <row r="724" ht="15.75" customHeight="1">
      <c r="A724" s="135"/>
      <c r="B724" s="135"/>
      <c r="C724" s="135"/>
      <c r="D724" s="135"/>
      <c r="E724" s="135"/>
      <c r="F724" s="135"/>
      <c r="G724" s="135"/>
      <c r="H724" s="135"/>
      <c r="I724" s="1"/>
      <c r="J724" s="1"/>
      <c r="K724" s="1"/>
      <c r="L724" s="1"/>
      <c r="M724" s="1"/>
      <c r="N724" s="1"/>
      <c r="O724" s="1"/>
      <c r="P724" s="1"/>
      <c r="Q724" s="1"/>
      <c r="R724" s="124"/>
      <c r="S724" s="1"/>
      <c r="T724" s="1"/>
      <c r="U724" s="1"/>
      <c r="V724" s="125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126"/>
      <c r="AH724" s="126"/>
      <c r="AI724" s="126"/>
      <c r="AJ724" s="126"/>
      <c r="AK724" s="126"/>
      <c r="AL724" s="126"/>
      <c r="AM724" s="126"/>
      <c r="AN724" s="126"/>
      <c r="AO724" s="126"/>
      <c r="AP724" s="126"/>
      <c r="AQ724" s="126"/>
      <c r="AR724" s="126"/>
      <c r="AS724" s="126"/>
      <c r="AT724" s="126"/>
      <c r="AU724" s="126"/>
      <c r="AV724" s="126"/>
      <c r="AW724" s="126"/>
      <c r="AX724" s="126"/>
      <c r="AY724" s="126"/>
      <c r="AZ724" s="126"/>
      <c r="BA724" s="126"/>
      <c r="BB724" s="126"/>
      <c r="BC724" s="126"/>
      <c r="BD724" s="126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127"/>
      <c r="BQ724" s="127"/>
      <c r="BR724" s="127"/>
      <c r="BS724" s="127"/>
      <c r="BT724" s="127"/>
      <c r="BU724" s="127"/>
      <c r="BV724" s="127"/>
      <c r="BW724" s="119"/>
      <c r="BX724" s="119"/>
      <c r="BY724" s="119"/>
      <c r="BZ724" s="119"/>
      <c r="CA724" s="119"/>
      <c r="CB724" s="119"/>
      <c r="CC724" s="119"/>
      <c r="CD724" s="119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19"/>
      <c r="CQ724" s="119"/>
      <c r="CR724" s="119"/>
      <c r="CS724" s="119"/>
      <c r="CT724" s="119"/>
      <c r="CU724" s="119"/>
      <c r="CV724" s="119"/>
      <c r="CW724" s="119"/>
      <c r="CX724" s="119"/>
      <c r="CY724" s="119"/>
      <c r="CZ724" s="119"/>
      <c r="DA724" s="119"/>
      <c r="DB724" s="119"/>
      <c r="DC724" s="119"/>
      <c r="DD724" s="119"/>
      <c r="DE724" s="119"/>
      <c r="DF724" s="119"/>
      <c r="DG724" s="119"/>
      <c r="DH724" s="119"/>
      <c r="DI724" s="119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119"/>
      <c r="DU724" s="119"/>
      <c r="DV724" s="119"/>
      <c r="DW724" s="119"/>
      <c r="DX724" s="119"/>
      <c r="DY724" s="119"/>
      <c r="DZ724" s="119"/>
      <c r="EA724" s="119"/>
      <c r="EB724" s="119"/>
      <c r="EC724" s="119"/>
      <c r="ED724" s="119"/>
      <c r="EE724" s="119"/>
    </row>
    <row r="725" ht="15.75" customHeight="1">
      <c r="A725" s="135"/>
      <c r="B725" s="135"/>
      <c r="C725" s="135"/>
      <c r="D725" s="135"/>
      <c r="E725" s="135"/>
      <c r="F725" s="135"/>
      <c r="G725" s="135"/>
      <c r="H725" s="135"/>
      <c r="I725" s="1"/>
      <c r="J725" s="1"/>
      <c r="K725" s="1"/>
      <c r="L725" s="1"/>
      <c r="M725" s="1"/>
      <c r="N725" s="1"/>
      <c r="O725" s="1"/>
      <c r="P725" s="1"/>
      <c r="Q725" s="1"/>
      <c r="R725" s="124"/>
      <c r="S725" s="1"/>
      <c r="T725" s="1"/>
      <c r="U725" s="1"/>
      <c r="V725" s="125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126"/>
      <c r="AH725" s="126"/>
      <c r="AI725" s="126"/>
      <c r="AJ725" s="126"/>
      <c r="AK725" s="126"/>
      <c r="AL725" s="126"/>
      <c r="AM725" s="126"/>
      <c r="AN725" s="126"/>
      <c r="AO725" s="126"/>
      <c r="AP725" s="126"/>
      <c r="AQ725" s="126"/>
      <c r="AR725" s="126"/>
      <c r="AS725" s="126"/>
      <c r="AT725" s="126"/>
      <c r="AU725" s="126"/>
      <c r="AV725" s="126"/>
      <c r="AW725" s="126"/>
      <c r="AX725" s="126"/>
      <c r="AY725" s="126"/>
      <c r="AZ725" s="126"/>
      <c r="BA725" s="126"/>
      <c r="BB725" s="126"/>
      <c r="BC725" s="126"/>
      <c r="BD725" s="126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127"/>
      <c r="BQ725" s="127"/>
      <c r="BR725" s="127"/>
      <c r="BS725" s="127"/>
      <c r="BT725" s="127"/>
      <c r="BU725" s="127"/>
      <c r="BV725" s="127"/>
      <c r="BW725" s="119"/>
      <c r="BX725" s="119"/>
      <c r="BY725" s="119"/>
      <c r="BZ725" s="119"/>
      <c r="CA725" s="119"/>
      <c r="CB725" s="119"/>
      <c r="CC725" s="119"/>
      <c r="CD725" s="119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19"/>
      <c r="CQ725" s="119"/>
      <c r="CR725" s="119"/>
      <c r="CS725" s="119"/>
      <c r="CT725" s="119"/>
      <c r="CU725" s="119"/>
      <c r="CV725" s="119"/>
      <c r="CW725" s="119"/>
      <c r="CX725" s="119"/>
      <c r="CY725" s="119"/>
      <c r="CZ725" s="119"/>
      <c r="DA725" s="119"/>
      <c r="DB725" s="119"/>
      <c r="DC725" s="119"/>
      <c r="DD725" s="119"/>
      <c r="DE725" s="119"/>
      <c r="DF725" s="119"/>
      <c r="DG725" s="119"/>
      <c r="DH725" s="119"/>
      <c r="DI725" s="119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119"/>
      <c r="DU725" s="119"/>
      <c r="DV725" s="119"/>
      <c r="DW725" s="119"/>
      <c r="DX725" s="119"/>
      <c r="DY725" s="119"/>
      <c r="DZ725" s="119"/>
      <c r="EA725" s="119"/>
      <c r="EB725" s="119"/>
      <c r="EC725" s="119"/>
      <c r="ED725" s="119"/>
      <c r="EE725" s="119"/>
    </row>
    <row r="726" ht="15.75" customHeight="1">
      <c r="A726" s="135"/>
      <c r="B726" s="135"/>
      <c r="C726" s="135"/>
      <c r="D726" s="135"/>
      <c r="E726" s="135"/>
      <c r="F726" s="135"/>
      <c r="G726" s="135"/>
      <c r="H726" s="135"/>
      <c r="I726" s="1"/>
      <c r="J726" s="1"/>
      <c r="K726" s="1"/>
      <c r="L726" s="1"/>
      <c r="M726" s="1"/>
      <c r="N726" s="1"/>
      <c r="O726" s="1"/>
      <c r="P726" s="1"/>
      <c r="Q726" s="1"/>
      <c r="R726" s="124"/>
      <c r="S726" s="1"/>
      <c r="T726" s="1"/>
      <c r="U726" s="1"/>
      <c r="V726" s="125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126"/>
      <c r="AH726" s="126"/>
      <c r="AI726" s="126"/>
      <c r="AJ726" s="126"/>
      <c r="AK726" s="126"/>
      <c r="AL726" s="126"/>
      <c r="AM726" s="126"/>
      <c r="AN726" s="126"/>
      <c r="AO726" s="126"/>
      <c r="AP726" s="126"/>
      <c r="AQ726" s="126"/>
      <c r="AR726" s="126"/>
      <c r="AS726" s="126"/>
      <c r="AT726" s="126"/>
      <c r="AU726" s="126"/>
      <c r="AV726" s="126"/>
      <c r="AW726" s="126"/>
      <c r="AX726" s="126"/>
      <c r="AY726" s="126"/>
      <c r="AZ726" s="126"/>
      <c r="BA726" s="126"/>
      <c r="BB726" s="126"/>
      <c r="BC726" s="126"/>
      <c r="BD726" s="126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127"/>
      <c r="BQ726" s="127"/>
      <c r="BR726" s="127"/>
      <c r="BS726" s="127"/>
      <c r="BT726" s="127"/>
      <c r="BU726" s="127"/>
      <c r="BV726" s="127"/>
      <c r="BW726" s="119"/>
      <c r="BX726" s="119"/>
      <c r="BY726" s="119"/>
      <c r="BZ726" s="119"/>
      <c r="CA726" s="119"/>
      <c r="CB726" s="119"/>
      <c r="CC726" s="119"/>
      <c r="CD726" s="119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19"/>
      <c r="CQ726" s="119"/>
      <c r="CR726" s="119"/>
      <c r="CS726" s="119"/>
      <c r="CT726" s="119"/>
      <c r="CU726" s="119"/>
      <c r="CV726" s="119"/>
      <c r="CW726" s="119"/>
      <c r="CX726" s="119"/>
      <c r="CY726" s="119"/>
      <c r="CZ726" s="119"/>
      <c r="DA726" s="119"/>
      <c r="DB726" s="119"/>
      <c r="DC726" s="119"/>
      <c r="DD726" s="119"/>
      <c r="DE726" s="119"/>
      <c r="DF726" s="119"/>
      <c r="DG726" s="119"/>
      <c r="DH726" s="119"/>
      <c r="DI726" s="119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119"/>
      <c r="DU726" s="119"/>
      <c r="DV726" s="119"/>
      <c r="DW726" s="119"/>
      <c r="DX726" s="119"/>
      <c r="DY726" s="119"/>
      <c r="DZ726" s="119"/>
      <c r="EA726" s="119"/>
      <c r="EB726" s="119"/>
      <c r="EC726" s="119"/>
      <c r="ED726" s="119"/>
      <c r="EE726" s="119"/>
    </row>
    <row r="727" ht="15.75" customHeight="1">
      <c r="A727" s="135"/>
      <c r="B727" s="135"/>
      <c r="C727" s="135"/>
      <c r="D727" s="135"/>
      <c r="E727" s="135"/>
      <c r="F727" s="135"/>
      <c r="G727" s="135"/>
      <c r="H727" s="135"/>
      <c r="I727" s="1"/>
      <c r="J727" s="1"/>
      <c r="K727" s="1"/>
      <c r="L727" s="1"/>
      <c r="M727" s="1"/>
      <c r="N727" s="1"/>
      <c r="O727" s="1"/>
      <c r="P727" s="1"/>
      <c r="Q727" s="1"/>
      <c r="R727" s="124"/>
      <c r="S727" s="1"/>
      <c r="T727" s="1"/>
      <c r="U727" s="1"/>
      <c r="V727" s="125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126"/>
      <c r="AH727" s="126"/>
      <c r="AI727" s="126"/>
      <c r="AJ727" s="126"/>
      <c r="AK727" s="126"/>
      <c r="AL727" s="126"/>
      <c r="AM727" s="126"/>
      <c r="AN727" s="126"/>
      <c r="AO727" s="126"/>
      <c r="AP727" s="126"/>
      <c r="AQ727" s="126"/>
      <c r="AR727" s="126"/>
      <c r="AS727" s="126"/>
      <c r="AT727" s="126"/>
      <c r="AU727" s="126"/>
      <c r="AV727" s="126"/>
      <c r="AW727" s="126"/>
      <c r="AX727" s="126"/>
      <c r="AY727" s="126"/>
      <c r="AZ727" s="126"/>
      <c r="BA727" s="126"/>
      <c r="BB727" s="126"/>
      <c r="BC727" s="126"/>
      <c r="BD727" s="126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127"/>
      <c r="BQ727" s="127"/>
      <c r="BR727" s="127"/>
      <c r="BS727" s="127"/>
      <c r="BT727" s="127"/>
      <c r="BU727" s="127"/>
      <c r="BV727" s="127"/>
      <c r="BW727" s="119"/>
      <c r="BX727" s="119"/>
      <c r="BY727" s="119"/>
      <c r="BZ727" s="119"/>
      <c r="CA727" s="119"/>
      <c r="CB727" s="119"/>
      <c r="CC727" s="119"/>
      <c r="CD727" s="119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19"/>
      <c r="CQ727" s="119"/>
      <c r="CR727" s="119"/>
      <c r="CS727" s="119"/>
      <c r="CT727" s="119"/>
      <c r="CU727" s="119"/>
      <c r="CV727" s="119"/>
      <c r="CW727" s="119"/>
      <c r="CX727" s="119"/>
      <c r="CY727" s="119"/>
      <c r="CZ727" s="119"/>
      <c r="DA727" s="119"/>
      <c r="DB727" s="119"/>
      <c r="DC727" s="119"/>
      <c r="DD727" s="119"/>
      <c r="DE727" s="119"/>
      <c r="DF727" s="119"/>
      <c r="DG727" s="119"/>
      <c r="DH727" s="119"/>
      <c r="DI727" s="119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119"/>
      <c r="DU727" s="119"/>
      <c r="DV727" s="119"/>
      <c r="DW727" s="119"/>
      <c r="DX727" s="119"/>
      <c r="DY727" s="119"/>
      <c r="DZ727" s="119"/>
      <c r="EA727" s="119"/>
      <c r="EB727" s="119"/>
      <c r="EC727" s="119"/>
      <c r="ED727" s="119"/>
      <c r="EE727" s="119"/>
    </row>
    <row r="728" ht="15.75" customHeight="1">
      <c r="A728" s="135"/>
      <c r="B728" s="135"/>
      <c r="C728" s="135"/>
      <c r="D728" s="135"/>
      <c r="E728" s="135"/>
      <c r="F728" s="135"/>
      <c r="G728" s="135"/>
      <c r="H728" s="135"/>
      <c r="I728" s="1"/>
      <c r="J728" s="1"/>
      <c r="K728" s="1"/>
      <c r="L728" s="1"/>
      <c r="M728" s="1"/>
      <c r="N728" s="1"/>
      <c r="O728" s="1"/>
      <c r="P728" s="1"/>
      <c r="Q728" s="1"/>
      <c r="R728" s="124"/>
      <c r="S728" s="1"/>
      <c r="T728" s="1"/>
      <c r="U728" s="1"/>
      <c r="V728" s="125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126"/>
      <c r="AH728" s="126"/>
      <c r="AI728" s="126"/>
      <c r="AJ728" s="126"/>
      <c r="AK728" s="126"/>
      <c r="AL728" s="126"/>
      <c r="AM728" s="126"/>
      <c r="AN728" s="126"/>
      <c r="AO728" s="126"/>
      <c r="AP728" s="126"/>
      <c r="AQ728" s="126"/>
      <c r="AR728" s="126"/>
      <c r="AS728" s="126"/>
      <c r="AT728" s="126"/>
      <c r="AU728" s="126"/>
      <c r="AV728" s="126"/>
      <c r="AW728" s="126"/>
      <c r="AX728" s="126"/>
      <c r="AY728" s="126"/>
      <c r="AZ728" s="126"/>
      <c r="BA728" s="126"/>
      <c r="BB728" s="126"/>
      <c r="BC728" s="126"/>
      <c r="BD728" s="126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127"/>
      <c r="BQ728" s="127"/>
      <c r="BR728" s="127"/>
      <c r="BS728" s="127"/>
      <c r="BT728" s="127"/>
      <c r="BU728" s="127"/>
      <c r="BV728" s="127"/>
      <c r="BW728" s="119"/>
      <c r="BX728" s="119"/>
      <c r="BY728" s="119"/>
      <c r="BZ728" s="119"/>
      <c r="CA728" s="119"/>
      <c r="CB728" s="119"/>
      <c r="CC728" s="119"/>
      <c r="CD728" s="119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19"/>
      <c r="CQ728" s="119"/>
      <c r="CR728" s="119"/>
      <c r="CS728" s="119"/>
      <c r="CT728" s="119"/>
      <c r="CU728" s="119"/>
      <c r="CV728" s="119"/>
      <c r="CW728" s="119"/>
      <c r="CX728" s="119"/>
      <c r="CY728" s="119"/>
      <c r="CZ728" s="119"/>
      <c r="DA728" s="119"/>
      <c r="DB728" s="119"/>
      <c r="DC728" s="119"/>
      <c r="DD728" s="119"/>
      <c r="DE728" s="119"/>
      <c r="DF728" s="119"/>
      <c r="DG728" s="119"/>
      <c r="DH728" s="119"/>
      <c r="DI728" s="119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119"/>
      <c r="DU728" s="119"/>
      <c r="DV728" s="119"/>
      <c r="DW728" s="119"/>
      <c r="DX728" s="119"/>
      <c r="DY728" s="119"/>
      <c r="DZ728" s="119"/>
      <c r="EA728" s="119"/>
      <c r="EB728" s="119"/>
      <c r="EC728" s="119"/>
      <c r="ED728" s="119"/>
      <c r="EE728" s="119"/>
    </row>
    <row r="729" ht="15.75" customHeight="1">
      <c r="A729" s="135"/>
      <c r="B729" s="135"/>
      <c r="C729" s="135"/>
      <c r="D729" s="135"/>
      <c r="E729" s="135"/>
      <c r="F729" s="135"/>
      <c r="G729" s="135"/>
      <c r="H729" s="135"/>
      <c r="I729" s="1"/>
      <c r="J729" s="1"/>
      <c r="K729" s="1"/>
      <c r="L729" s="1"/>
      <c r="M729" s="1"/>
      <c r="N729" s="1"/>
      <c r="O729" s="1"/>
      <c r="P729" s="1"/>
      <c r="Q729" s="1"/>
      <c r="R729" s="124"/>
      <c r="S729" s="1"/>
      <c r="T729" s="1"/>
      <c r="U729" s="1"/>
      <c r="V729" s="125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126"/>
      <c r="AH729" s="126"/>
      <c r="AI729" s="126"/>
      <c r="AJ729" s="126"/>
      <c r="AK729" s="126"/>
      <c r="AL729" s="126"/>
      <c r="AM729" s="126"/>
      <c r="AN729" s="126"/>
      <c r="AO729" s="126"/>
      <c r="AP729" s="126"/>
      <c r="AQ729" s="126"/>
      <c r="AR729" s="126"/>
      <c r="AS729" s="126"/>
      <c r="AT729" s="126"/>
      <c r="AU729" s="126"/>
      <c r="AV729" s="126"/>
      <c r="AW729" s="126"/>
      <c r="AX729" s="126"/>
      <c r="AY729" s="126"/>
      <c r="AZ729" s="126"/>
      <c r="BA729" s="126"/>
      <c r="BB729" s="126"/>
      <c r="BC729" s="126"/>
      <c r="BD729" s="126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127"/>
      <c r="BQ729" s="127"/>
      <c r="BR729" s="127"/>
      <c r="BS729" s="127"/>
      <c r="BT729" s="127"/>
      <c r="BU729" s="127"/>
      <c r="BV729" s="127"/>
      <c r="BW729" s="119"/>
      <c r="BX729" s="119"/>
      <c r="BY729" s="119"/>
      <c r="BZ729" s="119"/>
      <c r="CA729" s="119"/>
      <c r="CB729" s="119"/>
      <c r="CC729" s="119"/>
      <c r="CD729" s="119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19"/>
      <c r="CQ729" s="119"/>
      <c r="CR729" s="119"/>
      <c r="CS729" s="119"/>
      <c r="CT729" s="119"/>
      <c r="CU729" s="119"/>
      <c r="CV729" s="119"/>
      <c r="CW729" s="119"/>
      <c r="CX729" s="119"/>
      <c r="CY729" s="119"/>
      <c r="CZ729" s="119"/>
      <c r="DA729" s="119"/>
      <c r="DB729" s="119"/>
      <c r="DC729" s="119"/>
      <c r="DD729" s="119"/>
      <c r="DE729" s="119"/>
      <c r="DF729" s="119"/>
      <c r="DG729" s="119"/>
      <c r="DH729" s="119"/>
      <c r="DI729" s="119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119"/>
      <c r="DU729" s="119"/>
      <c r="DV729" s="119"/>
      <c r="DW729" s="119"/>
      <c r="DX729" s="119"/>
      <c r="DY729" s="119"/>
      <c r="DZ729" s="119"/>
      <c r="EA729" s="119"/>
      <c r="EB729" s="119"/>
      <c r="EC729" s="119"/>
      <c r="ED729" s="119"/>
      <c r="EE729" s="119"/>
    </row>
    <row r="730" ht="15.75" customHeight="1">
      <c r="A730" s="135"/>
      <c r="B730" s="135"/>
      <c r="C730" s="135"/>
      <c r="D730" s="135"/>
      <c r="E730" s="135"/>
      <c r="F730" s="135"/>
      <c r="G730" s="135"/>
      <c r="H730" s="135"/>
      <c r="I730" s="1"/>
      <c r="J730" s="1"/>
      <c r="K730" s="1"/>
      <c r="L730" s="1"/>
      <c r="M730" s="1"/>
      <c r="N730" s="1"/>
      <c r="O730" s="1"/>
      <c r="P730" s="1"/>
      <c r="Q730" s="1"/>
      <c r="R730" s="124"/>
      <c r="S730" s="1"/>
      <c r="T730" s="1"/>
      <c r="U730" s="1"/>
      <c r="V730" s="125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126"/>
      <c r="AH730" s="126"/>
      <c r="AI730" s="126"/>
      <c r="AJ730" s="126"/>
      <c r="AK730" s="126"/>
      <c r="AL730" s="126"/>
      <c r="AM730" s="126"/>
      <c r="AN730" s="126"/>
      <c r="AO730" s="126"/>
      <c r="AP730" s="126"/>
      <c r="AQ730" s="126"/>
      <c r="AR730" s="126"/>
      <c r="AS730" s="126"/>
      <c r="AT730" s="126"/>
      <c r="AU730" s="126"/>
      <c r="AV730" s="126"/>
      <c r="AW730" s="126"/>
      <c r="AX730" s="126"/>
      <c r="AY730" s="126"/>
      <c r="AZ730" s="126"/>
      <c r="BA730" s="126"/>
      <c r="BB730" s="126"/>
      <c r="BC730" s="126"/>
      <c r="BD730" s="126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127"/>
      <c r="BQ730" s="127"/>
      <c r="BR730" s="127"/>
      <c r="BS730" s="127"/>
      <c r="BT730" s="127"/>
      <c r="BU730" s="127"/>
      <c r="BV730" s="127"/>
      <c r="BW730" s="119"/>
      <c r="BX730" s="119"/>
      <c r="BY730" s="119"/>
      <c r="BZ730" s="119"/>
      <c r="CA730" s="119"/>
      <c r="CB730" s="119"/>
      <c r="CC730" s="119"/>
      <c r="CD730" s="119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19"/>
      <c r="CQ730" s="119"/>
      <c r="CR730" s="119"/>
      <c r="CS730" s="119"/>
      <c r="CT730" s="119"/>
      <c r="CU730" s="119"/>
      <c r="CV730" s="119"/>
      <c r="CW730" s="119"/>
      <c r="CX730" s="119"/>
      <c r="CY730" s="119"/>
      <c r="CZ730" s="119"/>
      <c r="DA730" s="119"/>
      <c r="DB730" s="119"/>
      <c r="DC730" s="119"/>
      <c r="DD730" s="119"/>
      <c r="DE730" s="119"/>
      <c r="DF730" s="119"/>
      <c r="DG730" s="119"/>
      <c r="DH730" s="119"/>
      <c r="DI730" s="119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119"/>
      <c r="DU730" s="119"/>
      <c r="DV730" s="119"/>
      <c r="DW730" s="119"/>
      <c r="DX730" s="119"/>
      <c r="DY730" s="119"/>
      <c r="DZ730" s="119"/>
      <c r="EA730" s="119"/>
      <c r="EB730" s="119"/>
      <c r="EC730" s="119"/>
      <c r="ED730" s="119"/>
      <c r="EE730" s="119"/>
    </row>
    <row r="731" ht="15.75" customHeight="1">
      <c r="A731" s="135"/>
      <c r="B731" s="135"/>
      <c r="C731" s="135"/>
      <c r="D731" s="135"/>
      <c r="E731" s="135"/>
      <c r="F731" s="135"/>
      <c r="G731" s="135"/>
      <c r="H731" s="135"/>
      <c r="I731" s="1"/>
      <c r="J731" s="1"/>
      <c r="K731" s="1"/>
      <c r="L731" s="1"/>
      <c r="M731" s="1"/>
      <c r="N731" s="1"/>
      <c r="O731" s="1"/>
      <c r="P731" s="1"/>
      <c r="Q731" s="1"/>
      <c r="R731" s="124"/>
      <c r="S731" s="1"/>
      <c r="T731" s="1"/>
      <c r="U731" s="1"/>
      <c r="V731" s="125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126"/>
      <c r="AH731" s="126"/>
      <c r="AI731" s="126"/>
      <c r="AJ731" s="126"/>
      <c r="AK731" s="126"/>
      <c r="AL731" s="126"/>
      <c r="AM731" s="126"/>
      <c r="AN731" s="126"/>
      <c r="AO731" s="126"/>
      <c r="AP731" s="126"/>
      <c r="AQ731" s="126"/>
      <c r="AR731" s="126"/>
      <c r="AS731" s="126"/>
      <c r="AT731" s="126"/>
      <c r="AU731" s="126"/>
      <c r="AV731" s="126"/>
      <c r="AW731" s="126"/>
      <c r="AX731" s="126"/>
      <c r="AY731" s="126"/>
      <c r="AZ731" s="126"/>
      <c r="BA731" s="126"/>
      <c r="BB731" s="126"/>
      <c r="BC731" s="126"/>
      <c r="BD731" s="126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127"/>
      <c r="BQ731" s="127"/>
      <c r="BR731" s="127"/>
      <c r="BS731" s="127"/>
      <c r="BT731" s="127"/>
      <c r="BU731" s="127"/>
      <c r="BV731" s="127"/>
      <c r="BW731" s="119"/>
      <c r="BX731" s="119"/>
      <c r="BY731" s="119"/>
      <c r="BZ731" s="119"/>
      <c r="CA731" s="119"/>
      <c r="CB731" s="119"/>
      <c r="CC731" s="119"/>
      <c r="CD731" s="119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19"/>
      <c r="CQ731" s="119"/>
      <c r="CR731" s="119"/>
      <c r="CS731" s="119"/>
      <c r="CT731" s="119"/>
      <c r="CU731" s="119"/>
      <c r="CV731" s="119"/>
      <c r="CW731" s="119"/>
      <c r="CX731" s="119"/>
      <c r="CY731" s="119"/>
      <c r="CZ731" s="119"/>
      <c r="DA731" s="119"/>
      <c r="DB731" s="119"/>
      <c r="DC731" s="119"/>
      <c r="DD731" s="119"/>
      <c r="DE731" s="119"/>
      <c r="DF731" s="119"/>
      <c r="DG731" s="119"/>
      <c r="DH731" s="119"/>
      <c r="DI731" s="119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119"/>
      <c r="DU731" s="119"/>
      <c r="DV731" s="119"/>
      <c r="DW731" s="119"/>
      <c r="DX731" s="119"/>
      <c r="DY731" s="119"/>
      <c r="DZ731" s="119"/>
      <c r="EA731" s="119"/>
      <c r="EB731" s="119"/>
      <c r="EC731" s="119"/>
      <c r="ED731" s="119"/>
      <c r="EE731" s="119"/>
    </row>
    <row r="732" ht="15.75" customHeight="1">
      <c r="A732" s="135"/>
      <c r="B732" s="135"/>
      <c r="C732" s="135"/>
      <c r="D732" s="135"/>
      <c r="E732" s="135"/>
      <c r="F732" s="135"/>
      <c r="G732" s="135"/>
      <c r="H732" s="135"/>
      <c r="I732" s="1"/>
      <c r="J732" s="1"/>
      <c r="K732" s="1"/>
      <c r="L732" s="1"/>
      <c r="M732" s="1"/>
      <c r="N732" s="1"/>
      <c r="O732" s="1"/>
      <c r="P732" s="1"/>
      <c r="Q732" s="1"/>
      <c r="R732" s="124"/>
      <c r="S732" s="1"/>
      <c r="T732" s="1"/>
      <c r="U732" s="1"/>
      <c r="V732" s="125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126"/>
      <c r="AH732" s="126"/>
      <c r="AI732" s="126"/>
      <c r="AJ732" s="126"/>
      <c r="AK732" s="126"/>
      <c r="AL732" s="126"/>
      <c r="AM732" s="126"/>
      <c r="AN732" s="126"/>
      <c r="AO732" s="126"/>
      <c r="AP732" s="126"/>
      <c r="AQ732" s="126"/>
      <c r="AR732" s="126"/>
      <c r="AS732" s="126"/>
      <c r="AT732" s="126"/>
      <c r="AU732" s="126"/>
      <c r="AV732" s="126"/>
      <c r="AW732" s="126"/>
      <c r="AX732" s="126"/>
      <c r="AY732" s="126"/>
      <c r="AZ732" s="126"/>
      <c r="BA732" s="126"/>
      <c r="BB732" s="126"/>
      <c r="BC732" s="126"/>
      <c r="BD732" s="126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127"/>
      <c r="BQ732" s="127"/>
      <c r="BR732" s="127"/>
      <c r="BS732" s="127"/>
      <c r="BT732" s="127"/>
      <c r="BU732" s="127"/>
      <c r="BV732" s="127"/>
      <c r="BW732" s="119"/>
      <c r="BX732" s="119"/>
      <c r="BY732" s="119"/>
      <c r="BZ732" s="119"/>
      <c r="CA732" s="119"/>
      <c r="CB732" s="119"/>
      <c r="CC732" s="119"/>
      <c r="CD732" s="119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19"/>
      <c r="CQ732" s="119"/>
      <c r="CR732" s="119"/>
      <c r="CS732" s="119"/>
      <c r="CT732" s="119"/>
      <c r="CU732" s="119"/>
      <c r="CV732" s="119"/>
      <c r="CW732" s="119"/>
      <c r="CX732" s="119"/>
      <c r="CY732" s="119"/>
      <c r="CZ732" s="119"/>
      <c r="DA732" s="119"/>
      <c r="DB732" s="119"/>
      <c r="DC732" s="119"/>
      <c r="DD732" s="119"/>
      <c r="DE732" s="119"/>
      <c r="DF732" s="119"/>
      <c r="DG732" s="119"/>
      <c r="DH732" s="119"/>
      <c r="DI732" s="119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119"/>
      <c r="DU732" s="119"/>
      <c r="DV732" s="119"/>
      <c r="DW732" s="119"/>
      <c r="DX732" s="119"/>
      <c r="DY732" s="119"/>
      <c r="DZ732" s="119"/>
      <c r="EA732" s="119"/>
      <c r="EB732" s="119"/>
      <c r="EC732" s="119"/>
      <c r="ED732" s="119"/>
      <c r="EE732" s="119"/>
    </row>
    <row r="733" ht="15.75" customHeight="1">
      <c r="A733" s="135"/>
      <c r="B733" s="135"/>
      <c r="C733" s="135"/>
      <c r="D733" s="135"/>
      <c r="E733" s="135"/>
      <c r="F733" s="135"/>
      <c r="G733" s="135"/>
      <c r="H733" s="135"/>
      <c r="I733" s="1"/>
      <c r="J733" s="1"/>
      <c r="K733" s="1"/>
      <c r="L733" s="1"/>
      <c r="M733" s="1"/>
      <c r="N733" s="1"/>
      <c r="O733" s="1"/>
      <c r="P733" s="1"/>
      <c r="Q733" s="1"/>
      <c r="R733" s="124"/>
      <c r="S733" s="1"/>
      <c r="T733" s="1"/>
      <c r="U733" s="1"/>
      <c r="V733" s="125"/>
      <c r="W733" s="126"/>
      <c r="X733" s="126"/>
      <c r="Y733" s="126"/>
      <c r="Z733" s="126"/>
      <c r="AA733" s="126"/>
      <c r="AB733" s="126"/>
      <c r="AC733" s="126"/>
      <c r="AD733" s="126"/>
      <c r="AE733" s="126"/>
      <c r="AF733" s="126"/>
      <c r="AG733" s="126"/>
      <c r="AH733" s="126"/>
      <c r="AI733" s="126"/>
      <c r="AJ733" s="126"/>
      <c r="AK733" s="126"/>
      <c r="AL733" s="126"/>
      <c r="AM733" s="126"/>
      <c r="AN733" s="126"/>
      <c r="AO733" s="126"/>
      <c r="AP733" s="126"/>
      <c r="AQ733" s="126"/>
      <c r="AR733" s="126"/>
      <c r="AS733" s="126"/>
      <c r="AT733" s="126"/>
      <c r="AU733" s="126"/>
      <c r="AV733" s="126"/>
      <c r="AW733" s="126"/>
      <c r="AX733" s="126"/>
      <c r="AY733" s="126"/>
      <c r="AZ733" s="126"/>
      <c r="BA733" s="126"/>
      <c r="BB733" s="126"/>
      <c r="BC733" s="126"/>
      <c r="BD733" s="126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127"/>
      <c r="BQ733" s="127"/>
      <c r="BR733" s="127"/>
      <c r="BS733" s="127"/>
      <c r="BT733" s="127"/>
      <c r="BU733" s="127"/>
      <c r="BV733" s="127"/>
      <c r="BW733" s="119"/>
      <c r="BX733" s="119"/>
      <c r="BY733" s="119"/>
      <c r="BZ733" s="119"/>
      <c r="CA733" s="119"/>
      <c r="CB733" s="119"/>
      <c r="CC733" s="119"/>
      <c r="CD733" s="119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19"/>
      <c r="CQ733" s="119"/>
      <c r="CR733" s="119"/>
      <c r="CS733" s="119"/>
      <c r="CT733" s="119"/>
      <c r="CU733" s="119"/>
      <c r="CV733" s="119"/>
      <c r="CW733" s="119"/>
      <c r="CX733" s="119"/>
      <c r="CY733" s="119"/>
      <c r="CZ733" s="119"/>
      <c r="DA733" s="119"/>
      <c r="DB733" s="119"/>
      <c r="DC733" s="119"/>
      <c r="DD733" s="119"/>
      <c r="DE733" s="119"/>
      <c r="DF733" s="119"/>
      <c r="DG733" s="119"/>
      <c r="DH733" s="119"/>
      <c r="DI733" s="119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119"/>
      <c r="DU733" s="119"/>
      <c r="DV733" s="119"/>
      <c r="DW733" s="119"/>
      <c r="DX733" s="119"/>
      <c r="DY733" s="119"/>
      <c r="DZ733" s="119"/>
      <c r="EA733" s="119"/>
      <c r="EB733" s="119"/>
      <c r="EC733" s="119"/>
      <c r="ED733" s="119"/>
      <c r="EE733" s="119"/>
    </row>
    <row r="734" ht="15.75" customHeight="1">
      <c r="A734" s="135"/>
      <c r="B734" s="135"/>
      <c r="C734" s="135"/>
      <c r="D734" s="135"/>
      <c r="E734" s="135"/>
      <c r="F734" s="135"/>
      <c r="G734" s="135"/>
      <c r="H734" s="135"/>
      <c r="I734" s="1"/>
      <c r="J734" s="1"/>
      <c r="K734" s="1"/>
      <c r="L734" s="1"/>
      <c r="M734" s="1"/>
      <c r="N734" s="1"/>
      <c r="O734" s="1"/>
      <c r="P734" s="1"/>
      <c r="Q734" s="1"/>
      <c r="R734" s="124"/>
      <c r="S734" s="1"/>
      <c r="T734" s="1"/>
      <c r="U734" s="1"/>
      <c r="V734" s="125"/>
      <c r="W734" s="126"/>
      <c r="X734" s="126"/>
      <c r="Y734" s="126"/>
      <c r="Z734" s="126"/>
      <c r="AA734" s="126"/>
      <c r="AB734" s="126"/>
      <c r="AC734" s="126"/>
      <c r="AD734" s="126"/>
      <c r="AE734" s="126"/>
      <c r="AF734" s="126"/>
      <c r="AG734" s="126"/>
      <c r="AH734" s="126"/>
      <c r="AI734" s="126"/>
      <c r="AJ734" s="126"/>
      <c r="AK734" s="126"/>
      <c r="AL734" s="126"/>
      <c r="AM734" s="126"/>
      <c r="AN734" s="126"/>
      <c r="AO734" s="126"/>
      <c r="AP734" s="126"/>
      <c r="AQ734" s="126"/>
      <c r="AR734" s="126"/>
      <c r="AS734" s="126"/>
      <c r="AT734" s="126"/>
      <c r="AU734" s="126"/>
      <c r="AV734" s="126"/>
      <c r="AW734" s="126"/>
      <c r="AX734" s="126"/>
      <c r="AY734" s="126"/>
      <c r="AZ734" s="126"/>
      <c r="BA734" s="126"/>
      <c r="BB734" s="126"/>
      <c r="BC734" s="126"/>
      <c r="BD734" s="126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127"/>
      <c r="BQ734" s="127"/>
      <c r="BR734" s="127"/>
      <c r="BS734" s="127"/>
      <c r="BT734" s="127"/>
      <c r="BU734" s="127"/>
      <c r="BV734" s="127"/>
      <c r="BW734" s="119"/>
      <c r="BX734" s="119"/>
      <c r="BY734" s="119"/>
      <c r="BZ734" s="119"/>
      <c r="CA734" s="119"/>
      <c r="CB734" s="119"/>
      <c r="CC734" s="119"/>
      <c r="CD734" s="119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19"/>
      <c r="CQ734" s="119"/>
      <c r="CR734" s="119"/>
      <c r="CS734" s="119"/>
      <c r="CT734" s="119"/>
      <c r="CU734" s="119"/>
      <c r="CV734" s="119"/>
      <c r="CW734" s="119"/>
      <c r="CX734" s="119"/>
      <c r="CY734" s="119"/>
      <c r="CZ734" s="119"/>
      <c r="DA734" s="119"/>
      <c r="DB734" s="119"/>
      <c r="DC734" s="119"/>
      <c r="DD734" s="119"/>
      <c r="DE734" s="119"/>
      <c r="DF734" s="119"/>
      <c r="DG734" s="119"/>
      <c r="DH734" s="119"/>
      <c r="DI734" s="119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119"/>
      <c r="DU734" s="119"/>
      <c r="DV734" s="119"/>
      <c r="DW734" s="119"/>
      <c r="DX734" s="119"/>
      <c r="DY734" s="119"/>
      <c r="DZ734" s="119"/>
      <c r="EA734" s="119"/>
      <c r="EB734" s="119"/>
      <c r="EC734" s="119"/>
      <c r="ED734" s="119"/>
      <c r="EE734" s="119"/>
    </row>
    <row r="735" ht="15.75" customHeight="1">
      <c r="A735" s="135"/>
      <c r="B735" s="135"/>
      <c r="C735" s="135"/>
      <c r="D735" s="135"/>
      <c r="E735" s="135"/>
      <c r="F735" s="135"/>
      <c r="G735" s="135"/>
      <c r="H735" s="135"/>
      <c r="I735" s="1"/>
      <c r="J735" s="1"/>
      <c r="K735" s="1"/>
      <c r="L735" s="1"/>
      <c r="M735" s="1"/>
      <c r="N735" s="1"/>
      <c r="O735" s="1"/>
      <c r="P735" s="1"/>
      <c r="Q735" s="1"/>
      <c r="R735" s="124"/>
      <c r="S735" s="1"/>
      <c r="T735" s="1"/>
      <c r="U735" s="1"/>
      <c r="V735" s="125"/>
      <c r="W735" s="126"/>
      <c r="X735" s="126"/>
      <c r="Y735" s="126"/>
      <c r="Z735" s="126"/>
      <c r="AA735" s="126"/>
      <c r="AB735" s="126"/>
      <c r="AC735" s="126"/>
      <c r="AD735" s="126"/>
      <c r="AE735" s="126"/>
      <c r="AF735" s="126"/>
      <c r="AG735" s="126"/>
      <c r="AH735" s="126"/>
      <c r="AI735" s="126"/>
      <c r="AJ735" s="126"/>
      <c r="AK735" s="126"/>
      <c r="AL735" s="126"/>
      <c r="AM735" s="126"/>
      <c r="AN735" s="126"/>
      <c r="AO735" s="126"/>
      <c r="AP735" s="126"/>
      <c r="AQ735" s="126"/>
      <c r="AR735" s="126"/>
      <c r="AS735" s="126"/>
      <c r="AT735" s="126"/>
      <c r="AU735" s="126"/>
      <c r="AV735" s="126"/>
      <c r="AW735" s="126"/>
      <c r="AX735" s="126"/>
      <c r="AY735" s="126"/>
      <c r="AZ735" s="126"/>
      <c r="BA735" s="126"/>
      <c r="BB735" s="126"/>
      <c r="BC735" s="126"/>
      <c r="BD735" s="126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127"/>
      <c r="BQ735" s="127"/>
      <c r="BR735" s="127"/>
      <c r="BS735" s="127"/>
      <c r="BT735" s="127"/>
      <c r="BU735" s="127"/>
      <c r="BV735" s="127"/>
      <c r="BW735" s="119"/>
      <c r="BX735" s="119"/>
      <c r="BY735" s="119"/>
      <c r="BZ735" s="119"/>
      <c r="CA735" s="119"/>
      <c r="CB735" s="119"/>
      <c r="CC735" s="119"/>
      <c r="CD735" s="119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19"/>
      <c r="CQ735" s="119"/>
      <c r="CR735" s="119"/>
      <c r="CS735" s="119"/>
      <c r="CT735" s="119"/>
      <c r="CU735" s="119"/>
      <c r="CV735" s="119"/>
      <c r="CW735" s="119"/>
      <c r="CX735" s="119"/>
      <c r="CY735" s="119"/>
      <c r="CZ735" s="119"/>
      <c r="DA735" s="119"/>
      <c r="DB735" s="119"/>
      <c r="DC735" s="119"/>
      <c r="DD735" s="119"/>
      <c r="DE735" s="119"/>
      <c r="DF735" s="119"/>
      <c r="DG735" s="119"/>
      <c r="DH735" s="119"/>
      <c r="DI735" s="119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119"/>
      <c r="DU735" s="119"/>
      <c r="DV735" s="119"/>
      <c r="DW735" s="119"/>
      <c r="DX735" s="119"/>
      <c r="DY735" s="119"/>
      <c r="DZ735" s="119"/>
      <c r="EA735" s="119"/>
      <c r="EB735" s="119"/>
      <c r="EC735" s="119"/>
      <c r="ED735" s="119"/>
      <c r="EE735" s="119"/>
    </row>
    <row r="736" ht="15.75" customHeight="1">
      <c r="A736" s="135"/>
      <c r="B736" s="135"/>
      <c r="C736" s="135"/>
      <c r="D736" s="135"/>
      <c r="E736" s="135"/>
      <c r="F736" s="135"/>
      <c r="G736" s="135"/>
      <c r="H736" s="135"/>
      <c r="I736" s="1"/>
      <c r="J736" s="1"/>
      <c r="K736" s="1"/>
      <c r="L736" s="1"/>
      <c r="M736" s="1"/>
      <c r="N736" s="1"/>
      <c r="O736" s="1"/>
      <c r="P736" s="1"/>
      <c r="Q736" s="1"/>
      <c r="R736" s="124"/>
      <c r="S736" s="1"/>
      <c r="T736" s="1"/>
      <c r="U736" s="1"/>
      <c r="V736" s="125"/>
      <c r="W736" s="126"/>
      <c r="X736" s="126"/>
      <c r="Y736" s="126"/>
      <c r="Z736" s="126"/>
      <c r="AA736" s="126"/>
      <c r="AB736" s="126"/>
      <c r="AC736" s="126"/>
      <c r="AD736" s="126"/>
      <c r="AE736" s="126"/>
      <c r="AF736" s="126"/>
      <c r="AG736" s="126"/>
      <c r="AH736" s="126"/>
      <c r="AI736" s="126"/>
      <c r="AJ736" s="126"/>
      <c r="AK736" s="126"/>
      <c r="AL736" s="126"/>
      <c r="AM736" s="126"/>
      <c r="AN736" s="126"/>
      <c r="AO736" s="126"/>
      <c r="AP736" s="126"/>
      <c r="AQ736" s="126"/>
      <c r="AR736" s="126"/>
      <c r="AS736" s="126"/>
      <c r="AT736" s="126"/>
      <c r="AU736" s="126"/>
      <c r="AV736" s="126"/>
      <c r="AW736" s="126"/>
      <c r="AX736" s="126"/>
      <c r="AY736" s="126"/>
      <c r="AZ736" s="126"/>
      <c r="BA736" s="126"/>
      <c r="BB736" s="126"/>
      <c r="BC736" s="126"/>
      <c r="BD736" s="126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127"/>
      <c r="BQ736" s="127"/>
      <c r="BR736" s="127"/>
      <c r="BS736" s="127"/>
      <c r="BT736" s="127"/>
      <c r="BU736" s="127"/>
      <c r="BV736" s="127"/>
      <c r="BW736" s="119"/>
      <c r="BX736" s="119"/>
      <c r="BY736" s="119"/>
      <c r="BZ736" s="119"/>
      <c r="CA736" s="119"/>
      <c r="CB736" s="119"/>
      <c r="CC736" s="119"/>
      <c r="CD736" s="119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19"/>
      <c r="CQ736" s="119"/>
      <c r="CR736" s="119"/>
      <c r="CS736" s="119"/>
      <c r="CT736" s="119"/>
      <c r="CU736" s="119"/>
      <c r="CV736" s="119"/>
      <c r="CW736" s="119"/>
      <c r="CX736" s="119"/>
      <c r="CY736" s="119"/>
      <c r="CZ736" s="119"/>
      <c r="DA736" s="119"/>
      <c r="DB736" s="119"/>
      <c r="DC736" s="119"/>
      <c r="DD736" s="119"/>
      <c r="DE736" s="119"/>
      <c r="DF736" s="119"/>
      <c r="DG736" s="119"/>
      <c r="DH736" s="119"/>
      <c r="DI736" s="119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119"/>
      <c r="DU736" s="119"/>
      <c r="DV736" s="119"/>
      <c r="DW736" s="119"/>
      <c r="DX736" s="119"/>
      <c r="DY736" s="119"/>
      <c r="DZ736" s="119"/>
      <c r="EA736" s="119"/>
      <c r="EB736" s="119"/>
      <c r="EC736" s="119"/>
      <c r="ED736" s="119"/>
      <c r="EE736" s="119"/>
    </row>
    <row r="737" ht="15.75" customHeight="1">
      <c r="A737" s="135"/>
      <c r="B737" s="135"/>
      <c r="C737" s="135"/>
      <c r="D737" s="135"/>
      <c r="E737" s="135"/>
      <c r="F737" s="135"/>
      <c r="G737" s="135"/>
      <c r="H737" s="135"/>
      <c r="I737" s="1"/>
      <c r="J737" s="1"/>
      <c r="K737" s="1"/>
      <c r="L737" s="1"/>
      <c r="M737" s="1"/>
      <c r="N737" s="1"/>
      <c r="O737" s="1"/>
      <c r="P737" s="1"/>
      <c r="Q737" s="1"/>
      <c r="R737" s="124"/>
      <c r="S737" s="1"/>
      <c r="T737" s="1"/>
      <c r="U737" s="1"/>
      <c r="V737" s="125"/>
      <c r="W737" s="126"/>
      <c r="X737" s="126"/>
      <c r="Y737" s="126"/>
      <c r="Z737" s="126"/>
      <c r="AA737" s="126"/>
      <c r="AB737" s="126"/>
      <c r="AC737" s="126"/>
      <c r="AD737" s="126"/>
      <c r="AE737" s="126"/>
      <c r="AF737" s="126"/>
      <c r="AG737" s="126"/>
      <c r="AH737" s="126"/>
      <c r="AI737" s="126"/>
      <c r="AJ737" s="126"/>
      <c r="AK737" s="126"/>
      <c r="AL737" s="126"/>
      <c r="AM737" s="126"/>
      <c r="AN737" s="126"/>
      <c r="AO737" s="126"/>
      <c r="AP737" s="126"/>
      <c r="AQ737" s="126"/>
      <c r="AR737" s="126"/>
      <c r="AS737" s="126"/>
      <c r="AT737" s="126"/>
      <c r="AU737" s="126"/>
      <c r="AV737" s="126"/>
      <c r="AW737" s="126"/>
      <c r="AX737" s="126"/>
      <c r="AY737" s="126"/>
      <c r="AZ737" s="126"/>
      <c r="BA737" s="126"/>
      <c r="BB737" s="126"/>
      <c r="BC737" s="126"/>
      <c r="BD737" s="126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127"/>
      <c r="BQ737" s="127"/>
      <c r="BR737" s="127"/>
      <c r="BS737" s="127"/>
      <c r="BT737" s="127"/>
      <c r="BU737" s="127"/>
      <c r="BV737" s="127"/>
      <c r="BW737" s="119"/>
      <c r="BX737" s="119"/>
      <c r="BY737" s="119"/>
      <c r="BZ737" s="119"/>
      <c r="CA737" s="119"/>
      <c r="CB737" s="119"/>
      <c r="CC737" s="119"/>
      <c r="CD737" s="119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19"/>
      <c r="CQ737" s="119"/>
      <c r="CR737" s="119"/>
      <c r="CS737" s="119"/>
      <c r="CT737" s="119"/>
      <c r="CU737" s="119"/>
      <c r="CV737" s="119"/>
      <c r="CW737" s="119"/>
      <c r="CX737" s="119"/>
      <c r="CY737" s="119"/>
      <c r="CZ737" s="119"/>
      <c r="DA737" s="119"/>
      <c r="DB737" s="119"/>
      <c r="DC737" s="119"/>
      <c r="DD737" s="119"/>
      <c r="DE737" s="119"/>
      <c r="DF737" s="119"/>
      <c r="DG737" s="119"/>
      <c r="DH737" s="119"/>
      <c r="DI737" s="119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119"/>
      <c r="DU737" s="119"/>
      <c r="DV737" s="119"/>
      <c r="DW737" s="119"/>
      <c r="DX737" s="119"/>
      <c r="DY737" s="119"/>
      <c r="DZ737" s="119"/>
      <c r="EA737" s="119"/>
      <c r="EB737" s="119"/>
      <c r="EC737" s="119"/>
      <c r="ED737" s="119"/>
      <c r="EE737" s="119"/>
    </row>
    <row r="738" ht="15.75" customHeight="1">
      <c r="A738" s="135"/>
      <c r="B738" s="135"/>
      <c r="C738" s="135"/>
      <c r="D738" s="135"/>
      <c r="E738" s="135"/>
      <c r="F738" s="135"/>
      <c r="G738" s="135"/>
      <c r="H738" s="135"/>
      <c r="I738" s="1"/>
      <c r="J738" s="1"/>
      <c r="K738" s="1"/>
      <c r="L738" s="1"/>
      <c r="M738" s="1"/>
      <c r="N738" s="1"/>
      <c r="O738" s="1"/>
      <c r="P738" s="1"/>
      <c r="Q738" s="1"/>
      <c r="R738" s="124"/>
      <c r="S738" s="1"/>
      <c r="T738" s="1"/>
      <c r="U738" s="1"/>
      <c r="V738" s="125"/>
      <c r="W738" s="126"/>
      <c r="X738" s="126"/>
      <c r="Y738" s="126"/>
      <c r="Z738" s="126"/>
      <c r="AA738" s="126"/>
      <c r="AB738" s="126"/>
      <c r="AC738" s="126"/>
      <c r="AD738" s="126"/>
      <c r="AE738" s="126"/>
      <c r="AF738" s="126"/>
      <c r="AG738" s="126"/>
      <c r="AH738" s="126"/>
      <c r="AI738" s="126"/>
      <c r="AJ738" s="126"/>
      <c r="AK738" s="126"/>
      <c r="AL738" s="126"/>
      <c r="AM738" s="126"/>
      <c r="AN738" s="126"/>
      <c r="AO738" s="126"/>
      <c r="AP738" s="126"/>
      <c r="AQ738" s="126"/>
      <c r="AR738" s="126"/>
      <c r="AS738" s="126"/>
      <c r="AT738" s="126"/>
      <c r="AU738" s="126"/>
      <c r="AV738" s="126"/>
      <c r="AW738" s="126"/>
      <c r="AX738" s="126"/>
      <c r="AY738" s="126"/>
      <c r="AZ738" s="126"/>
      <c r="BA738" s="126"/>
      <c r="BB738" s="126"/>
      <c r="BC738" s="126"/>
      <c r="BD738" s="126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127"/>
      <c r="BQ738" s="127"/>
      <c r="BR738" s="127"/>
      <c r="BS738" s="127"/>
      <c r="BT738" s="127"/>
      <c r="BU738" s="127"/>
      <c r="BV738" s="127"/>
      <c r="BW738" s="119"/>
      <c r="BX738" s="119"/>
      <c r="BY738" s="119"/>
      <c r="BZ738" s="119"/>
      <c r="CA738" s="119"/>
      <c r="CB738" s="119"/>
      <c r="CC738" s="119"/>
      <c r="CD738" s="119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19"/>
      <c r="CQ738" s="119"/>
      <c r="CR738" s="119"/>
      <c r="CS738" s="119"/>
      <c r="CT738" s="119"/>
      <c r="CU738" s="119"/>
      <c r="CV738" s="119"/>
      <c r="CW738" s="119"/>
      <c r="CX738" s="119"/>
      <c r="CY738" s="119"/>
      <c r="CZ738" s="119"/>
      <c r="DA738" s="119"/>
      <c r="DB738" s="119"/>
      <c r="DC738" s="119"/>
      <c r="DD738" s="119"/>
      <c r="DE738" s="119"/>
      <c r="DF738" s="119"/>
      <c r="DG738" s="119"/>
      <c r="DH738" s="119"/>
      <c r="DI738" s="119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119"/>
      <c r="DU738" s="119"/>
      <c r="DV738" s="119"/>
      <c r="DW738" s="119"/>
      <c r="DX738" s="119"/>
      <c r="DY738" s="119"/>
      <c r="DZ738" s="119"/>
      <c r="EA738" s="119"/>
      <c r="EB738" s="119"/>
      <c r="EC738" s="119"/>
      <c r="ED738" s="119"/>
      <c r="EE738" s="119"/>
    </row>
    <row r="739" ht="15.75" customHeight="1">
      <c r="A739" s="135"/>
      <c r="B739" s="135"/>
      <c r="C739" s="135"/>
      <c r="D739" s="135"/>
      <c r="E739" s="135"/>
      <c r="F739" s="135"/>
      <c r="G739" s="135"/>
      <c r="H739" s="135"/>
      <c r="I739" s="1"/>
      <c r="J739" s="1"/>
      <c r="K739" s="1"/>
      <c r="L739" s="1"/>
      <c r="M739" s="1"/>
      <c r="N739" s="1"/>
      <c r="O739" s="1"/>
      <c r="P739" s="1"/>
      <c r="Q739" s="1"/>
      <c r="R739" s="124"/>
      <c r="S739" s="1"/>
      <c r="T739" s="1"/>
      <c r="U739" s="1"/>
      <c r="V739" s="125"/>
      <c r="W739" s="126"/>
      <c r="X739" s="126"/>
      <c r="Y739" s="126"/>
      <c r="Z739" s="126"/>
      <c r="AA739" s="126"/>
      <c r="AB739" s="126"/>
      <c r="AC739" s="126"/>
      <c r="AD739" s="126"/>
      <c r="AE739" s="126"/>
      <c r="AF739" s="126"/>
      <c r="AG739" s="126"/>
      <c r="AH739" s="126"/>
      <c r="AI739" s="126"/>
      <c r="AJ739" s="126"/>
      <c r="AK739" s="126"/>
      <c r="AL739" s="126"/>
      <c r="AM739" s="126"/>
      <c r="AN739" s="126"/>
      <c r="AO739" s="126"/>
      <c r="AP739" s="126"/>
      <c r="AQ739" s="126"/>
      <c r="AR739" s="126"/>
      <c r="AS739" s="126"/>
      <c r="AT739" s="126"/>
      <c r="AU739" s="126"/>
      <c r="AV739" s="126"/>
      <c r="AW739" s="126"/>
      <c r="AX739" s="126"/>
      <c r="AY739" s="126"/>
      <c r="AZ739" s="126"/>
      <c r="BA739" s="126"/>
      <c r="BB739" s="126"/>
      <c r="BC739" s="126"/>
      <c r="BD739" s="126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127"/>
      <c r="BQ739" s="127"/>
      <c r="BR739" s="127"/>
      <c r="BS739" s="127"/>
      <c r="BT739" s="127"/>
      <c r="BU739" s="127"/>
      <c r="BV739" s="127"/>
      <c r="BW739" s="119"/>
      <c r="BX739" s="119"/>
      <c r="BY739" s="119"/>
      <c r="BZ739" s="119"/>
      <c r="CA739" s="119"/>
      <c r="CB739" s="119"/>
      <c r="CC739" s="119"/>
      <c r="CD739" s="119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19"/>
      <c r="CQ739" s="119"/>
      <c r="CR739" s="119"/>
      <c r="CS739" s="119"/>
      <c r="CT739" s="119"/>
      <c r="CU739" s="119"/>
      <c r="CV739" s="119"/>
      <c r="CW739" s="119"/>
      <c r="CX739" s="119"/>
      <c r="CY739" s="119"/>
      <c r="CZ739" s="119"/>
      <c r="DA739" s="119"/>
      <c r="DB739" s="119"/>
      <c r="DC739" s="119"/>
      <c r="DD739" s="119"/>
      <c r="DE739" s="119"/>
      <c r="DF739" s="119"/>
      <c r="DG739" s="119"/>
      <c r="DH739" s="119"/>
      <c r="DI739" s="119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119"/>
      <c r="DU739" s="119"/>
      <c r="DV739" s="119"/>
      <c r="DW739" s="119"/>
      <c r="DX739" s="119"/>
      <c r="DY739" s="119"/>
      <c r="DZ739" s="119"/>
      <c r="EA739" s="119"/>
      <c r="EB739" s="119"/>
      <c r="EC739" s="119"/>
      <c r="ED739" s="119"/>
      <c r="EE739" s="119"/>
    </row>
    <row r="740" ht="15.75" customHeight="1">
      <c r="A740" s="135"/>
      <c r="B740" s="135"/>
      <c r="C740" s="135"/>
      <c r="D740" s="135"/>
      <c r="E740" s="135"/>
      <c r="F740" s="135"/>
      <c r="G740" s="135"/>
      <c r="H740" s="135"/>
      <c r="I740" s="1"/>
      <c r="J740" s="1"/>
      <c r="K740" s="1"/>
      <c r="L740" s="1"/>
      <c r="M740" s="1"/>
      <c r="N740" s="1"/>
      <c r="O740" s="1"/>
      <c r="P740" s="1"/>
      <c r="Q740" s="1"/>
      <c r="R740" s="124"/>
      <c r="S740" s="1"/>
      <c r="T740" s="1"/>
      <c r="U740" s="1"/>
      <c r="V740" s="125"/>
      <c r="W740" s="126"/>
      <c r="X740" s="126"/>
      <c r="Y740" s="126"/>
      <c r="Z740" s="126"/>
      <c r="AA740" s="126"/>
      <c r="AB740" s="126"/>
      <c r="AC740" s="126"/>
      <c r="AD740" s="126"/>
      <c r="AE740" s="126"/>
      <c r="AF740" s="126"/>
      <c r="AG740" s="126"/>
      <c r="AH740" s="126"/>
      <c r="AI740" s="126"/>
      <c r="AJ740" s="126"/>
      <c r="AK740" s="126"/>
      <c r="AL740" s="126"/>
      <c r="AM740" s="126"/>
      <c r="AN740" s="126"/>
      <c r="AO740" s="126"/>
      <c r="AP740" s="126"/>
      <c r="AQ740" s="126"/>
      <c r="AR740" s="126"/>
      <c r="AS740" s="126"/>
      <c r="AT740" s="126"/>
      <c r="AU740" s="126"/>
      <c r="AV740" s="126"/>
      <c r="AW740" s="126"/>
      <c r="AX740" s="126"/>
      <c r="AY740" s="126"/>
      <c r="AZ740" s="126"/>
      <c r="BA740" s="126"/>
      <c r="BB740" s="126"/>
      <c r="BC740" s="126"/>
      <c r="BD740" s="126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127"/>
      <c r="BQ740" s="127"/>
      <c r="BR740" s="127"/>
      <c r="BS740" s="127"/>
      <c r="BT740" s="127"/>
      <c r="BU740" s="127"/>
      <c r="BV740" s="127"/>
      <c r="BW740" s="119"/>
      <c r="BX740" s="119"/>
      <c r="BY740" s="119"/>
      <c r="BZ740" s="119"/>
      <c r="CA740" s="119"/>
      <c r="CB740" s="119"/>
      <c r="CC740" s="119"/>
      <c r="CD740" s="119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19"/>
      <c r="CQ740" s="119"/>
      <c r="CR740" s="119"/>
      <c r="CS740" s="119"/>
      <c r="CT740" s="119"/>
      <c r="CU740" s="119"/>
      <c r="CV740" s="119"/>
      <c r="CW740" s="119"/>
      <c r="CX740" s="119"/>
      <c r="CY740" s="119"/>
      <c r="CZ740" s="119"/>
      <c r="DA740" s="119"/>
      <c r="DB740" s="119"/>
      <c r="DC740" s="119"/>
      <c r="DD740" s="119"/>
      <c r="DE740" s="119"/>
      <c r="DF740" s="119"/>
      <c r="DG740" s="119"/>
      <c r="DH740" s="119"/>
      <c r="DI740" s="119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119"/>
      <c r="DU740" s="119"/>
      <c r="DV740" s="119"/>
      <c r="DW740" s="119"/>
      <c r="DX740" s="119"/>
      <c r="DY740" s="119"/>
      <c r="DZ740" s="119"/>
      <c r="EA740" s="119"/>
      <c r="EB740" s="119"/>
      <c r="EC740" s="119"/>
      <c r="ED740" s="119"/>
      <c r="EE740" s="119"/>
    </row>
    <row r="741" ht="15.75" customHeight="1">
      <c r="A741" s="135"/>
      <c r="B741" s="135"/>
      <c r="C741" s="135"/>
      <c r="D741" s="135"/>
      <c r="E741" s="135"/>
      <c r="F741" s="135"/>
      <c r="G741" s="135"/>
      <c r="H741" s="135"/>
      <c r="I741" s="1"/>
      <c r="J741" s="1"/>
      <c r="K741" s="1"/>
      <c r="L741" s="1"/>
      <c r="M741" s="1"/>
      <c r="N741" s="1"/>
      <c r="O741" s="1"/>
      <c r="P741" s="1"/>
      <c r="Q741" s="1"/>
      <c r="R741" s="124"/>
      <c r="S741" s="1"/>
      <c r="T741" s="1"/>
      <c r="U741" s="1"/>
      <c r="V741" s="125"/>
      <c r="W741" s="126"/>
      <c r="X741" s="126"/>
      <c r="Y741" s="126"/>
      <c r="Z741" s="126"/>
      <c r="AA741" s="126"/>
      <c r="AB741" s="126"/>
      <c r="AC741" s="126"/>
      <c r="AD741" s="126"/>
      <c r="AE741" s="126"/>
      <c r="AF741" s="126"/>
      <c r="AG741" s="126"/>
      <c r="AH741" s="126"/>
      <c r="AI741" s="126"/>
      <c r="AJ741" s="126"/>
      <c r="AK741" s="126"/>
      <c r="AL741" s="126"/>
      <c r="AM741" s="126"/>
      <c r="AN741" s="126"/>
      <c r="AO741" s="126"/>
      <c r="AP741" s="126"/>
      <c r="AQ741" s="126"/>
      <c r="AR741" s="126"/>
      <c r="AS741" s="126"/>
      <c r="AT741" s="126"/>
      <c r="AU741" s="126"/>
      <c r="AV741" s="126"/>
      <c r="AW741" s="126"/>
      <c r="AX741" s="126"/>
      <c r="AY741" s="126"/>
      <c r="AZ741" s="126"/>
      <c r="BA741" s="126"/>
      <c r="BB741" s="126"/>
      <c r="BC741" s="126"/>
      <c r="BD741" s="126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127"/>
      <c r="BQ741" s="127"/>
      <c r="BR741" s="127"/>
      <c r="BS741" s="127"/>
      <c r="BT741" s="127"/>
      <c r="BU741" s="127"/>
      <c r="BV741" s="127"/>
      <c r="BW741" s="119"/>
      <c r="BX741" s="119"/>
      <c r="BY741" s="119"/>
      <c r="BZ741" s="119"/>
      <c r="CA741" s="119"/>
      <c r="CB741" s="119"/>
      <c r="CC741" s="119"/>
      <c r="CD741" s="119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19"/>
      <c r="CQ741" s="119"/>
      <c r="CR741" s="119"/>
      <c r="CS741" s="119"/>
      <c r="CT741" s="119"/>
      <c r="CU741" s="119"/>
      <c r="CV741" s="119"/>
      <c r="CW741" s="119"/>
      <c r="CX741" s="119"/>
      <c r="CY741" s="119"/>
      <c r="CZ741" s="119"/>
      <c r="DA741" s="119"/>
      <c r="DB741" s="119"/>
      <c r="DC741" s="119"/>
      <c r="DD741" s="119"/>
      <c r="DE741" s="119"/>
      <c r="DF741" s="119"/>
      <c r="DG741" s="119"/>
      <c r="DH741" s="119"/>
      <c r="DI741" s="119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119"/>
      <c r="DU741" s="119"/>
      <c r="DV741" s="119"/>
      <c r="DW741" s="119"/>
      <c r="DX741" s="119"/>
      <c r="DY741" s="119"/>
      <c r="DZ741" s="119"/>
      <c r="EA741" s="119"/>
      <c r="EB741" s="119"/>
      <c r="EC741" s="119"/>
      <c r="ED741" s="119"/>
      <c r="EE741" s="119"/>
    </row>
    <row r="742" ht="15.75" customHeight="1">
      <c r="A742" s="135"/>
      <c r="B742" s="135"/>
      <c r="C742" s="135"/>
      <c r="D742" s="135"/>
      <c r="E742" s="135"/>
      <c r="F742" s="135"/>
      <c r="G742" s="135"/>
      <c r="H742" s="135"/>
      <c r="I742" s="1"/>
      <c r="J742" s="1"/>
      <c r="K742" s="1"/>
      <c r="L742" s="1"/>
      <c r="M742" s="1"/>
      <c r="N742" s="1"/>
      <c r="O742" s="1"/>
      <c r="P742" s="1"/>
      <c r="Q742" s="1"/>
      <c r="R742" s="124"/>
      <c r="S742" s="1"/>
      <c r="T742" s="1"/>
      <c r="U742" s="1"/>
      <c r="V742" s="125"/>
      <c r="W742" s="126"/>
      <c r="X742" s="126"/>
      <c r="Y742" s="126"/>
      <c r="Z742" s="126"/>
      <c r="AA742" s="126"/>
      <c r="AB742" s="126"/>
      <c r="AC742" s="126"/>
      <c r="AD742" s="126"/>
      <c r="AE742" s="126"/>
      <c r="AF742" s="126"/>
      <c r="AG742" s="126"/>
      <c r="AH742" s="126"/>
      <c r="AI742" s="126"/>
      <c r="AJ742" s="126"/>
      <c r="AK742" s="126"/>
      <c r="AL742" s="126"/>
      <c r="AM742" s="126"/>
      <c r="AN742" s="126"/>
      <c r="AO742" s="126"/>
      <c r="AP742" s="126"/>
      <c r="AQ742" s="126"/>
      <c r="AR742" s="126"/>
      <c r="AS742" s="126"/>
      <c r="AT742" s="126"/>
      <c r="AU742" s="126"/>
      <c r="AV742" s="126"/>
      <c r="AW742" s="126"/>
      <c r="AX742" s="126"/>
      <c r="AY742" s="126"/>
      <c r="AZ742" s="126"/>
      <c r="BA742" s="126"/>
      <c r="BB742" s="126"/>
      <c r="BC742" s="126"/>
      <c r="BD742" s="126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127"/>
      <c r="BQ742" s="127"/>
      <c r="BR742" s="127"/>
      <c r="BS742" s="127"/>
      <c r="BT742" s="127"/>
      <c r="BU742" s="127"/>
      <c r="BV742" s="127"/>
      <c r="BW742" s="119"/>
      <c r="BX742" s="119"/>
      <c r="BY742" s="119"/>
      <c r="BZ742" s="119"/>
      <c r="CA742" s="119"/>
      <c r="CB742" s="119"/>
      <c r="CC742" s="119"/>
      <c r="CD742" s="119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19"/>
      <c r="CQ742" s="119"/>
      <c r="CR742" s="119"/>
      <c r="CS742" s="119"/>
      <c r="CT742" s="119"/>
      <c r="CU742" s="119"/>
      <c r="CV742" s="119"/>
      <c r="CW742" s="119"/>
      <c r="CX742" s="119"/>
      <c r="CY742" s="119"/>
      <c r="CZ742" s="119"/>
      <c r="DA742" s="119"/>
      <c r="DB742" s="119"/>
      <c r="DC742" s="119"/>
      <c r="DD742" s="119"/>
      <c r="DE742" s="119"/>
      <c r="DF742" s="119"/>
      <c r="DG742" s="119"/>
      <c r="DH742" s="119"/>
      <c r="DI742" s="119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119"/>
      <c r="DU742" s="119"/>
      <c r="DV742" s="119"/>
      <c r="DW742" s="119"/>
      <c r="DX742" s="119"/>
      <c r="DY742" s="119"/>
      <c r="DZ742" s="119"/>
      <c r="EA742" s="119"/>
      <c r="EB742" s="119"/>
      <c r="EC742" s="119"/>
      <c r="ED742" s="119"/>
      <c r="EE742" s="119"/>
    </row>
    <row r="743" ht="15.75" customHeight="1">
      <c r="A743" s="135"/>
      <c r="B743" s="135"/>
      <c r="C743" s="135"/>
      <c r="D743" s="135"/>
      <c r="E743" s="135"/>
      <c r="F743" s="135"/>
      <c r="G743" s="135"/>
      <c r="H743" s="135"/>
      <c r="I743" s="1"/>
      <c r="J743" s="1"/>
      <c r="K743" s="1"/>
      <c r="L743" s="1"/>
      <c r="M743" s="1"/>
      <c r="N743" s="1"/>
      <c r="O743" s="1"/>
      <c r="P743" s="1"/>
      <c r="Q743" s="1"/>
      <c r="R743" s="124"/>
      <c r="S743" s="1"/>
      <c r="T743" s="1"/>
      <c r="U743" s="1"/>
      <c r="V743" s="125"/>
      <c r="W743" s="126"/>
      <c r="X743" s="126"/>
      <c r="Y743" s="126"/>
      <c r="Z743" s="126"/>
      <c r="AA743" s="126"/>
      <c r="AB743" s="126"/>
      <c r="AC743" s="126"/>
      <c r="AD743" s="126"/>
      <c r="AE743" s="126"/>
      <c r="AF743" s="126"/>
      <c r="AG743" s="126"/>
      <c r="AH743" s="126"/>
      <c r="AI743" s="126"/>
      <c r="AJ743" s="126"/>
      <c r="AK743" s="126"/>
      <c r="AL743" s="126"/>
      <c r="AM743" s="126"/>
      <c r="AN743" s="126"/>
      <c r="AO743" s="126"/>
      <c r="AP743" s="126"/>
      <c r="AQ743" s="126"/>
      <c r="AR743" s="126"/>
      <c r="AS743" s="126"/>
      <c r="AT743" s="126"/>
      <c r="AU743" s="126"/>
      <c r="AV743" s="126"/>
      <c r="AW743" s="126"/>
      <c r="AX743" s="126"/>
      <c r="AY743" s="126"/>
      <c r="AZ743" s="126"/>
      <c r="BA743" s="126"/>
      <c r="BB743" s="126"/>
      <c r="BC743" s="126"/>
      <c r="BD743" s="126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127"/>
      <c r="BQ743" s="127"/>
      <c r="BR743" s="127"/>
      <c r="BS743" s="127"/>
      <c r="BT743" s="127"/>
      <c r="BU743" s="127"/>
      <c r="BV743" s="127"/>
      <c r="BW743" s="119"/>
      <c r="BX743" s="119"/>
      <c r="BY743" s="119"/>
      <c r="BZ743" s="119"/>
      <c r="CA743" s="119"/>
      <c r="CB743" s="119"/>
      <c r="CC743" s="119"/>
      <c r="CD743" s="119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19"/>
      <c r="CQ743" s="119"/>
      <c r="CR743" s="119"/>
      <c r="CS743" s="119"/>
      <c r="CT743" s="119"/>
      <c r="CU743" s="119"/>
      <c r="CV743" s="119"/>
      <c r="CW743" s="119"/>
      <c r="CX743" s="119"/>
      <c r="CY743" s="119"/>
      <c r="CZ743" s="119"/>
      <c r="DA743" s="119"/>
      <c r="DB743" s="119"/>
      <c r="DC743" s="119"/>
      <c r="DD743" s="119"/>
      <c r="DE743" s="119"/>
      <c r="DF743" s="119"/>
      <c r="DG743" s="119"/>
      <c r="DH743" s="119"/>
      <c r="DI743" s="119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119"/>
      <c r="DU743" s="119"/>
      <c r="DV743" s="119"/>
      <c r="DW743" s="119"/>
      <c r="DX743" s="119"/>
      <c r="DY743" s="119"/>
      <c r="DZ743" s="119"/>
      <c r="EA743" s="119"/>
      <c r="EB743" s="119"/>
      <c r="EC743" s="119"/>
      <c r="ED743" s="119"/>
      <c r="EE743" s="119"/>
    </row>
    <row r="744" ht="15.75" customHeight="1">
      <c r="A744" s="135"/>
      <c r="B744" s="135"/>
      <c r="C744" s="135"/>
      <c r="D744" s="135"/>
      <c r="E744" s="135"/>
      <c r="F744" s="135"/>
      <c r="G744" s="135"/>
      <c r="H744" s="135"/>
      <c r="I744" s="1"/>
      <c r="J744" s="1"/>
      <c r="K744" s="1"/>
      <c r="L744" s="1"/>
      <c r="M744" s="1"/>
      <c r="N744" s="1"/>
      <c r="O744" s="1"/>
      <c r="P744" s="1"/>
      <c r="Q744" s="1"/>
      <c r="R744" s="124"/>
      <c r="S744" s="1"/>
      <c r="T744" s="1"/>
      <c r="U744" s="1"/>
      <c r="V744" s="125"/>
      <c r="W744" s="126"/>
      <c r="X744" s="126"/>
      <c r="Y744" s="126"/>
      <c r="Z744" s="126"/>
      <c r="AA744" s="126"/>
      <c r="AB744" s="126"/>
      <c r="AC744" s="126"/>
      <c r="AD744" s="126"/>
      <c r="AE744" s="126"/>
      <c r="AF744" s="126"/>
      <c r="AG744" s="126"/>
      <c r="AH744" s="126"/>
      <c r="AI744" s="126"/>
      <c r="AJ744" s="126"/>
      <c r="AK744" s="126"/>
      <c r="AL744" s="126"/>
      <c r="AM744" s="126"/>
      <c r="AN744" s="126"/>
      <c r="AO744" s="126"/>
      <c r="AP744" s="126"/>
      <c r="AQ744" s="126"/>
      <c r="AR744" s="126"/>
      <c r="AS744" s="126"/>
      <c r="AT744" s="126"/>
      <c r="AU744" s="126"/>
      <c r="AV744" s="126"/>
      <c r="AW744" s="126"/>
      <c r="AX744" s="126"/>
      <c r="AY744" s="126"/>
      <c r="AZ744" s="126"/>
      <c r="BA744" s="126"/>
      <c r="BB744" s="126"/>
      <c r="BC744" s="126"/>
      <c r="BD744" s="126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127"/>
      <c r="BQ744" s="127"/>
      <c r="BR744" s="127"/>
      <c r="BS744" s="127"/>
      <c r="BT744" s="127"/>
      <c r="BU744" s="127"/>
      <c r="BV744" s="127"/>
      <c r="BW744" s="119"/>
      <c r="BX744" s="119"/>
      <c r="BY744" s="119"/>
      <c r="BZ744" s="119"/>
      <c r="CA744" s="119"/>
      <c r="CB744" s="119"/>
      <c r="CC744" s="119"/>
      <c r="CD744" s="119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19"/>
      <c r="CQ744" s="119"/>
      <c r="CR744" s="119"/>
      <c r="CS744" s="119"/>
      <c r="CT744" s="119"/>
      <c r="CU744" s="119"/>
      <c r="CV744" s="119"/>
      <c r="CW744" s="119"/>
      <c r="CX744" s="119"/>
      <c r="CY744" s="119"/>
      <c r="CZ744" s="119"/>
      <c r="DA744" s="119"/>
      <c r="DB744" s="119"/>
      <c r="DC744" s="119"/>
      <c r="DD744" s="119"/>
      <c r="DE744" s="119"/>
      <c r="DF744" s="119"/>
      <c r="DG744" s="119"/>
      <c r="DH744" s="119"/>
      <c r="DI744" s="119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119"/>
      <c r="DU744" s="119"/>
      <c r="DV744" s="119"/>
      <c r="DW744" s="119"/>
      <c r="DX744" s="119"/>
      <c r="DY744" s="119"/>
      <c r="DZ744" s="119"/>
      <c r="EA744" s="119"/>
      <c r="EB744" s="119"/>
      <c r="EC744" s="119"/>
      <c r="ED744" s="119"/>
      <c r="EE744" s="119"/>
    </row>
    <row r="745" ht="15.75" customHeight="1">
      <c r="A745" s="135"/>
      <c r="B745" s="135"/>
      <c r="C745" s="135"/>
      <c r="D745" s="135"/>
      <c r="E745" s="135"/>
      <c r="F745" s="135"/>
      <c r="G745" s="135"/>
      <c r="H745" s="135"/>
      <c r="I745" s="1"/>
      <c r="J745" s="1"/>
      <c r="K745" s="1"/>
      <c r="L745" s="1"/>
      <c r="M745" s="1"/>
      <c r="N745" s="1"/>
      <c r="O745" s="1"/>
      <c r="P745" s="1"/>
      <c r="Q745" s="1"/>
      <c r="R745" s="124"/>
      <c r="S745" s="1"/>
      <c r="T745" s="1"/>
      <c r="U745" s="1"/>
      <c r="V745" s="125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126"/>
      <c r="AH745" s="126"/>
      <c r="AI745" s="126"/>
      <c r="AJ745" s="126"/>
      <c r="AK745" s="126"/>
      <c r="AL745" s="126"/>
      <c r="AM745" s="126"/>
      <c r="AN745" s="126"/>
      <c r="AO745" s="126"/>
      <c r="AP745" s="126"/>
      <c r="AQ745" s="126"/>
      <c r="AR745" s="126"/>
      <c r="AS745" s="126"/>
      <c r="AT745" s="126"/>
      <c r="AU745" s="126"/>
      <c r="AV745" s="126"/>
      <c r="AW745" s="126"/>
      <c r="AX745" s="126"/>
      <c r="AY745" s="126"/>
      <c r="AZ745" s="126"/>
      <c r="BA745" s="126"/>
      <c r="BB745" s="126"/>
      <c r="BC745" s="126"/>
      <c r="BD745" s="126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127"/>
      <c r="BQ745" s="127"/>
      <c r="BR745" s="127"/>
      <c r="BS745" s="127"/>
      <c r="BT745" s="127"/>
      <c r="BU745" s="127"/>
      <c r="BV745" s="127"/>
      <c r="BW745" s="119"/>
      <c r="BX745" s="119"/>
      <c r="BY745" s="119"/>
      <c r="BZ745" s="119"/>
      <c r="CA745" s="119"/>
      <c r="CB745" s="119"/>
      <c r="CC745" s="119"/>
      <c r="CD745" s="119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19"/>
      <c r="CQ745" s="119"/>
      <c r="CR745" s="119"/>
      <c r="CS745" s="119"/>
      <c r="CT745" s="119"/>
      <c r="CU745" s="119"/>
      <c r="CV745" s="119"/>
      <c r="CW745" s="119"/>
      <c r="CX745" s="119"/>
      <c r="CY745" s="119"/>
      <c r="CZ745" s="119"/>
      <c r="DA745" s="119"/>
      <c r="DB745" s="119"/>
      <c r="DC745" s="119"/>
      <c r="DD745" s="119"/>
      <c r="DE745" s="119"/>
      <c r="DF745" s="119"/>
      <c r="DG745" s="119"/>
      <c r="DH745" s="119"/>
      <c r="DI745" s="119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119"/>
      <c r="DU745" s="119"/>
      <c r="DV745" s="119"/>
      <c r="DW745" s="119"/>
      <c r="DX745" s="119"/>
      <c r="DY745" s="119"/>
      <c r="DZ745" s="119"/>
      <c r="EA745" s="119"/>
      <c r="EB745" s="119"/>
      <c r="EC745" s="119"/>
      <c r="ED745" s="119"/>
      <c r="EE745" s="119"/>
    </row>
    <row r="746" ht="15.75" customHeight="1">
      <c r="A746" s="135"/>
      <c r="B746" s="135"/>
      <c r="C746" s="135"/>
      <c r="D746" s="135"/>
      <c r="E746" s="135"/>
      <c r="F746" s="135"/>
      <c r="G746" s="135"/>
      <c r="H746" s="135"/>
      <c r="I746" s="1"/>
      <c r="J746" s="1"/>
      <c r="K746" s="1"/>
      <c r="L746" s="1"/>
      <c r="M746" s="1"/>
      <c r="N746" s="1"/>
      <c r="O746" s="1"/>
      <c r="P746" s="1"/>
      <c r="Q746" s="1"/>
      <c r="R746" s="124"/>
      <c r="S746" s="1"/>
      <c r="T746" s="1"/>
      <c r="U746" s="1"/>
      <c r="V746" s="125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126"/>
      <c r="AH746" s="126"/>
      <c r="AI746" s="126"/>
      <c r="AJ746" s="126"/>
      <c r="AK746" s="126"/>
      <c r="AL746" s="126"/>
      <c r="AM746" s="126"/>
      <c r="AN746" s="126"/>
      <c r="AO746" s="126"/>
      <c r="AP746" s="126"/>
      <c r="AQ746" s="126"/>
      <c r="AR746" s="126"/>
      <c r="AS746" s="126"/>
      <c r="AT746" s="126"/>
      <c r="AU746" s="126"/>
      <c r="AV746" s="126"/>
      <c r="AW746" s="126"/>
      <c r="AX746" s="126"/>
      <c r="AY746" s="126"/>
      <c r="AZ746" s="126"/>
      <c r="BA746" s="126"/>
      <c r="BB746" s="126"/>
      <c r="BC746" s="126"/>
      <c r="BD746" s="126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127"/>
      <c r="BQ746" s="127"/>
      <c r="BR746" s="127"/>
      <c r="BS746" s="127"/>
      <c r="BT746" s="127"/>
      <c r="BU746" s="127"/>
      <c r="BV746" s="127"/>
      <c r="BW746" s="119"/>
      <c r="BX746" s="119"/>
      <c r="BY746" s="119"/>
      <c r="BZ746" s="119"/>
      <c r="CA746" s="119"/>
      <c r="CB746" s="119"/>
      <c r="CC746" s="119"/>
      <c r="CD746" s="119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19"/>
      <c r="CQ746" s="119"/>
      <c r="CR746" s="119"/>
      <c r="CS746" s="119"/>
      <c r="CT746" s="119"/>
      <c r="CU746" s="119"/>
      <c r="CV746" s="119"/>
      <c r="CW746" s="119"/>
      <c r="CX746" s="119"/>
      <c r="CY746" s="119"/>
      <c r="CZ746" s="119"/>
      <c r="DA746" s="119"/>
      <c r="DB746" s="119"/>
      <c r="DC746" s="119"/>
      <c r="DD746" s="119"/>
      <c r="DE746" s="119"/>
      <c r="DF746" s="119"/>
      <c r="DG746" s="119"/>
      <c r="DH746" s="119"/>
      <c r="DI746" s="119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119"/>
      <c r="DU746" s="119"/>
      <c r="DV746" s="119"/>
      <c r="DW746" s="119"/>
      <c r="DX746" s="119"/>
      <c r="DY746" s="119"/>
      <c r="DZ746" s="119"/>
      <c r="EA746" s="119"/>
      <c r="EB746" s="119"/>
      <c r="EC746" s="119"/>
      <c r="ED746" s="119"/>
      <c r="EE746" s="119"/>
    </row>
    <row r="747" ht="15.75" customHeight="1">
      <c r="A747" s="135"/>
      <c r="B747" s="135"/>
      <c r="C747" s="135"/>
      <c r="D747" s="135"/>
      <c r="E747" s="135"/>
      <c r="F747" s="135"/>
      <c r="G747" s="135"/>
      <c r="H747" s="135"/>
      <c r="I747" s="1"/>
      <c r="J747" s="1"/>
      <c r="K747" s="1"/>
      <c r="L747" s="1"/>
      <c r="M747" s="1"/>
      <c r="N747" s="1"/>
      <c r="O747" s="1"/>
      <c r="P747" s="1"/>
      <c r="Q747" s="1"/>
      <c r="R747" s="124"/>
      <c r="S747" s="1"/>
      <c r="T747" s="1"/>
      <c r="U747" s="1"/>
      <c r="V747" s="125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126"/>
      <c r="AH747" s="126"/>
      <c r="AI747" s="126"/>
      <c r="AJ747" s="126"/>
      <c r="AK747" s="126"/>
      <c r="AL747" s="126"/>
      <c r="AM747" s="126"/>
      <c r="AN747" s="126"/>
      <c r="AO747" s="126"/>
      <c r="AP747" s="126"/>
      <c r="AQ747" s="126"/>
      <c r="AR747" s="126"/>
      <c r="AS747" s="126"/>
      <c r="AT747" s="126"/>
      <c r="AU747" s="126"/>
      <c r="AV747" s="126"/>
      <c r="AW747" s="126"/>
      <c r="AX747" s="126"/>
      <c r="AY747" s="126"/>
      <c r="AZ747" s="126"/>
      <c r="BA747" s="126"/>
      <c r="BB747" s="126"/>
      <c r="BC747" s="126"/>
      <c r="BD747" s="126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127"/>
      <c r="BQ747" s="127"/>
      <c r="BR747" s="127"/>
      <c r="BS747" s="127"/>
      <c r="BT747" s="127"/>
      <c r="BU747" s="127"/>
      <c r="BV747" s="127"/>
      <c r="BW747" s="119"/>
      <c r="BX747" s="119"/>
      <c r="BY747" s="119"/>
      <c r="BZ747" s="119"/>
      <c r="CA747" s="119"/>
      <c r="CB747" s="119"/>
      <c r="CC747" s="119"/>
      <c r="CD747" s="119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19"/>
      <c r="CQ747" s="119"/>
      <c r="CR747" s="119"/>
      <c r="CS747" s="119"/>
      <c r="CT747" s="119"/>
      <c r="CU747" s="119"/>
      <c r="CV747" s="119"/>
      <c r="CW747" s="119"/>
      <c r="CX747" s="119"/>
      <c r="CY747" s="119"/>
      <c r="CZ747" s="119"/>
      <c r="DA747" s="119"/>
      <c r="DB747" s="119"/>
      <c r="DC747" s="119"/>
      <c r="DD747" s="119"/>
      <c r="DE747" s="119"/>
      <c r="DF747" s="119"/>
      <c r="DG747" s="119"/>
      <c r="DH747" s="119"/>
      <c r="DI747" s="119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119"/>
      <c r="DU747" s="119"/>
      <c r="DV747" s="119"/>
      <c r="DW747" s="119"/>
      <c r="DX747" s="119"/>
      <c r="DY747" s="119"/>
      <c r="DZ747" s="119"/>
      <c r="EA747" s="119"/>
      <c r="EB747" s="119"/>
      <c r="EC747" s="119"/>
      <c r="ED747" s="119"/>
      <c r="EE747" s="119"/>
    </row>
    <row r="748" ht="15.75" customHeight="1">
      <c r="A748" s="135"/>
      <c r="B748" s="135"/>
      <c r="C748" s="135"/>
      <c r="D748" s="135"/>
      <c r="E748" s="135"/>
      <c r="F748" s="135"/>
      <c r="G748" s="135"/>
      <c r="H748" s="135"/>
      <c r="I748" s="1"/>
      <c r="J748" s="1"/>
      <c r="K748" s="1"/>
      <c r="L748" s="1"/>
      <c r="M748" s="1"/>
      <c r="N748" s="1"/>
      <c r="O748" s="1"/>
      <c r="P748" s="1"/>
      <c r="Q748" s="1"/>
      <c r="R748" s="124"/>
      <c r="S748" s="1"/>
      <c r="T748" s="1"/>
      <c r="U748" s="1"/>
      <c r="V748" s="125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126"/>
      <c r="AH748" s="126"/>
      <c r="AI748" s="126"/>
      <c r="AJ748" s="126"/>
      <c r="AK748" s="126"/>
      <c r="AL748" s="126"/>
      <c r="AM748" s="126"/>
      <c r="AN748" s="126"/>
      <c r="AO748" s="126"/>
      <c r="AP748" s="126"/>
      <c r="AQ748" s="126"/>
      <c r="AR748" s="126"/>
      <c r="AS748" s="126"/>
      <c r="AT748" s="126"/>
      <c r="AU748" s="126"/>
      <c r="AV748" s="126"/>
      <c r="AW748" s="126"/>
      <c r="AX748" s="126"/>
      <c r="AY748" s="126"/>
      <c r="AZ748" s="126"/>
      <c r="BA748" s="126"/>
      <c r="BB748" s="126"/>
      <c r="BC748" s="126"/>
      <c r="BD748" s="126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127"/>
      <c r="BQ748" s="127"/>
      <c r="BR748" s="127"/>
      <c r="BS748" s="127"/>
      <c r="BT748" s="127"/>
      <c r="BU748" s="127"/>
      <c r="BV748" s="127"/>
      <c r="BW748" s="119"/>
      <c r="BX748" s="119"/>
      <c r="BY748" s="119"/>
      <c r="BZ748" s="119"/>
      <c r="CA748" s="119"/>
      <c r="CB748" s="119"/>
      <c r="CC748" s="119"/>
      <c r="CD748" s="119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19"/>
      <c r="CQ748" s="119"/>
      <c r="CR748" s="119"/>
      <c r="CS748" s="119"/>
      <c r="CT748" s="119"/>
      <c r="CU748" s="119"/>
      <c r="CV748" s="119"/>
      <c r="CW748" s="119"/>
      <c r="CX748" s="119"/>
      <c r="CY748" s="119"/>
      <c r="CZ748" s="119"/>
      <c r="DA748" s="119"/>
      <c r="DB748" s="119"/>
      <c r="DC748" s="119"/>
      <c r="DD748" s="119"/>
      <c r="DE748" s="119"/>
      <c r="DF748" s="119"/>
      <c r="DG748" s="119"/>
      <c r="DH748" s="119"/>
      <c r="DI748" s="119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119"/>
      <c r="DU748" s="119"/>
      <c r="DV748" s="119"/>
      <c r="DW748" s="119"/>
      <c r="DX748" s="119"/>
      <c r="DY748" s="119"/>
      <c r="DZ748" s="119"/>
      <c r="EA748" s="119"/>
      <c r="EB748" s="119"/>
      <c r="EC748" s="119"/>
      <c r="ED748" s="119"/>
      <c r="EE748" s="119"/>
    </row>
    <row r="749" ht="15.75" customHeight="1">
      <c r="A749" s="135"/>
      <c r="B749" s="135"/>
      <c r="C749" s="135"/>
      <c r="D749" s="135"/>
      <c r="E749" s="135"/>
      <c r="F749" s="135"/>
      <c r="G749" s="135"/>
      <c r="H749" s="135"/>
      <c r="I749" s="1"/>
      <c r="J749" s="1"/>
      <c r="K749" s="1"/>
      <c r="L749" s="1"/>
      <c r="M749" s="1"/>
      <c r="N749" s="1"/>
      <c r="O749" s="1"/>
      <c r="P749" s="1"/>
      <c r="Q749" s="1"/>
      <c r="R749" s="124"/>
      <c r="S749" s="1"/>
      <c r="T749" s="1"/>
      <c r="U749" s="1"/>
      <c r="V749" s="125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126"/>
      <c r="AH749" s="126"/>
      <c r="AI749" s="126"/>
      <c r="AJ749" s="126"/>
      <c r="AK749" s="126"/>
      <c r="AL749" s="126"/>
      <c r="AM749" s="126"/>
      <c r="AN749" s="126"/>
      <c r="AO749" s="126"/>
      <c r="AP749" s="126"/>
      <c r="AQ749" s="126"/>
      <c r="AR749" s="126"/>
      <c r="AS749" s="126"/>
      <c r="AT749" s="126"/>
      <c r="AU749" s="126"/>
      <c r="AV749" s="126"/>
      <c r="AW749" s="126"/>
      <c r="AX749" s="126"/>
      <c r="AY749" s="126"/>
      <c r="AZ749" s="126"/>
      <c r="BA749" s="126"/>
      <c r="BB749" s="126"/>
      <c r="BC749" s="126"/>
      <c r="BD749" s="126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127"/>
      <c r="BQ749" s="127"/>
      <c r="BR749" s="127"/>
      <c r="BS749" s="127"/>
      <c r="BT749" s="127"/>
      <c r="BU749" s="127"/>
      <c r="BV749" s="127"/>
      <c r="BW749" s="119"/>
      <c r="BX749" s="119"/>
      <c r="BY749" s="119"/>
      <c r="BZ749" s="119"/>
      <c r="CA749" s="119"/>
      <c r="CB749" s="119"/>
      <c r="CC749" s="119"/>
      <c r="CD749" s="119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19"/>
      <c r="CQ749" s="119"/>
      <c r="CR749" s="119"/>
      <c r="CS749" s="119"/>
      <c r="CT749" s="119"/>
      <c r="CU749" s="119"/>
      <c r="CV749" s="119"/>
      <c r="CW749" s="119"/>
      <c r="CX749" s="119"/>
      <c r="CY749" s="119"/>
      <c r="CZ749" s="119"/>
      <c r="DA749" s="119"/>
      <c r="DB749" s="119"/>
      <c r="DC749" s="119"/>
      <c r="DD749" s="119"/>
      <c r="DE749" s="119"/>
      <c r="DF749" s="119"/>
      <c r="DG749" s="119"/>
      <c r="DH749" s="119"/>
      <c r="DI749" s="119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119"/>
      <c r="DU749" s="119"/>
      <c r="DV749" s="119"/>
      <c r="DW749" s="119"/>
      <c r="DX749" s="119"/>
      <c r="DY749" s="119"/>
      <c r="DZ749" s="119"/>
      <c r="EA749" s="119"/>
      <c r="EB749" s="119"/>
      <c r="EC749" s="119"/>
      <c r="ED749" s="119"/>
      <c r="EE749" s="119"/>
    </row>
    <row r="750" ht="15.75" customHeight="1">
      <c r="A750" s="135"/>
      <c r="B750" s="135"/>
      <c r="C750" s="135"/>
      <c r="D750" s="135"/>
      <c r="E750" s="135"/>
      <c r="F750" s="135"/>
      <c r="G750" s="135"/>
      <c r="H750" s="135"/>
      <c r="I750" s="1"/>
      <c r="J750" s="1"/>
      <c r="K750" s="1"/>
      <c r="L750" s="1"/>
      <c r="M750" s="1"/>
      <c r="N750" s="1"/>
      <c r="O750" s="1"/>
      <c r="P750" s="1"/>
      <c r="Q750" s="1"/>
      <c r="R750" s="124"/>
      <c r="S750" s="1"/>
      <c r="T750" s="1"/>
      <c r="U750" s="1"/>
      <c r="V750" s="125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126"/>
      <c r="AH750" s="126"/>
      <c r="AI750" s="126"/>
      <c r="AJ750" s="126"/>
      <c r="AK750" s="126"/>
      <c r="AL750" s="126"/>
      <c r="AM750" s="126"/>
      <c r="AN750" s="126"/>
      <c r="AO750" s="126"/>
      <c r="AP750" s="126"/>
      <c r="AQ750" s="126"/>
      <c r="AR750" s="126"/>
      <c r="AS750" s="126"/>
      <c r="AT750" s="126"/>
      <c r="AU750" s="126"/>
      <c r="AV750" s="126"/>
      <c r="AW750" s="126"/>
      <c r="AX750" s="126"/>
      <c r="AY750" s="126"/>
      <c r="AZ750" s="126"/>
      <c r="BA750" s="126"/>
      <c r="BB750" s="126"/>
      <c r="BC750" s="126"/>
      <c r="BD750" s="126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127"/>
      <c r="BQ750" s="127"/>
      <c r="BR750" s="127"/>
      <c r="BS750" s="127"/>
      <c r="BT750" s="127"/>
      <c r="BU750" s="127"/>
      <c r="BV750" s="127"/>
      <c r="BW750" s="119"/>
      <c r="BX750" s="119"/>
      <c r="BY750" s="119"/>
      <c r="BZ750" s="119"/>
      <c r="CA750" s="119"/>
      <c r="CB750" s="119"/>
      <c r="CC750" s="119"/>
      <c r="CD750" s="119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19"/>
      <c r="CQ750" s="119"/>
      <c r="CR750" s="119"/>
      <c r="CS750" s="119"/>
      <c r="CT750" s="119"/>
      <c r="CU750" s="119"/>
      <c r="CV750" s="119"/>
      <c r="CW750" s="119"/>
      <c r="CX750" s="119"/>
      <c r="CY750" s="119"/>
      <c r="CZ750" s="119"/>
      <c r="DA750" s="119"/>
      <c r="DB750" s="119"/>
      <c r="DC750" s="119"/>
      <c r="DD750" s="119"/>
      <c r="DE750" s="119"/>
      <c r="DF750" s="119"/>
      <c r="DG750" s="119"/>
      <c r="DH750" s="119"/>
      <c r="DI750" s="119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119"/>
      <c r="DU750" s="119"/>
      <c r="DV750" s="119"/>
      <c r="DW750" s="119"/>
      <c r="DX750" s="119"/>
      <c r="DY750" s="119"/>
      <c r="DZ750" s="119"/>
      <c r="EA750" s="119"/>
      <c r="EB750" s="119"/>
      <c r="EC750" s="119"/>
      <c r="ED750" s="119"/>
      <c r="EE750" s="119"/>
    </row>
    <row r="751" ht="15.75" customHeight="1">
      <c r="A751" s="135"/>
      <c r="B751" s="135"/>
      <c r="C751" s="135"/>
      <c r="D751" s="135"/>
      <c r="E751" s="135"/>
      <c r="F751" s="135"/>
      <c r="G751" s="135"/>
      <c r="H751" s="135"/>
      <c r="I751" s="1"/>
      <c r="J751" s="1"/>
      <c r="K751" s="1"/>
      <c r="L751" s="1"/>
      <c r="M751" s="1"/>
      <c r="N751" s="1"/>
      <c r="O751" s="1"/>
      <c r="P751" s="1"/>
      <c r="Q751" s="1"/>
      <c r="R751" s="124"/>
      <c r="S751" s="1"/>
      <c r="T751" s="1"/>
      <c r="U751" s="1"/>
      <c r="V751" s="125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126"/>
      <c r="AH751" s="126"/>
      <c r="AI751" s="126"/>
      <c r="AJ751" s="126"/>
      <c r="AK751" s="126"/>
      <c r="AL751" s="126"/>
      <c r="AM751" s="126"/>
      <c r="AN751" s="126"/>
      <c r="AO751" s="126"/>
      <c r="AP751" s="126"/>
      <c r="AQ751" s="126"/>
      <c r="AR751" s="126"/>
      <c r="AS751" s="126"/>
      <c r="AT751" s="126"/>
      <c r="AU751" s="126"/>
      <c r="AV751" s="126"/>
      <c r="AW751" s="126"/>
      <c r="AX751" s="126"/>
      <c r="AY751" s="126"/>
      <c r="AZ751" s="126"/>
      <c r="BA751" s="126"/>
      <c r="BB751" s="126"/>
      <c r="BC751" s="126"/>
      <c r="BD751" s="126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127"/>
      <c r="BQ751" s="127"/>
      <c r="BR751" s="127"/>
      <c r="BS751" s="127"/>
      <c r="BT751" s="127"/>
      <c r="BU751" s="127"/>
      <c r="BV751" s="127"/>
      <c r="BW751" s="119"/>
      <c r="BX751" s="119"/>
      <c r="BY751" s="119"/>
      <c r="BZ751" s="119"/>
      <c r="CA751" s="119"/>
      <c r="CB751" s="119"/>
      <c r="CC751" s="119"/>
      <c r="CD751" s="119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19"/>
      <c r="CQ751" s="119"/>
      <c r="CR751" s="119"/>
      <c r="CS751" s="119"/>
      <c r="CT751" s="119"/>
      <c r="CU751" s="119"/>
      <c r="CV751" s="119"/>
      <c r="CW751" s="119"/>
      <c r="CX751" s="119"/>
      <c r="CY751" s="119"/>
      <c r="CZ751" s="119"/>
      <c r="DA751" s="119"/>
      <c r="DB751" s="119"/>
      <c r="DC751" s="119"/>
      <c r="DD751" s="119"/>
      <c r="DE751" s="119"/>
      <c r="DF751" s="119"/>
      <c r="DG751" s="119"/>
      <c r="DH751" s="119"/>
      <c r="DI751" s="119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119"/>
      <c r="DU751" s="119"/>
      <c r="DV751" s="119"/>
      <c r="DW751" s="119"/>
      <c r="DX751" s="119"/>
      <c r="DY751" s="119"/>
      <c r="DZ751" s="119"/>
      <c r="EA751" s="119"/>
      <c r="EB751" s="119"/>
      <c r="EC751" s="119"/>
      <c r="ED751" s="119"/>
      <c r="EE751" s="119"/>
    </row>
    <row r="752" ht="15.75" customHeight="1">
      <c r="A752" s="135"/>
      <c r="B752" s="135"/>
      <c r="C752" s="135"/>
      <c r="D752" s="135"/>
      <c r="E752" s="135"/>
      <c r="F752" s="135"/>
      <c r="G752" s="135"/>
      <c r="H752" s="135"/>
      <c r="I752" s="1"/>
      <c r="J752" s="1"/>
      <c r="K752" s="1"/>
      <c r="L752" s="1"/>
      <c r="M752" s="1"/>
      <c r="N752" s="1"/>
      <c r="O752" s="1"/>
      <c r="P752" s="1"/>
      <c r="Q752" s="1"/>
      <c r="R752" s="124"/>
      <c r="S752" s="1"/>
      <c r="T752" s="1"/>
      <c r="U752" s="1"/>
      <c r="V752" s="125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126"/>
      <c r="AH752" s="126"/>
      <c r="AI752" s="126"/>
      <c r="AJ752" s="126"/>
      <c r="AK752" s="126"/>
      <c r="AL752" s="126"/>
      <c r="AM752" s="126"/>
      <c r="AN752" s="126"/>
      <c r="AO752" s="126"/>
      <c r="AP752" s="126"/>
      <c r="AQ752" s="126"/>
      <c r="AR752" s="126"/>
      <c r="AS752" s="126"/>
      <c r="AT752" s="126"/>
      <c r="AU752" s="126"/>
      <c r="AV752" s="126"/>
      <c r="AW752" s="126"/>
      <c r="AX752" s="126"/>
      <c r="AY752" s="126"/>
      <c r="AZ752" s="126"/>
      <c r="BA752" s="126"/>
      <c r="BB752" s="126"/>
      <c r="BC752" s="126"/>
      <c r="BD752" s="126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127"/>
      <c r="BQ752" s="127"/>
      <c r="BR752" s="127"/>
      <c r="BS752" s="127"/>
      <c r="BT752" s="127"/>
      <c r="BU752" s="127"/>
      <c r="BV752" s="127"/>
      <c r="BW752" s="119"/>
      <c r="BX752" s="119"/>
      <c r="BY752" s="119"/>
      <c r="BZ752" s="119"/>
      <c r="CA752" s="119"/>
      <c r="CB752" s="119"/>
      <c r="CC752" s="119"/>
      <c r="CD752" s="119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19"/>
      <c r="CQ752" s="119"/>
      <c r="CR752" s="119"/>
      <c r="CS752" s="119"/>
      <c r="CT752" s="119"/>
      <c r="CU752" s="119"/>
      <c r="CV752" s="119"/>
      <c r="CW752" s="119"/>
      <c r="CX752" s="119"/>
      <c r="CY752" s="119"/>
      <c r="CZ752" s="119"/>
      <c r="DA752" s="119"/>
      <c r="DB752" s="119"/>
      <c r="DC752" s="119"/>
      <c r="DD752" s="119"/>
      <c r="DE752" s="119"/>
      <c r="DF752" s="119"/>
      <c r="DG752" s="119"/>
      <c r="DH752" s="119"/>
      <c r="DI752" s="119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119"/>
      <c r="DU752" s="119"/>
      <c r="DV752" s="119"/>
      <c r="DW752" s="119"/>
      <c r="DX752" s="119"/>
      <c r="DY752" s="119"/>
      <c r="DZ752" s="119"/>
      <c r="EA752" s="119"/>
      <c r="EB752" s="119"/>
      <c r="EC752" s="119"/>
      <c r="ED752" s="119"/>
      <c r="EE752" s="119"/>
    </row>
    <row r="753" ht="15.75" customHeight="1">
      <c r="A753" s="135"/>
      <c r="B753" s="135"/>
      <c r="C753" s="135"/>
      <c r="D753" s="135"/>
      <c r="E753" s="135"/>
      <c r="F753" s="135"/>
      <c r="G753" s="135"/>
      <c r="H753" s="135"/>
      <c r="I753" s="1"/>
      <c r="J753" s="1"/>
      <c r="K753" s="1"/>
      <c r="L753" s="1"/>
      <c r="M753" s="1"/>
      <c r="N753" s="1"/>
      <c r="O753" s="1"/>
      <c r="P753" s="1"/>
      <c r="Q753" s="1"/>
      <c r="R753" s="124"/>
      <c r="S753" s="1"/>
      <c r="T753" s="1"/>
      <c r="U753" s="1"/>
      <c r="V753" s="125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126"/>
      <c r="AH753" s="126"/>
      <c r="AI753" s="126"/>
      <c r="AJ753" s="126"/>
      <c r="AK753" s="126"/>
      <c r="AL753" s="126"/>
      <c r="AM753" s="126"/>
      <c r="AN753" s="126"/>
      <c r="AO753" s="126"/>
      <c r="AP753" s="126"/>
      <c r="AQ753" s="126"/>
      <c r="AR753" s="126"/>
      <c r="AS753" s="126"/>
      <c r="AT753" s="126"/>
      <c r="AU753" s="126"/>
      <c r="AV753" s="126"/>
      <c r="AW753" s="126"/>
      <c r="AX753" s="126"/>
      <c r="AY753" s="126"/>
      <c r="AZ753" s="126"/>
      <c r="BA753" s="126"/>
      <c r="BB753" s="126"/>
      <c r="BC753" s="126"/>
      <c r="BD753" s="126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127"/>
      <c r="BQ753" s="127"/>
      <c r="BR753" s="127"/>
      <c r="BS753" s="127"/>
      <c r="BT753" s="127"/>
      <c r="BU753" s="127"/>
      <c r="BV753" s="127"/>
      <c r="BW753" s="119"/>
      <c r="BX753" s="119"/>
      <c r="BY753" s="119"/>
      <c r="BZ753" s="119"/>
      <c r="CA753" s="119"/>
      <c r="CB753" s="119"/>
      <c r="CC753" s="119"/>
      <c r="CD753" s="119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19"/>
      <c r="CQ753" s="119"/>
      <c r="CR753" s="119"/>
      <c r="CS753" s="119"/>
      <c r="CT753" s="119"/>
      <c r="CU753" s="119"/>
      <c r="CV753" s="119"/>
      <c r="CW753" s="119"/>
      <c r="CX753" s="119"/>
      <c r="CY753" s="119"/>
      <c r="CZ753" s="119"/>
      <c r="DA753" s="119"/>
      <c r="DB753" s="119"/>
      <c r="DC753" s="119"/>
      <c r="DD753" s="119"/>
      <c r="DE753" s="119"/>
      <c r="DF753" s="119"/>
      <c r="DG753" s="119"/>
      <c r="DH753" s="119"/>
      <c r="DI753" s="119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119"/>
      <c r="DU753" s="119"/>
      <c r="DV753" s="119"/>
      <c r="DW753" s="119"/>
      <c r="DX753" s="119"/>
      <c r="DY753" s="119"/>
      <c r="DZ753" s="119"/>
      <c r="EA753" s="119"/>
      <c r="EB753" s="119"/>
      <c r="EC753" s="119"/>
      <c r="ED753" s="119"/>
      <c r="EE753" s="119"/>
    </row>
    <row r="754" ht="15.75" customHeight="1">
      <c r="A754" s="135"/>
      <c r="B754" s="135"/>
      <c r="C754" s="135"/>
      <c r="D754" s="135"/>
      <c r="E754" s="135"/>
      <c r="F754" s="135"/>
      <c r="G754" s="135"/>
      <c r="H754" s="135"/>
      <c r="I754" s="1"/>
      <c r="J754" s="1"/>
      <c r="K754" s="1"/>
      <c r="L754" s="1"/>
      <c r="M754" s="1"/>
      <c r="N754" s="1"/>
      <c r="O754" s="1"/>
      <c r="P754" s="1"/>
      <c r="Q754" s="1"/>
      <c r="R754" s="124"/>
      <c r="S754" s="1"/>
      <c r="T754" s="1"/>
      <c r="U754" s="1"/>
      <c r="V754" s="125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126"/>
      <c r="AH754" s="126"/>
      <c r="AI754" s="126"/>
      <c r="AJ754" s="126"/>
      <c r="AK754" s="126"/>
      <c r="AL754" s="126"/>
      <c r="AM754" s="126"/>
      <c r="AN754" s="126"/>
      <c r="AO754" s="126"/>
      <c r="AP754" s="126"/>
      <c r="AQ754" s="126"/>
      <c r="AR754" s="126"/>
      <c r="AS754" s="126"/>
      <c r="AT754" s="126"/>
      <c r="AU754" s="126"/>
      <c r="AV754" s="126"/>
      <c r="AW754" s="126"/>
      <c r="AX754" s="126"/>
      <c r="AY754" s="126"/>
      <c r="AZ754" s="126"/>
      <c r="BA754" s="126"/>
      <c r="BB754" s="126"/>
      <c r="BC754" s="126"/>
      <c r="BD754" s="126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127"/>
      <c r="BQ754" s="127"/>
      <c r="BR754" s="127"/>
      <c r="BS754" s="127"/>
      <c r="BT754" s="127"/>
      <c r="BU754" s="127"/>
      <c r="BV754" s="127"/>
      <c r="BW754" s="119"/>
      <c r="BX754" s="119"/>
      <c r="BY754" s="119"/>
      <c r="BZ754" s="119"/>
      <c r="CA754" s="119"/>
      <c r="CB754" s="119"/>
      <c r="CC754" s="119"/>
      <c r="CD754" s="119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19"/>
      <c r="CQ754" s="119"/>
      <c r="CR754" s="119"/>
      <c r="CS754" s="119"/>
      <c r="CT754" s="119"/>
      <c r="CU754" s="119"/>
      <c r="CV754" s="119"/>
      <c r="CW754" s="119"/>
      <c r="CX754" s="119"/>
      <c r="CY754" s="119"/>
      <c r="CZ754" s="119"/>
      <c r="DA754" s="119"/>
      <c r="DB754" s="119"/>
      <c r="DC754" s="119"/>
      <c r="DD754" s="119"/>
      <c r="DE754" s="119"/>
      <c r="DF754" s="119"/>
      <c r="DG754" s="119"/>
      <c r="DH754" s="119"/>
      <c r="DI754" s="119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119"/>
      <c r="DU754" s="119"/>
      <c r="DV754" s="119"/>
      <c r="DW754" s="119"/>
      <c r="DX754" s="119"/>
      <c r="DY754" s="119"/>
      <c r="DZ754" s="119"/>
      <c r="EA754" s="119"/>
      <c r="EB754" s="119"/>
      <c r="EC754" s="119"/>
      <c r="ED754" s="119"/>
      <c r="EE754" s="119"/>
    </row>
    <row r="755" ht="15.75" customHeight="1">
      <c r="A755" s="135"/>
      <c r="B755" s="135"/>
      <c r="C755" s="135"/>
      <c r="D755" s="135"/>
      <c r="E755" s="135"/>
      <c r="F755" s="135"/>
      <c r="G755" s="135"/>
      <c r="H755" s="135"/>
      <c r="I755" s="1"/>
      <c r="J755" s="1"/>
      <c r="K755" s="1"/>
      <c r="L755" s="1"/>
      <c r="M755" s="1"/>
      <c r="N755" s="1"/>
      <c r="O755" s="1"/>
      <c r="P755" s="1"/>
      <c r="Q755" s="1"/>
      <c r="R755" s="124"/>
      <c r="S755" s="1"/>
      <c r="T755" s="1"/>
      <c r="U755" s="1"/>
      <c r="V755" s="125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126"/>
      <c r="AH755" s="126"/>
      <c r="AI755" s="126"/>
      <c r="AJ755" s="126"/>
      <c r="AK755" s="126"/>
      <c r="AL755" s="126"/>
      <c r="AM755" s="126"/>
      <c r="AN755" s="126"/>
      <c r="AO755" s="126"/>
      <c r="AP755" s="126"/>
      <c r="AQ755" s="126"/>
      <c r="AR755" s="126"/>
      <c r="AS755" s="126"/>
      <c r="AT755" s="126"/>
      <c r="AU755" s="126"/>
      <c r="AV755" s="126"/>
      <c r="AW755" s="126"/>
      <c r="AX755" s="126"/>
      <c r="AY755" s="126"/>
      <c r="AZ755" s="126"/>
      <c r="BA755" s="126"/>
      <c r="BB755" s="126"/>
      <c r="BC755" s="126"/>
      <c r="BD755" s="126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127"/>
      <c r="BQ755" s="127"/>
      <c r="BR755" s="127"/>
      <c r="BS755" s="127"/>
      <c r="BT755" s="127"/>
      <c r="BU755" s="127"/>
      <c r="BV755" s="127"/>
      <c r="BW755" s="119"/>
      <c r="BX755" s="119"/>
      <c r="BY755" s="119"/>
      <c r="BZ755" s="119"/>
      <c r="CA755" s="119"/>
      <c r="CB755" s="119"/>
      <c r="CC755" s="119"/>
      <c r="CD755" s="119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19"/>
      <c r="CQ755" s="119"/>
      <c r="CR755" s="119"/>
      <c r="CS755" s="119"/>
      <c r="CT755" s="119"/>
      <c r="CU755" s="119"/>
      <c r="CV755" s="119"/>
      <c r="CW755" s="119"/>
      <c r="CX755" s="119"/>
      <c r="CY755" s="119"/>
      <c r="CZ755" s="119"/>
      <c r="DA755" s="119"/>
      <c r="DB755" s="119"/>
      <c r="DC755" s="119"/>
      <c r="DD755" s="119"/>
      <c r="DE755" s="119"/>
      <c r="DF755" s="119"/>
      <c r="DG755" s="119"/>
      <c r="DH755" s="119"/>
      <c r="DI755" s="119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119"/>
      <c r="DU755" s="119"/>
      <c r="DV755" s="119"/>
      <c r="DW755" s="119"/>
      <c r="DX755" s="119"/>
      <c r="DY755" s="119"/>
      <c r="DZ755" s="119"/>
      <c r="EA755" s="119"/>
      <c r="EB755" s="119"/>
      <c r="EC755" s="119"/>
      <c r="ED755" s="119"/>
      <c r="EE755" s="119"/>
    </row>
    <row r="756" ht="15.75" customHeight="1">
      <c r="A756" s="135"/>
      <c r="B756" s="135"/>
      <c r="C756" s="135"/>
      <c r="D756" s="135"/>
      <c r="E756" s="135"/>
      <c r="F756" s="135"/>
      <c r="G756" s="135"/>
      <c r="H756" s="135"/>
      <c r="I756" s="1"/>
      <c r="J756" s="1"/>
      <c r="K756" s="1"/>
      <c r="L756" s="1"/>
      <c r="M756" s="1"/>
      <c r="N756" s="1"/>
      <c r="O756" s="1"/>
      <c r="P756" s="1"/>
      <c r="Q756" s="1"/>
      <c r="R756" s="124"/>
      <c r="S756" s="1"/>
      <c r="T756" s="1"/>
      <c r="U756" s="1"/>
      <c r="V756" s="125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126"/>
      <c r="AH756" s="126"/>
      <c r="AI756" s="126"/>
      <c r="AJ756" s="126"/>
      <c r="AK756" s="126"/>
      <c r="AL756" s="126"/>
      <c r="AM756" s="126"/>
      <c r="AN756" s="126"/>
      <c r="AO756" s="126"/>
      <c r="AP756" s="126"/>
      <c r="AQ756" s="126"/>
      <c r="AR756" s="126"/>
      <c r="AS756" s="126"/>
      <c r="AT756" s="126"/>
      <c r="AU756" s="126"/>
      <c r="AV756" s="126"/>
      <c r="AW756" s="126"/>
      <c r="AX756" s="126"/>
      <c r="AY756" s="126"/>
      <c r="AZ756" s="126"/>
      <c r="BA756" s="126"/>
      <c r="BB756" s="126"/>
      <c r="BC756" s="126"/>
      <c r="BD756" s="126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127"/>
      <c r="BQ756" s="127"/>
      <c r="BR756" s="127"/>
      <c r="BS756" s="127"/>
      <c r="BT756" s="127"/>
      <c r="BU756" s="127"/>
      <c r="BV756" s="127"/>
      <c r="BW756" s="119"/>
      <c r="BX756" s="119"/>
      <c r="BY756" s="119"/>
      <c r="BZ756" s="119"/>
      <c r="CA756" s="119"/>
      <c r="CB756" s="119"/>
      <c r="CC756" s="119"/>
      <c r="CD756" s="119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19"/>
      <c r="CQ756" s="119"/>
      <c r="CR756" s="119"/>
      <c r="CS756" s="119"/>
      <c r="CT756" s="119"/>
      <c r="CU756" s="119"/>
      <c r="CV756" s="119"/>
      <c r="CW756" s="119"/>
      <c r="CX756" s="119"/>
      <c r="CY756" s="119"/>
      <c r="CZ756" s="119"/>
      <c r="DA756" s="119"/>
      <c r="DB756" s="119"/>
      <c r="DC756" s="119"/>
      <c r="DD756" s="119"/>
      <c r="DE756" s="119"/>
      <c r="DF756" s="119"/>
      <c r="DG756" s="119"/>
      <c r="DH756" s="119"/>
      <c r="DI756" s="119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119"/>
      <c r="DU756" s="119"/>
      <c r="DV756" s="119"/>
      <c r="DW756" s="119"/>
      <c r="DX756" s="119"/>
      <c r="DY756" s="119"/>
      <c r="DZ756" s="119"/>
      <c r="EA756" s="119"/>
      <c r="EB756" s="119"/>
      <c r="EC756" s="119"/>
      <c r="ED756" s="119"/>
      <c r="EE756" s="119"/>
    </row>
    <row r="757" ht="15.75" customHeight="1">
      <c r="A757" s="135"/>
      <c r="B757" s="135"/>
      <c r="C757" s="135"/>
      <c r="D757" s="135"/>
      <c r="E757" s="135"/>
      <c r="F757" s="135"/>
      <c r="G757" s="135"/>
      <c r="H757" s="135"/>
      <c r="I757" s="1"/>
      <c r="J757" s="1"/>
      <c r="K757" s="1"/>
      <c r="L757" s="1"/>
      <c r="M757" s="1"/>
      <c r="N757" s="1"/>
      <c r="O757" s="1"/>
      <c r="P757" s="1"/>
      <c r="Q757" s="1"/>
      <c r="R757" s="124"/>
      <c r="S757" s="1"/>
      <c r="T757" s="1"/>
      <c r="U757" s="1"/>
      <c r="V757" s="125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126"/>
      <c r="AH757" s="126"/>
      <c r="AI757" s="126"/>
      <c r="AJ757" s="126"/>
      <c r="AK757" s="126"/>
      <c r="AL757" s="126"/>
      <c r="AM757" s="126"/>
      <c r="AN757" s="126"/>
      <c r="AO757" s="126"/>
      <c r="AP757" s="126"/>
      <c r="AQ757" s="126"/>
      <c r="AR757" s="126"/>
      <c r="AS757" s="126"/>
      <c r="AT757" s="126"/>
      <c r="AU757" s="126"/>
      <c r="AV757" s="126"/>
      <c r="AW757" s="126"/>
      <c r="AX757" s="126"/>
      <c r="AY757" s="126"/>
      <c r="AZ757" s="126"/>
      <c r="BA757" s="126"/>
      <c r="BB757" s="126"/>
      <c r="BC757" s="126"/>
      <c r="BD757" s="126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127"/>
      <c r="BQ757" s="127"/>
      <c r="BR757" s="127"/>
      <c r="BS757" s="127"/>
      <c r="BT757" s="127"/>
      <c r="BU757" s="127"/>
      <c r="BV757" s="127"/>
      <c r="BW757" s="119"/>
      <c r="BX757" s="119"/>
      <c r="BY757" s="119"/>
      <c r="BZ757" s="119"/>
      <c r="CA757" s="119"/>
      <c r="CB757" s="119"/>
      <c r="CC757" s="119"/>
      <c r="CD757" s="119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19"/>
      <c r="CQ757" s="119"/>
      <c r="CR757" s="119"/>
      <c r="CS757" s="119"/>
      <c r="CT757" s="119"/>
      <c r="CU757" s="119"/>
      <c r="CV757" s="119"/>
      <c r="CW757" s="119"/>
      <c r="CX757" s="119"/>
      <c r="CY757" s="119"/>
      <c r="CZ757" s="119"/>
      <c r="DA757" s="119"/>
      <c r="DB757" s="119"/>
      <c r="DC757" s="119"/>
      <c r="DD757" s="119"/>
      <c r="DE757" s="119"/>
      <c r="DF757" s="119"/>
      <c r="DG757" s="119"/>
      <c r="DH757" s="119"/>
      <c r="DI757" s="119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119"/>
      <c r="DU757" s="119"/>
      <c r="DV757" s="119"/>
      <c r="DW757" s="119"/>
      <c r="DX757" s="119"/>
      <c r="DY757" s="119"/>
      <c r="DZ757" s="119"/>
      <c r="EA757" s="119"/>
      <c r="EB757" s="119"/>
      <c r="EC757" s="119"/>
      <c r="ED757" s="119"/>
      <c r="EE757" s="119"/>
    </row>
    <row r="758" ht="15.75" customHeight="1">
      <c r="A758" s="135"/>
      <c r="B758" s="135"/>
      <c r="C758" s="135"/>
      <c r="D758" s="135"/>
      <c r="E758" s="135"/>
      <c r="F758" s="135"/>
      <c r="G758" s="135"/>
      <c r="H758" s="135"/>
      <c r="I758" s="1"/>
      <c r="J758" s="1"/>
      <c r="K758" s="1"/>
      <c r="L758" s="1"/>
      <c r="M758" s="1"/>
      <c r="N758" s="1"/>
      <c r="O758" s="1"/>
      <c r="P758" s="1"/>
      <c r="Q758" s="1"/>
      <c r="R758" s="124"/>
      <c r="S758" s="1"/>
      <c r="T758" s="1"/>
      <c r="U758" s="1"/>
      <c r="V758" s="125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126"/>
      <c r="AH758" s="126"/>
      <c r="AI758" s="126"/>
      <c r="AJ758" s="126"/>
      <c r="AK758" s="126"/>
      <c r="AL758" s="126"/>
      <c r="AM758" s="126"/>
      <c r="AN758" s="126"/>
      <c r="AO758" s="126"/>
      <c r="AP758" s="126"/>
      <c r="AQ758" s="126"/>
      <c r="AR758" s="126"/>
      <c r="AS758" s="126"/>
      <c r="AT758" s="126"/>
      <c r="AU758" s="126"/>
      <c r="AV758" s="126"/>
      <c r="AW758" s="126"/>
      <c r="AX758" s="126"/>
      <c r="AY758" s="126"/>
      <c r="AZ758" s="126"/>
      <c r="BA758" s="126"/>
      <c r="BB758" s="126"/>
      <c r="BC758" s="126"/>
      <c r="BD758" s="126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127"/>
      <c r="BQ758" s="127"/>
      <c r="BR758" s="127"/>
      <c r="BS758" s="127"/>
      <c r="BT758" s="127"/>
      <c r="BU758" s="127"/>
      <c r="BV758" s="127"/>
      <c r="BW758" s="119"/>
      <c r="BX758" s="119"/>
      <c r="BY758" s="119"/>
      <c r="BZ758" s="119"/>
      <c r="CA758" s="119"/>
      <c r="CB758" s="119"/>
      <c r="CC758" s="119"/>
      <c r="CD758" s="119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19"/>
      <c r="CQ758" s="119"/>
      <c r="CR758" s="119"/>
      <c r="CS758" s="119"/>
      <c r="CT758" s="119"/>
      <c r="CU758" s="119"/>
      <c r="CV758" s="119"/>
      <c r="CW758" s="119"/>
      <c r="CX758" s="119"/>
      <c r="CY758" s="119"/>
      <c r="CZ758" s="119"/>
      <c r="DA758" s="119"/>
      <c r="DB758" s="119"/>
      <c r="DC758" s="119"/>
      <c r="DD758" s="119"/>
      <c r="DE758" s="119"/>
      <c r="DF758" s="119"/>
      <c r="DG758" s="119"/>
      <c r="DH758" s="119"/>
      <c r="DI758" s="119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119"/>
      <c r="DU758" s="119"/>
      <c r="DV758" s="119"/>
      <c r="DW758" s="119"/>
      <c r="DX758" s="119"/>
      <c r="DY758" s="119"/>
      <c r="DZ758" s="119"/>
      <c r="EA758" s="119"/>
      <c r="EB758" s="119"/>
      <c r="EC758" s="119"/>
      <c r="ED758" s="119"/>
      <c r="EE758" s="119"/>
    </row>
    <row r="759" ht="15.75" customHeight="1">
      <c r="A759" s="135"/>
      <c r="B759" s="135"/>
      <c r="C759" s="135"/>
      <c r="D759" s="135"/>
      <c r="E759" s="135"/>
      <c r="F759" s="135"/>
      <c r="G759" s="135"/>
      <c r="H759" s="135"/>
      <c r="I759" s="1"/>
      <c r="J759" s="1"/>
      <c r="K759" s="1"/>
      <c r="L759" s="1"/>
      <c r="M759" s="1"/>
      <c r="N759" s="1"/>
      <c r="O759" s="1"/>
      <c r="P759" s="1"/>
      <c r="Q759" s="1"/>
      <c r="R759" s="124"/>
      <c r="S759" s="1"/>
      <c r="T759" s="1"/>
      <c r="U759" s="1"/>
      <c r="V759" s="125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126"/>
      <c r="AH759" s="126"/>
      <c r="AI759" s="126"/>
      <c r="AJ759" s="126"/>
      <c r="AK759" s="126"/>
      <c r="AL759" s="126"/>
      <c r="AM759" s="126"/>
      <c r="AN759" s="126"/>
      <c r="AO759" s="126"/>
      <c r="AP759" s="126"/>
      <c r="AQ759" s="126"/>
      <c r="AR759" s="126"/>
      <c r="AS759" s="126"/>
      <c r="AT759" s="126"/>
      <c r="AU759" s="126"/>
      <c r="AV759" s="126"/>
      <c r="AW759" s="126"/>
      <c r="AX759" s="126"/>
      <c r="AY759" s="126"/>
      <c r="AZ759" s="126"/>
      <c r="BA759" s="126"/>
      <c r="BB759" s="126"/>
      <c r="BC759" s="126"/>
      <c r="BD759" s="126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127"/>
      <c r="BQ759" s="127"/>
      <c r="BR759" s="127"/>
      <c r="BS759" s="127"/>
      <c r="BT759" s="127"/>
      <c r="BU759" s="127"/>
      <c r="BV759" s="127"/>
      <c r="BW759" s="119"/>
      <c r="BX759" s="119"/>
      <c r="BY759" s="119"/>
      <c r="BZ759" s="119"/>
      <c r="CA759" s="119"/>
      <c r="CB759" s="119"/>
      <c r="CC759" s="119"/>
      <c r="CD759" s="119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19"/>
      <c r="CQ759" s="119"/>
      <c r="CR759" s="119"/>
      <c r="CS759" s="119"/>
      <c r="CT759" s="119"/>
      <c r="CU759" s="119"/>
      <c r="CV759" s="119"/>
      <c r="CW759" s="119"/>
      <c r="CX759" s="119"/>
      <c r="CY759" s="119"/>
      <c r="CZ759" s="119"/>
      <c r="DA759" s="119"/>
      <c r="DB759" s="119"/>
      <c r="DC759" s="119"/>
      <c r="DD759" s="119"/>
      <c r="DE759" s="119"/>
      <c r="DF759" s="119"/>
      <c r="DG759" s="119"/>
      <c r="DH759" s="119"/>
      <c r="DI759" s="119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119"/>
      <c r="DU759" s="119"/>
      <c r="DV759" s="119"/>
      <c r="DW759" s="119"/>
      <c r="DX759" s="119"/>
      <c r="DY759" s="119"/>
      <c r="DZ759" s="119"/>
      <c r="EA759" s="119"/>
      <c r="EB759" s="119"/>
      <c r="EC759" s="119"/>
      <c r="ED759" s="119"/>
      <c r="EE759" s="119"/>
    </row>
    <row r="760" ht="15.75" customHeight="1">
      <c r="A760" s="135"/>
      <c r="B760" s="135"/>
      <c r="C760" s="135"/>
      <c r="D760" s="135"/>
      <c r="E760" s="135"/>
      <c r="F760" s="135"/>
      <c r="G760" s="135"/>
      <c r="H760" s="135"/>
      <c r="I760" s="1"/>
      <c r="J760" s="1"/>
      <c r="K760" s="1"/>
      <c r="L760" s="1"/>
      <c r="M760" s="1"/>
      <c r="N760" s="1"/>
      <c r="O760" s="1"/>
      <c r="P760" s="1"/>
      <c r="Q760" s="1"/>
      <c r="R760" s="124"/>
      <c r="S760" s="1"/>
      <c r="T760" s="1"/>
      <c r="U760" s="1"/>
      <c r="V760" s="125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126"/>
      <c r="AH760" s="126"/>
      <c r="AI760" s="126"/>
      <c r="AJ760" s="126"/>
      <c r="AK760" s="126"/>
      <c r="AL760" s="126"/>
      <c r="AM760" s="126"/>
      <c r="AN760" s="126"/>
      <c r="AO760" s="126"/>
      <c r="AP760" s="126"/>
      <c r="AQ760" s="126"/>
      <c r="AR760" s="126"/>
      <c r="AS760" s="126"/>
      <c r="AT760" s="126"/>
      <c r="AU760" s="126"/>
      <c r="AV760" s="126"/>
      <c r="AW760" s="126"/>
      <c r="AX760" s="126"/>
      <c r="AY760" s="126"/>
      <c r="AZ760" s="126"/>
      <c r="BA760" s="126"/>
      <c r="BB760" s="126"/>
      <c r="BC760" s="126"/>
      <c r="BD760" s="126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127"/>
      <c r="BQ760" s="127"/>
      <c r="BR760" s="127"/>
      <c r="BS760" s="127"/>
      <c r="BT760" s="127"/>
      <c r="BU760" s="127"/>
      <c r="BV760" s="127"/>
      <c r="BW760" s="119"/>
      <c r="BX760" s="119"/>
      <c r="BY760" s="119"/>
      <c r="BZ760" s="119"/>
      <c r="CA760" s="119"/>
      <c r="CB760" s="119"/>
      <c r="CC760" s="119"/>
      <c r="CD760" s="119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19"/>
      <c r="CQ760" s="119"/>
      <c r="CR760" s="119"/>
      <c r="CS760" s="119"/>
      <c r="CT760" s="119"/>
      <c r="CU760" s="119"/>
      <c r="CV760" s="119"/>
      <c r="CW760" s="119"/>
      <c r="CX760" s="119"/>
      <c r="CY760" s="119"/>
      <c r="CZ760" s="119"/>
      <c r="DA760" s="119"/>
      <c r="DB760" s="119"/>
      <c r="DC760" s="119"/>
      <c r="DD760" s="119"/>
      <c r="DE760" s="119"/>
      <c r="DF760" s="119"/>
      <c r="DG760" s="119"/>
      <c r="DH760" s="119"/>
      <c r="DI760" s="119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119"/>
      <c r="DU760" s="119"/>
      <c r="DV760" s="119"/>
      <c r="DW760" s="119"/>
      <c r="DX760" s="119"/>
      <c r="DY760" s="119"/>
      <c r="DZ760" s="119"/>
      <c r="EA760" s="119"/>
      <c r="EB760" s="119"/>
      <c r="EC760" s="119"/>
      <c r="ED760" s="119"/>
      <c r="EE760" s="119"/>
    </row>
    <row r="761" ht="15.75" customHeight="1">
      <c r="A761" s="135"/>
      <c r="B761" s="135"/>
      <c r="C761" s="135"/>
      <c r="D761" s="135"/>
      <c r="E761" s="135"/>
      <c r="F761" s="135"/>
      <c r="G761" s="135"/>
      <c r="H761" s="135"/>
      <c r="I761" s="1"/>
      <c r="J761" s="1"/>
      <c r="K761" s="1"/>
      <c r="L761" s="1"/>
      <c r="M761" s="1"/>
      <c r="N761" s="1"/>
      <c r="O761" s="1"/>
      <c r="P761" s="1"/>
      <c r="Q761" s="1"/>
      <c r="R761" s="124"/>
      <c r="S761" s="1"/>
      <c r="T761" s="1"/>
      <c r="U761" s="1"/>
      <c r="V761" s="125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126"/>
      <c r="AH761" s="126"/>
      <c r="AI761" s="126"/>
      <c r="AJ761" s="126"/>
      <c r="AK761" s="126"/>
      <c r="AL761" s="126"/>
      <c r="AM761" s="126"/>
      <c r="AN761" s="126"/>
      <c r="AO761" s="126"/>
      <c r="AP761" s="126"/>
      <c r="AQ761" s="126"/>
      <c r="AR761" s="126"/>
      <c r="AS761" s="126"/>
      <c r="AT761" s="126"/>
      <c r="AU761" s="126"/>
      <c r="AV761" s="126"/>
      <c r="AW761" s="126"/>
      <c r="AX761" s="126"/>
      <c r="AY761" s="126"/>
      <c r="AZ761" s="126"/>
      <c r="BA761" s="126"/>
      <c r="BB761" s="126"/>
      <c r="BC761" s="126"/>
      <c r="BD761" s="126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127"/>
      <c r="BQ761" s="127"/>
      <c r="BR761" s="127"/>
      <c r="BS761" s="127"/>
      <c r="BT761" s="127"/>
      <c r="BU761" s="127"/>
      <c r="BV761" s="127"/>
      <c r="BW761" s="119"/>
      <c r="BX761" s="119"/>
      <c r="BY761" s="119"/>
      <c r="BZ761" s="119"/>
      <c r="CA761" s="119"/>
      <c r="CB761" s="119"/>
      <c r="CC761" s="119"/>
      <c r="CD761" s="119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19"/>
      <c r="CQ761" s="119"/>
      <c r="CR761" s="119"/>
      <c r="CS761" s="119"/>
      <c r="CT761" s="119"/>
      <c r="CU761" s="119"/>
      <c r="CV761" s="119"/>
      <c r="CW761" s="119"/>
      <c r="CX761" s="119"/>
      <c r="CY761" s="119"/>
      <c r="CZ761" s="119"/>
      <c r="DA761" s="119"/>
      <c r="DB761" s="119"/>
      <c r="DC761" s="119"/>
      <c r="DD761" s="119"/>
      <c r="DE761" s="119"/>
      <c r="DF761" s="119"/>
      <c r="DG761" s="119"/>
      <c r="DH761" s="119"/>
      <c r="DI761" s="119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119"/>
      <c r="DU761" s="119"/>
      <c r="DV761" s="119"/>
      <c r="DW761" s="119"/>
      <c r="DX761" s="119"/>
      <c r="DY761" s="119"/>
      <c r="DZ761" s="119"/>
      <c r="EA761" s="119"/>
      <c r="EB761" s="119"/>
      <c r="EC761" s="119"/>
      <c r="ED761" s="119"/>
      <c r="EE761" s="119"/>
    </row>
    <row r="762" ht="15.75" customHeight="1">
      <c r="A762" s="135"/>
      <c r="B762" s="135"/>
      <c r="C762" s="135"/>
      <c r="D762" s="135"/>
      <c r="E762" s="135"/>
      <c r="F762" s="135"/>
      <c r="G762" s="135"/>
      <c r="H762" s="135"/>
      <c r="I762" s="1"/>
      <c r="J762" s="1"/>
      <c r="K762" s="1"/>
      <c r="L762" s="1"/>
      <c r="M762" s="1"/>
      <c r="N762" s="1"/>
      <c r="O762" s="1"/>
      <c r="P762" s="1"/>
      <c r="Q762" s="1"/>
      <c r="R762" s="124"/>
      <c r="S762" s="1"/>
      <c r="T762" s="1"/>
      <c r="U762" s="1"/>
      <c r="V762" s="125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126"/>
      <c r="AH762" s="126"/>
      <c r="AI762" s="126"/>
      <c r="AJ762" s="126"/>
      <c r="AK762" s="126"/>
      <c r="AL762" s="126"/>
      <c r="AM762" s="126"/>
      <c r="AN762" s="126"/>
      <c r="AO762" s="126"/>
      <c r="AP762" s="126"/>
      <c r="AQ762" s="126"/>
      <c r="AR762" s="126"/>
      <c r="AS762" s="126"/>
      <c r="AT762" s="126"/>
      <c r="AU762" s="126"/>
      <c r="AV762" s="126"/>
      <c r="AW762" s="126"/>
      <c r="AX762" s="126"/>
      <c r="AY762" s="126"/>
      <c r="AZ762" s="126"/>
      <c r="BA762" s="126"/>
      <c r="BB762" s="126"/>
      <c r="BC762" s="126"/>
      <c r="BD762" s="126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127"/>
      <c r="BQ762" s="127"/>
      <c r="BR762" s="127"/>
      <c r="BS762" s="127"/>
      <c r="BT762" s="127"/>
      <c r="BU762" s="127"/>
      <c r="BV762" s="127"/>
      <c r="BW762" s="119"/>
      <c r="BX762" s="119"/>
      <c r="BY762" s="119"/>
      <c r="BZ762" s="119"/>
      <c r="CA762" s="119"/>
      <c r="CB762" s="119"/>
      <c r="CC762" s="119"/>
      <c r="CD762" s="119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19"/>
      <c r="CQ762" s="119"/>
      <c r="CR762" s="119"/>
      <c r="CS762" s="119"/>
      <c r="CT762" s="119"/>
      <c r="CU762" s="119"/>
      <c r="CV762" s="119"/>
      <c r="CW762" s="119"/>
      <c r="CX762" s="119"/>
      <c r="CY762" s="119"/>
      <c r="CZ762" s="119"/>
      <c r="DA762" s="119"/>
      <c r="DB762" s="119"/>
      <c r="DC762" s="119"/>
      <c r="DD762" s="119"/>
      <c r="DE762" s="119"/>
      <c r="DF762" s="119"/>
      <c r="DG762" s="119"/>
      <c r="DH762" s="119"/>
      <c r="DI762" s="119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119"/>
      <c r="DU762" s="119"/>
      <c r="DV762" s="119"/>
      <c r="DW762" s="119"/>
      <c r="DX762" s="119"/>
      <c r="DY762" s="119"/>
      <c r="DZ762" s="119"/>
      <c r="EA762" s="119"/>
      <c r="EB762" s="119"/>
      <c r="EC762" s="119"/>
      <c r="ED762" s="119"/>
      <c r="EE762" s="119"/>
    </row>
    <row r="763" ht="15.75" customHeight="1">
      <c r="A763" s="135"/>
      <c r="B763" s="135"/>
      <c r="C763" s="135"/>
      <c r="D763" s="135"/>
      <c r="E763" s="135"/>
      <c r="F763" s="135"/>
      <c r="G763" s="135"/>
      <c r="H763" s="135"/>
      <c r="I763" s="1"/>
      <c r="J763" s="1"/>
      <c r="K763" s="1"/>
      <c r="L763" s="1"/>
      <c r="M763" s="1"/>
      <c r="N763" s="1"/>
      <c r="O763" s="1"/>
      <c r="P763" s="1"/>
      <c r="Q763" s="1"/>
      <c r="R763" s="124"/>
      <c r="S763" s="1"/>
      <c r="T763" s="1"/>
      <c r="U763" s="1"/>
      <c r="V763" s="125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126"/>
      <c r="AH763" s="126"/>
      <c r="AI763" s="126"/>
      <c r="AJ763" s="126"/>
      <c r="AK763" s="126"/>
      <c r="AL763" s="126"/>
      <c r="AM763" s="126"/>
      <c r="AN763" s="126"/>
      <c r="AO763" s="126"/>
      <c r="AP763" s="126"/>
      <c r="AQ763" s="126"/>
      <c r="AR763" s="126"/>
      <c r="AS763" s="126"/>
      <c r="AT763" s="126"/>
      <c r="AU763" s="126"/>
      <c r="AV763" s="126"/>
      <c r="AW763" s="126"/>
      <c r="AX763" s="126"/>
      <c r="AY763" s="126"/>
      <c r="AZ763" s="126"/>
      <c r="BA763" s="126"/>
      <c r="BB763" s="126"/>
      <c r="BC763" s="126"/>
      <c r="BD763" s="126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127"/>
      <c r="BQ763" s="127"/>
      <c r="BR763" s="127"/>
      <c r="BS763" s="127"/>
      <c r="BT763" s="127"/>
      <c r="BU763" s="127"/>
      <c r="BV763" s="127"/>
      <c r="BW763" s="119"/>
      <c r="BX763" s="119"/>
      <c r="BY763" s="119"/>
      <c r="BZ763" s="119"/>
      <c r="CA763" s="119"/>
      <c r="CB763" s="119"/>
      <c r="CC763" s="119"/>
      <c r="CD763" s="119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19"/>
      <c r="CQ763" s="119"/>
      <c r="CR763" s="119"/>
      <c r="CS763" s="119"/>
      <c r="CT763" s="119"/>
      <c r="CU763" s="119"/>
      <c r="CV763" s="119"/>
      <c r="CW763" s="119"/>
      <c r="CX763" s="119"/>
      <c r="CY763" s="119"/>
      <c r="CZ763" s="119"/>
      <c r="DA763" s="119"/>
      <c r="DB763" s="119"/>
      <c r="DC763" s="119"/>
      <c r="DD763" s="119"/>
      <c r="DE763" s="119"/>
      <c r="DF763" s="119"/>
      <c r="DG763" s="119"/>
      <c r="DH763" s="119"/>
      <c r="DI763" s="119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119"/>
      <c r="DU763" s="119"/>
      <c r="DV763" s="119"/>
      <c r="DW763" s="119"/>
      <c r="DX763" s="119"/>
      <c r="DY763" s="119"/>
      <c r="DZ763" s="119"/>
      <c r="EA763" s="119"/>
      <c r="EB763" s="119"/>
      <c r="EC763" s="119"/>
      <c r="ED763" s="119"/>
      <c r="EE763" s="119"/>
    </row>
    <row r="764" ht="15.75" customHeight="1">
      <c r="A764" s="135"/>
      <c r="B764" s="135"/>
      <c r="C764" s="135"/>
      <c r="D764" s="135"/>
      <c r="E764" s="135"/>
      <c r="F764" s="135"/>
      <c r="G764" s="135"/>
      <c r="H764" s="135"/>
      <c r="I764" s="1"/>
      <c r="J764" s="1"/>
      <c r="K764" s="1"/>
      <c r="L764" s="1"/>
      <c r="M764" s="1"/>
      <c r="N764" s="1"/>
      <c r="O764" s="1"/>
      <c r="P764" s="1"/>
      <c r="Q764" s="1"/>
      <c r="R764" s="124"/>
      <c r="S764" s="1"/>
      <c r="T764" s="1"/>
      <c r="U764" s="1"/>
      <c r="V764" s="125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126"/>
      <c r="AH764" s="126"/>
      <c r="AI764" s="126"/>
      <c r="AJ764" s="126"/>
      <c r="AK764" s="126"/>
      <c r="AL764" s="126"/>
      <c r="AM764" s="126"/>
      <c r="AN764" s="126"/>
      <c r="AO764" s="126"/>
      <c r="AP764" s="126"/>
      <c r="AQ764" s="126"/>
      <c r="AR764" s="126"/>
      <c r="AS764" s="126"/>
      <c r="AT764" s="126"/>
      <c r="AU764" s="126"/>
      <c r="AV764" s="126"/>
      <c r="AW764" s="126"/>
      <c r="AX764" s="126"/>
      <c r="AY764" s="126"/>
      <c r="AZ764" s="126"/>
      <c r="BA764" s="126"/>
      <c r="BB764" s="126"/>
      <c r="BC764" s="126"/>
      <c r="BD764" s="126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127"/>
      <c r="BQ764" s="127"/>
      <c r="BR764" s="127"/>
      <c r="BS764" s="127"/>
      <c r="BT764" s="127"/>
      <c r="BU764" s="127"/>
      <c r="BV764" s="127"/>
      <c r="BW764" s="119"/>
      <c r="BX764" s="119"/>
      <c r="BY764" s="119"/>
      <c r="BZ764" s="119"/>
      <c r="CA764" s="119"/>
      <c r="CB764" s="119"/>
      <c r="CC764" s="119"/>
      <c r="CD764" s="119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19"/>
      <c r="CQ764" s="119"/>
      <c r="CR764" s="119"/>
      <c r="CS764" s="119"/>
      <c r="CT764" s="119"/>
      <c r="CU764" s="119"/>
      <c r="CV764" s="119"/>
      <c r="CW764" s="119"/>
      <c r="CX764" s="119"/>
      <c r="CY764" s="119"/>
      <c r="CZ764" s="119"/>
      <c r="DA764" s="119"/>
      <c r="DB764" s="119"/>
      <c r="DC764" s="119"/>
      <c r="DD764" s="119"/>
      <c r="DE764" s="119"/>
      <c r="DF764" s="119"/>
      <c r="DG764" s="119"/>
      <c r="DH764" s="119"/>
      <c r="DI764" s="119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119"/>
      <c r="DU764" s="119"/>
      <c r="DV764" s="119"/>
      <c r="DW764" s="119"/>
      <c r="DX764" s="119"/>
      <c r="DY764" s="119"/>
      <c r="DZ764" s="119"/>
      <c r="EA764" s="119"/>
      <c r="EB764" s="119"/>
      <c r="EC764" s="119"/>
      <c r="ED764" s="119"/>
      <c r="EE764" s="119"/>
    </row>
    <row r="765" ht="15.75" customHeight="1">
      <c r="A765" s="135"/>
      <c r="B765" s="135"/>
      <c r="C765" s="135"/>
      <c r="D765" s="135"/>
      <c r="E765" s="135"/>
      <c r="F765" s="135"/>
      <c r="G765" s="135"/>
      <c r="H765" s="135"/>
      <c r="I765" s="1"/>
      <c r="J765" s="1"/>
      <c r="K765" s="1"/>
      <c r="L765" s="1"/>
      <c r="M765" s="1"/>
      <c r="N765" s="1"/>
      <c r="O765" s="1"/>
      <c r="P765" s="1"/>
      <c r="Q765" s="1"/>
      <c r="R765" s="124"/>
      <c r="S765" s="1"/>
      <c r="T765" s="1"/>
      <c r="U765" s="1"/>
      <c r="V765" s="125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126"/>
      <c r="AH765" s="126"/>
      <c r="AI765" s="126"/>
      <c r="AJ765" s="126"/>
      <c r="AK765" s="126"/>
      <c r="AL765" s="126"/>
      <c r="AM765" s="126"/>
      <c r="AN765" s="126"/>
      <c r="AO765" s="126"/>
      <c r="AP765" s="126"/>
      <c r="AQ765" s="126"/>
      <c r="AR765" s="126"/>
      <c r="AS765" s="126"/>
      <c r="AT765" s="126"/>
      <c r="AU765" s="126"/>
      <c r="AV765" s="126"/>
      <c r="AW765" s="126"/>
      <c r="AX765" s="126"/>
      <c r="AY765" s="126"/>
      <c r="AZ765" s="126"/>
      <c r="BA765" s="126"/>
      <c r="BB765" s="126"/>
      <c r="BC765" s="126"/>
      <c r="BD765" s="126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127"/>
      <c r="BQ765" s="127"/>
      <c r="BR765" s="127"/>
      <c r="BS765" s="127"/>
      <c r="BT765" s="127"/>
      <c r="BU765" s="127"/>
      <c r="BV765" s="127"/>
      <c r="BW765" s="119"/>
      <c r="BX765" s="119"/>
      <c r="BY765" s="119"/>
      <c r="BZ765" s="119"/>
      <c r="CA765" s="119"/>
      <c r="CB765" s="119"/>
      <c r="CC765" s="119"/>
      <c r="CD765" s="119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19"/>
      <c r="CQ765" s="119"/>
      <c r="CR765" s="119"/>
      <c r="CS765" s="119"/>
      <c r="CT765" s="119"/>
      <c r="CU765" s="119"/>
      <c r="CV765" s="119"/>
      <c r="CW765" s="119"/>
      <c r="CX765" s="119"/>
      <c r="CY765" s="119"/>
      <c r="CZ765" s="119"/>
      <c r="DA765" s="119"/>
      <c r="DB765" s="119"/>
      <c r="DC765" s="119"/>
      <c r="DD765" s="119"/>
      <c r="DE765" s="119"/>
      <c r="DF765" s="119"/>
      <c r="DG765" s="119"/>
      <c r="DH765" s="119"/>
      <c r="DI765" s="119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119"/>
      <c r="DU765" s="119"/>
      <c r="DV765" s="119"/>
      <c r="DW765" s="119"/>
      <c r="DX765" s="119"/>
      <c r="DY765" s="119"/>
      <c r="DZ765" s="119"/>
      <c r="EA765" s="119"/>
      <c r="EB765" s="119"/>
      <c r="EC765" s="119"/>
      <c r="ED765" s="119"/>
      <c r="EE765" s="119"/>
    </row>
    <row r="766" ht="15.75" customHeight="1">
      <c r="A766" s="135"/>
      <c r="B766" s="135"/>
      <c r="C766" s="135"/>
      <c r="D766" s="135"/>
      <c r="E766" s="135"/>
      <c r="F766" s="135"/>
      <c r="G766" s="135"/>
      <c r="H766" s="135"/>
      <c r="I766" s="1"/>
      <c r="J766" s="1"/>
      <c r="K766" s="1"/>
      <c r="L766" s="1"/>
      <c r="M766" s="1"/>
      <c r="N766" s="1"/>
      <c r="O766" s="1"/>
      <c r="P766" s="1"/>
      <c r="Q766" s="1"/>
      <c r="R766" s="124"/>
      <c r="S766" s="1"/>
      <c r="T766" s="1"/>
      <c r="U766" s="1"/>
      <c r="V766" s="125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126"/>
      <c r="AH766" s="126"/>
      <c r="AI766" s="126"/>
      <c r="AJ766" s="126"/>
      <c r="AK766" s="126"/>
      <c r="AL766" s="126"/>
      <c r="AM766" s="126"/>
      <c r="AN766" s="126"/>
      <c r="AO766" s="126"/>
      <c r="AP766" s="126"/>
      <c r="AQ766" s="126"/>
      <c r="AR766" s="126"/>
      <c r="AS766" s="126"/>
      <c r="AT766" s="126"/>
      <c r="AU766" s="126"/>
      <c r="AV766" s="126"/>
      <c r="AW766" s="126"/>
      <c r="AX766" s="126"/>
      <c r="AY766" s="126"/>
      <c r="AZ766" s="126"/>
      <c r="BA766" s="126"/>
      <c r="BB766" s="126"/>
      <c r="BC766" s="126"/>
      <c r="BD766" s="126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127"/>
      <c r="BQ766" s="127"/>
      <c r="BR766" s="127"/>
      <c r="BS766" s="127"/>
      <c r="BT766" s="127"/>
      <c r="BU766" s="127"/>
      <c r="BV766" s="127"/>
      <c r="BW766" s="119"/>
      <c r="BX766" s="119"/>
      <c r="BY766" s="119"/>
      <c r="BZ766" s="119"/>
      <c r="CA766" s="119"/>
      <c r="CB766" s="119"/>
      <c r="CC766" s="119"/>
      <c r="CD766" s="119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19"/>
      <c r="CQ766" s="119"/>
      <c r="CR766" s="119"/>
      <c r="CS766" s="119"/>
      <c r="CT766" s="119"/>
      <c r="CU766" s="119"/>
      <c r="CV766" s="119"/>
      <c r="CW766" s="119"/>
      <c r="CX766" s="119"/>
      <c r="CY766" s="119"/>
      <c r="CZ766" s="119"/>
      <c r="DA766" s="119"/>
      <c r="DB766" s="119"/>
      <c r="DC766" s="119"/>
      <c r="DD766" s="119"/>
      <c r="DE766" s="119"/>
      <c r="DF766" s="119"/>
      <c r="DG766" s="119"/>
      <c r="DH766" s="119"/>
      <c r="DI766" s="119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119"/>
      <c r="DU766" s="119"/>
      <c r="DV766" s="119"/>
      <c r="DW766" s="119"/>
      <c r="DX766" s="119"/>
      <c r="DY766" s="119"/>
      <c r="DZ766" s="119"/>
      <c r="EA766" s="119"/>
      <c r="EB766" s="119"/>
      <c r="EC766" s="119"/>
      <c r="ED766" s="119"/>
      <c r="EE766" s="119"/>
    </row>
    <row r="767" ht="15.75" customHeight="1">
      <c r="A767" s="135"/>
      <c r="B767" s="135"/>
      <c r="C767" s="135"/>
      <c r="D767" s="135"/>
      <c r="E767" s="135"/>
      <c r="F767" s="135"/>
      <c r="G767" s="135"/>
      <c r="H767" s="135"/>
      <c r="I767" s="1"/>
      <c r="J767" s="1"/>
      <c r="K767" s="1"/>
      <c r="L767" s="1"/>
      <c r="M767" s="1"/>
      <c r="N767" s="1"/>
      <c r="O767" s="1"/>
      <c r="P767" s="1"/>
      <c r="Q767" s="1"/>
      <c r="R767" s="124"/>
      <c r="S767" s="1"/>
      <c r="T767" s="1"/>
      <c r="U767" s="1"/>
      <c r="V767" s="125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126"/>
      <c r="AH767" s="126"/>
      <c r="AI767" s="126"/>
      <c r="AJ767" s="126"/>
      <c r="AK767" s="126"/>
      <c r="AL767" s="126"/>
      <c r="AM767" s="126"/>
      <c r="AN767" s="126"/>
      <c r="AO767" s="126"/>
      <c r="AP767" s="126"/>
      <c r="AQ767" s="126"/>
      <c r="AR767" s="126"/>
      <c r="AS767" s="126"/>
      <c r="AT767" s="126"/>
      <c r="AU767" s="126"/>
      <c r="AV767" s="126"/>
      <c r="AW767" s="126"/>
      <c r="AX767" s="126"/>
      <c r="AY767" s="126"/>
      <c r="AZ767" s="126"/>
      <c r="BA767" s="126"/>
      <c r="BB767" s="126"/>
      <c r="BC767" s="126"/>
      <c r="BD767" s="126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127"/>
      <c r="BQ767" s="127"/>
      <c r="BR767" s="127"/>
      <c r="BS767" s="127"/>
      <c r="BT767" s="127"/>
      <c r="BU767" s="127"/>
      <c r="BV767" s="127"/>
      <c r="BW767" s="119"/>
      <c r="BX767" s="119"/>
      <c r="BY767" s="119"/>
      <c r="BZ767" s="119"/>
      <c r="CA767" s="119"/>
      <c r="CB767" s="119"/>
      <c r="CC767" s="119"/>
      <c r="CD767" s="119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19"/>
      <c r="CQ767" s="119"/>
      <c r="CR767" s="119"/>
      <c r="CS767" s="119"/>
      <c r="CT767" s="119"/>
      <c r="CU767" s="119"/>
      <c r="CV767" s="119"/>
      <c r="CW767" s="119"/>
      <c r="CX767" s="119"/>
      <c r="CY767" s="119"/>
      <c r="CZ767" s="119"/>
      <c r="DA767" s="119"/>
      <c r="DB767" s="119"/>
      <c r="DC767" s="119"/>
      <c r="DD767" s="119"/>
      <c r="DE767" s="119"/>
      <c r="DF767" s="119"/>
      <c r="DG767" s="119"/>
      <c r="DH767" s="119"/>
      <c r="DI767" s="119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119"/>
      <c r="DU767" s="119"/>
      <c r="DV767" s="119"/>
      <c r="DW767" s="119"/>
      <c r="DX767" s="119"/>
      <c r="DY767" s="119"/>
      <c r="DZ767" s="119"/>
      <c r="EA767" s="119"/>
      <c r="EB767" s="119"/>
      <c r="EC767" s="119"/>
      <c r="ED767" s="119"/>
      <c r="EE767" s="119"/>
    </row>
    <row r="768" ht="15.75" customHeight="1">
      <c r="A768" s="135"/>
      <c r="B768" s="135"/>
      <c r="C768" s="135"/>
      <c r="D768" s="135"/>
      <c r="E768" s="135"/>
      <c r="F768" s="135"/>
      <c r="G768" s="135"/>
      <c r="H768" s="135"/>
      <c r="I768" s="1"/>
      <c r="J768" s="1"/>
      <c r="K768" s="1"/>
      <c r="L768" s="1"/>
      <c r="M768" s="1"/>
      <c r="N768" s="1"/>
      <c r="O768" s="1"/>
      <c r="P768" s="1"/>
      <c r="Q768" s="1"/>
      <c r="R768" s="124"/>
      <c r="S768" s="1"/>
      <c r="T768" s="1"/>
      <c r="U768" s="1"/>
      <c r="V768" s="125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126"/>
      <c r="AH768" s="126"/>
      <c r="AI768" s="126"/>
      <c r="AJ768" s="126"/>
      <c r="AK768" s="126"/>
      <c r="AL768" s="126"/>
      <c r="AM768" s="126"/>
      <c r="AN768" s="126"/>
      <c r="AO768" s="126"/>
      <c r="AP768" s="126"/>
      <c r="AQ768" s="126"/>
      <c r="AR768" s="126"/>
      <c r="AS768" s="126"/>
      <c r="AT768" s="126"/>
      <c r="AU768" s="126"/>
      <c r="AV768" s="126"/>
      <c r="AW768" s="126"/>
      <c r="AX768" s="126"/>
      <c r="AY768" s="126"/>
      <c r="AZ768" s="126"/>
      <c r="BA768" s="126"/>
      <c r="BB768" s="126"/>
      <c r="BC768" s="126"/>
      <c r="BD768" s="126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127"/>
      <c r="BQ768" s="127"/>
      <c r="BR768" s="127"/>
      <c r="BS768" s="127"/>
      <c r="BT768" s="127"/>
      <c r="BU768" s="127"/>
      <c r="BV768" s="127"/>
      <c r="BW768" s="119"/>
      <c r="BX768" s="119"/>
      <c r="BY768" s="119"/>
      <c r="BZ768" s="119"/>
      <c r="CA768" s="119"/>
      <c r="CB768" s="119"/>
      <c r="CC768" s="119"/>
      <c r="CD768" s="119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19"/>
      <c r="CQ768" s="119"/>
      <c r="CR768" s="119"/>
      <c r="CS768" s="119"/>
      <c r="CT768" s="119"/>
      <c r="CU768" s="119"/>
      <c r="CV768" s="119"/>
      <c r="CW768" s="119"/>
      <c r="CX768" s="119"/>
      <c r="CY768" s="119"/>
      <c r="CZ768" s="119"/>
      <c r="DA768" s="119"/>
      <c r="DB768" s="119"/>
      <c r="DC768" s="119"/>
      <c r="DD768" s="119"/>
      <c r="DE768" s="119"/>
      <c r="DF768" s="119"/>
      <c r="DG768" s="119"/>
      <c r="DH768" s="119"/>
      <c r="DI768" s="119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119"/>
      <c r="DU768" s="119"/>
      <c r="DV768" s="119"/>
      <c r="DW768" s="119"/>
      <c r="DX768" s="119"/>
      <c r="DY768" s="119"/>
      <c r="DZ768" s="119"/>
      <c r="EA768" s="119"/>
      <c r="EB768" s="119"/>
      <c r="EC768" s="119"/>
      <c r="ED768" s="119"/>
      <c r="EE768" s="119"/>
    </row>
    <row r="769" ht="15.75" customHeight="1">
      <c r="A769" s="135"/>
      <c r="B769" s="135"/>
      <c r="C769" s="135"/>
      <c r="D769" s="135"/>
      <c r="E769" s="135"/>
      <c r="F769" s="135"/>
      <c r="G769" s="135"/>
      <c r="H769" s="135"/>
      <c r="I769" s="1"/>
      <c r="J769" s="1"/>
      <c r="K769" s="1"/>
      <c r="L769" s="1"/>
      <c r="M769" s="1"/>
      <c r="N769" s="1"/>
      <c r="O769" s="1"/>
      <c r="P769" s="1"/>
      <c r="Q769" s="1"/>
      <c r="R769" s="124"/>
      <c r="S769" s="1"/>
      <c r="T769" s="1"/>
      <c r="U769" s="1"/>
      <c r="V769" s="125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126"/>
      <c r="AH769" s="126"/>
      <c r="AI769" s="126"/>
      <c r="AJ769" s="126"/>
      <c r="AK769" s="126"/>
      <c r="AL769" s="126"/>
      <c r="AM769" s="126"/>
      <c r="AN769" s="126"/>
      <c r="AO769" s="126"/>
      <c r="AP769" s="126"/>
      <c r="AQ769" s="126"/>
      <c r="AR769" s="126"/>
      <c r="AS769" s="126"/>
      <c r="AT769" s="126"/>
      <c r="AU769" s="126"/>
      <c r="AV769" s="126"/>
      <c r="AW769" s="126"/>
      <c r="AX769" s="126"/>
      <c r="AY769" s="126"/>
      <c r="AZ769" s="126"/>
      <c r="BA769" s="126"/>
      <c r="BB769" s="126"/>
      <c r="BC769" s="126"/>
      <c r="BD769" s="126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127"/>
      <c r="BQ769" s="127"/>
      <c r="BR769" s="127"/>
      <c r="BS769" s="127"/>
      <c r="BT769" s="127"/>
      <c r="BU769" s="127"/>
      <c r="BV769" s="127"/>
      <c r="BW769" s="119"/>
      <c r="BX769" s="119"/>
      <c r="BY769" s="119"/>
      <c r="BZ769" s="119"/>
      <c r="CA769" s="119"/>
      <c r="CB769" s="119"/>
      <c r="CC769" s="119"/>
      <c r="CD769" s="119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19"/>
      <c r="CQ769" s="119"/>
      <c r="CR769" s="119"/>
      <c r="CS769" s="119"/>
      <c r="CT769" s="119"/>
      <c r="CU769" s="119"/>
      <c r="CV769" s="119"/>
      <c r="CW769" s="119"/>
      <c r="CX769" s="119"/>
      <c r="CY769" s="119"/>
      <c r="CZ769" s="119"/>
      <c r="DA769" s="119"/>
      <c r="DB769" s="119"/>
      <c r="DC769" s="119"/>
      <c r="DD769" s="119"/>
      <c r="DE769" s="119"/>
      <c r="DF769" s="119"/>
      <c r="DG769" s="119"/>
      <c r="DH769" s="119"/>
      <c r="DI769" s="119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119"/>
      <c r="DU769" s="119"/>
      <c r="DV769" s="119"/>
      <c r="DW769" s="119"/>
      <c r="DX769" s="119"/>
      <c r="DY769" s="119"/>
      <c r="DZ769" s="119"/>
      <c r="EA769" s="119"/>
      <c r="EB769" s="119"/>
      <c r="EC769" s="119"/>
      <c r="ED769" s="119"/>
      <c r="EE769" s="119"/>
    </row>
    <row r="770" ht="15.75" customHeight="1">
      <c r="A770" s="135"/>
      <c r="B770" s="135"/>
      <c r="C770" s="135"/>
      <c r="D770" s="135"/>
      <c r="E770" s="135"/>
      <c r="F770" s="135"/>
      <c r="G770" s="135"/>
      <c r="H770" s="135"/>
      <c r="I770" s="1"/>
      <c r="J770" s="1"/>
      <c r="K770" s="1"/>
      <c r="L770" s="1"/>
      <c r="M770" s="1"/>
      <c r="N770" s="1"/>
      <c r="O770" s="1"/>
      <c r="P770" s="1"/>
      <c r="Q770" s="1"/>
      <c r="R770" s="124"/>
      <c r="S770" s="1"/>
      <c r="T770" s="1"/>
      <c r="U770" s="1"/>
      <c r="V770" s="125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126"/>
      <c r="AH770" s="126"/>
      <c r="AI770" s="126"/>
      <c r="AJ770" s="126"/>
      <c r="AK770" s="126"/>
      <c r="AL770" s="126"/>
      <c r="AM770" s="126"/>
      <c r="AN770" s="126"/>
      <c r="AO770" s="126"/>
      <c r="AP770" s="126"/>
      <c r="AQ770" s="126"/>
      <c r="AR770" s="126"/>
      <c r="AS770" s="126"/>
      <c r="AT770" s="126"/>
      <c r="AU770" s="126"/>
      <c r="AV770" s="126"/>
      <c r="AW770" s="126"/>
      <c r="AX770" s="126"/>
      <c r="AY770" s="126"/>
      <c r="AZ770" s="126"/>
      <c r="BA770" s="126"/>
      <c r="BB770" s="126"/>
      <c r="BC770" s="126"/>
      <c r="BD770" s="126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127"/>
      <c r="BQ770" s="127"/>
      <c r="BR770" s="127"/>
      <c r="BS770" s="127"/>
      <c r="BT770" s="127"/>
      <c r="BU770" s="127"/>
      <c r="BV770" s="127"/>
      <c r="BW770" s="119"/>
      <c r="BX770" s="119"/>
      <c r="BY770" s="119"/>
      <c r="BZ770" s="119"/>
      <c r="CA770" s="119"/>
      <c r="CB770" s="119"/>
      <c r="CC770" s="119"/>
      <c r="CD770" s="119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19"/>
      <c r="CQ770" s="119"/>
      <c r="CR770" s="119"/>
      <c r="CS770" s="119"/>
      <c r="CT770" s="119"/>
      <c r="CU770" s="119"/>
      <c r="CV770" s="119"/>
      <c r="CW770" s="119"/>
      <c r="CX770" s="119"/>
      <c r="CY770" s="119"/>
      <c r="CZ770" s="119"/>
      <c r="DA770" s="119"/>
      <c r="DB770" s="119"/>
      <c r="DC770" s="119"/>
      <c r="DD770" s="119"/>
      <c r="DE770" s="119"/>
      <c r="DF770" s="119"/>
      <c r="DG770" s="119"/>
      <c r="DH770" s="119"/>
      <c r="DI770" s="119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119"/>
      <c r="DU770" s="119"/>
      <c r="DV770" s="119"/>
      <c r="DW770" s="119"/>
      <c r="DX770" s="119"/>
      <c r="DY770" s="119"/>
      <c r="DZ770" s="119"/>
      <c r="EA770" s="119"/>
      <c r="EB770" s="119"/>
      <c r="EC770" s="119"/>
      <c r="ED770" s="119"/>
      <c r="EE770" s="119"/>
    </row>
    <row r="771" ht="15.75" customHeight="1">
      <c r="A771" s="135"/>
      <c r="B771" s="135"/>
      <c r="C771" s="135"/>
      <c r="D771" s="135"/>
      <c r="E771" s="135"/>
      <c r="F771" s="135"/>
      <c r="G771" s="135"/>
      <c r="H771" s="135"/>
      <c r="I771" s="1"/>
      <c r="J771" s="1"/>
      <c r="K771" s="1"/>
      <c r="L771" s="1"/>
      <c r="M771" s="1"/>
      <c r="N771" s="1"/>
      <c r="O771" s="1"/>
      <c r="P771" s="1"/>
      <c r="Q771" s="1"/>
      <c r="R771" s="124"/>
      <c r="S771" s="1"/>
      <c r="T771" s="1"/>
      <c r="U771" s="1"/>
      <c r="V771" s="125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126"/>
      <c r="AH771" s="126"/>
      <c r="AI771" s="126"/>
      <c r="AJ771" s="126"/>
      <c r="AK771" s="126"/>
      <c r="AL771" s="126"/>
      <c r="AM771" s="126"/>
      <c r="AN771" s="126"/>
      <c r="AO771" s="126"/>
      <c r="AP771" s="126"/>
      <c r="AQ771" s="126"/>
      <c r="AR771" s="126"/>
      <c r="AS771" s="126"/>
      <c r="AT771" s="126"/>
      <c r="AU771" s="126"/>
      <c r="AV771" s="126"/>
      <c r="AW771" s="126"/>
      <c r="AX771" s="126"/>
      <c r="AY771" s="126"/>
      <c r="AZ771" s="126"/>
      <c r="BA771" s="126"/>
      <c r="BB771" s="126"/>
      <c r="BC771" s="126"/>
      <c r="BD771" s="126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127"/>
      <c r="BQ771" s="127"/>
      <c r="BR771" s="127"/>
      <c r="BS771" s="127"/>
      <c r="BT771" s="127"/>
      <c r="BU771" s="127"/>
      <c r="BV771" s="127"/>
      <c r="BW771" s="119"/>
      <c r="BX771" s="119"/>
      <c r="BY771" s="119"/>
      <c r="BZ771" s="119"/>
      <c r="CA771" s="119"/>
      <c r="CB771" s="119"/>
      <c r="CC771" s="119"/>
      <c r="CD771" s="119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19"/>
      <c r="CQ771" s="119"/>
      <c r="CR771" s="119"/>
      <c r="CS771" s="119"/>
      <c r="CT771" s="119"/>
      <c r="CU771" s="119"/>
      <c r="CV771" s="119"/>
      <c r="CW771" s="119"/>
      <c r="CX771" s="119"/>
      <c r="CY771" s="119"/>
      <c r="CZ771" s="119"/>
      <c r="DA771" s="119"/>
      <c r="DB771" s="119"/>
      <c r="DC771" s="119"/>
      <c r="DD771" s="119"/>
      <c r="DE771" s="119"/>
      <c r="DF771" s="119"/>
      <c r="DG771" s="119"/>
      <c r="DH771" s="119"/>
      <c r="DI771" s="119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119"/>
      <c r="DU771" s="119"/>
      <c r="DV771" s="119"/>
      <c r="DW771" s="119"/>
      <c r="DX771" s="119"/>
      <c r="DY771" s="119"/>
      <c r="DZ771" s="119"/>
      <c r="EA771" s="119"/>
      <c r="EB771" s="119"/>
      <c r="EC771" s="119"/>
      <c r="ED771" s="119"/>
      <c r="EE771" s="119"/>
    </row>
    <row r="772" ht="15.75" customHeight="1">
      <c r="A772" s="135"/>
      <c r="B772" s="135"/>
      <c r="C772" s="135"/>
      <c r="D772" s="135"/>
      <c r="E772" s="135"/>
      <c r="F772" s="135"/>
      <c r="G772" s="135"/>
      <c r="H772" s="135"/>
      <c r="I772" s="1"/>
      <c r="J772" s="1"/>
      <c r="K772" s="1"/>
      <c r="L772" s="1"/>
      <c r="M772" s="1"/>
      <c r="N772" s="1"/>
      <c r="O772" s="1"/>
      <c r="P772" s="1"/>
      <c r="Q772" s="1"/>
      <c r="R772" s="124"/>
      <c r="S772" s="1"/>
      <c r="T772" s="1"/>
      <c r="U772" s="1"/>
      <c r="V772" s="125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126"/>
      <c r="AH772" s="126"/>
      <c r="AI772" s="126"/>
      <c r="AJ772" s="126"/>
      <c r="AK772" s="126"/>
      <c r="AL772" s="126"/>
      <c r="AM772" s="126"/>
      <c r="AN772" s="126"/>
      <c r="AO772" s="126"/>
      <c r="AP772" s="126"/>
      <c r="AQ772" s="126"/>
      <c r="AR772" s="126"/>
      <c r="AS772" s="126"/>
      <c r="AT772" s="126"/>
      <c r="AU772" s="126"/>
      <c r="AV772" s="126"/>
      <c r="AW772" s="126"/>
      <c r="AX772" s="126"/>
      <c r="AY772" s="126"/>
      <c r="AZ772" s="126"/>
      <c r="BA772" s="126"/>
      <c r="BB772" s="126"/>
      <c r="BC772" s="126"/>
      <c r="BD772" s="126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127"/>
      <c r="BQ772" s="127"/>
      <c r="BR772" s="127"/>
      <c r="BS772" s="127"/>
      <c r="BT772" s="127"/>
      <c r="BU772" s="127"/>
      <c r="BV772" s="127"/>
      <c r="BW772" s="119"/>
      <c r="BX772" s="119"/>
      <c r="BY772" s="119"/>
      <c r="BZ772" s="119"/>
      <c r="CA772" s="119"/>
      <c r="CB772" s="119"/>
      <c r="CC772" s="119"/>
      <c r="CD772" s="119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19"/>
      <c r="CQ772" s="119"/>
      <c r="CR772" s="119"/>
      <c r="CS772" s="119"/>
      <c r="CT772" s="119"/>
      <c r="CU772" s="119"/>
      <c r="CV772" s="119"/>
      <c r="CW772" s="119"/>
      <c r="CX772" s="119"/>
      <c r="CY772" s="119"/>
      <c r="CZ772" s="119"/>
      <c r="DA772" s="119"/>
      <c r="DB772" s="119"/>
      <c r="DC772" s="119"/>
      <c r="DD772" s="119"/>
      <c r="DE772" s="119"/>
      <c r="DF772" s="119"/>
      <c r="DG772" s="119"/>
      <c r="DH772" s="119"/>
      <c r="DI772" s="119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119"/>
      <c r="DU772" s="119"/>
      <c r="DV772" s="119"/>
      <c r="DW772" s="119"/>
      <c r="DX772" s="119"/>
      <c r="DY772" s="119"/>
      <c r="DZ772" s="119"/>
      <c r="EA772" s="119"/>
      <c r="EB772" s="119"/>
      <c r="EC772" s="119"/>
      <c r="ED772" s="119"/>
      <c r="EE772" s="119"/>
    </row>
    <row r="773" ht="15.75" customHeight="1">
      <c r="A773" s="135"/>
      <c r="B773" s="135"/>
      <c r="C773" s="135"/>
      <c r="D773" s="135"/>
      <c r="E773" s="135"/>
      <c r="F773" s="135"/>
      <c r="G773" s="135"/>
      <c r="H773" s="135"/>
      <c r="I773" s="1"/>
      <c r="J773" s="1"/>
      <c r="K773" s="1"/>
      <c r="L773" s="1"/>
      <c r="M773" s="1"/>
      <c r="N773" s="1"/>
      <c r="O773" s="1"/>
      <c r="P773" s="1"/>
      <c r="Q773" s="1"/>
      <c r="R773" s="124"/>
      <c r="S773" s="1"/>
      <c r="T773" s="1"/>
      <c r="U773" s="1"/>
      <c r="V773" s="125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  <c r="AI773" s="126"/>
      <c r="AJ773" s="126"/>
      <c r="AK773" s="126"/>
      <c r="AL773" s="126"/>
      <c r="AM773" s="126"/>
      <c r="AN773" s="126"/>
      <c r="AO773" s="126"/>
      <c r="AP773" s="126"/>
      <c r="AQ773" s="126"/>
      <c r="AR773" s="126"/>
      <c r="AS773" s="126"/>
      <c r="AT773" s="126"/>
      <c r="AU773" s="126"/>
      <c r="AV773" s="126"/>
      <c r="AW773" s="126"/>
      <c r="AX773" s="126"/>
      <c r="AY773" s="126"/>
      <c r="AZ773" s="126"/>
      <c r="BA773" s="126"/>
      <c r="BB773" s="126"/>
      <c r="BC773" s="126"/>
      <c r="BD773" s="126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127"/>
      <c r="BQ773" s="127"/>
      <c r="BR773" s="127"/>
      <c r="BS773" s="127"/>
      <c r="BT773" s="127"/>
      <c r="BU773" s="127"/>
      <c r="BV773" s="127"/>
      <c r="BW773" s="119"/>
      <c r="BX773" s="119"/>
      <c r="BY773" s="119"/>
      <c r="BZ773" s="119"/>
      <c r="CA773" s="119"/>
      <c r="CB773" s="119"/>
      <c r="CC773" s="119"/>
      <c r="CD773" s="119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19"/>
      <c r="CQ773" s="119"/>
      <c r="CR773" s="119"/>
      <c r="CS773" s="119"/>
      <c r="CT773" s="119"/>
      <c r="CU773" s="119"/>
      <c r="CV773" s="119"/>
      <c r="CW773" s="119"/>
      <c r="CX773" s="119"/>
      <c r="CY773" s="119"/>
      <c r="CZ773" s="119"/>
      <c r="DA773" s="119"/>
      <c r="DB773" s="119"/>
      <c r="DC773" s="119"/>
      <c r="DD773" s="119"/>
      <c r="DE773" s="119"/>
      <c r="DF773" s="119"/>
      <c r="DG773" s="119"/>
      <c r="DH773" s="119"/>
      <c r="DI773" s="119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119"/>
      <c r="DU773" s="119"/>
      <c r="DV773" s="119"/>
      <c r="DW773" s="119"/>
      <c r="DX773" s="119"/>
      <c r="DY773" s="119"/>
      <c r="DZ773" s="119"/>
      <c r="EA773" s="119"/>
      <c r="EB773" s="119"/>
      <c r="EC773" s="119"/>
      <c r="ED773" s="119"/>
      <c r="EE773" s="119"/>
    </row>
    <row r="774" ht="15.75" customHeight="1">
      <c r="A774" s="135"/>
      <c r="B774" s="135"/>
      <c r="C774" s="135"/>
      <c r="D774" s="135"/>
      <c r="E774" s="135"/>
      <c r="F774" s="135"/>
      <c r="G774" s="135"/>
      <c r="H774" s="135"/>
      <c r="I774" s="1"/>
      <c r="J774" s="1"/>
      <c r="K774" s="1"/>
      <c r="L774" s="1"/>
      <c r="M774" s="1"/>
      <c r="N774" s="1"/>
      <c r="O774" s="1"/>
      <c r="P774" s="1"/>
      <c r="Q774" s="1"/>
      <c r="R774" s="124"/>
      <c r="S774" s="1"/>
      <c r="T774" s="1"/>
      <c r="U774" s="1"/>
      <c r="V774" s="125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126"/>
      <c r="AH774" s="126"/>
      <c r="AI774" s="126"/>
      <c r="AJ774" s="126"/>
      <c r="AK774" s="126"/>
      <c r="AL774" s="126"/>
      <c r="AM774" s="126"/>
      <c r="AN774" s="126"/>
      <c r="AO774" s="126"/>
      <c r="AP774" s="126"/>
      <c r="AQ774" s="126"/>
      <c r="AR774" s="126"/>
      <c r="AS774" s="126"/>
      <c r="AT774" s="126"/>
      <c r="AU774" s="126"/>
      <c r="AV774" s="126"/>
      <c r="AW774" s="126"/>
      <c r="AX774" s="126"/>
      <c r="AY774" s="126"/>
      <c r="AZ774" s="126"/>
      <c r="BA774" s="126"/>
      <c r="BB774" s="126"/>
      <c r="BC774" s="126"/>
      <c r="BD774" s="126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127"/>
      <c r="BQ774" s="127"/>
      <c r="BR774" s="127"/>
      <c r="BS774" s="127"/>
      <c r="BT774" s="127"/>
      <c r="BU774" s="127"/>
      <c r="BV774" s="127"/>
      <c r="BW774" s="119"/>
      <c r="BX774" s="119"/>
      <c r="BY774" s="119"/>
      <c r="BZ774" s="119"/>
      <c r="CA774" s="119"/>
      <c r="CB774" s="119"/>
      <c r="CC774" s="119"/>
      <c r="CD774" s="119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19"/>
      <c r="CQ774" s="119"/>
      <c r="CR774" s="119"/>
      <c r="CS774" s="119"/>
      <c r="CT774" s="119"/>
      <c r="CU774" s="119"/>
      <c r="CV774" s="119"/>
      <c r="CW774" s="119"/>
      <c r="CX774" s="119"/>
      <c r="CY774" s="119"/>
      <c r="CZ774" s="119"/>
      <c r="DA774" s="119"/>
      <c r="DB774" s="119"/>
      <c r="DC774" s="119"/>
      <c r="DD774" s="119"/>
      <c r="DE774" s="119"/>
      <c r="DF774" s="119"/>
      <c r="DG774" s="119"/>
      <c r="DH774" s="119"/>
      <c r="DI774" s="119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119"/>
      <c r="DU774" s="119"/>
      <c r="DV774" s="119"/>
      <c r="DW774" s="119"/>
      <c r="DX774" s="119"/>
      <c r="DY774" s="119"/>
      <c r="DZ774" s="119"/>
      <c r="EA774" s="119"/>
      <c r="EB774" s="119"/>
      <c r="EC774" s="119"/>
      <c r="ED774" s="119"/>
      <c r="EE774" s="119"/>
    </row>
    <row r="775" ht="15.75" customHeight="1">
      <c r="A775" s="135"/>
      <c r="B775" s="135"/>
      <c r="C775" s="135"/>
      <c r="D775" s="135"/>
      <c r="E775" s="135"/>
      <c r="F775" s="135"/>
      <c r="G775" s="135"/>
      <c r="H775" s="135"/>
      <c r="I775" s="1"/>
      <c r="J775" s="1"/>
      <c r="K775" s="1"/>
      <c r="L775" s="1"/>
      <c r="M775" s="1"/>
      <c r="N775" s="1"/>
      <c r="O775" s="1"/>
      <c r="P775" s="1"/>
      <c r="Q775" s="1"/>
      <c r="R775" s="124"/>
      <c r="S775" s="1"/>
      <c r="T775" s="1"/>
      <c r="U775" s="1"/>
      <c r="V775" s="125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126"/>
      <c r="AH775" s="126"/>
      <c r="AI775" s="126"/>
      <c r="AJ775" s="126"/>
      <c r="AK775" s="126"/>
      <c r="AL775" s="126"/>
      <c r="AM775" s="126"/>
      <c r="AN775" s="126"/>
      <c r="AO775" s="126"/>
      <c r="AP775" s="126"/>
      <c r="AQ775" s="126"/>
      <c r="AR775" s="126"/>
      <c r="AS775" s="126"/>
      <c r="AT775" s="126"/>
      <c r="AU775" s="126"/>
      <c r="AV775" s="126"/>
      <c r="AW775" s="126"/>
      <c r="AX775" s="126"/>
      <c r="AY775" s="126"/>
      <c r="AZ775" s="126"/>
      <c r="BA775" s="126"/>
      <c r="BB775" s="126"/>
      <c r="BC775" s="126"/>
      <c r="BD775" s="126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127"/>
      <c r="BQ775" s="127"/>
      <c r="BR775" s="127"/>
      <c r="BS775" s="127"/>
      <c r="BT775" s="127"/>
      <c r="BU775" s="127"/>
      <c r="BV775" s="127"/>
      <c r="BW775" s="119"/>
      <c r="BX775" s="119"/>
      <c r="BY775" s="119"/>
      <c r="BZ775" s="119"/>
      <c r="CA775" s="119"/>
      <c r="CB775" s="119"/>
      <c r="CC775" s="119"/>
      <c r="CD775" s="119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19"/>
      <c r="CQ775" s="119"/>
      <c r="CR775" s="119"/>
      <c r="CS775" s="119"/>
      <c r="CT775" s="119"/>
      <c r="CU775" s="119"/>
      <c r="CV775" s="119"/>
      <c r="CW775" s="119"/>
      <c r="CX775" s="119"/>
      <c r="CY775" s="119"/>
      <c r="CZ775" s="119"/>
      <c r="DA775" s="119"/>
      <c r="DB775" s="119"/>
      <c r="DC775" s="119"/>
      <c r="DD775" s="119"/>
      <c r="DE775" s="119"/>
      <c r="DF775" s="119"/>
      <c r="DG775" s="119"/>
      <c r="DH775" s="119"/>
      <c r="DI775" s="119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119"/>
      <c r="DU775" s="119"/>
      <c r="DV775" s="119"/>
      <c r="DW775" s="119"/>
      <c r="DX775" s="119"/>
      <c r="DY775" s="119"/>
      <c r="DZ775" s="119"/>
      <c r="EA775" s="119"/>
      <c r="EB775" s="119"/>
      <c r="EC775" s="119"/>
      <c r="ED775" s="119"/>
      <c r="EE775" s="119"/>
    </row>
    <row r="776" ht="15.75" customHeight="1">
      <c r="A776" s="135"/>
      <c r="B776" s="135"/>
      <c r="C776" s="135"/>
      <c r="D776" s="135"/>
      <c r="E776" s="135"/>
      <c r="F776" s="135"/>
      <c r="G776" s="135"/>
      <c r="H776" s="135"/>
      <c r="I776" s="1"/>
      <c r="J776" s="1"/>
      <c r="K776" s="1"/>
      <c r="L776" s="1"/>
      <c r="M776" s="1"/>
      <c r="N776" s="1"/>
      <c r="O776" s="1"/>
      <c r="P776" s="1"/>
      <c r="Q776" s="1"/>
      <c r="R776" s="124"/>
      <c r="S776" s="1"/>
      <c r="T776" s="1"/>
      <c r="U776" s="1"/>
      <c r="V776" s="125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126"/>
      <c r="AH776" s="126"/>
      <c r="AI776" s="126"/>
      <c r="AJ776" s="126"/>
      <c r="AK776" s="126"/>
      <c r="AL776" s="126"/>
      <c r="AM776" s="126"/>
      <c r="AN776" s="126"/>
      <c r="AO776" s="126"/>
      <c r="AP776" s="126"/>
      <c r="AQ776" s="126"/>
      <c r="AR776" s="126"/>
      <c r="AS776" s="126"/>
      <c r="AT776" s="126"/>
      <c r="AU776" s="126"/>
      <c r="AV776" s="126"/>
      <c r="AW776" s="126"/>
      <c r="AX776" s="126"/>
      <c r="AY776" s="126"/>
      <c r="AZ776" s="126"/>
      <c r="BA776" s="126"/>
      <c r="BB776" s="126"/>
      <c r="BC776" s="126"/>
      <c r="BD776" s="126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127"/>
      <c r="BQ776" s="127"/>
      <c r="BR776" s="127"/>
      <c r="BS776" s="127"/>
      <c r="BT776" s="127"/>
      <c r="BU776" s="127"/>
      <c r="BV776" s="127"/>
      <c r="BW776" s="119"/>
      <c r="BX776" s="119"/>
      <c r="BY776" s="119"/>
      <c r="BZ776" s="119"/>
      <c r="CA776" s="119"/>
      <c r="CB776" s="119"/>
      <c r="CC776" s="119"/>
      <c r="CD776" s="119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19"/>
      <c r="CQ776" s="119"/>
      <c r="CR776" s="119"/>
      <c r="CS776" s="119"/>
      <c r="CT776" s="119"/>
      <c r="CU776" s="119"/>
      <c r="CV776" s="119"/>
      <c r="CW776" s="119"/>
      <c r="CX776" s="119"/>
      <c r="CY776" s="119"/>
      <c r="CZ776" s="119"/>
      <c r="DA776" s="119"/>
      <c r="DB776" s="119"/>
      <c r="DC776" s="119"/>
      <c r="DD776" s="119"/>
      <c r="DE776" s="119"/>
      <c r="DF776" s="119"/>
      <c r="DG776" s="119"/>
      <c r="DH776" s="119"/>
      <c r="DI776" s="119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119"/>
      <c r="DU776" s="119"/>
      <c r="DV776" s="119"/>
      <c r="DW776" s="119"/>
      <c r="DX776" s="119"/>
      <c r="DY776" s="119"/>
      <c r="DZ776" s="119"/>
      <c r="EA776" s="119"/>
      <c r="EB776" s="119"/>
      <c r="EC776" s="119"/>
      <c r="ED776" s="119"/>
      <c r="EE776" s="119"/>
    </row>
    <row r="777" ht="15.75" customHeight="1">
      <c r="A777" s="135"/>
      <c r="B777" s="135"/>
      <c r="C777" s="135"/>
      <c r="D777" s="135"/>
      <c r="E777" s="135"/>
      <c r="F777" s="135"/>
      <c r="G777" s="135"/>
      <c r="H777" s="135"/>
      <c r="I777" s="1"/>
      <c r="J777" s="1"/>
      <c r="K777" s="1"/>
      <c r="L777" s="1"/>
      <c r="M777" s="1"/>
      <c r="N777" s="1"/>
      <c r="O777" s="1"/>
      <c r="P777" s="1"/>
      <c r="Q777" s="1"/>
      <c r="R777" s="124"/>
      <c r="S777" s="1"/>
      <c r="T777" s="1"/>
      <c r="U777" s="1"/>
      <c r="V777" s="125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126"/>
      <c r="AH777" s="126"/>
      <c r="AI777" s="126"/>
      <c r="AJ777" s="126"/>
      <c r="AK777" s="126"/>
      <c r="AL777" s="126"/>
      <c r="AM777" s="126"/>
      <c r="AN777" s="126"/>
      <c r="AO777" s="126"/>
      <c r="AP777" s="126"/>
      <c r="AQ777" s="126"/>
      <c r="AR777" s="126"/>
      <c r="AS777" s="126"/>
      <c r="AT777" s="126"/>
      <c r="AU777" s="126"/>
      <c r="AV777" s="126"/>
      <c r="AW777" s="126"/>
      <c r="AX777" s="126"/>
      <c r="AY777" s="126"/>
      <c r="AZ777" s="126"/>
      <c r="BA777" s="126"/>
      <c r="BB777" s="126"/>
      <c r="BC777" s="126"/>
      <c r="BD777" s="126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127"/>
      <c r="BQ777" s="127"/>
      <c r="BR777" s="127"/>
      <c r="BS777" s="127"/>
      <c r="BT777" s="127"/>
      <c r="BU777" s="127"/>
      <c r="BV777" s="127"/>
      <c r="BW777" s="119"/>
      <c r="BX777" s="119"/>
      <c r="BY777" s="119"/>
      <c r="BZ777" s="119"/>
      <c r="CA777" s="119"/>
      <c r="CB777" s="119"/>
      <c r="CC777" s="119"/>
      <c r="CD777" s="119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19"/>
      <c r="CQ777" s="119"/>
      <c r="CR777" s="119"/>
      <c r="CS777" s="119"/>
      <c r="CT777" s="119"/>
      <c r="CU777" s="119"/>
      <c r="CV777" s="119"/>
      <c r="CW777" s="119"/>
      <c r="CX777" s="119"/>
      <c r="CY777" s="119"/>
      <c r="CZ777" s="119"/>
      <c r="DA777" s="119"/>
      <c r="DB777" s="119"/>
      <c r="DC777" s="119"/>
      <c r="DD777" s="119"/>
      <c r="DE777" s="119"/>
      <c r="DF777" s="119"/>
      <c r="DG777" s="119"/>
      <c r="DH777" s="119"/>
      <c r="DI777" s="119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119"/>
      <c r="DU777" s="119"/>
      <c r="DV777" s="119"/>
      <c r="DW777" s="119"/>
      <c r="DX777" s="119"/>
      <c r="DY777" s="119"/>
      <c r="DZ777" s="119"/>
      <c r="EA777" s="119"/>
      <c r="EB777" s="119"/>
      <c r="EC777" s="119"/>
      <c r="ED777" s="119"/>
      <c r="EE777" s="119"/>
    </row>
    <row r="778" ht="15.75" customHeight="1">
      <c r="A778" s="135"/>
      <c r="B778" s="135"/>
      <c r="C778" s="135"/>
      <c r="D778" s="135"/>
      <c r="E778" s="135"/>
      <c r="F778" s="135"/>
      <c r="G778" s="135"/>
      <c r="H778" s="135"/>
      <c r="I778" s="1"/>
      <c r="J778" s="1"/>
      <c r="K778" s="1"/>
      <c r="L778" s="1"/>
      <c r="M778" s="1"/>
      <c r="N778" s="1"/>
      <c r="O778" s="1"/>
      <c r="P778" s="1"/>
      <c r="Q778" s="1"/>
      <c r="R778" s="124"/>
      <c r="S778" s="1"/>
      <c r="T778" s="1"/>
      <c r="U778" s="1"/>
      <c r="V778" s="125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126"/>
      <c r="AH778" s="126"/>
      <c r="AI778" s="126"/>
      <c r="AJ778" s="126"/>
      <c r="AK778" s="126"/>
      <c r="AL778" s="126"/>
      <c r="AM778" s="126"/>
      <c r="AN778" s="126"/>
      <c r="AO778" s="126"/>
      <c r="AP778" s="126"/>
      <c r="AQ778" s="126"/>
      <c r="AR778" s="126"/>
      <c r="AS778" s="126"/>
      <c r="AT778" s="126"/>
      <c r="AU778" s="126"/>
      <c r="AV778" s="126"/>
      <c r="AW778" s="126"/>
      <c r="AX778" s="126"/>
      <c r="AY778" s="126"/>
      <c r="AZ778" s="126"/>
      <c r="BA778" s="126"/>
      <c r="BB778" s="126"/>
      <c r="BC778" s="126"/>
      <c r="BD778" s="126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127"/>
      <c r="BQ778" s="127"/>
      <c r="BR778" s="127"/>
      <c r="BS778" s="127"/>
      <c r="BT778" s="127"/>
      <c r="BU778" s="127"/>
      <c r="BV778" s="127"/>
      <c r="BW778" s="119"/>
      <c r="BX778" s="119"/>
      <c r="BY778" s="119"/>
      <c r="BZ778" s="119"/>
      <c r="CA778" s="119"/>
      <c r="CB778" s="119"/>
      <c r="CC778" s="119"/>
      <c r="CD778" s="119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19"/>
      <c r="CQ778" s="119"/>
      <c r="CR778" s="119"/>
      <c r="CS778" s="119"/>
      <c r="CT778" s="119"/>
      <c r="CU778" s="119"/>
      <c r="CV778" s="119"/>
      <c r="CW778" s="119"/>
      <c r="CX778" s="119"/>
      <c r="CY778" s="119"/>
      <c r="CZ778" s="119"/>
      <c r="DA778" s="119"/>
      <c r="DB778" s="119"/>
      <c r="DC778" s="119"/>
      <c r="DD778" s="119"/>
      <c r="DE778" s="119"/>
      <c r="DF778" s="119"/>
      <c r="DG778" s="119"/>
      <c r="DH778" s="119"/>
      <c r="DI778" s="119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119"/>
      <c r="DU778" s="119"/>
      <c r="DV778" s="119"/>
      <c r="DW778" s="119"/>
      <c r="DX778" s="119"/>
      <c r="DY778" s="119"/>
      <c r="DZ778" s="119"/>
      <c r="EA778" s="119"/>
      <c r="EB778" s="119"/>
      <c r="EC778" s="119"/>
      <c r="ED778" s="119"/>
      <c r="EE778" s="119"/>
    </row>
    <row r="779" ht="15.75" customHeight="1">
      <c r="A779" s="135"/>
      <c r="B779" s="135"/>
      <c r="C779" s="135"/>
      <c r="D779" s="135"/>
      <c r="E779" s="135"/>
      <c r="F779" s="135"/>
      <c r="G779" s="135"/>
      <c r="H779" s="135"/>
      <c r="I779" s="1"/>
      <c r="J779" s="1"/>
      <c r="K779" s="1"/>
      <c r="L779" s="1"/>
      <c r="M779" s="1"/>
      <c r="N779" s="1"/>
      <c r="O779" s="1"/>
      <c r="P779" s="1"/>
      <c r="Q779" s="1"/>
      <c r="R779" s="124"/>
      <c r="S779" s="1"/>
      <c r="T779" s="1"/>
      <c r="U779" s="1"/>
      <c r="V779" s="125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126"/>
      <c r="AH779" s="126"/>
      <c r="AI779" s="126"/>
      <c r="AJ779" s="126"/>
      <c r="AK779" s="126"/>
      <c r="AL779" s="126"/>
      <c r="AM779" s="126"/>
      <c r="AN779" s="126"/>
      <c r="AO779" s="126"/>
      <c r="AP779" s="126"/>
      <c r="AQ779" s="126"/>
      <c r="AR779" s="126"/>
      <c r="AS779" s="126"/>
      <c r="AT779" s="126"/>
      <c r="AU779" s="126"/>
      <c r="AV779" s="126"/>
      <c r="AW779" s="126"/>
      <c r="AX779" s="126"/>
      <c r="AY779" s="126"/>
      <c r="AZ779" s="126"/>
      <c r="BA779" s="126"/>
      <c r="BB779" s="126"/>
      <c r="BC779" s="126"/>
      <c r="BD779" s="126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127"/>
      <c r="BQ779" s="127"/>
      <c r="BR779" s="127"/>
      <c r="BS779" s="127"/>
      <c r="BT779" s="127"/>
      <c r="BU779" s="127"/>
      <c r="BV779" s="127"/>
      <c r="BW779" s="119"/>
      <c r="BX779" s="119"/>
      <c r="BY779" s="119"/>
      <c r="BZ779" s="119"/>
      <c r="CA779" s="119"/>
      <c r="CB779" s="119"/>
      <c r="CC779" s="119"/>
      <c r="CD779" s="119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19"/>
      <c r="CQ779" s="119"/>
      <c r="CR779" s="119"/>
      <c r="CS779" s="119"/>
      <c r="CT779" s="119"/>
      <c r="CU779" s="119"/>
      <c r="CV779" s="119"/>
      <c r="CW779" s="119"/>
      <c r="CX779" s="119"/>
      <c r="CY779" s="119"/>
      <c r="CZ779" s="119"/>
      <c r="DA779" s="119"/>
      <c r="DB779" s="119"/>
      <c r="DC779" s="119"/>
      <c r="DD779" s="119"/>
      <c r="DE779" s="119"/>
      <c r="DF779" s="119"/>
      <c r="DG779" s="119"/>
      <c r="DH779" s="119"/>
      <c r="DI779" s="119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119"/>
      <c r="DU779" s="119"/>
      <c r="DV779" s="119"/>
      <c r="DW779" s="119"/>
      <c r="DX779" s="119"/>
      <c r="DY779" s="119"/>
      <c r="DZ779" s="119"/>
      <c r="EA779" s="119"/>
      <c r="EB779" s="119"/>
      <c r="EC779" s="119"/>
      <c r="ED779" s="119"/>
      <c r="EE779" s="119"/>
    </row>
    <row r="780" ht="15.75" customHeight="1">
      <c r="A780" s="135"/>
      <c r="B780" s="135"/>
      <c r="C780" s="135"/>
      <c r="D780" s="135"/>
      <c r="E780" s="135"/>
      <c r="F780" s="135"/>
      <c r="G780" s="135"/>
      <c r="H780" s="135"/>
      <c r="I780" s="1"/>
      <c r="J780" s="1"/>
      <c r="K780" s="1"/>
      <c r="L780" s="1"/>
      <c r="M780" s="1"/>
      <c r="N780" s="1"/>
      <c r="O780" s="1"/>
      <c r="P780" s="1"/>
      <c r="Q780" s="1"/>
      <c r="R780" s="124"/>
      <c r="S780" s="1"/>
      <c r="T780" s="1"/>
      <c r="U780" s="1"/>
      <c r="V780" s="125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126"/>
      <c r="AH780" s="126"/>
      <c r="AI780" s="126"/>
      <c r="AJ780" s="126"/>
      <c r="AK780" s="126"/>
      <c r="AL780" s="126"/>
      <c r="AM780" s="126"/>
      <c r="AN780" s="126"/>
      <c r="AO780" s="126"/>
      <c r="AP780" s="126"/>
      <c r="AQ780" s="126"/>
      <c r="AR780" s="126"/>
      <c r="AS780" s="126"/>
      <c r="AT780" s="126"/>
      <c r="AU780" s="126"/>
      <c r="AV780" s="126"/>
      <c r="AW780" s="126"/>
      <c r="AX780" s="126"/>
      <c r="AY780" s="126"/>
      <c r="AZ780" s="126"/>
      <c r="BA780" s="126"/>
      <c r="BB780" s="126"/>
      <c r="BC780" s="126"/>
      <c r="BD780" s="126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127"/>
      <c r="BQ780" s="127"/>
      <c r="BR780" s="127"/>
      <c r="BS780" s="127"/>
      <c r="BT780" s="127"/>
      <c r="BU780" s="127"/>
      <c r="BV780" s="127"/>
      <c r="BW780" s="119"/>
      <c r="BX780" s="119"/>
      <c r="BY780" s="119"/>
      <c r="BZ780" s="119"/>
      <c r="CA780" s="119"/>
      <c r="CB780" s="119"/>
      <c r="CC780" s="119"/>
      <c r="CD780" s="119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19"/>
      <c r="CQ780" s="119"/>
      <c r="CR780" s="119"/>
      <c r="CS780" s="119"/>
      <c r="CT780" s="119"/>
      <c r="CU780" s="119"/>
      <c r="CV780" s="119"/>
      <c r="CW780" s="119"/>
      <c r="CX780" s="119"/>
      <c r="CY780" s="119"/>
      <c r="CZ780" s="119"/>
      <c r="DA780" s="119"/>
      <c r="DB780" s="119"/>
      <c r="DC780" s="119"/>
      <c r="DD780" s="119"/>
      <c r="DE780" s="119"/>
      <c r="DF780" s="119"/>
      <c r="DG780" s="119"/>
      <c r="DH780" s="119"/>
      <c r="DI780" s="119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119"/>
      <c r="DU780" s="119"/>
      <c r="DV780" s="119"/>
      <c r="DW780" s="119"/>
      <c r="DX780" s="119"/>
      <c r="DY780" s="119"/>
      <c r="DZ780" s="119"/>
      <c r="EA780" s="119"/>
      <c r="EB780" s="119"/>
      <c r="EC780" s="119"/>
      <c r="ED780" s="119"/>
      <c r="EE780" s="119"/>
    </row>
    <row r="781" ht="15.75" customHeight="1">
      <c r="A781" s="135"/>
      <c r="B781" s="135"/>
      <c r="C781" s="135"/>
      <c r="D781" s="135"/>
      <c r="E781" s="135"/>
      <c r="F781" s="135"/>
      <c r="G781" s="135"/>
      <c r="H781" s="135"/>
      <c r="I781" s="1"/>
      <c r="J781" s="1"/>
      <c r="K781" s="1"/>
      <c r="L781" s="1"/>
      <c r="M781" s="1"/>
      <c r="N781" s="1"/>
      <c r="O781" s="1"/>
      <c r="P781" s="1"/>
      <c r="Q781" s="1"/>
      <c r="R781" s="124"/>
      <c r="S781" s="1"/>
      <c r="T781" s="1"/>
      <c r="U781" s="1"/>
      <c r="V781" s="125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126"/>
      <c r="AH781" s="126"/>
      <c r="AI781" s="126"/>
      <c r="AJ781" s="126"/>
      <c r="AK781" s="126"/>
      <c r="AL781" s="126"/>
      <c r="AM781" s="126"/>
      <c r="AN781" s="126"/>
      <c r="AO781" s="126"/>
      <c r="AP781" s="126"/>
      <c r="AQ781" s="126"/>
      <c r="AR781" s="126"/>
      <c r="AS781" s="126"/>
      <c r="AT781" s="126"/>
      <c r="AU781" s="126"/>
      <c r="AV781" s="126"/>
      <c r="AW781" s="126"/>
      <c r="AX781" s="126"/>
      <c r="AY781" s="126"/>
      <c r="AZ781" s="126"/>
      <c r="BA781" s="126"/>
      <c r="BB781" s="126"/>
      <c r="BC781" s="126"/>
      <c r="BD781" s="126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127"/>
      <c r="BQ781" s="127"/>
      <c r="BR781" s="127"/>
      <c r="BS781" s="127"/>
      <c r="BT781" s="127"/>
      <c r="BU781" s="127"/>
      <c r="BV781" s="127"/>
      <c r="BW781" s="119"/>
      <c r="BX781" s="119"/>
      <c r="BY781" s="119"/>
      <c r="BZ781" s="119"/>
      <c r="CA781" s="119"/>
      <c r="CB781" s="119"/>
      <c r="CC781" s="119"/>
      <c r="CD781" s="119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19"/>
      <c r="CQ781" s="119"/>
      <c r="CR781" s="119"/>
      <c r="CS781" s="119"/>
      <c r="CT781" s="119"/>
      <c r="CU781" s="119"/>
      <c r="CV781" s="119"/>
      <c r="CW781" s="119"/>
      <c r="CX781" s="119"/>
      <c r="CY781" s="119"/>
      <c r="CZ781" s="119"/>
      <c r="DA781" s="119"/>
      <c r="DB781" s="119"/>
      <c r="DC781" s="119"/>
      <c r="DD781" s="119"/>
      <c r="DE781" s="119"/>
      <c r="DF781" s="119"/>
      <c r="DG781" s="119"/>
      <c r="DH781" s="119"/>
      <c r="DI781" s="119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119"/>
      <c r="DU781" s="119"/>
      <c r="DV781" s="119"/>
      <c r="DW781" s="119"/>
      <c r="DX781" s="119"/>
      <c r="DY781" s="119"/>
      <c r="DZ781" s="119"/>
      <c r="EA781" s="119"/>
      <c r="EB781" s="119"/>
      <c r="EC781" s="119"/>
      <c r="ED781" s="119"/>
      <c r="EE781" s="119"/>
    </row>
    <row r="782" ht="15.75" customHeight="1">
      <c r="A782" s="135"/>
      <c r="B782" s="135"/>
      <c r="C782" s="135"/>
      <c r="D782" s="135"/>
      <c r="E782" s="135"/>
      <c r="F782" s="135"/>
      <c r="G782" s="135"/>
      <c r="H782" s="135"/>
      <c r="I782" s="1"/>
      <c r="J782" s="1"/>
      <c r="K782" s="1"/>
      <c r="L782" s="1"/>
      <c r="M782" s="1"/>
      <c r="N782" s="1"/>
      <c r="O782" s="1"/>
      <c r="P782" s="1"/>
      <c r="Q782" s="1"/>
      <c r="R782" s="124"/>
      <c r="S782" s="1"/>
      <c r="T782" s="1"/>
      <c r="U782" s="1"/>
      <c r="V782" s="125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126"/>
      <c r="AH782" s="126"/>
      <c r="AI782" s="126"/>
      <c r="AJ782" s="126"/>
      <c r="AK782" s="126"/>
      <c r="AL782" s="126"/>
      <c r="AM782" s="126"/>
      <c r="AN782" s="126"/>
      <c r="AO782" s="126"/>
      <c r="AP782" s="126"/>
      <c r="AQ782" s="126"/>
      <c r="AR782" s="126"/>
      <c r="AS782" s="126"/>
      <c r="AT782" s="126"/>
      <c r="AU782" s="126"/>
      <c r="AV782" s="126"/>
      <c r="AW782" s="126"/>
      <c r="AX782" s="126"/>
      <c r="AY782" s="126"/>
      <c r="AZ782" s="126"/>
      <c r="BA782" s="126"/>
      <c r="BB782" s="126"/>
      <c r="BC782" s="126"/>
      <c r="BD782" s="126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127"/>
      <c r="BQ782" s="127"/>
      <c r="BR782" s="127"/>
      <c r="BS782" s="127"/>
      <c r="BT782" s="127"/>
      <c r="BU782" s="127"/>
      <c r="BV782" s="127"/>
      <c r="BW782" s="119"/>
      <c r="BX782" s="119"/>
      <c r="BY782" s="119"/>
      <c r="BZ782" s="119"/>
      <c r="CA782" s="119"/>
      <c r="CB782" s="119"/>
      <c r="CC782" s="119"/>
      <c r="CD782" s="119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19"/>
      <c r="CQ782" s="119"/>
      <c r="CR782" s="119"/>
      <c r="CS782" s="119"/>
      <c r="CT782" s="119"/>
      <c r="CU782" s="119"/>
      <c r="CV782" s="119"/>
      <c r="CW782" s="119"/>
      <c r="CX782" s="119"/>
      <c r="CY782" s="119"/>
      <c r="CZ782" s="119"/>
      <c r="DA782" s="119"/>
      <c r="DB782" s="119"/>
      <c r="DC782" s="119"/>
      <c r="DD782" s="119"/>
      <c r="DE782" s="119"/>
      <c r="DF782" s="119"/>
      <c r="DG782" s="119"/>
      <c r="DH782" s="119"/>
      <c r="DI782" s="119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119"/>
      <c r="DU782" s="119"/>
      <c r="DV782" s="119"/>
      <c r="DW782" s="119"/>
      <c r="DX782" s="119"/>
      <c r="DY782" s="119"/>
      <c r="DZ782" s="119"/>
      <c r="EA782" s="119"/>
      <c r="EB782" s="119"/>
      <c r="EC782" s="119"/>
      <c r="ED782" s="119"/>
      <c r="EE782" s="119"/>
    </row>
    <row r="783" ht="15.75" customHeight="1">
      <c r="A783" s="135"/>
      <c r="B783" s="135"/>
      <c r="C783" s="135"/>
      <c r="D783" s="135"/>
      <c r="E783" s="135"/>
      <c r="F783" s="135"/>
      <c r="G783" s="135"/>
      <c r="H783" s="135"/>
      <c r="I783" s="1"/>
      <c r="J783" s="1"/>
      <c r="K783" s="1"/>
      <c r="L783" s="1"/>
      <c r="M783" s="1"/>
      <c r="N783" s="1"/>
      <c r="O783" s="1"/>
      <c r="P783" s="1"/>
      <c r="Q783" s="1"/>
      <c r="R783" s="124"/>
      <c r="S783" s="1"/>
      <c r="T783" s="1"/>
      <c r="U783" s="1"/>
      <c r="V783" s="125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126"/>
      <c r="AH783" s="126"/>
      <c r="AI783" s="126"/>
      <c r="AJ783" s="126"/>
      <c r="AK783" s="126"/>
      <c r="AL783" s="126"/>
      <c r="AM783" s="126"/>
      <c r="AN783" s="126"/>
      <c r="AO783" s="126"/>
      <c r="AP783" s="126"/>
      <c r="AQ783" s="126"/>
      <c r="AR783" s="126"/>
      <c r="AS783" s="126"/>
      <c r="AT783" s="126"/>
      <c r="AU783" s="126"/>
      <c r="AV783" s="126"/>
      <c r="AW783" s="126"/>
      <c r="AX783" s="126"/>
      <c r="AY783" s="126"/>
      <c r="AZ783" s="126"/>
      <c r="BA783" s="126"/>
      <c r="BB783" s="126"/>
      <c r="BC783" s="126"/>
      <c r="BD783" s="126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127"/>
      <c r="BQ783" s="127"/>
      <c r="BR783" s="127"/>
      <c r="BS783" s="127"/>
      <c r="BT783" s="127"/>
      <c r="BU783" s="127"/>
      <c r="BV783" s="127"/>
      <c r="BW783" s="119"/>
      <c r="BX783" s="119"/>
      <c r="BY783" s="119"/>
      <c r="BZ783" s="119"/>
      <c r="CA783" s="119"/>
      <c r="CB783" s="119"/>
      <c r="CC783" s="119"/>
      <c r="CD783" s="119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19"/>
      <c r="CQ783" s="119"/>
      <c r="CR783" s="119"/>
      <c r="CS783" s="119"/>
      <c r="CT783" s="119"/>
      <c r="CU783" s="119"/>
      <c r="CV783" s="119"/>
      <c r="CW783" s="119"/>
      <c r="CX783" s="119"/>
      <c r="CY783" s="119"/>
      <c r="CZ783" s="119"/>
      <c r="DA783" s="119"/>
      <c r="DB783" s="119"/>
      <c r="DC783" s="119"/>
      <c r="DD783" s="119"/>
      <c r="DE783" s="119"/>
      <c r="DF783" s="119"/>
      <c r="DG783" s="119"/>
      <c r="DH783" s="119"/>
      <c r="DI783" s="119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119"/>
      <c r="DU783" s="119"/>
      <c r="DV783" s="119"/>
      <c r="DW783" s="119"/>
      <c r="DX783" s="119"/>
      <c r="DY783" s="119"/>
      <c r="DZ783" s="119"/>
      <c r="EA783" s="119"/>
      <c r="EB783" s="119"/>
      <c r="EC783" s="119"/>
      <c r="ED783" s="119"/>
      <c r="EE783" s="119"/>
    </row>
    <row r="784" ht="15.75" customHeight="1">
      <c r="A784" s="135"/>
      <c r="B784" s="135"/>
      <c r="C784" s="135"/>
      <c r="D784" s="135"/>
      <c r="E784" s="135"/>
      <c r="F784" s="135"/>
      <c r="G784" s="135"/>
      <c r="H784" s="135"/>
      <c r="I784" s="1"/>
      <c r="J784" s="1"/>
      <c r="K784" s="1"/>
      <c r="L784" s="1"/>
      <c r="M784" s="1"/>
      <c r="N784" s="1"/>
      <c r="O784" s="1"/>
      <c r="P784" s="1"/>
      <c r="Q784" s="1"/>
      <c r="R784" s="124"/>
      <c r="S784" s="1"/>
      <c r="T784" s="1"/>
      <c r="U784" s="1"/>
      <c r="V784" s="125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126"/>
      <c r="AH784" s="126"/>
      <c r="AI784" s="126"/>
      <c r="AJ784" s="126"/>
      <c r="AK784" s="126"/>
      <c r="AL784" s="126"/>
      <c r="AM784" s="126"/>
      <c r="AN784" s="126"/>
      <c r="AO784" s="126"/>
      <c r="AP784" s="126"/>
      <c r="AQ784" s="126"/>
      <c r="AR784" s="126"/>
      <c r="AS784" s="126"/>
      <c r="AT784" s="126"/>
      <c r="AU784" s="126"/>
      <c r="AV784" s="126"/>
      <c r="AW784" s="126"/>
      <c r="AX784" s="126"/>
      <c r="AY784" s="126"/>
      <c r="AZ784" s="126"/>
      <c r="BA784" s="126"/>
      <c r="BB784" s="126"/>
      <c r="BC784" s="126"/>
      <c r="BD784" s="126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127"/>
      <c r="BQ784" s="127"/>
      <c r="BR784" s="127"/>
      <c r="BS784" s="127"/>
      <c r="BT784" s="127"/>
      <c r="BU784" s="127"/>
      <c r="BV784" s="127"/>
      <c r="BW784" s="119"/>
      <c r="BX784" s="119"/>
      <c r="BY784" s="119"/>
      <c r="BZ784" s="119"/>
      <c r="CA784" s="119"/>
      <c r="CB784" s="119"/>
      <c r="CC784" s="119"/>
      <c r="CD784" s="119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19"/>
      <c r="CQ784" s="119"/>
      <c r="CR784" s="119"/>
      <c r="CS784" s="119"/>
      <c r="CT784" s="119"/>
      <c r="CU784" s="119"/>
      <c r="CV784" s="119"/>
      <c r="CW784" s="119"/>
      <c r="CX784" s="119"/>
      <c r="CY784" s="119"/>
      <c r="CZ784" s="119"/>
      <c r="DA784" s="119"/>
      <c r="DB784" s="119"/>
      <c r="DC784" s="119"/>
      <c r="DD784" s="119"/>
      <c r="DE784" s="119"/>
      <c r="DF784" s="119"/>
      <c r="DG784" s="119"/>
      <c r="DH784" s="119"/>
      <c r="DI784" s="119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119"/>
      <c r="DU784" s="119"/>
      <c r="DV784" s="119"/>
      <c r="DW784" s="119"/>
      <c r="DX784" s="119"/>
      <c r="DY784" s="119"/>
      <c r="DZ784" s="119"/>
      <c r="EA784" s="119"/>
      <c r="EB784" s="119"/>
      <c r="EC784" s="119"/>
      <c r="ED784" s="119"/>
      <c r="EE784" s="119"/>
    </row>
    <row r="785" ht="15.75" customHeight="1">
      <c r="A785" s="135"/>
      <c r="B785" s="135"/>
      <c r="C785" s="135"/>
      <c r="D785" s="135"/>
      <c r="E785" s="135"/>
      <c r="F785" s="135"/>
      <c r="G785" s="135"/>
      <c r="H785" s="135"/>
      <c r="I785" s="1"/>
      <c r="J785" s="1"/>
      <c r="K785" s="1"/>
      <c r="L785" s="1"/>
      <c r="M785" s="1"/>
      <c r="N785" s="1"/>
      <c r="O785" s="1"/>
      <c r="P785" s="1"/>
      <c r="Q785" s="1"/>
      <c r="R785" s="124"/>
      <c r="S785" s="1"/>
      <c r="T785" s="1"/>
      <c r="U785" s="1"/>
      <c r="V785" s="125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126"/>
      <c r="AH785" s="126"/>
      <c r="AI785" s="126"/>
      <c r="AJ785" s="126"/>
      <c r="AK785" s="126"/>
      <c r="AL785" s="126"/>
      <c r="AM785" s="126"/>
      <c r="AN785" s="126"/>
      <c r="AO785" s="126"/>
      <c r="AP785" s="126"/>
      <c r="AQ785" s="126"/>
      <c r="AR785" s="126"/>
      <c r="AS785" s="126"/>
      <c r="AT785" s="126"/>
      <c r="AU785" s="126"/>
      <c r="AV785" s="126"/>
      <c r="AW785" s="126"/>
      <c r="AX785" s="126"/>
      <c r="AY785" s="126"/>
      <c r="AZ785" s="126"/>
      <c r="BA785" s="126"/>
      <c r="BB785" s="126"/>
      <c r="BC785" s="126"/>
      <c r="BD785" s="126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127"/>
      <c r="BQ785" s="127"/>
      <c r="BR785" s="127"/>
      <c r="BS785" s="127"/>
      <c r="BT785" s="127"/>
      <c r="BU785" s="127"/>
      <c r="BV785" s="127"/>
      <c r="BW785" s="119"/>
      <c r="BX785" s="119"/>
      <c r="BY785" s="119"/>
      <c r="BZ785" s="119"/>
      <c r="CA785" s="119"/>
      <c r="CB785" s="119"/>
      <c r="CC785" s="119"/>
      <c r="CD785" s="119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19"/>
      <c r="CQ785" s="119"/>
      <c r="CR785" s="119"/>
      <c r="CS785" s="119"/>
      <c r="CT785" s="119"/>
      <c r="CU785" s="119"/>
      <c r="CV785" s="119"/>
      <c r="CW785" s="119"/>
      <c r="CX785" s="119"/>
      <c r="CY785" s="119"/>
      <c r="CZ785" s="119"/>
      <c r="DA785" s="119"/>
      <c r="DB785" s="119"/>
      <c r="DC785" s="119"/>
      <c r="DD785" s="119"/>
      <c r="DE785" s="119"/>
      <c r="DF785" s="119"/>
      <c r="DG785" s="119"/>
      <c r="DH785" s="119"/>
      <c r="DI785" s="119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119"/>
      <c r="DU785" s="119"/>
      <c r="DV785" s="119"/>
      <c r="DW785" s="119"/>
      <c r="DX785" s="119"/>
      <c r="DY785" s="119"/>
      <c r="DZ785" s="119"/>
      <c r="EA785" s="119"/>
      <c r="EB785" s="119"/>
      <c r="EC785" s="119"/>
      <c r="ED785" s="119"/>
      <c r="EE785" s="119"/>
    </row>
    <row r="786" ht="15.75" customHeight="1">
      <c r="A786" s="135"/>
      <c r="B786" s="135"/>
      <c r="C786" s="135"/>
      <c r="D786" s="135"/>
      <c r="E786" s="135"/>
      <c r="F786" s="135"/>
      <c r="G786" s="135"/>
      <c r="H786" s="135"/>
      <c r="I786" s="1"/>
      <c r="J786" s="1"/>
      <c r="K786" s="1"/>
      <c r="L786" s="1"/>
      <c r="M786" s="1"/>
      <c r="N786" s="1"/>
      <c r="O786" s="1"/>
      <c r="P786" s="1"/>
      <c r="Q786" s="1"/>
      <c r="R786" s="124"/>
      <c r="S786" s="1"/>
      <c r="T786" s="1"/>
      <c r="U786" s="1"/>
      <c r="V786" s="125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126"/>
      <c r="AH786" s="126"/>
      <c r="AI786" s="126"/>
      <c r="AJ786" s="126"/>
      <c r="AK786" s="126"/>
      <c r="AL786" s="126"/>
      <c r="AM786" s="126"/>
      <c r="AN786" s="126"/>
      <c r="AO786" s="126"/>
      <c r="AP786" s="126"/>
      <c r="AQ786" s="126"/>
      <c r="AR786" s="126"/>
      <c r="AS786" s="126"/>
      <c r="AT786" s="126"/>
      <c r="AU786" s="126"/>
      <c r="AV786" s="126"/>
      <c r="AW786" s="126"/>
      <c r="AX786" s="126"/>
      <c r="AY786" s="126"/>
      <c r="AZ786" s="126"/>
      <c r="BA786" s="126"/>
      <c r="BB786" s="126"/>
      <c r="BC786" s="126"/>
      <c r="BD786" s="126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127"/>
      <c r="BQ786" s="127"/>
      <c r="BR786" s="127"/>
      <c r="BS786" s="127"/>
      <c r="BT786" s="127"/>
      <c r="BU786" s="127"/>
      <c r="BV786" s="127"/>
      <c r="BW786" s="119"/>
      <c r="BX786" s="119"/>
      <c r="BY786" s="119"/>
      <c r="BZ786" s="119"/>
      <c r="CA786" s="119"/>
      <c r="CB786" s="119"/>
      <c r="CC786" s="119"/>
      <c r="CD786" s="119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19"/>
      <c r="CQ786" s="119"/>
      <c r="CR786" s="119"/>
      <c r="CS786" s="119"/>
      <c r="CT786" s="119"/>
      <c r="CU786" s="119"/>
      <c r="CV786" s="119"/>
      <c r="CW786" s="119"/>
      <c r="CX786" s="119"/>
      <c r="CY786" s="119"/>
      <c r="CZ786" s="119"/>
      <c r="DA786" s="119"/>
      <c r="DB786" s="119"/>
      <c r="DC786" s="119"/>
      <c r="DD786" s="119"/>
      <c r="DE786" s="119"/>
      <c r="DF786" s="119"/>
      <c r="DG786" s="119"/>
      <c r="DH786" s="119"/>
      <c r="DI786" s="119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119"/>
      <c r="DU786" s="119"/>
      <c r="DV786" s="119"/>
      <c r="DW786" s="119"/>
      <c r="DX786" s="119"/>
      <c r="DY786" s="119"/>
      <c r="DZ786" s="119"/>
      <c r="EA786" s="119"/>
      <c r="EB786" s="119"/>
      <c r="EC786" s="119"/>
      <c r="ED786" s="119"/>
      <c r="EE786" s="119"/>
    </row>
    <row r="787" ht="15.75" customHeight="1">
      <c r="A787" s="135"/>
      <c r="B787" s="135"/>
      <c r="C787" s="135"/>
      <c r="D787" s="135"/>
      <c r="E787" s="135"/>
      <c r="F787" s="135"/>
      <c r="G787" s="135"/>
      <c r="H787" s="135"/>
      <c r="I787" s="1"/>
      <c r="J787" s="1"/>
      <c r="K787" s="1"/>
      <c r="L787" s="1"/>
      <c r="M787" s="1"/>
      <c r="N787" s="1"/>
      <c r="O787" s="1"/>
      <c r="P787" s="1"/>
      <c r="Q787" s="1"/>
      <c r="R787" s="124"/>
      <c r="S787" s="1"/>
      <c r="T787" s="1"/>
      <c r="U787" s="1"/>
      <c r="V787" s="125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126"/>
      <c r="AH787" s="126"/>
      <c r="AI787" s="126"/>
      <c r="AJ787" s="126"/>
      <c r="AK787" s="126"/>
      <c r="AL787" s="126"/>
      <c r="AM787" s="126"/>
      <c r="AN787" s="126"/>
      <c r="AO787" s="126"/>
      <c r="AP787" s="126"/>
      <c r="AQ787" s="126"/>
      <c r="AR787" s="126"/>
      <c r="AS787" s="126"/>
      <c r="AT787" s="126"/>
      <c r="AU787" s="126"/>
      <c r="AV787" s="126"/>
      <c r="AW787" s="126"/>
      <c r="AX787" s="126"/>
      <c r="AY787" s="126"/>
      <c r="AZ787" s="126"/>
      <c r="BA787" s="126"/>
      <c r="BB787" s="126"/>
      <c r="BC787" s="126"/>
      <c r="BD787" s="126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127"/>
      <c r="BQ787" s="127"/>
      <c r="BR787" s="127"/>
      <c r="BS787" s="127"/>
      <c r="BT787" s="127"/>
      <c r="BU787" s="127"/>
      <c r="BV787" s="127"/>
      <c r="BW787" s="119"/>
      <c r="BX787" s="119"/>
      <c r="BY787" s="119"/>
      <c r="BZ787" s="119"/>
      <c r="CA787" s="119"/>
      <c r="CB787" s="119"/>
      <c r="CC787" s="119"/>
      <c r="CD787" s="119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19"/>
      <c r="CQ787" s="119"/>
      <c r="CR787" s="119"/>
      <c r="CS787" s="119"/>
      <c r="CT787" s="119"/>
      <c r="CU787" s="119"/>
      <c r="CV787" s="119"/>
      <c r="CW787" s="119"/>
      <c r="CX787" s="119"/>
      <c r="CY787" s="119"/>
      <c r="CZ787" s="119"/>
      <c r="DA787" s="119"/>
      <c r="DB787" s="119"/>
      <c r="DC787" s="119"/>
      <c r="DD787" s="119"/>
      <c r="DE787" s="119"/>
      <c r="DF787" s="119"/>
      <c r="DG787" s="119"/>
      <c r="DH787" s="119"/>
      <c r="DI787" s="119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119"/>
      <c r="DU787" s="119"/>
      <c r="DV787" s="119"/>
      <c r="DW787" s="119"/>
      <c r="DX787" s="119"/>
      <c r="DY787" s="119"/>
      <c r="DZ787" s="119"/>
      <c r="EA787" s="119"/>
      <c r="EB787" s="119"/>
      <c r="EC787" s="119"/>
      <c r="ED787" s="119"/>
      <c r="EE787" s="119"/>
    </row>
    <row r="788" ht="15.75" customHeight="1">
      <c r="A788" s="135"/>
      <c r="B788" s="135"/>
      <c r="C788" s="135"/>
      <c r="D788" s="135"/>
      <c r="E788" s="135"/>
      <c r="F788" s="135"/>
      <c r="G788" s="135"/>
      <c r="H788" s="135"/>
      <c r="I788" s="1"/>
      <c r="J788" s="1"/>
      <c r="K788" s="1"/>
      <c r="L788" s="1"/>
      <c r="M788" s="1"/>
      <c r="N788" s="1"/>
      <c r="O788" s="1"/>
      <c r="P788" s="1"/>
      <c r="Q788" s="1"/>
      <c r="R788" s="124"/>
      <c r="S788" s="1"/>
      <c r="T788" s="1"/>
      <c r="U788" s="1"/>
      <c r="V788" s="125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126"/>
      <c r="AH788" s="126"/>
      <c r="AI788" s="126"/>
      <c r="AJ788" s="126"/>
      <c r="AK788" s="126"/>
      <c r="AL788" s="126"/>
      <c r="AM788" s="126"/>
      <c r="AN788" s="126"/>
      <c r="AO788" s="126"/>
      <c r="AP788" s="126"/>
      <c r="AQ788" s="126"/>
      <c r="AR788" s="126"/>
      <c r="AS788" s="126"/>
      <c r="AT788" s="126"/>
      <c r="AU788" s="126"/>
      <c r="AV788" s="126"/>
      <c r="AW788" s="126"/>
      <c r="AX788" s="126"/>
      <c r="AY788" s="126"/>
      <c r="AZ788" s="126"/>
      <c r="BA788" s="126"/>
      <c r="BB788" s="126"/>
      <c r="BC788" s="126"/>
      <c r="BD788" s="126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127"/>
      <c r="BQ788" s="127"/>
      <c r="BR788" s="127"/>
      <c r="BS788" s="127"/>
      <c r="BT788" s="127"/>
      <c r="BU788" s="127"/>
      <c r="BV788" s="127"/>
      <c r="BW788" s="119"/>
      <c r="BX788" s="119"/>
      <c r="BY788" s="119"/>
      <c r="BZ788" s="119"/>
      <c r="CA788" s="119"/>
      <c r="CB788" s="119"/>
      <c r="CC788" s="119"/>
      <c r="CD788" s="119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19"/>
      <c r="CQ788" s="119"/>
      <c r="CR788" s="119"/>
      <c r="CS788" s="119"/>
      <c r="CT788" s="119"/>
      <c r="CU788" s="119"/>
      <c r="CV788" s="119"/>
      <c r="CW788" s="119"/>
      <c r="CX788" s="119"/>
      <c r="CY788" s="119"/>
      <c r="CZ788" s="119"/>
      <c r="DA788" s="119"/>
      <c r="DB788" s="119"/>
      <c r="DC788" s="119"/>
      <c r="DD788" s="119"/>
      <c r="DE788" s="119"/>
      <c r="DF788" s="119"/>
      <c r="DG788" s="119"/>
      <c r="DH788" s="119"/>
      <c r="DI788" s="119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119"/>
      <c r="DU788" s="119"/>
      <c r="DV788" s="119"/>
      <c r="DW788" s="119"/>
      <c r="DX788" s="119"/>
      <c r="DY788" s="119"/>
      <c r="DZ788" s="119"/>
      <c r="EA788" s="119"/>
      <c r="EB788" s="119"/>
      <c r="EC788" s="119"/>
      <c r="ED788" s="119"/>
      <c r="EE788" s="119"/>
    </row>
    <row r="789" ht="15.75" customHeight="1">
      <c r="A789" s="135"/>
      <c r="B789" s="135"/>
      <c r="C789" s="135"/>
      <c r="D789" s="135"/>
      <c r="E789" s="135"/>
      <c r="F789" s="135"/>
      <c r="G789" s="135"/>
      <c r="H789" s="135"/>
      <c r="I789" s="1"/>
      <c r="J789" s="1"/>
      <c r="K789" s="1"/>
      <c r="L789" s="1"/>
      <c r="M789" s="1"/>
      <c r="N789" s="1"/>
      <c r="O789" s="1"/>
      <c r="P789" s="1"/>
      <c r="Q789" s="1"/>
      <c r="R789" s="124"/>
      <c r="S789" s="1"/>
      <c r="T789" s="1"/>
      <c r="U789" s="1"/>
      <c r="V789" s="125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126"/>
      <c r="AH789" s="126"/>
      <c r="AI789" s="126"/>
      <c r="AJ789" s="126"/>
      <c r="AK789" s="126"/>
      <c r="AL789" s="126"/>
      <c r="AM789" s="126"/>
      <c r="AN789" s="126"/>
      <c r="AO789" s="126"/>
      <c r="AP789" s="126"/>
      <c r="AQ789" s="126"/>
      <c r="AR789" s="126"/>
      <c r="AS789" s="126"/>
      <c r="AT789" s="126"/>
      <c r="AU789" s="126"/>
      <c r="AV789" s="126"/>
      <c r="AW789" s="126"/>
      <c r="AX789" s="126"/>
      <c r="AY789" s="126"/>
      <c r="AZ789" s="126"/>
      <c r="BA789" s="126"/>
      <c r="BB789" s="126"/>
      <c r="BC789" s="126"/>
      <c r="BD789" s="126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127"/>
      <c r="BQ789" s="127"/>
      <c r="BR789" s="127"/>
      <c r="BS789" s="127"/>
      <c r="BT789" s="127"/>
      <c r="BU789" s="127"/>
      <c r="BV789" s="127"/>
      <c r="BW789" s="119"/>
      <c r="BX789" s="119"/>
      <c r="BY789" s="119"/>
      <c r="BZ789" s="119"/>
      <c r="CA789" s="119"/>
      <c r="CB789" s="119"/>
      <c r="CC789" s="119"/>
      <c r="CD789" s="119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19"/>
      <c r="CQ789" s="119"/>
      <c r="CR789" s="119"/>
      <c r="CS789" s="119"/>
      <c r="CT789" s="119"/>
      <c r="CU789" s="119"/>
      <c r="CV789" s="119"/>
      <c r="CW789" s="119"/>
      <c r="CX789" s="119"/>
      <c r="CY789" s="119"/>
      <c r="CZ789" s="119"/>
      <c r="DA789" s="119"/>
      <c r="DB789" s="119"/>
      <c r="DC789" s="119"/>
      <c r="DD789" s="119"/>
      <c r="DE789" s="119"/>
      <c r="DF789" s="119"/>
      <c r="DG789" s="119"/>
      <c r="DH789" s="119"/>
      <c r="DI789" s="119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119"/>
      <c r="DU789" s="119"/>
      <c r="DV789" s="119"/>
      <c r="DW789" s="119"/>
      <c r="DX789" s="119"/>
      <c r="DY789" s="119"/>
      <c r="DZ789" s="119"/>
      <c r="EA789" s="119"/>
      <c r="EB789" s="119"/>
      <c r="EC789" s="119"/>
      <c r="ED789" s="119"/>
      <c r="EE789" s="119"/>
    </row>
    <row r="790" ht="15.75" customHeight="1">
      <c r="A790" s="135"/>
      <c r="B790" s="135"/>
      <c r="C790" s="135"/>
      <c r="D790" s="135"/>
      <c r="E790" s="135"/>
      <c r="F790" s="135"/>
      <c r="G790" s="135"/>
      <c r="H790" s="135"/>
      <c r="I790" s="1"/>
      <c r="J790" s="1"/>
      <c r="K790" s="1"/>
      <c r="L790" s="1"/>
      <c r="M790" s="1"/>
      <c r="N790" s="1"/>
      <c r="O790" s="1"/>
      <c r="P790" s="1"/>
      <c r="Q790" s="1"/>
      <c r="R790" s="124"/>
      <c r="S790" s="1"/>
      <c r="T790" s="1"/>
      <c r="U790" s="1"/>
      <c r="V790" s="125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126"/>
      <c r="AH790" s="126"/>
      <c r="AI790" s="126"/>
      <c r="AJ790" s="126"/>
      <c r="AK790" s="126"/>
      <c r="AL790" s="126"/>
      <c r="AM790" s="126"/>
      <c r="AN790" s="126"/>
      <c r="AO790" s="126"/>
      <c r="AP790" s="126"/>
      <c r="AQ790" s="126"/>
      <c r="AR790" s="126"/>
      <c r="AS790" s="126"/>
      <c r="AT790" s="126"/>
      <c r="AU790" s="126"/>
      <c r="AV790" s="126"/>
      <c r="AW790" s="126"/>
      <c r="AX790" s="126"/>
      <c r="AY790" s="126"/>
      <c r="AZ790" s="126"/>
      <c r="BA790" s="126"/>
      <c r="BB790" s="126"/>
      <c r="BC790" s="126"/>
      <c r="BD790" s="126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127"/>
      <c r="BQ790" s="127"/>
      <c r="BR790" s="127"/>
      <c r="BS790" s="127"/>
      <c r="BT790" s="127"/>
      <c r="BU790" s="127"/>
      <c r="BV790" s="127"/>
      <c r="BW790" s="119"/>
      <c r="BX790" s="119"/>
      <c r="BY790" s="119"/>
      <c r="BZ790" s="119"/>
      <c r="CA790" s="119"/>
      <c r="CB790" s="119"/>
      <c r="CC790" s="119"/>
      <c r="CD790" s="119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19"/>
      <c r="CQ790" s="119"/>
      <c r="CR790" s="119"/>
      <c r="CS790" s="119"/>
      <c r="CT790" s="119"/>
      <c r="CU790" s="119"/>
      <c r="CV790" s="119"/>
      <c r="CW790" s="119"/>
      <c r="CX790" s="119"/>
      <c r="CY790" s="119"/>
      <c r="CZ790" s="119"/>
      <c r="DA790" s="119"/>
      <c r="DB790" s="119"/>
      <c r="DC790" s="119"/>
      <c r="DD790" s="119"/>
      <c r="DE790" s="119"/>
      <c r="DF790" s="119"/>
      <c r="DG790" s="119"/>
      <c r="DH790" s="119"/>
      <c r="DI790" s="119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119"/>
      <c r="DU790" s="119"/>
      <c r="DV790" s="119"/>
      <c r="DW790" s="119"/>
      <c r="DX790" s="119"/>
      <c r="DY790" s="119"/>
      <c r="DZ790" s="119"/>
      <c r="EA790" s="119"/>
      <c r="EB790" s="119"/>
      <c r="EC790" s="119"/>
      <c r="ED790" s="119"/>
      <c r="EE790" s="119"/>
    </row>
    <row r="791" ht="15.75" customHeight="1">
      <c r="A791" s="135"/>
      <c r="B791" s="135"/>
      <c r="C791" s="135"/>
      <c r="D791" s="135"/>
      <c r="E791" s="135"/>
      <c r="F791" s="135"/>
      <c r="G791" s="135"/>
      <c r="H791" s="135"/>
      <c r="I791" s="1"/>
      <c r="J791" s="1"/>
      <c r="K791" s="1"/>
      <c r="L791" s="1"/>
      <c r="M791" s="1"/>
      <c r="N791" s="1"/>
      <c r="O791" s="1"/>
      <c r="P791" s="1"/>
      <c r="Q791" s="1"/>
      <c r="R791" s="124"/>
      <c r="S791" s="1"/>
      <c r="T791" s="1"/>
      <c r="U791" s="1"/>
      <c r="V791" s="125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126"/>
      <c r="AH791" s="126"/>
      <c r="AI791" s="126"/>
      <c r="AJ791" s="126"/>
      <c r="AK791" s="126"/>
      <c r="AL791" s="126"/>
      <c r="AM791" s="126"/>
      <c r="AN791" s="126"/>
      <c r="AO791" s="126"/>
      <c r="AP791" s="126"/>
      <c r="AQ791" s="126"/>
      <c r="AR791" s="126"/>
      <c r="AS791" s="126"/>
      <c r="AT791" s="126"/>
      <c r="AU791" s="126"/>
      <c r="AV791" s="126"/>
      <c r="AW791" s="126"/>
      <c r="AX791" s="126"/>
      <c r="AY791" s="126"/>
      <c r="AZ791" s="126"/>
      <c r="BA791" s="126"/>
      <c r="BB791" s="126"/>
      <c r="BC791" s="126"/>
      <c r="BD791" s="126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127"/>
      <c r="BQ791" s="127"/>
      <c r="BR791" s="127"/>
      <c r="BS791" s="127"/>
      <c r="BT791" s="127"/>
      <c r="BU791" s="127"/>
      <c r="BV791" s="127"/>
      <c r="BW791" s="119"/>
      <c r="BX791" s="119"/>
      <c r="BY791" s="119"/>
      <c r="BZ791" s="119"/>
      <c r="CA791" s="119"/>
      <c r="CB791" s="119"/>
      <c r="CC791" s="119"/>
      <c r="CD791" s="119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19"/>
      <c r="CQ791" s="119"/>
      <c r="CR791" s="119"/>
      <c r="CS791" s="119"/>
      <c r="CT791" s="119"/>
      <c r="CU791" s="119"/>
      <c r="CV791" s="119"/>
      <c r="CW791" s="119"/>
      <c r="CX791" s="119"/>
      <c r="CY791" s="119"/>
      <c r="CZ791" s="119"/>
      <c r="DA791" s="119"/>
      <c r="DB791" s="119"/>
      <c r="DC791" s="119"/>
      <c r="DD791" s="119"/>
      <c r="DE791" s="119"/>
      <c r="DF791" s="119"/>
      <c r="DG791" s="119"/>
      <c r="DH791" s="119"/>
      <c r="DI791" s="119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119"/>
      <c r="DU791" s="119"/>
      <c r="DV791" s="119"/>
      <c r="DW791" s="119"/>
      <c r="DX791" s="119"/>
      <c r="DY791" s="119"/>
      <c r="DZ791" s="119"/>
      <c r="EA791" s="119"/>
      <c r="EB791" s="119"/>
      <c r="EC791" s="119"/>
      <c r="ED791" s="119"/>
      <c r="EE791" s="119"/>
    </row>
    <row r="792" ht="15.75" customHeight="1">
      <c r="A792" s="135"/>
      <c r="B792" s="135"/>
      <c r="C792" s="135"/>
      <c r="D792" s="135"/>
      <c r="E792" s="135"/>
      <c r="F792" s="135"/>
      <c r="G792" s="135"/>
      <c r="H792" s="135"/>
      <c r="I792" s="1"/>
      <c r="J792" s="1"/>
      <c r="K792" s="1"/>
      <c r="L792" s="1"/>
      <c r="M792" s="1"/>
      <c r="N792" s="1"/>
      <c r="O792" s="1"/>
      <c r="P792" s="1"/>
      <c r="Q792" s="1"/>
      <c r="R792" s="124"/>
      <c r="S792" s="1"/>
      <c r="T792" s="1"/>
      <c r="U792" s="1"/>
      <c r="V792" s="125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126"/>
      <c r="AH792" s="126"/>
      <c r="AI792" s="126"/>
      <c r="AJ792" s="126"/>
      <c r="AK792" s="126"/>
      <c r="AL792" s="126"/>
      <c r="AM792" s="126"/>
      <c r="AN792" s="126"/>
      <c r="AO792" s="126"/>
      <c r="AP792" s="126"/>
      <c r="AQ792" s="126"/>
      <c r="AR792" s="126"/>
      <c r="AS792" s="126"/>
      <c r="AT792" s="126"/>
      <c r="AU792" s="126"/>
      <c r="AV792" s="126"/>
      <c r="AW792" s="126"/>
      <c r="AX792" s="126"/>
      <c r="AY792" s="126"/>
      <c r="AZ792" s="126"/>
      <c r="BA792" s="126"/>
      <c r="BB792" s="126"/>
      <c r="BC792" s="126"/>
      <c r="BD792" s="126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127"/>
      <c r="BQ792" s="127"/>
      <c r="BR792" s="127"/>
      <c r="BS792" s="127"/>
      <c r="BT792" s="127"/>
      <c r="BU792" s="127"/>
      <c r="BV792" s="127"/>
      <c r="BW792" s="119"/>
      <c r="BX792" s="119"/>
      <c r="BY792" s="119"/>
      <c r="BZ792" s="119"/>
      <c r="CA792" s="119"/>
      <c r="CB792" s="119"/>
      <c r="CC792" s="119"/>
      <c r="CD792" s="119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19"/>
      <c r="CQ792" s="119"/>
      <c r="CR792" s="119"/>
      <c r="CS792" s="119"/>
      <c r="CT792" s="119"/>
      <c r="CU792" s="119"/>
      <c r="CV792" s="119"/>
      <c r="CW792" s="119"/>
      <c r="CX792" s="119"/>
      <c r="CY792" s="119"/>
      <c r="CZ792" s="119"/>
      <c r="DA792" s="119"/>
      <c r="DB792" s="119"/>
      <c r="DC792" s="119"/>
      <c r="DD792" s="119"/>
      <c r="DE792" s="119"/>
      <c r="DF792" s="119"/>
      <c r="DG792" s="119"/>
      <c r="DH792" s="119"/>
      <c r="DI792" s="119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119"/>
      <c r="DU792" s="119"/>
      <c r="DV792" s="119"/>
      <c r="DW792" s="119"/>
      <c r="DX792" s="119"/>
      <c r="DY792" s="119"/>
      <c r="DZ792" s="119"/>
      <c r="EA792" s="119"/>
      <c r="EB792" s="119"/>
      <c r="EC792" s="119"/>
      <c r="ED792" s="119"/>
      <c r="EE792" s="119"/>
    </row>
    <row r="793" ht="15.75" customHeight="1">
      <c r="A793" s="135"/>
      <c r="B793" s="135"/>
      <c r="C793" s="135"/>
      <c r="D793" s="135"/>
      <c r="E793" s="135"/>
      <c r="F793" s="135"/>
      <c r="G793" s="135"/>
      <c r="H793" s="135"/>
      <c r="I793" s="1"/>
      <c r="J793" s="1"/>
      <c r="K793" s="1"/>
      <c r="L793" s="1"/>
      <c r="M793" s="1"/>
      <c r="N793" s="1"/>
      <c r="O793" s="1"/>
      <c r="P793" s="1"/>
      <c r="Q793" s="1"/>
      <c r="R793" s="124"/>
      <c r="S793" s="1"/>
      <c r="T793" s="1"/>
      <c r="U793" s="1"/>
      <c r="V793" s="125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126"/>
      <c r="AH793" s="126"/>
      <c r="AI793" s="126"/>
      <c r="AJ793" s="126"/>
      <c r="AK793" s="126"/>
      <c r="AL793" s="126"/>
      <c r="AM793" s="126"/>
      <c r="AN793" s="126"/>
      <c r="AO793" s="126"/>
      <c r="AP793" s="126"/>
      <c r="AQ793" s="126"/>
      <c r="AR793" s="126"/>
      <c r="AS793" s="126"/>
      <c r="AT793" s="126"/>
      <c r="AU793" s="126"/>
      <c r="AV793" s="126"/>
      <c r="AW793" s="126"/>
      <c r="AX793" s="126"/>
      <c r="AY793" s="126"/>
      <c r="AZ793" s="126"/>
      <c r="BA793" s="126"/>
      <c r="BB793" s="126"/>
      <c r="BC793" s="126"/>
      <c r="BD793" s="126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127"/>
      <c r="BQ793" s="127"/>
      <c r="BR793" s="127"/>
      <c r="BS793" s="127"/>
      <c r="BT793" s="127"/>
      <c r="BU793" s="127"/>
      <c r="BV793" s="127"/>
      <c r="BW793" s="119"/>
      <c r="BX793" s="119"/>
      <c r="BY793" s="119"/>
      <c r="BZ793" s="119"/>
      <c r="CA793" s="119"/>
      <c r="CB793" s="119"/>
      <c r="CC793" s="119"/>
      <c r="CD793" s="119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19"/>
      <c r="CQ793" s="119"/>
      <c r="CR793" s="119"/>
      <c r="CS793" s="119"/>
      <c r="CT793" s="119"/>
      <c r="CU793" s="119"/>
      <c r="CV793" s="119"/>
      <c r="CW793" s="119"/>
      <c r="CX793" s="119"/>
      <c r="CY793" s="119"/>
      <c r="CZ793" s="119"/>
      <c r="DA793" s="119"/>
      <c r="DB793" s="119"/>
      <c r="DC793" s="119"/>
      <c r="DD793" s="119"/>
      <c r="DE793" s="119"/>
      <c r="DF793" s="119"/>
      <c r="DG793" s="119"/>
      <c r="DH793" s="119"/>
      <c r="DI793" s="119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119"/>
      <c r="DU793" s="119"/>
      <c r="DV793" s="119"/>
      <c r="DW793" s="119"/>
      <c r="DX793" s="119"/>
      <c r="DY793" s="119"/>
      <c r="DZ793" s="119"/>
      <c r="EA793" s="119"/>
      <c r="EB793" s="119"/>
      <c r="EC793" s="119"/>
      <c r="ED793" s="119"/>
      <c r="EE793" s="119"/>
    </row>
    <row r="794" ht="15.75" customHeight="1">
      <c r="A794" s="135"/>
      <c r="B794" s="135"/>
      <c r="C794" s="135"/>
      <c r="D794" s="135"/>
      <c r="E794" s="135"/>
      <c r="F794" s="135"/>
      <c r="G794" s="135"/>
      <c r="H794" s="135"/>
      <c r="I794" s="1"/>
      <c r="J794" s="1"/>
      <c r="K794" s="1"/>
      <c r="L794" s="1"/>
      <c r="M794" s="1"/>
      <c r="N794" s="1"/>
      <c r="O794" s="1"/>
      <c r="P794" s="1"/>
      <c r="Q794" s="1"/>
      <c r="R794" s="124"/>
      <c r="S794" s="1"/>
      <c r="T794" s="1"/>
      <c r="U794" s="1"/>
      <c r="V794" s="125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126"/>
      <c r="AH794" s="126"/>
      <c r="AI794" s="126"/>
      <c r="AJ794" s="126"/>
      <c r="AK794" s="126"/>
      <c r="AL794" s="126"/>
      <c r="AM794" s="126"/>
      <c r="AN794" s="126"/>
      <c r="AO794" s="126"/>
      <c r="AP794" s="126"/>
      <c r="AQ794" s="126"/>
      <c r="AR794" s="126"/>
      <c r="AS794" s="126"/>
      <c r="AT794" s="126"/>
      <c r="AU794" s="126"/>
      <c r="AV794" s="126"/>
      <c r="AW794" s="126"/>
      <c r="AX794" s="126"/>
      <c r="AY794" s="126"/>
      <c r="AZ794" s="126"/>
      <c r="BA794" s="126"/>
      <c r="BB794" s="126"/>
      <c r="BC794" s="126"/>
      <c r="BD794" s="126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127"/>
      <c r="BQ794" s="127"/>
      <c r="BR794" s="127"/>
      <c r="BS794" s="127"/>
      <c r="BT794" s="127"/>
      <c r="BU794" s="127"/>
      <c r="BV794" s="127"/>
      <c r="BW794" s="119"/>
      <c r="BX794" s="119"/>
      <c r="BY794" s="119"/>
      <c r="BZ794" s="119"/>
      <c r="CA794" s="119"/>
      <c r="CB794" s="119"/>
      <c r="CC794" s="119"/>
      <c r="CD794" s="119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19"/>
      <c r="CQ794" s="119"/>
      <c r="CR794" s="119"/>
      <c r="CS794" s="119"/>
      <c r="CT794" s="119"/>
      <c r="CU794" s="119"/>
      <c r="CV794" s="119"/>
      <c r="CW794" s="119"/>
      <c r="CX794" s="119"/>
      <c r="CY794" s="119"/>
      <c r="CZ794" s="119"/>
      <c r="DA794" s="119"/>
      <c r="DB794" s="119"/>
      <c r="DC794" s="119"/>
      <c r="DD794" s="119"/>
      <c r="DE794" s="119"/>
      <c r="DF794" s="119"/>
      <c r="DG794" s="119"/>
      <c r="DH794" s="119"/>
      <c r="DI794" s="119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119"/>
      <c r="DU794" s="119"/>
      <c r="DV794" s="119"/>
      <c r="DW794" s="119"/>
      <c r="DX794" s="119"/>
      <c r="DY794" s="119"/>
      <c r="DZ794" s="119"/>
      <c r="EA794" s="119"/>
      <c r="EB794" s="119"/>
      <c r="EC794" s="119"/>
      <c r="ED794" s="119"/>
      <c r="EE794" s="119"/>
    </row>
    <row r="795" ht="15.75" customHeight="1">
      <c r="A795" s="135"/>
      <c r="B795" s="135"/>
      <c r="C795" s="135"/>
      <c r="D795" s="135"/>
      <c r="E795" s="135"/>
      <c r="F795" s="135"/>
      <c r="G795" s="135"/>
      <c r="H795" s="135"/>
      <c r="I795" s="1"/>
      <c r="J795" s="1"/>
      <c r="K795" s="1"/>
      <c r="L795" s="1"/>
      <c r="M795" s="1"/>
      <c r="N795" s="1"/>
      <c r="O795" s="1"/>
      <c r="P795" s="1"/>
      <c r="Q795" s="1"/>
      <c r="R795" s="124"/>
      <c r="S795" s="1"/>
      <c r="T795" s="1"/>
      <c r="U795" s="1"/>
      <c r="V795" s="125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126"/>
      <c r="AH795" s="126"/>
      <c r="AI795" s="126"/>
      <c r="AJ795" s="126"/>
      <c r="AK795" s="126"/>
      <c r="AL795" s="126"/>
      <c r="AM795" s="126"/>
      <c r="AN795" s="126"/>
      <c r="AO795" s="126"/>
      <c r="AP795" s="126"/>
      <c r="AQ795" s="126"/>
      <c r="AR795" s="126"/>
      <c r="AS795" s="126"/>
      <c r="AT795" s="126"/>
      <c r="AU795" s="126"/>
      <c r="AV795" s="126"/>
      <c r="AW795" s="126"/>
      <c r="AX795" s="126"/>
      <c r="AY795" s="126"/>
      <c r="AZ795" s="126"/>
      <c r="BA795" s="126"/>
      <c r="BB795" s="126"/>
      <c r="BC795" s="126"/>
      <c r="BD795" s="126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127"/>
      <c r="BQ795" s="127"/>
      <c r="BR795" s="127"/>
      <c r="BS795" s="127"/>
      <c r="BT795" s="127"/>
      <c r="BU795" s="127"/>
      <c r="BV795" s="127"/>
      <c r="BW795" s="119"/>
      <c r="BX795" s="119"/>
      <c r="BY795" s="119"/>
      <c r="BZ795" s="119"/>
      <c r="CA795" s="119"/>
      <c r="CB795" s="119"/>
      <c r="CC795" s="119"/>
      <c r="CD795" s="119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19"/>
      <c r="CQ795" s="119"/>
      <c r="CR795" s="119"/>
      <c r="CS795" s="119"/>
      <c r="CT795" s="119"/>
      <c r="CU795" s="119"/>
      <c r="CV795" s="119"/>
      <c r="CW795" s="119"/>
      <c r="CX795" s="119"/>
      <c r="CY795" s="119"/>
      <c r="CZ795" s="119"/>
      <c r="DA795" s="119"/>
      <c r="DB795" s="119"/>
      <c r="DC795" s="119"/>
      <c r="DD795" s="119"/>
      <c r="DE795" s="119"/>
      <c r="DF795" s="119"/>
      <c r="DG795" s="119"/>
      <c r="DH795" s="119"/>
      <c r="DI795" s="119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119"/>
      <c r="DU795" s="119"/>
      <c r="DV795" s="119"/>
      <c r="DW795" s="119"/>
      <c r="DX795" s="119"/>
      <c r="DY795" s="119"/>
      <c r="DZ795" s="119"/>
      <c r="EA795" s="119"/>
      <c r="EB795" s="119"/>
      <c r="EC795" s="119"/>
      <c r="ED795" s="119"/>
      <c r="EE795" s="119"/>
    </row>
    <row r="796" ht="15.75" customHeight="1">
      <c r="A796" s="135"/>
      <c r="B796" s="135"/>
      <c r="C796" s="135"/>
      <c r="D796" s="135"/>
      <c r="E796" s="135"/>
      <c r="F796" s="135"/>
      <c r="G796" s="135"/>
      <c r="H796" s="135"/>
      <c r="I796" s="1"/>
      <c r="J796" s="1"/>
      <c r="K796" s="1"/>
      <c r="L796" s="1"/>
      <c r="M796" s="1"/>
      <c r="N796" s="1"/>
      <c r="O796" s="1"/>
      <c r="P796" s="1"/>
      <c r="Q796" s="1"/>
      <c r="R796" s="124"/>
      <c r="S796" s="1"/>
      <c r="T796" s="1"/>
      <c r="U796" s="1"/>
      <c r="V796" s="125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  <c r="AH796" s="126"/>
      <c r="AI796" s="126"/>
      <c r="AJ796" s="126"/>
      <c r="AK796" s="126"/>
      <c r="AL796" s="126"/>
      <c r="AM796" s="126"/>
      <c r="AN796" s="126"/>
      <c r="AO796" s="126"/>
      <c r="AP796" s="126"/>
      <c r="AQ796" s="126"/>
      <c r="AR796" s="126"/>
      <c r="AS796" s="126"/>
      <c r="AT796" s="126"/>
      <c r="AU796" s="126"/>
      <c r="AV796" s="126"/>
      <c r="AW796" s="126"/>
      <c r="AX796" s="126"/>
      <c r="AY796" s="126"/>
      <c r="AZ796" s="126"/>
      <c r="BA796" s="126"/>
      <c r="BB796" s="126"/>
      <c r="BC796" s="126"/>
      <c r="BD796" s="126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127"/>
      <c r="BQ796" s="127"/>
      <c r="BR796" s="127"/>
      <c r="BS796" s="127"/>
      <c r="BT796" s="127"/>
      <c r="BU796" s="127"/>
      <c r="BV796" s="127"/>
      <c r="BW796" s="119"/>
      <c r="BX796" s="119"/>
      <c r="BY796" s="119"/>
      <c r="BZ796" s="119"/>
      <c r="CA796" s="119"/>
      <c r="CB796" s="119"/>
      <c r="CC796" s="119"/>
      <c r="CD796" s="119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19"/>
      <c r="CQ796" s="119"/>
      <c r="CR796" s="119"/>
      <c r="CS796" s="119"/>
      <c r="CT796" s="119"/>
      <c r="CU796" s="119"/>
      <c r="CV796" s="119"/>
      <c r="CW796" s="119"/>
      <c r="CX796" s="119"/>
      <c r="CY796" s="119"/>
      <c r="CZ796" s="119"/>
      <c r="DA796" s="119"/>
      <c r="DB796" s="119"/>
      <c r="DC796" s="119"/>
      <c r="DD796" s="119"/>
      <c r="DE796" s="119"/>
      <c r="DF796" s="119"/>
      <c r="DG796" s="119"/>
      <c r="DH796" s="119"/>
      <c r="DI796" s="119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119"/>
      <c r="DU796" s="119"/>
      <c r="DV796" s="119"/>
      <c r="DW796" s="119"/>
      <c r="DX796" s="119"/>
      <c r="DY796" s="119"/>
      <c r="DZ796" s="119"/>
      <c r="EA796" s="119"/>
      <c r="EB796" s="119"/>
      <c r="EC796" s="119"/>
      <c r="ED796" s="119"/>
      <c r="EE796" s="119"/>
    </row>
    <row r="797" ht="15.75" customHeight="1">
      <c r="A797" s="135"/>
      <c r="B797" s="135"/>
      <c r="C797" s="135"/>
      <c r="D797" s="135"/>
      <c r="E797" s="135"/>
      <c r="F797" s="135"/>
      <c r="G797" s="135"/>
      <c r="H797" s="135"/>
      <c r="I797" s="1"/>
      <c r="J797" s="1"/>
      <c r="K797" s="1"/>
      <c r="L797" s="1"/>
      <c r="M797" s="1"/>
      <c r="N797" s="1"/>
      <c r="O797" s="1"/>
      <c r="P797" s="1"/>
      <c r="Q797" s="1"/>
      <c r="R797" s="124"/>
      <c r="S797" s="1"/>
      <c r="T797" s="1"/>
      <c r="U797" s="1"/>
      <c r="V797" s="125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126"/>
      <c r="AH797" s="126"/>
      <c r="AI797" s="126"/>
      <c r="AJ797" s="126"/>
      <c r="AK797" s="126"/>
      <c r="AL797" s="126"/>
      <c r="AM797" s="126"/>
      <c r="AN797" s="126"/>
      <c r="AO797" s="126"/>
      <c r="AP797" s="126"/>
      <c r="AQ797" s="126"/>
      <c r="AR797" s="126"/>
      <c r="AS797" s="126"/>
      <c r="AT797" s="126"/>
      <c r="AU797" s="126"/>
      <c r="AV797" s="126"/>
      <c r="AW797" s="126"/>
      <c r="AX797" s="126"/>
      <c r="AY797" s="126"/>
      <c r="AZ797" s="126"/>
      <c r="BA797" s="126"/>
      <c r="BB797" s="126"/>
      <c r="BC797" s="126"/>
      <c r="BD797" s="126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127"/>
      <c r="BQ797" s="127"/>
      <c r="BR797" s="127"/>
      <c r="BS797" s="127"/>
      <c r="BT797" s="127"/>
      <c r="BU797" s="127"/>
      <c r="BV797" s="127"/>
      <c r="BW797" s="119"/>
      <c r="BX797" s="119"/>
      <c r="BY797" s="119"/>
      <c r="BZ797" s="119"/>
      <c r="CA797" s="119"/>
      <c r="CB797" s="119"/>
      <c r="CC797" s="119"/>
      <c r="CD797" s="119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19"/>
      <c r="CQ797" s="119"/>
      <c r="CR797" s="119"/>
      <c r="CS797" s="119"/>
      <c r="CT797" s="119"/>
      <c r="CU797" s="119"/>
      <c r="CV797" s="119"/>
      <c r="CW797" s="119"/>
      <c r="CX797" s="119"/>
      <c r="CY797" s="119"/>
      <c r="CZ797" s="119"/>
      <c r="DA797" s="119"/>
      <c r="DB797" s="119"/>
      <c r="DC797" s="119"/>
      <c r="DD797" s="119"/>
      <c r="DE797" s="119"/>
      <c r="DF797" s="119"/>
      <c r="DG797" s="119"/>
      <c r="DH797" s="119"/>
      <c r="DI797" s="119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119"/>
      <c r="DU797" s="119"/>
      <c r="DV797" s="119"/>
      <c r="DW797" s="119"/>
      <c r="DX797" s="119"/>
      <c r="DY797" s="119"/>
      <c r="DZ797" s="119"/>
      <c r="EA797" s="119"/>
      <c r="EB797" s="119"/>
      <c r="EC797" s="119"/>
      <c r="ED797" s="119"/>
      <c r="EE797" s="119"/>
    </row>
    <row r="798" ht="15.75" customHeight="1">
      <c r="A798" s="135"/>
      <c r="B798" s="135"/>
      <c r="C798" s="135"/>
      <c r="D798" s="135"/>
      <c r="E798" s="135"/>
      <c r="F798" s="135"/>
      <c r="G798" s="135"/>
      <c r="H798" s="135"/>
      <c r="I798" s="1"/>
      <c r="J798" s="1"/>
      <c r="K798" s="1"/>
      <c r="L798" s="1"/>
      <c r="M798" s="1"/>
      <c r="N798" s="1"/>
      <c r="O798" s="1"/>
      <c r="P798" s="1"/>
      <c r="Q798" s="1"/>
      <c r="R798" s="124"/>
      <c r="S798" s="1"/>
      <c r="T798" s="1"/>
      <c r="U798" s="1"/>
      <c r="V798" s="125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126"/>
      <c r="AH798" s="126"/>
      <c r="AI798" s="126"/>
      <c r="AJ798" s="126"/>
      <c r="AK798" s="126"/>
      <c r="AL798" s="126"/>
      <c r="AM798" s="126"/>
      <c r="AN798" s="126"/>
      <c r="AO798" s="126"/>
      <c r="AP798" s="126"/>
      <c r="AQ798" s="126"/>
      <c r="AR798" s="126"/>
      <c r="AS798" s="126"/>
      <c r="AT798" s="126"/>
      <c r="AU798" s="126"/>
      <c r="AV798" s="126"/>
      <c r="AW798" s="126"/>
      <c r="AX798" s="126"/>
      <c r="AY798" s="126"/>
      <c r="AZ798" s="126"/>
      <c r="BA798" s="126"/>
      <c r="BB798" s="126"/>
      <c r="BC798" s="126"/>
      <c r="BD798" s="126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127"/>
      <c r="BQ798" s="127"/>
      <c r="BR798" s="127"/>
      <c r="BS798" s="127"/>
      <c r="BT798" s="127"/>
      <c r="BU798" s="127"/>
      <c r="BV798" s="127"/>
      <c r="BW798" s="119"/>
      <c r="BX798" s="119"/>
      <c r="BY798" s="119"/>
      <c r="BZ798" s="119"/>
      <c r="CA798" s="119"/>
      <c r="CB798" s="119"/>
      <c r="CC798" s="119"/>
      <c r="CD798" s="119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19"/>
      <c r="CQ798" s="119"/>
      <c r="CR798" s="119"/>
      <c r="CS798" s="119"/>
      <c r="CT798" s="119"/>
      <c r="CU798" s="119"/>
      <c r="CV798" s="119"/>
      <c r="CW798" s="119"/>
      <c r="CX798" s="119"/>
      <c r="CY798" s="119"/>
      <c r="CZ798" s="119"/>
      <c r="DA798" s="119"/>
      <c r="DB798" s="119"/>
      <c r="DC798" s="119"/>
      <c r="DD798" s="119"/>
      <c r="DE798" s="119"/>
      <c r="DF798" s="119"/>
      <c r="DG798" s="119"/>
      <c r="DH798" s="119"/>
      <c r="DI798" s="119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119"/>
      <c r="DU798" s="119"/>
      <c r="DV798" s="119"/>
      <c r="DW798" s="119"/>
      <c r="DX798" s="119"/>
      <c r="DY798" s="119"/>
      <c r="DZ798" s="119"/>
      <c r="EA798" s="119"/>
      <c r="EB798" s="119"/>
      <c r="EC798" s="119"/>
      <c r="ED798" s="119"/>
      <c r="EE798" s="119"/>
    </row>
    <row r="799" ht="15.75" customHeight="1">
      <c r="A799" s="135"/>
      <c r="B799" s="135"/>
      <c r="C799" s="135"/>
      <c r="D799" s="135"/>
      <c r="E799" s="135"/>
      <c r="F799" s="135"/>
      <c r="G799" s="135"/>
      <c r="H799" s="135"/>
      <c r="I799" s="1"/>
      <c r="J799" s="1"/>
      <c r="K799" s="1"/>
      <c r="L799" s="1"/>
      <c r="M799" s="1"/>
      <c r="N799" s="1"/>
      <c r="O799" s="1"/>
      <c r="P799" s="1"/>
      <c r="Q799" s="1"/>
      <c r="R799" s="124"/>
      <c r="S799" s="1"/>
      <c r="T799" s="1"/>
      <c r="U799" s="1"/>
      <c r="V799" s="125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126"/>
      <c r="AH799" s="126"/>
      <c r="AI799" s="126"/>
      <c r="AJ799" s="126"/>
      <c r="AK799" s="126"/>
      <c r="AL799" s="126"/>
      <c r="AM799" s="126"/>
      <c r="AN799" s="126"/>
      <c r="AO799" s="126"/>
      <c r="AP799" s="126"/>
      <c r="AQ799" s="126"/>
      <c r="AR799" s="126"/>
      <c r="AS799" s="126"/>
      <c r="AT799" s="126"/>
      <c r="AU799" s="126"/>
      <c r="AV799" s="126"/>
      <c r="AW799" s="126"/>
      <c r="AX799" s="126"/>
      <c r="AY799" s="126"/>
      <c r="AZ799" s="126"/>
      <c r="BA799" s="126"/>
      <c r="BB799" s="126"/>
      <c r="BC799" s="126"/>
      <c r="BD799" s="126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127"/>
      <c r="BQ799" s="127"/>
      <c r="BR799" s="127"/>
      <c r="BS799" s="127"/>
      <c r="BT799" s="127"/>
      <c r="BU799" s="127"/>
      <c r="BV799" s="127"/>
      <c r="BW799" s="119"/>
      <c r="BX799" s="119"/>
      <c r="BY799" s="119"/>
      <c r="BZ799" s="119"/>
      <c r="CA799" s="119"/>
      <c r="CB799" s="119"/>
      <c r="CC799" s="119"/>
      <c r="CD799" s="119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19"/>
      <c r="CQ799" s="119"/>
      <c r="CR799" s="119"/>
      <c r="CS799" s="119"/>
      <c r="CT799" s="119"/>
      <c r="CU799" s="119"/>
      <c r="CV799" s="119"/>
      <c r="CW799" s="119"/>
      <c r="CX799" s="119"/>
      <c r="CY799" s="119"/>
      <c r="CZ799" s="119"/>
      <c r="DA799" s="119"/>
      <c r="DB799" s="119"/>
      <c r="DC799" s="119"/>
      <c r="DD799" s="119"/>
      <c r="DE799" s="119"/>
      <c r="DF799" s="119"/>
      <c r="DG799" s="119"/>
      <c r="DH799" s="119"/>
      <c r="DI799" s="119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119"/>
      <c r="DU799" s="119"/>
      <c r="DV799" s="119"/>
      <c r="DW799" s="119"/>
      <c r="DX799" s="119"/>
      <c r="DY799" s="119"/>
      <c r="DZ799" s="119"/>
      <c r="EA799" s="119"/>
      <c r="EB799" s="119"/>
      <c r="EC799" s="119"/>
      <c r="ED799" s="119"/>
      <c r="EE799" s="119"/>
    </row>
    <row r="800" ht="15.75" customHeight="1">
      <c r="A800" s="135"/>
      <c r="B800" s="135"/>
      <c r="C800" s="135"/>
      <c r="D800" s="135"/>
      <c r="E800" s="135"/>
      <c r="F800" s="135"/>
      <c r="G800" s="135"/>
      <c r="H800" s="135"/>
      <c r="I800" s="1"/>
      <c r="J800" s="1"/>
      <c r="K800" s="1"/>
      <c r="L800" s="1"/>
      <c r="M800" s="1"/>
      <c r="N800" s="1"/>
      <c r="O800" s="1"/>
      <c r="P800" s="1"/>
      <c r="Q800" s="1"/>
      <c r="R800" s="124"/>
      <c r="S800" s="1"/>
      <c r="T800" s="1"/>
      <c r="U800" s="1"/>
      <c r="V800" s="125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126"/>
      <c r="AH800" s="126"/>
      <c r="AI800" s="126"/>
      <c r="AJ800" s="126"/>
      <c r="AK800" s="126"/>
      <c r="AL800" s="126"/>
      <c r="AM800" s="126"/>
      <c r="AN800" s="126"/>
      <c r="AO800" s="126"/>
      <c r="AP800" s="126"/>
      <c r="AQ800" s="126"/>
      <c r="AR800" s="126"/>
      <c r="AS800" s="126"/>
      <c r="AT800" s="126"/>
      <c r="AU800" s="126"/>
      <c r="AV800" s="126"/>
      <c r="AW800" s="126"/>
      <c r="AX800" s="126"/>
      <c r="AY800" s="126"/>
      <c r="AZ800" s="126"/>
      <c r="BA800" s="126"/>
      <c r="BB800" s="126"/>
      <c r="BC800" s="126"/>
      <c r="BD800" s="126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127"/>
      <c r="BQ800" s="127"/>
      <c r="BR800" s="127"/>
      <c r="BS800" s="127"/>
      <c r="BT800" s="127"/>
      <c r="BU800" s="127"/>
      <c r="BV800" s="127"/>
      <c r="BW800" s="119"/>
      <c r="BX800" s="119"/>
      <c r="BY800" s="119"/>
      <c r="BZ800" s="119"/>
      <c r="CA800" s="119"/>
      <c r="CB800" s="119"/>
      <c r="CC800" s="119"/>
      <c r="CD800" s="119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19"/>
      <c r="CQ800" s="119"/>
      <c r="CR800" s="119"/>
      <c r="CS800" s="119"/>
      <c r="CT800" s="119"/>
      <c r="CU800" s="119"/>
      <c r="CV800" s="119"/>
      <c r="CW800" s="119"/>
      <c r="CX800" s="119"/>
      <c r="CY800" s="119"/>
      <c r="CZ800" s="119"/>
      <c r="DA800" s="119"/>
      <c r="DB800" s="119"/>
      <c r="DC800" s="119"/>
      <c r="DD800" s="119"/>
      <c r="DE800" s="119"/>
      <c r="DF800" s="119"/>
      <c r="DG800" s="119"/>
      <c r="DH800" s="119"/>
      <c r="DI800" s="119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119"/>
      <c r="DU800" s="119"/>
      <c r="DV800" s="119"/>
      <c r="DW800" s="119"/>
      <c r="DX800" s="119"/>
      <c r="DY800" s="119"/>
      <c r="DZ800" s="119"/>
      <c r="EA800" s="119"/>
      <c r="EB800" s="119"/>
      <c r="EC800" s="119"/>
      <c r="ED800" s="119"/>
      <c r="EE800" s="119"/>
    </row>
    <row r="801" ht="15.75" customHeight="1">
      <c r="A801" s="135"/>
      <c r="B801" s="135"/>
      <c r="C801" s="135"/>
      <c r="D801" s="135"/>
      <c r="E801" s="135"/>
      <c r="F801" s="135"/>
      <c r="G801" s="135"/>
      <c r="H801" s="135"/>
      <c r="I801" s="1"/>
      <c r="J801" s="1"/>
      <c r="K801" s="1"/>
      <c r="L801" s="1"/>
      <c r="M801" s="1"/>
      <c r="N801" s="1"/>
      <c r="O801" s="1"/>
      <c r="P801" s="1"/>
      <c r="Q801" s="1"/>
      <c r="R801" s="124"/>
      <c r="S801" s="1"/>
      <c r="T801" s="1"/>
      <c r="U801" s="1"/>
      <c r="V801" s="125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126"/>
      <c r="AH801" s="126"/>
      <c r="AI801" s="126"/>
      <c r="AJ801" s="126"/>
      <c r="AK801" s="126"/>
      <c r="AL801" s="126"/>
      <c r="AM801" s="126"/>
      <c r="AN801" s="126"/>
      <c r="AO801" s="126"/>
      <c r="AP801" s="126"/>
      <c r="AQ801" s="126"/>
      <c r="AR801" s="126"/>
      <c r="AS801" s="126"/>
      <c r="AT801" s="126"/>
      <c r="AU801" s="126"/>
      <c r="AV801" s="126"/>
      <c r="AW801" s="126"/>
      <c r="AX801" s="126"/>
      <c r="AY801" s="126"/>
      <c r="AZ801" s="126"/>
      <c r="BA801" s="126"/>
      <c r="BB801" s="126"/>
      <c r="BC801" s="126"/>
      <c r="BD801" s="126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127"/>
      <c r="BQ801" s="127"/>
      <c r="BR801" s="127"/>
      <c r="BS801" s="127"/>
      <c r="BT801" s="127"/>
      <c r="BU801" s="127"/>
      <c r="BV801" s="127"/>
      <c r="BW801" s="119"/>
      <c r="BX801" s="119"/>
      <c r="BY801" s="119"/>
      <c r="BZ801" s="119"/>
      <c r="CA801" s="119"/>
      <c r="CB801" s="119"/>
      <c r="CC801" s="119"/>
      <c r="CD801" s="119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19"/>
      <c r="CQ801" s="119"/>
      <c r="CR801" s="119"/>
      <c r="CS801" s="119"/>
      <c r="CT801" s="119"/>
      <c r="CU801" s="119"/>
      <c r="CV801" s="119"/>
      <c r="CW801" s="119"/>
      <c r="CX801" s="119"/>
      <c r="CY801" s="119"/>
      <c r="CZ801" s="119"/>
      <c r="DA801" s="119"/>
      <c r="DB801" s="119"/>
      <c r="DC801" s="119"/>
      <c r="DD801" s="119"/>
      <c r="DE801" s="119"/>
      <c r="DF801" s="119"/>
      <c r="DG801" s="119"/>
      <c r="DH801" s="119"/>
      <c r="DI801" s="119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119"/>
      <c r="DU801" s="119"/>
      <c r="DV801" s="119"/>
      <c r="DW801" s="119"/>
      <c r="DX801" s="119"/>
      <c r="DY801" s="119"/>
      <c r="DZ801" s="119"/>
      <c r="EA801" s="119"/>
      <c r="EB801" s="119"/>
      <c r="EC801" s="119"/>
      <c r="ED801" s="119"/>
      <c r="EE801" s="119"/>
    </row>
    <row r="802" ht="15.75" customHeight="1">
      <c r="A802" s="135"/>
      <c r="B802" s="135"/>
      <c r="C802" s="135"/>
      <c r="D802" s="135"/>
      <c r="E802" s="135"/>
      <c r="F802" s="135"/>
      <c r="G802" s="135"/>
      <c r="H802" s="135"/>
      <c r="I802" s="1"/>
      <c r="J802" s="1"/>
      <c r="K802" s="1"/>
      <c r="L802" s="1"/>
      <c r="M802" s="1"/>
      <c r="N802" s="1"/>
      <c r="O802" s="1"/>
      <c r="P802" s="1"/>
      <c r="Q802" s="1"/>
      <c r="R802" s="124"/>
      <c r="S802" s="1"/>
      <c r="T802" s="1"/>
      <c r="U802" s="1"/>
      <c r="V802" s="125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126"/>
      <c r="AH802" s="126"/>
      <c r="AI802" s="126"/>
      <c r="AJ802" s="126"/>
      <c r="AK802" s="126"/>
      <c r="AL802" s="126"/>
      <c r="AM802" s="126"/>
      <c r="AN802" s="126"/>
      <c r="AO802" s="126"/>
      <c r="AP802" s="126"/>
      <c r="AQ802" s="126"/>
      <c r="AR802" s="126"/>
      <c r="AS802" s="126"/>
      <c r="AT802" s="126"/>
      <c r="AU802" s="126"/>
      <c r="AV802" s="126"/>
      <c r="AW802" s="126"/>
      <c r="AX802" s="126"/>
      <c r="AY802" s="126"/>
      <c r="AZ802" s="126"/>
      <c r="BA802" s="126"/>
      <c r="BB802" s="126"/>
      <c r="BC802" s="126"/>
      <c r="BD802" s="126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127"/>
      <c r="BQ802" s="127"/>
      <c r="BR802" s="127"/>
      <c r="BS802" s="127"/>
      <c r="BT802" s="127"/>
      <c r="BU802" s="127"/>
      <c r="BV802" s="127"/>
      <c r="BW802" s="119"/>
      <c r="BX802" s="119"/>
      <c r="BY802" s="119"/>
      <c r="BZ802" s="119"/>
      <c r="CA802" s="119"/>
      <c r="CB802" s="119"/>
      <c r="CC802" s="119"/>
      <c r="CD802" s="119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19"/>
      <c r="CQ802" s="119"/>
      <c r="CR802" s="119"/>
      <c r="CS802" s="119"/>
      <c r="CT802" s="119"/>
      <c r="CU802" s="119"/>
      <c r="CV802" s="119"/>
      <c r="CW802" s="119"/>
      <c r="CX802" s="119"/>
      <c r="CY802" s="119"/>
      <c r="CZ802" s="119"/>
      <c r="DA802" s="119"/>
      <c r="DB802" s="119"/>
      <c r="DC802" s="119"/>
      <c r="DD802" s="119"/>
      <c r="DE802" s="119"/>
      <c r="DF802" s="119"/>
      <c r="DG802" s="119"/>
      <c r="DH802" s="119"/>
      <c r="DI802" s="119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119"/>
      <c r="DU802" s="119"/>
      <c r="DV802" s="119"/>
      <c r="DW802" s="119"/>
      <c r="DX802" s="119"/>
      <c r="DY802" s="119"/>
      <c r="DZ802" s="119"/>
      <c r="EA802" s="119"/>
      <c r="EB802" s="119"/>
      <c r="EC802" s="119"/>
      <c r="ED802" s="119"/>
      <c r="EE802" s="119"/>
    </row>
    <row r="803" ht="15.75" customHeight="1">
      <c r="A803" s="135"/>
      <c r="B803" s="135"/>
      <c r="C803" s="135"/>
      <c r="D803" s="135"/>
      <c r="E803" s="135"/>
      <c r="F803" s="135"/>
      <c r="G803" s="135"/>
      <c r="H803" s="135"/>
      <c r="I803" s="1"/>
      <c r="J803" s="1"/>
      <c r="K803" s="1"/>
      <c r="L803" s="1"/>
      <c r="M803" s="1"/>
      <c r="N803" s="1"/>
      <c r="O803" s="1"/>
      <c r="P803" s="1"/>
      <c r="Q803" s="1"/>
      <c r="R803" s="124"/>
      <c r="S803" s="1"/>
      <c r="T803" s="1"/>
      <c r="U803" s="1"/>
      <c r="V803" s="125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126"/>
      <c r="AH803" s="126"/>
      <c r="AI803" s="126"/>
      <c r="AJ803" s="126"/>
      <c r="AK803" s="126"/>
      <c r="AL803" s="126"/>
      <c r="AM803" s="126"/>
      <c r="AN803" s="126"/>
      <c r="AO803" s="126"/>
      <c r="AP803" s="126"/>
      <c r="AQ803" s="126"/>
      <c r="AR803" s="126"/>
      <c r="AS803" s="126"/>
      <c r="AT803" s="126"/>
      <c r="AU803" s="126"/>
      <c r="AV803" s="126"/>
      <c r="AW803" s="126"/>
      <c r="AX803" s="126"/>
      <c r="AY803" s="126"/>
      <c r="AZ803" s="126"/>
      <c r="BA803" s="126"/>
      <c r="BB803" s="126"/>
      <c r="BC803" s="126"/>
      <c r="BD803" s="126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127"/>
      <c r="BQ803" s="127"/>
      <c r="BR803" s="127"/>
      <c r="BS803" s="127"/>
      <c r="BT803" s="127"/>
      <c r="BU803" s="127"/>
      <c r="BV803" s="127"/>
      <c r="BW803" s="119"/>
      <c r="BX803" s="119"/>
      <c r="BY803" s="119"/>
      <c r="BZ803" s="119"/>
      <c r="CA803" s="119"/>
      <c r="CB803" s="119"/>
      <c r="CC803" s="119"/>
      <c r="CD803" s="119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19"/>
      <c r="CQ803" s="119"/>
      <c r="CR803" s="119"/>
      <c r="CS803" s="119"/>
      <c r="CT803" s="119"/>
      <c r="CU803" s="119"/>
      <c r="CV803" s="119"/>
      <c r="CW803" s="119"/>
      <c r="CX803" s="119"/>
      <c r="CY803" s="119"/>
      <c r="CZ803" s="119"/>
      <c r="DA803" s="119"/>
      <c r="DB803" s="119"/>
      <c r="DC803" s="119"/>
      <c r="DD803" s="119"/>
      <c r="DE803" s="119"/>
      <c r="DF803" s="119"/>
      <c r="DG803" s="119"/>
      <c r="DH803" s="119"/>
      <c r="DI803" s="119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119"/>
      <c r="DU803" s="119"/>
      <c r="DV803" s="119"/>
      <c r="DW803" s="119"/>
      <c r="DX803" s="119"/>
      <c r="DY803" s="119"/>
      <c r="DZ803" s="119"/>
      <c r="EA803" s="119"/>
      <c r="EB803" s="119"/>
      <c r="EC803" s="119"/>
      <c r="ED803" s="119"/>
      <c r="EE803" s="119"/>
    </row>
    <row r="804" ht="15.75" customHeight="1">
      <c r="A804" s="135"/>
      <c r="B804" s="135"/>
      <c r="C804" s="135"/>
      <c r="D804" s="135"/>
      <c r="E804" s="135"/>
      <c r="F804" s="135"/>
      <c r="G804" s="135"/>
      <c r="H804" s="135"/>
      <c r="I804" s="1"/>
      <c r="J804" s="1"/>
      <c r="K804" s="1"/>
      <c r="L804" s="1"/>
      <c r="M804" s="1"/>
      <c r="N804" s="1"/>
      <c r="O804" s="1"/>
      <c r="P804" s="1"/>
      <c r="Q804" s="1"/>
      <c r="R804" s="124"/>
      <c r="S804" s="1"/>
      <c r="T804" s="1"/>
      <c r="U804" s="1"/>
      <c r="V804" s="125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126"/>
      <c r="AH804" s="126"/>
      <c r="AI804" s="126"/>
      <c r="AJ804" s="126"/>
      <c r="AK804" s="126"/>
      <c r="AL804" s="126"/>
      <c r="AM804" s="126"/>
      <c r="AN804" s="126"/>
      <c r="AO804" s="126"/>
      <c r="AP804" s="126"/>
      <c r="AQ804" s="126"/>
      <c r="AR804" s="126"/>
      <c r="AS804" s="126"/>
      <c r="AT804" s="126"/>
      <c r="AU804" s="126"/>
      <c r="AV804" s="126"/>
      <c r="AW804" s="126"/>
      <c r="AX804" s="126"/>
      <c r="AY804" s="126"/>
      <c r="AZ804" s="126"/>
      <c r="BA804" s="126"/>
      <c r="BB804" s="126"/>
      <c r="BC804" s="126"/>
      <c r="BD804" s="126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127"/>
      <c r="BQ804" s="127"/>
      <c r="BR804" s="127"/>
      <c r="BS804" s="127"/>
      <c r="BT804" s="127"/>
      <c r="BU804" s="127"/>
      <c r="BV804" s="127"/>
      <c r="BW804" s="119"/>
      <c r="BX804" s="119"/>
      <c r="BY804" s="119"/>
      <c r="BZ804" s="119"/>
      <c r="CA804" s="119"/>
      <c r="CB804" s="119"/>
      <c r="CC804" s="119"/>
      <c r="CD804" s="119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19"/>
      <c r="CQ804" s="119"/>
      <c r="CR804" s="119"/>
      <c r="CS804" s="119"/>
      <c r="CT804" s="119"/>
      <c r="CU804" s="119"/>
      <c r="CV804" s="119"/>
      <c r="CW804" s="119"/>
      <c r="CX804" s="119"/>
      <c r="CY804" s="119"/>
      <c r="CZ804" s="119"/>
      <c r="DA804" s="119"/>
      <c r="DB804" s="119"/>
      <c r="DC804" s="119"/>
      <c r="DD804" s="119"/>
      <c r="DE804" s="119"/>
      <c r="DF804" s="119"/>
      <c r="DG804" s="119"/>
      <c r="DH804" s="119"/>
      <c r="DI804" s="119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119"/>
      <c r="DU804" s="119"/>
      <c r="DV804" s="119"/>
      <c r="DW804" s="119"/>
      <c r="DX804" s="119"/>
      <c r="DY804" s="119"/>
      <c r="DZ804" s="119"/>
      <c r="EA804" s="119"/>
      <c r="EB804" s="119"/>
      <c r="EC804" s="119"/>
      <c r="ED804" s="119"/>
      <c r="EE804" s="119"/>
    </row>
    <row r="805" ht="15.75" customHeight="1">
      <c r="A805" s="135"/>
      <c r="B805" s="135"/>
      <c r="C805" s="135"/>
      <c r="D805" s="135"/>
      <c r="E805" s="135"/>
      <c r="F805" s="135"/>
      <c r="G805" s="135"/>
      <c r="H805" s="135"/>
      <c r="I805" s="1"/>
      <c r="J805" s="1"/>
      <c r="K805" s="1"/>
      <c r="L805" s="1"/>
      <c r="M805" s="1"/>
      <c r="N805" s="1"/>
      <c r="O805" s="1"/>
      <c r="P805" s="1"/>
      <c r="Q805" s="1"/>
      <c r="R805" s="124"/>
      <c r="S805" s="1"/>
      <c r="T805" s="1"/>
      <c r="U805" s="1"/>
      <c r="V805" s="125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126"/>
      <c r="AH805" s="126"/>
      <c r="AI805" s="126"/>
      <c r="AJ805" s="126"/>
      <c r="AK805" s="126"/>
      <c r="AL805" s="126"/>
      <c r="AM805" s="126"/>
      <c r="AN805" s="126"/>
      <c r="AO805" s="126"/>
      <c r="AP805" s="126"/>
      <c r="AQ805" s="126"/>
      <c r="AR805" s="126"/>
      <c r="AS805" s="126"/>
      <c r="AT805" s="126"/>
      <c r="AU805" s="126"/>
      <c r="AV805" s="126"/>
      <c r="AW805" s="126"/>
      <c r="AX805" s="126"/>
      <c r="AY805" s="126"/>
      <c r="AZ805" s="126"/>
      <c r="BA805" s="126"/>
      <c r="BB805" s="126"/>
      <c r="BC805" s="126"/>
      <c r="BD805" s="126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127"/>
      <c r="BQ805" s="127"/>
      <c r="BR805" s="127"/>
      <c r="BS805" s="127"/>
      <c r="BT805" s="127"/>
      <c r="BU805" s="127"/>
      <c r="BV805" s="127"/>
      <c r="BW805" s="119"/>
      <c r="BX805" s="119"/>
      <c r="BY805" s="119"/>
      <c r="BZ805" s="119"/>
      <c r="CA805" s="119"/>
      <c r="CB805" s="119"/>
      <c r="CC805" s="119"/>
      <c r="CD805" s="119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19"/>
      <c r="CQ805" s="119"/>
      <c r="CR805" s="119"/>
      <c r="CS805" s="119"/>
      <c r="CT805" s="119"/>
      <c r="CU805" s="119"/>
      <c r="CV805" s="119"/>
      <c r="CW805" s="119"/>
      <c r="CX805" s="119"/>
      <c r="CY805" s="119"/>
      <c r="CZ805" s="119"/>
      <c r="DA805" s="119"/>
      <c r="DB805" s="119"/>
      <c r="DC805" s="119"/>
      <c r="DD805" s="119"/>
      <c r="DE805" s="119"/>
      <c r="DF805" s="119"/>
      <c r="DG805" s="119"/>
      <c r="DH805" s="119"/>
      <c r="DI805" s="119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119"/>
      <c r="DU805" s="119"/>
      <c r="DV805" s="119"/>
      <c r="DW805" s="119"/>
      <c r="DX805" s="119"/>
      <c r="DY805" s="119"/>
      <c r="DZ805" s="119"/>
      <c r="EA805" s="119"/>
      <c r="EB805" s="119"/>
      <c r="EC805" s="119"/>
      <c r="ED805" s="119"/>
      <c r="EE805" s="119"/>
    </row>
    <row r="806" ht="15.75" customHeight="1">
      <c r="A806" s="135"/>
      <c r="B806" s="135"/>
      <c r="C806" s="135"/>
      <c r="D806" s="135"/>
      <c r="E806" s="135"/>
      <c r="F806" s="135"/>
      <c r="G806" s="135"/>
      <c r="H806" s="135"/>
      <c r="I806" s="1"/>
      <c r="J806" s="1"/>
      <c r="K806" s="1"/>
      <c r="L806" s="1"/>
      <c r="M806" s="1"/>
      <c r="N806" s="1"/>
      <c r="O806" s="1"/>
      <c r="P806" s="1"/>
      <c r="Q806" s="1"/>
      <c r="R806" s="124"/>
      <c r="S806" s="1"/>
      <c r="T806" s="1"/>
      <c r="U806" s="1"/>
      <c r="V806" s="125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126"/>
      <c r="AH806" s="126"/>
      <c r="AI806" s="126"/>
      <c r="AJ806" s="126"/>
      <c r="AK806" s="126"/>
      <c r="AL806" s="126"/>
      <c r="AM806" s="126"/>
      <c r="AN806" s="126"/>
      <c r="AO806" s="126"/>
      <c r="AP806" s="126"/>
      <c r="AQ806" s="126"/>
      <c r="AR806" s="126"/>
      <c r="AS806" s="126"/>
      <c r="AT806" s="126"/>
      <c r="AU806" s="126"/>
      <c r="AV806" s="126"/>
      <c r="AW806" s="126"/>
      <c r="AX806" s="126"/>
      <c r="AY806" s="126"/>
      <c r="AZ806" s="126"/>
      <c r="BA806" s="126"/>
      <c r="BB806" s="126"/>
      <c r="BC806" s="126"/>
      <c r="BD806" s="126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127"/>
      <c r="BQ806" s="127"/>
      <c r="BR806" s="127"/>
      <c r="BS806" s="127"/>
      <c r="BT806" s="127"/>
      <c r="BU806" s="127"/>
      <c r="BV806" s="127"/>
      <c r="BW806" s="119"/>
      <c r="BX806" s="119"/>
      <c r="BY806" s="119"/>
      <c r="BZ806" s="119"/>
      <c r="CA806" s="119"/>
      <c r="CB806" s="119"/>
      <c r="CC806" s="119"/>
      <c r="CD806" s="119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19"/>
      <c r="CQ806" s="119"/>
      <c r="CR806" s="119"/>
      <c r="CS806" s="119"/>
      <c r="CT806" s="119"/>
      <c r="CU806" s="119"/>
      <c r="CV806" s="119"/>
      <c r="CW806" s="119"/>
      <c r="CX806" s="119"/>
      <c r="CY806" s="119"/>
      <c r="CZ806" s="119"/>
      <c r="DA806" s="119"/>
      <c r="DB806" s="119"/>
      <c r="DC806" s="119"/>
      <c r="DD806" s="119"/>
      <c r="DE806" s="119"/>
      <c r="DF806" s="119"/>
      <c r="DG806" s="119"/>
      <c r="DH806" s="119"/>
      <c r="DI806" s="119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119"/>
      <c r="DU806" s="119"/>
      <c r="DV806" s="119"/>
      <c r="DW806" s="119"/>
      <c r="DX806" s="119"/>
      <c r="DY806" s="119"/>
      <c r="DZ806" s="119"/>
      <c r="EA806" s="119"/>
      <c r="EB806" s="119"/>
      <c r="EC806" s="119"/>
      <c r="ED806" s="119"/>
      <c r="EE806" s="119"/>
    </row>
    <row r="807" ht="15.75" customHeight="1">
      <c r="A807" s="135"/>
      <c r="B807" s="135"/>
      <c r="C807" s="135"/>
      <c r="D807" s="135"/>
      <c r="E807" s="135"/>
      <c r="F807" s="135"/>
      <c r="G807" s="135"/>
      <c r="H807" s="135"/>
      <c r="I807" s="1"/>
      <c r="J807" s="1"/>
      <c r="K807" s="1"/>
      <c r="L807" s="1"/>
      <c r="M807" s="1"/>
      <c r="N807" s="1"/>
      <c r="O807" s="1"/>
      <c r="P807" s="1"/>
      <c r="Q807" s="1"/>
      <c r="R807" s="124"/>
      <c r="S807" s="1"/>
      <c r="T807" s="1"/>
      <c r="U807" s="1"/>
      <c r="V807" s="125"/>
      <c r="W807" s="126"/>
      <c r="X807" s="126"/>
      <c r="Y807" s="126"/>
      <c r="Z807" s="126"/>
      <c r="AA807" s="126"/>
      <c r="AB807" s="126"/>
      <c r="AC807" s="126"/>
      <c r="AD807" s="126"/>
      <c r="AE807" s="126"/>
      <c r="AF807" s="126"/>
      <c r="AG807" s="126"/>
      <c r="AH807" s="126"/>
      <c r="AI807" s="126"/>
      <c r="AJ807" s="126"/>
      <c r="AK807" s="126"/>
      <c r="AL807" s="126"/>
      <c r="AM807" s="126"/>
      <c r="AN807" s="126"/>
      <c r="AO807" s="126"/>
      <c r="AP807" s="126"/>
      <c r="AQ807" s="126"/>
      <c r="AR807" s="126"/>
      <c r="AS807" s="126"/>
      <c r="AT807" s="126"/>
      <c r="AU807" s="126"/>
      <c r="AV807" s="126"/>
      <c r="AW807" s="126"/>
      <c r="AX807" s="126"/>
      <c r="AY807" s="126"/>
      <c r="AZ807" s="126"/>
      <c r="BA807" s="126"/>
      <c r="BB807" s="126"/>
      <c r="BC807" s="126"/>
      <c r="BD807" s="126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127"/>
      <c r="BQ807" s="127"/>
      <c r="BR807" s="127"/>
      <c r="BS807" s="127"/>
      <c r="BT807" s="127"/>
      <c r="BU807" s="127"/>
      <c r="BV807" s="127"/>
      <c r="BW807" s="119"/>
      <c r="BX807" s="119"/>
      <c r="BY807" s="119"/>
      <c r="BZ807" s="119"/>
      <c r="CA807" s="119"/>
      <c r="CB807" s="119"/>
      <c r="CC807" s="119"/>
      <c r="CD807" s="119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19"/>
      <c r="CQ807" s="119"/>
      <c r="CR807" s="119"/>
      <c r="CS807" s="119"/>
      <c r="CT807" s="119"/>
      <c r="CU807" s="119"/>
      <c r="CV807" s="119"/>
      <c r="CW807" s="119"/>
      <c r="CX807" s="119"/>
      <c r="CY807" s="119"/>
      <c r="CZ807" s="119"/>
      <c r="DA807" s="119"/>
      <c r="DB807" s="119"/>
      <c r="DC807" s="119"/>
      <c r="DD807" s="119"/>
      <c r="DE807" s="119"/>
      <c r="DF807" s="119"/>
      <c r="DG807" s="119"/>
      <c r="DH807" s="119"/>
      <c r="DI807" s="119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119"/>
      <c r="DU807" s="119"/>
      <c r="DV807" s="119"/>
      <c r="DW807" s="119"/>
      <c r="DX807" s="119"/>
      <c r="DY807" s="119"/>
      <c r="DZ807" s="119"/>
      <c r="EA807" s="119"/>
      <c r="EB807" s="119"/>
      <c r="EC807" s="119"/>
      <c r="ED807" s="119"/>
      <c r="EE807" s="119"/>
    </row>
    <row r="808" ht="15.75" customHeight="1">
      <c r="A808" s="135"/>
      <c r="B808" s="135"/>
      <c r="C808" s="135"/>
      <c r="D808" s="135"/>
      <c r="E808" s="135"/>
      <c r="F808" s="135"/>
      <c r="G808" s="135"/>
      <c r="H808" s="135"/>
      <c r="I808" s="1"/>
      <c r="J808" s="1"/>
      <c r="K808" s="1"/>
      <c r="L808" s="1"/>
      <c r="M808" s="1"/>
      <c r="N808" s="1"/>
      <c r="O808" s="1"/>
      <c r="P808" s="1"/>
      <c r="Q808" s="1"/>
      <c r="R808" s="124"/>
      <c r="S808" s="1"/>
      <c r="T808" s="1"/>
      <c r="U808" s="1"/>
      <c r="V808" s="125"/>
      <c r="W808" s="126"/>
      <c r="X808" s="126"/>
      <c r="Y808" s="126"/>
      <c r="Z808" s="126"/>
      <c r="AA808" s="126"/>
      <c r="AB808" s="126"/>
      <c r="AC808" s="126"/>
      <c r="AD808" s="126"/>
      <c r="AE808" s="126"/>
      <c r="AF808" s="126"/>
      <c r="AG808" s="126"/>
      <c r="AH808" s="126"/>
      <c r="AI808" s="126"/>
      <c r="AJ808" s="126"/>
      <c r="AK808" s="126"/>
      <c r="AL808" s="126"/>
      <c r="AM808" s="126"/>
      <c r="AN808" s="126"/>
      <c r="AO808" s="126"/>
      <c r="AP808" s="126"/>
      <c r="AQ808" s="126"/>
      <c r="AR808" s="126"/>
      <c r="AS808" s="126"/>
      <c r="AT808" s="126"/>
      <c r="AU808" s="126"/>
      <c r="AV808" s="126"/>
      <c r="AW808" s="126"/>
      <c r="AX808" s="126"/>
      <c r="AY808" s="126"/>
      <c r="AZ808" s="126"/>
      <c r="BA808" s="126"/>
      <c r="BB808" s="126"/>
      <c r="BC808" s="126"/>
      <c r="BD808" s="126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127"/>
      <c r="BQ808" s="127"/>
      <c r="BR808" s="127"/>
      <c r="BS808" s="127"/>
      <c r="BT808" s="127"/>
      <c r="BU808" s="127"/>
      <c r="BV808" s="127"/>
      <c r="BW808" s="119"/>
      <c r="BX808" s="119"/>
      <c r="BY808" s="119"/>
      <c r="BZ808" s="119"/>
      <c r="CA808" s="119"/>
      <c r="CB808" s="119"/>
      <c r="CC808" s="119"/>
      <c r="CD808" s="119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19"/>
      <c r="CQ808" s="119"/>
      <c r="CR808" s="119"/>
      <c r="CS808" s="119"/>
      <c r="CT808" s="119"/>
      <c r="CU808" s="119"/>
      <c r="CV808" s="119"/>
      <c r="CW808" s="119"/>
      <c r="CX808" s="119"/>
      <c r="CY808" s="119"/>
      <c r="CZ808" s="119"/>
      <c r="DA808" s="119"/>
      <c r="DB808" s="119"/>
      <c r="DC808" s="119"/>
      <c r="DD808" s="119"/>
      <c r="DE808" s="119"/>
      <c r="DF808" s="119"/>
      <c r="DG808" s="119"/>
      <c r="DH808" s="119"/>
      <c r="DI808" s="119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119"/>
      <c r="DU808" s="119"/>
      <c r="DV808" s="119"/>
      <c r="DW808" s="119"/>
      <c r="DX808" s="119"/>
      <c r="DY808" s="119"/>
      <c r="DZ808" s="119"/>
      <c r="EA808" s="119"/>
      <c r="EB808" s="119"/>
      <c r="EC808" s="119"/>
      <c r="ED808" s="119"/>
      <c r="EE808" s="119"/>
    </row>
    <row r="809" ht="15.75" customHeight="1">
      <c r="A809" s="135"/>
      <c r="B809" s="135"/>
      <c r="C809" s="135"/>
      <c r="D809" s="135"/>
      <c r="E809" s="135"/>
      <c r="F809" s="135"/>
      <c r="G809" s="135"/>
      <c r="H809" s="135"/>
      <c r="I809" s="1"/>
      <c r="J809" s="1"/>
      <c r="K809" s="1"/>
      <c r="L809" s="1"/>
      <c r="M809" s="1"/>
      <c r="N809" s="1"/>
      <c r="O809" s="1"/>
      <c r="P809" s="1"/>
      <c r="Q809" s="1"/>
      <c r="R809" s="124"/>
      <c r="S809" s="1"/>
      <c r="T809" s="1"/>
      <c r="U809" s="1"/>
      <c r="V809" s="125"/>
      <c r="W809" s="126"/>
      <c r="X809" s="126"/>
      <c r="Y809" s="126"/>
      <c r="Z809" s="126"/>
      <c r="AA809" s="126"/>
      <c r="AB809" s="126"/>
      <c r="AC809" s="126"/>
      <c r="AD809" s="126"/>
      <c r="AE809" s="126"/>
      <c r="AF809" s="126"/>
      <c r="AG809" s="126"/>
      <c r="AH809" s="126"/>
      <c r="AI809" s="126"/>
      <c r="AJ809" s="126"/>
      <c r="AK809" s="126"/>
      <c r="AL809" s="126"/>
      <c r="AM809" s="126"/>
      <c r="AN809" s="126"/>
      <c r="AO809" s="126"/>
      <c r="AP809" s="126"/>
      <c r="AQ809" s="126"/>
      <c r="AR809" s="126"/>
      <c r="AS809" s="126"/>
      <c r="AT809" s="126"/>
      <c r="AU809" s="126"/>
      <c r="AV809" s="126"/>
      <c r="AW809" s="126"/>
      <c r="AX809" s="126"/>
      <c r="AY809" s="126"/>
      <c r="AZ809" s="126"/>
      <c r="BA809" s="126"/>
      <c r="BB809" s="126"/>
      <c r="BC809" s="126"/>
      <c r="BD809" s="126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127"/>
      <c r="BQ809" s="127"/>
      <c r="BR809" s="127"/>
      <c r="BS809" s="127"/>
      <c r="BT809" s="127"/>
      <c r="BU809" s="127"/>
      <c r="BV809" s="127"/>
      <c r="BW809" s="119"/>
      <c r="BX809" s="119"/>
      <c r="BY809" s="119"/>
      <c r="BZ809" s="119"/>
      <c r="CA809" s="119"/>
      <c r="CB809" s="119"/>
      <c r="CC809" s="119"/>
      <c r="CD809" s="119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19"/>
      <c r="CQ809" s="119"/>
      <c r="CR809" s="119"/>
      <c r="CS809" s="119"/>
      <c r="CT809" s="119"/>
      <c r="CU809" s="119"/>
      <c r="CV809" s="119"/>
      <c r="CW809" s="119"/>
      <c r="CX809" s="119"/>
      <c r="CY809" s="119"/>
      <c r="CZ809" s="119"/>
      <c r="DA809" s="119"/>
      <c r="DB809" s="119"/>
      <c r="DC809" s="119"/>
      <c r="DD809" s="119"/>
      <c r="DE809" s="119"/>
      <c r="DF809" s="119"/>
      <c r="DG809" s="119"/>
      <c r="DH809" s="119"/>
      <c r="DI809" s="119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119"/>
      <c r="DU809" s="119"/>
      <c r="DV809" s="119"/>
      <c r="DW809" s="119"/>
      <c r="DX809" s="119"/>
      <c r="DY809" s="119"/>
      <c r="DZ809" s="119"/>
      <c r="EA809" s="119"/>
      <c r="EB809" s="119"/>
      <c r="EC809" s="119"/>
      <c r="ED809" s="119"/>
      <c r="EE809" s="119"/>
    </row>
    <row r="810" ht="15.75" customHeight="1">
      <c r="A810" s="135"/>
      <c r="B810" s="135"/>
      <c r="C810" s="135"/>
      <c r="D810" s="135"/>
      <c r="E810" s="135"/>
      <c r="F810" s="135"/>
      <c r="G810" s="135"/>
      <c r="H810" s="135"/>
      <c r="I810" s="1"/>
      <c r="J810" s="1"/>
      <c r="K810" s="1"/>
      <c r="L810" s="1"/>
      <c r="M810" s="1"/>
      <c r="N810" s="1"/>
      <c r="O810" s="1"/>
      <c r="P810" s="1"/>
      <c r="Q810" s="1"/>
      <c r="R810" s="124"/>
      <c r="S810" s="1"/>
      <c r="T810" s="1"/>
      <c r="U810" s="1"/>
      <c r="V810" s="125"/>
      <c r="W810" s="126"/>
      <c r="X810" s="126"/>
      <c r="Y810" s="126"/>
      <c r="Z810" s="126"/>
      <c r="AA810" s="126"/>
      <c r="AB810" s="126"/>
      <c r="AC810" s="126"/>
      <c r="AD810" s="126"/>
      <c r="AE810" s="126"/>
      <c r="AF810" s="126"/>
      <c r="AG810" s="126"/>
      <c r="AH810" s="126"/>
      <c r="AI810" s="126"/>
      <c r="AJ810" s="126"/>
      <c r="AK810" s="126"/>
      <c r="AL810" s="126"/>
      <c r="AM810" s="126"/>
      <c r="AN810" s="126"/>
      <c r="AO810" s="126"/>
      <c r="AP810" s="126"/>
      <c r="AQ810" s="126"/>
      <c r="AR810" s="126"/>
      <c r="AS810" s="126"/>
      <c r="AT810" s="126"/>
      <c r="AU810" s="126"/>
      <c r="AV810" s="126"/>
      <c r="AW810" s="126"/>
      <c r="AX810" s="126"/>
      <c r="AY810" s="126"/>
      <c r="AZ810" s="126"/>
      <c r="BA810" s="126"/>
      <c r="BB810" s="126"/>
      <c r="BC810" s="126"/>
      <c r="BD810" s="126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127"/>
      <c r="BQ810" s="127"/>
      <c r="BR810" s="127"/>
      <c r="BS810" s="127"/>
      <c r="BT810" s="127"/>
      <c r="BU810" s="127"/>
      <c r="BV810" s="127"/>
      <c r="BW810" s="119"/>
      <c r="BX810" s="119"/>
      <c r="BY810" s="119"/>
      <c r="BZ810" s="119"/>
      <c r="CA810" s="119"/>
      <c r="CB810" s="119"/>
      <c r="CC810" s="119"/>
      <c r="CD810" s="119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19"/>
      <c r="CQ810" s="119"/>
      <c r="CR810" s="119"/>
      <c r="CS810" s="119"/>
      <c r="CT810" s="119"/>
      <c r="CU810" s="119"/>
      <c r="CV810" s="119"/>
      <c r="CW810" s="119"/>
      <c r="CX810" s="119"/>
      <c r="CY810" s="119"/>
      <c r="CZ810" s="119"/>
      <c r="DA810" s="119"/>
      <c r="DB810" s="119"/>
      <c r="DC810" s="119"/>
      <c r="DD810" s="119"/>
      <c r="DE810" s="119"/>
      <c r="DF810" s="119"/>
      <c r="DG810" s="119"/>
      <c r="DH810" s="119"/>
      <c r="DI810" s="119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119"/>
      <c r="DU810" s="119"/>
      <c r="DV810" s="119"/>
      <c r="DW810" s="119"/>
      <c r="DX810" s="119"/>
      <c r="DY810" s="119"/>
      <c r="DZ810" s="119"/>
      <c r="EA810" s="119"/>
      <c r="EB810" s="119"/>
      <c r="EC810" s="119"/>
      <c r="ED810" s="119"/>
      <c r="EE810" s="119"/>
    </row>
    <row r="811" ht="15.75" customHeight="1">
      <c r="A811" s="135"/>
      <c r="B811" s="135"/>
      <c r="C811" s="135"/>
      <c r="D811" s="135"/>
      <c r="E811" s="135"/>
      <c r="F811" s="135"/>
      <c r="G811" s="135"/>
      <c r="H811" s="135"/>
      <c r="I811" s="1"/>
      <c r="J811" s="1"/>
      <c r="K811" s="1"/>
      <c r="L811" s="1"/>
      <c r="M811" s="1"/>
      <c r="N811" s="1"/>
      <c r="O811" s="1"/>
      <c r="P811" s="1"/>
      <c r="Q811" s="1"/>
      <c r="R811" s="124"/>
      <c r="S811" s="1"/>
      <c r="T811" s="1"/>
      <c r="U811" s="1"/>
      <c r="V811" s="125"/>
      <c r="W811" s="126"/>
      <c r="X811" s="126"/>
      <c r="Y811" s="126"/>
      <c r="Z811" s="126"/>
      <c r="AA811" s="126"/>
      <c r="AB811" s="126"/>
      <c r="AC811" s="126"/>
      <c r="AD811" s="126"/>
      <c r="AE811" s="126"/>
      <c r="AF811" s="126"/>
      <c r="AG811" s="126"/>
      <c r="AH811" s="126"/>
      <c r="AI811" s="126"/>
      <c r="AJ811" s="126"/>
      <c r="AK811" s="126"/>
      <c r="AL811" s="126"/>
      <c r="AM811" s="126"/>
      <c r="AN811" s="126"/>
      <c r="AO811" s="126"/>
      <c r="AP811" s="126"/>
      <c r="AQ811" s="126"/>
      <c r="AR811" s="126"/>
      <c r="AS811" s="126"/>
      <c r="AT811" s="126"/>
      <c r="AU811" s="126"/>
      <c r="AV811" s="126"/>
      <c r="AW811" s="126"/>
      <c r="AX811" s="126"/>
      <c r="AY811" s="126"/>
      <c r="AZ811" s="126"/>
      <c r="BA811" s="126"/>
      <c r="BB811" s="126"/>
      <c r="BC811" s="126"/>
      <c r="BD811" s="126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127"/>
      <c r="BQ811" s="127"/>
      <c r="BR811" s="127"/>
      <c r="BS811" s="127"/>
      <c r="BT811" s="127"/>
      <c r="BU811" s="127"/>
      <c r="BV811" s="127"/>
      <c r="BW811" s="119"/>
      <c r="BX811" s="119"/>
      <c r="BY811" s="119"/>
      <c r="BZ811" s="119"/>
      <c r="CA811" s="119"/>
      <c r="CB811" s="119"/>
      <c r="CC811" s="119"/>
      <c r="CD811" s="119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19"/>
      <c r="CQ811" s="119"/>
      <c r="CR811" s="119"/>
      <c r="CS811" s="119"/>
      <c r="CT811" s="119"/>
      <c r="CU811" s="119"/>
      <c r="CV811" s="119"/>
      <c r="CW811" s="119"/>
      <c r="CX811" s="119"/>
      <c r="CY811" s="119"/>
      <c r="CZ811" s="119"/>
      <c r="DA811" s="119"/>
      <c r="DB811" s="119"/>
      <c r="DC811" s="119"/>
      <c r="DD811" s="119"/>
      <c r="DE811" s="119"/>
      <c r="DF811" s="119"/>
      <c r="DG811" s="119"/>
      <c r="DH811" s="119"/>
      <c r="DI811" s="119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119"/>
      <c r="DU811" s="119"/>
      <c r="DV811" s="119"/>
      <c r="DW811" s="119"/>
      <c r="DX811" s="119"/>
      <c r="DY811" s="119"/>
      <c r="DZ811" s="119"/>
      <c r="EA811" s="119"/>
      <c r="EB811" s="119"/>
      <c r="EC811" s="119"/>
      <c r="ED811" s="119"/>
      <c r="EE811" s="119"/>
    </row>
    <row r="812" ht="15.75" customHeight="1">
      <c r="A812" s="135"/>
      <c r="B812" s="135"/>
      <c r="C812" s="135"/>
      <c r="D812" s="135"/>
      <c r="E812" s="135"/>
      <c r="F812" s="135"/>
      <c r="G812" s="135"/>
      <c r="H812" s="135"/>
      <c r="I812" s="1"/>
      <c r="J812" s="1"/>
      <c r="K812" s="1"/>
      <c r="L812" s="1"/>
      <c r="M812" s="1"/>
      <c r="N812" s="1"/>
      <c r="O812" s="1"/>
      <c r="P812" s="1"/>
      <c r="Q812" s="1"/>
      <c r="R812" s="124"/>
      <c r="S812" s="1"/>
      <c r="T812" s="1"/>
      <c r="U812" s="1"/>
      <c r="V812" s="125"/>
      <c r="W812" s="126"/>
      <c r="X812" s="126"/>
      <c r="Y812" s="126"/>
      <c r="Z812" s="126"/>
      <c r="AA812" s="126"/>
      <c r="AB812" s="126"/>
      <c r="AC812" s="126"/>
      <c r="AD812" s="126"/>
      <c r="AE812" s="126"/>
      <c r="AF812" s="126"/>
      <c r="AG812" s="126"/>
      <c r="AH812" s="126"/>
      <c r="AI812" s="126"/>
      <c r="AJ812" s="126"/>
      <c r="AK812" s="126"/>
      <c r="AL812" s="126"/>
      <c r="AM812" s="126"/>
      <c r="AN812" s="126"/>
      <c r="AO812" s="126"/>
      <c r="AP812" s="126"/>
      <c r="AQ812" s="126"/>
      <c r="AR812" s="126"/>
      <c r="AS812" s="126"/>
      <c r="AT812" s="126"/>
      <c r="AU812" s="126"/>
      <c r="AV812" s="126"/>
      <c r="AW812" s="126"/>
      <c r="AX812" s="126"/>
      <c r="AY812" s="126"/>
      <c r="AZ812" s="126"/>
      <c r="BA812" s="126"/>
      <c r="BB812" s="126"/>
      <c r="BC812" s="126"/>
      <c r="BD812" s="126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127"/>
      <c r="BQ812" s="127"/>
      <c r="BR812" s="127"/>
      <c r="BS812" s="127"/>
      <c r="BT812" s="127"/>
      <c r="BU812" s="127"/>
      <c r="BV812" s="127"/>
      <c r="BW812" s="119"/>
      <c r="BX812" s="119"/>
      <c r="BY812" s="119"/>
      <c r="BZ812" s="119"/>
      <c r="CA812" s="119"/>
      <c r="CB812" s="119"/>
      <c r="CC812" s="119"/>
      <c r="CD812" s="119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19"/>
      <c r="CQ812" s="119"/>
      <c r="CR812" s="119"/>
      <c r="CS812" s="119"/>
      <c r="CT812" s="119"/>
      <c r="CU812" s="119"/>
      <c r="CV812" s="119"/>
      <c r="CW812" s="119"/>
      <c r="CX812" s="119"/>
      <c r="CY812" s="119"/>
      <c r="CZ812" s="119"/>
      <c r="DA812" s="119"/>
      <c r="DB812" s="119"/>
      <c r="DC812" s="119"/>
      <c r="DD812" s="119"/>
      <c r="DE812" s="119"/>
      <c r="DF812" s="119"/>
      <c r="DG812" s="119"/>
      <c r="DH812" s="119"/>
      <c r="DI812" s="119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119"/>
      <c r="DU812" s="119"/>
      <c r="DV812" s="119"/>
      <c r="DW812" s="119"/>
      <c r="DX812" s="119"/>
      <c r="DY812" s="119"/>
      <c r="DZ812" s="119"/>
      <c r="EA812" s="119"/>
      <c r="EB812" s="119"/>
      <c r="EC812" s="119"/>
      <c r="ED812" s="119"/>
      <c r="EE812" s="119"/>
    </row>
    <row r="813" ht="15.75" customHeight="1">
      <c r="A813" s="135"/>
      <c r="B813" s="135"/>
      <c r="C813" s="135"/>
      <c r="D813" s="135"/>
      <c r="E813" s="135"/>
      <c r="F813" s="135"/>
      <c r="G813" s="135"/>
      <c r="H813" s="135"/>
      <c r="I813" s="1"/>
      <c r="J813" s="1"/>
      <c r="K813" s="1"/>
      <c r="L813" s="1"/>
      <c r="M813" s="1"/>
      <c r="N813" s="1"/>
      <c r="O813" s="1"/>
      <c r="P813" s="1"/>
      <c r="Q813" s="1"/>
      <c r="R813" s="124"/>
      <c r="S813" s="1"/>
      <c r="T813" s="1"/>
      <c r="U813" s="1"/>
      <c r="V813" s="125"/>
      <c r="W813" s="126"/>
      <c r="X813" s="126"/>
      <c r="Y813" s="126"/>
      <c r="Z813" s="126"/>
      <c r="AA813" s="126"/>
      <c r="AB813" s="126"/>
      <c r="AC813" s="126"/>
      <c r="AD813" s="126"/>
      <c r="AE813" s="126"/>
      <c r="AF813" s="126"/>
      <c r="AG813" s="126"/>
      <c r="AH813" s="126"/>
      <c r="AI813" s="126"/>
      <c r="AJ813" s="126"/>
      <c r="AK813" s="126"/>
      <c r="AL813" s="126"/>
      <c r="AM813" s="126"/>
      <c r="AN813" s="126"/>
      <c r="AO813" s="126"/>
      <c r="AP813" s="126"/>
      <c r="AQ813" s="126"/>
      <c r="AR813" s="126"/>
      <c r="AS813" s="126"/>
      <c r="AT813" s="126"/>
      <c r="AU813" s="126"/>
      <c r="AV813" s="126"/>
      <c r="AW813" s="126"/>
      <c r="AX813" s="126"/>
      <c r="AY813" s="126"/>
      <c r="AZ813" s="126"/>
      <c r="BA813" s="126"/>
      <c r="BB813" s="126"/>
      <c r="BC813" s="126"/>
      <c r="BD813" s="126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127"/>
      <c r="BQ813" s="127"/>
      <c r="BR813" s="127"/>
      <c r="BS813" s="127"/>
      <c r="BT813" s="127"/>
      <c r="BU813" s="127"/>
      <c r="BV813" s="127"/>
      <c r="BW813" s="119"/>
      <c r="BX813" s="119"/>
      <c r="BY813" s="119"/>
      <c r="BZ813" s="119"/>
      <c r="CA813" s="119"/>
      <c r="CB813" s="119"/>
      <c r="CC813" s="119"/>
      <c r="CD813" s="119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19"/>
      <c r="CQ813" s="119"/>
      <c r="CR813" s="119"/>
      <c r="CS813" s="119"/>
      <c r="CT813" s="119"/>
      <c r="CU813" s="119"/>
      <c r="CV813" s="119"/>
      <c r="CW813" s="119"/>
      <c r="CX813" s="119"/>
      <c r="CY813" s="119"/>
      <c r="CZ813" s="119"/>
      <c r="DA813" s="119"/>
      <c r="DB813" s="119"/>
      <c r="DC813" s="119"/>
      <c r="DD813" s="119"/>
      <c r="DE813" s="119"/>
      <c r="DF813" s="119"/>
      <c r="DG813" s="119"/>
      <c r="DH813" s="119"/>
      <c r="DI813" s="119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119"/>
      <c r="DU813" s="119"/>
      <c r="DV813" s="119"/>
      <c r="DW813" s="119"/>
      <c r="DX813" s="119"/>
      <c r="DY813" s="119"/>
      <c r="DZ813" s="119"/>
      <c r="EA813" s="119"/>
      <c r="EB813" s="119"/>
      <c r="EC813" s="119"/>
      <c r="ED813" s="119"/>
      <c r="EE813" s="119"/>
    </row>
    <row r="814" ht="15.75" customHeight="1">
      <c r="A814" s="135"/>
      <c r="B814" s="135"/>
      <c r="C814" s="135"/>
      <c r="D814" s="135"/>
      <c r="E814" s="135"/>
      <c r="F814" s="135"/>
      <c r="G814" s="135"/>
      <c r="H814" s="135"/>
      <c r="I814" s="1"/>
      <c r="J814" s="1"/>
      <c r="K814" s="1"/>
      <c r="L814" s="1"/>
      <c r="M814" s="1"/>
      <c r="N814" s="1"/>
      <c r="O814" s="1"/>
      <c r="P814" s="1"/>
      <c r="Q814" s="1"/>
      <c r="R814" s="124"/>
      <c r="S814" s="1"/>
      <c r="T814" s="1"/>
      <c r="U814" s="1"/>
      <c r="V814" s="125"/>
      <c r="W814" s="126"/>
      <c r="X814" s="126"/>
      <c r="Y814" s="126"/>
      <c r="Z814" s="126"/>
      <c r="AA814" s="126"/>
      <c r="AB814" s="126"/>
      <c r="AC814" s="126"/>
      <c r="AD814" s="126"/>
      <c r="AE814" s="126"/>
      <c r="AF814" s="126"/>
      <c r="AG814" s="126"/>
      <c r="AH814" s="126"/>
      <c r="AI814" s="126"/>
      <c r="AJ814" s="126"/>
      <c r="AK814" s="126"/>
      <c r="AL814" s="126"/>
      <c r="AM814" s="126"/>
      <c r="AN814" s="126"/>
      <c r="AO814" s="126"/>
      <c r="AP814" s="126"/>
      <c r="AQ814" s="126"/>
      <c r="AR814" s="126"/>
      <c r="AS814" s="126"/>
      <c r="AT814" s="126"/>
      <c r="AU814" s="126"/>
      <c r="AV814" s="126"/>
      <c r="AW814" s="126"/>
      <c r="AX814" s="126"/>
      <c r="AY814" s="126"/>
      <c r="AZ814" s="126"/>
      <c r="BA814" s="126"/>
      <c r="BB814" s="126"/>
      <c r="BC814" s="126"/>
      <c r="BD814" s="126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127"/>
      <c r="BQ814" s="127"/>
      <c r="BR814" s="127"/>
      <c r="BS814" s="127"/>
      <c r="BT814" s="127"/>
      <c r="BU814" s="127"/>
      <c r="BV814" s="127"/>
      <c r="BW814" s="119"/>
      <c r="BX814" s="119"/>
      <c r="BY814" s="119"/>
      <c r="BZ814" s="119"/>
      <c r="CA814" s="119"/>
      <c r="CB814" s="119"/>
      <c r="CC814" s="119"/>
      <c r="CD814" s="119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19"/>
      <c r="CQ814" s="119"/>
      <c r="CR814" s="119"/>
      <c r="CS814" s="119"/>
      <c r="CT814" s="119"/>
      <c r="CU814" s="119"/>
      <c r="CV814" s="119"/>
      <c r="CW814" s="119"/>
      <c r="CX814" s="119"/>
      <c r="CY814" s="119"/>
      <c r="CZ814" s="119"/>
      <c r="DA814" s="119"/>
      <c r="DB814" s="119"/>
      <c r="DC814" s="119"/>
      <c r="DD814" s="119"/>
      <c r="DE814" s="119"/>
      <c r="DF814" s="119"/>
      <c r="DG814" s="119"/>
      <c r="DH814" s="119"/>
      <c r="DI814" s="119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119"/>
      <c r="DU814" s="119"/>
      <c r="DV814" s="119"/>
      <c r="DW814" s="119"/>
      <c r="DX814" s="119"/>
      <c r="DY814" s="119"/>
      <c r="DZ814" s="119"/>
      <c r="EA814" s="119"/>
      <c r="EB814" s="119"/>
      <c r="EC814" s="119"/>
      <c r="ED814" s="119"/>
      <c r="EE814" s="119"/>
    </row>
    <row r="815" ht="15.75" customHeight="1">
      <c r="A815" s="135"/>
      <c r="B815" s="135"/>
      <c r="C815" s="135"/>
      <c r="D815" s="135"/>
      <c r="E815" s="135"/>
      <c r="F815" s="135"/>
      <c r="G815" s="135"/>
      <c r="H815" s="135"/>
      <c r="I815" s="1"/>
      <c r="J815" s="1"/>
      <c r="K815" s="1"/>
      <c r="L815" s="1"/>
      <c r="M815" s="1"/>
      <c r="N815" s="1"/>
      <c r="O815" s="1"/>
      <c r="P815" s="1"/>
      <c r="Q815" s="1"/>
      <c r="R815" s="124"/>
      <c r="S815" s="1"/>
      <c r="T815" s="1"/>
      <c r="U815" s="1"/>
      <c r="V815" s="125"/>
      <c r="W815" s="126"/>
      <c r="X815" s="126"/>
      <c r="Y815" s="126"/>
      <c r="Z815" s="126"/>
      <c r="AA815" s="126"/>
      <c r="AB815" s="126"/>
      <c r="AC815" s="126"/>
      <c r="AD815" s="126"/>
      <c r="AE815" s="126"/>
      <c r="AF815" s="126"/>
      <c r="AG815" s="126"/>
      <c r="AH815" s="126"/>
      <c r="AI815" s="126"/>
      <c r="AJ815" s="126"/>
      <c r="AK815" s="126"/>
      <c r="AL815" s="126"/>
      <c r="AM815" s="126"/>
      <c r="AN815" s="126"/>
      <c r="AO815" s="126"/>
      <c r="AP815" s="126"/>
      <c r="AQ815" s="126"/>
      <c r="AR815" s="126"/>
      <c r="AS815" s="126"/>
      <c r="AT815" s="126"/>
      <c r="AU815" s="126"/>
      <c r="AV815" s="126"/>
      <c r="AW815" s="126"/>
      <c r="AX815" s="126"/>
      <c r="AY815" s="126"/>
      <c r="AZ815" s="126"/>
      <c r="BA815" s="126"/>
      <c r="BB815" s="126"/>
      <c r="BC815" s="126"/>
      <c r="BD815" s="126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127"/>
      <c r="BQ815" s="127"/>
      <c r="BR815" s="127"/>
      <c r="BS815" s="127"/>
      <c r="BT815" s="127"/>
      <c r="BU815" s="127"/>
      <c r="BV815" s="127"/>
      <c r="BW815" s="119"/>
      <c r="BX815" s="119"/>
      <c r="BY815" s="119"/>
      <c r="BZ815" s="119"/>
      <c r="CA815" s="119"/>
      <c r="CB815" s="119"/>
      <c r="CC815" s="119"/>
      <c r="CD815" s="119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19"/>
      <c r="CQ815" s="119"/>
      <c r="CR815" s="119"/>
      <c r="CS815" s="119"/>
      <c r="CT815" s="119"/>
      <c r="CU815" s="119"/>
      <c r="CV815" s="119"/>
      <c r="CW815" s="119"/>
      <c r="CX815" s="119"/>
      <c r="CY815" s="119"/>
      <c r="CZ815" s="119"/>
      <c r="DA815" s="119"/>
      <c r="DB815" s="119"/>
      <c r="DC815" s="119"/>
      <c r="DD815" s="119"/>
      <c r="DE815" s="119"/>
      <c r="DF815" s="119"/>
      <c r="DG815" s="119"/>
      <c r="DH815" s="119"/>
      <c r="DI815" s="119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119"/>
      <c r="DU815" s="119"/>
      <c r="DV815" s="119"/>
      <c r="DW815" s="119"/>
      <c r="DX815" s="119"/>
      <c r="DY815" s="119"/>
      <c r="DZ815" s="119"/>
      <c r="EA815" s="119"/>
      <c r="EB815" s="119"/>
      <c r="EC815" s="119"/>
      <c r="ED815" s="119"/>
      <c r="EE815" s="119"/>
    </row>
    <row r="816" ht="15.75" customHeight="1">
      <c r="A816" s="135"/>
      <c r="B816" s="135"/>
      <c r="C816" s="135"/>
      <c r="D816" s="135"/>
      <c r="E816" s="135"/>
      <c r="F816" s="135"/>
      <c r="G816" s="135"/>
      <c r="H816" s="135"/>
      <c r="I816" s="1"/>
      <c r="J816" s="1"/>
      <c r="K816" s="1"/>
      <c r="L816" s="1"/>
      <c r="M816" s="1"/>
      <c r="N816" s="1"/>
      <c r="O816" s="1"/>
      <c r="P816" s="1"/>
      <c r="Q816" s="1"/>
      <c r="R816" s="124"/>
      <c r="S816" s="1"/>
      <c r="T816" s="1"/>
      <c r="U816" s="1"/>
      <c r="V816" s="125"/>
      <c r="W816" s="126"/>
      <c r="X816" s="126"/>
      <c r="Y816" s="126"/>
      <c r="Z816" s="126"/>
      <c r="AA816" s="126"/>
      <c r="AB816" s="126"/>
      <c r="AC816" s="126"/>
      <c r="AD816" s="126"/>
      <c r="AE816" s="126"/>
      <c r="AF816" s="126"/>
      <c r="AG816" s="126"/>
      <c r="AH816" s="126"/>
      <c r="AI816" s="126"/>
      <c r="AJ816" s="126"/>
      <c r="AK816" s="126"/>
      <c r="AL816" s="126"/>
      <c r="AM816" s="126"/>
      <c r="AN816" s="126"/>
      <c r="AO816" s="126"/>
      <c r="AP816" s="126"/>
      <c r="AQ816" s="126"/>
      <c r="AR816" s="126"/>
      <c r="AS816" s="126"/>
      <c r="AT816" s="126"/>
      <c r="AU816" s="126"/>
      <c r="AV816" s="126"/>
      <c r="AW816" s="126"/>
      <c r="AX816" s="126"/>
      <c r="AY816" s="126"/>
      <c r="AZ816" s="126"/>
      <c r="BA816" s="126"/>
      <c r="BB816" s="126"/>
      <c r="BC816" s="126"/>
      <c r="BD816" s="126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127"/>
      <c r="BQ816" s="127"/>
      <c r="BR816" s="127"/>
      <c r="BS816" s="127"/>
      <c r="BT816" s="127"/>
      <c r="BU816" s="127"/>
      <c r="BV816" s="127"/>
      <c r="BW816" s="119"/>
      <c r="BX816" s="119"/>
      <c r="BY816" s="119"/>
      <c r="BZ816" s="119"/>
      <c r="CA816" s="119"/>
      <c r="CB816" s="119"/>
      <c r="CC816" s="119"/>
      <c r="CD816" s="119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19"/>
      <c r="CQ816" s="119"/>
      <c r="CR816" s="119"/>
      <c r="CS816" s="119"/>
      <c r="CT816" s="119"/>
      <c r="CU816" s="119"/>
      <c r="CV816" s="119"/>
      <c r="CW816" s="119"/>
      <c r="CX816" s="119"/>
      <c r="CY816" s="119"/>
      <c r="CZ816" s="119"/>
      <c r="DA816" s="119"/>
      <c r="DB816" s="119"/>
      <c r="DC816" s="119"/>
      <c r="DD816" s="119"/>
      <c r="DE816" s="119"/>
      <c r="DF816" s="119"/>
      <c r="DG816" s="119"/>
      <c r="DH816" s="119"/>
      <c r="DI816" s="119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119"/>
      <c r="DU816" s="119"/>
      <c r="DV816" s="119"/>
      <c r="DW816" s="119"/>
      <c r="DX816" s="119"/>
      <c r="DY816" s="119"/>
      <c r="DZ816" s="119"/>
      <c r="EA816" s="119"/>
      <c r="EB816" s="119"/>
      <c r="EC816" s="119"/>
      <c r="ED816" s="119"/>
      <c r="EE816" s="119"/>
    </row>
    <row r="817" ht="15.75" customHeight="1">
      <c r="A817" s="135"/>
      <c r="B817" s="135"/>
      <c r="C817" s="135"/>
      <c r="D817" s="135"/>
      <c r="E817" s="135"/>
      <c r="F817" s="135"/>
      <c r="G817" s="135"/>
      <c r="H817" s="135"/>
      <c r="I817" s="1"/>
      <c r="J817" s="1"/>
      <c r="K817" s="1"/>
      <c r="L817" s="1"/>
      <c r="M817" s="1"/>
      <c r="N817" s="1"/>
      <c r="O817" s="1"/>
      <c r="P817" s="1"/>
      <c r="Q817" s="1"/>
      <c r="R817" s="124"/>
      <c r="S817" s="1"/>
      <c r="T817" s="1"/>
      <c r="U817" s="1"/>
      <c r="V817" s="125"/>
      <c r="W817" s="126"/>
      <c r="X817" s="126"/>
      <c r="Y817" s="126"/>
      <c r="Z817" s="126"/>
      <c r="AA817" s="126"/>
      <c r="AB817" s="126"/>
      <c r="AC817" s="126"/>
      <c r="AD817" s="126"/>
      <c r="AE817" s="126"/>
      <c r="AF817" s="126"/>
      <c r="AG817" s="126"/>
      <c r="AH817" s="126"/>
      <c r="AI817" s="126"/>
      <c r="AJ817" s="126"/>
      <c r="AK817" s="126"/>
      <c r="AL817" s="126"/>
      <c r="AM817" s="126"/>
      <c r="AN817" s="126"/>
      <c r="AO817" s="126"/>
      <c r="AP817" s="126"/>
      <c r="AQ817" s="126"/>
      <c r="AR817" s="126"/>
      <c r="AS817" s="126"/>
      <c r="AT817" s="126"/>
      <c r="AU817" s="126"/>
      <c r="AV817" s="126"/>
      <c r="AW817" s="126"/>
      <c r="AX817" s="126"/>
      <c r="AY817" s="126"/>
      <c r="AZ817" s="126"/>
      <c r="BA817" s="126"/>
      <c r="BB817" s="126"/>
      <c r="BC817" s="126"/>
      <c r="BD817" s="126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127"/>
      <c r="BQ817" s="127"/>
      <c r="BR817" s="127"/>
      <c r="BS817" s="127"/>
      <c r="BT817" s="127"/>
      <c r="BU817" s="127"/>
      <c r="BV817" s="127"/>
      <c r="BW817" s="119"/>
      <c r="BX817" s="119"/>
      <c r="BY817" s="119"/>
      <c r="BZ817" s="119"/>
      <c r="CA817" s="119"/>
      <c r="CB817" s="119"/>
      <c r="CC817" s="119"/>
      <c r="CD817" s="119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19"/>
      <c r="CQ817" s="119"/>
      <c r="CR817" s="119"/>
      <c r="CS817" s="119"/>
      <c r="CT817" s="119"/>
      <c r="CU817" s="119"/>
      <c r="CV817" s="119"/>
      <c r="CW817" s="119"/>
      <c r="CX817" s="119"/>
      <c r="CY817" s="119"/>
      <c r="CZ817" s="119"/>
      <c r="DA817" s="119"/>
      <c r="DB817" s="119"/>
      <c r="DC817" s="119"/>
      <c r="DD817" s="119"/>
      <c r="DE817" s="119"/>
      <c r="DF817" s="119"/>
      <c r="DG817" s="119"/>
      <c r="DH817" s="119"/>
      <c r="DI817" s="119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119"/>
      <c r="DU817" s="119"/>
      <c r="DV817" s="119"/>
      <c r="DW817" s="119"/>
      <c r="DX817" s="119"/>
      <c r="DY817" s="119"/>
      <c r="DZ817" s="119"/>
      <c r="EA817" s="119"/>
      <c r="EB817" s="119"/>
      <c r="EC817" s="119"/>
      <c r="ED817" s="119"/>
      <c r="EE817" s="119"/>
    </row>
    <row r="818" ht="15.75" customHeight="1">
      <c r="A818" s="135"/>
      <c r="B818" s="135"/>
      <c r="C818" s="135"/>
      <c r="D818" s="135"/>
      <c r="E818" s="135"/>
      <c r="F818" s="135"/>
      <c r="G818" s="135"/>
      <c r="H818" s="135"/>
      <c r="I818" s="1"/>
      <c r="J818" s="1"/>
      <c r="K818" s="1"/>
      <c r="L818" s="1"/>
      <c r="M818" s="1"/>
      <c r="N818" s="1"/>
      <c r="O818" s="1"/>
      <c r="P818" s="1"/>
      <c r="Q818" s="1"/>
      <c r="R818" s="124"/>
      <c r="S818" s="1"/>
      <c r="T818" s="1"/>
      <c r="U818" s="1"/>
      <c r="V818" s="125"/>
      <c r="W818" s="126"/>
      <c r="X818" s="126"/>
      <c r="Y818" s="126"/>
      <c r="Z818" s="126"/>
      <c r="AA818" s="126"/>
      <c r="AB818" s="126"/>
      <c r="AC818" s="126"/>
      <c r="AD818" s="126"/>
      <c r="AE818" s="126"/>
      <c r="AF818" s="126"/>
      <c r="AG818" s="126"/>
      <c r="AH818" s="126"/>
      <c r="AI818" s="126"/>
      <c r="AJ818" s="126"/>
      <c r="AK818" s="126"/>
      <c r="AL818" s="126"/>
      <c r="AM818" s="126"/>
      <c r="AN818" s="126"/>
      <c r="AO818" s="126"/>
      <c r="AP818" s="126"/>
      <c r="AQ818" s="126"/>
      <c r="AR818" s="126"/>
      <c r="AS818" s="126"/>
      <c r="AT818" s="126"/>
      <c r="AU818" s="126"/>
      <c r="AV818" s="126"/>
      <c r="AW818" s="126"/>
      <c r="AX818" s="126"/>
      <c r="AY818" s="126"/>
      <c r="AZ818" s="126"/>
      <c r="BA818" s="126"/>
      <c r="BB818" s="126"/>
      <c r="BC818" s="126"/>
      <c r="BD818" s="126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127"/>
      <c r="BQ818" s="127"/>
      <c r="BR818" s="127"/>
      <c r="BS818" s="127"/>
      <c r="BT818" s="127"/>
      <c r="BU818" s="127"/>
      <c r="BV818" s="127"/>
      <c r="BW818" s="119"/>
      <c r="BX818" s="119"/>
      <c r="BY818" s="119"/>
      <c r="BZ818" s="119"/>
      <c r="CA818" s="119"/>
      <c r="CB818" s="119"/>
      <c r="CC818" s="119"/>
      <c r="CD818" s="119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19"/>
      <c r="CQ818" s="119"/>
      <c r="CR818" s="119"/>
      <c r="CS818" s="119"/>
      <c r="CT818" s="119"/>
      <c r="CU818" s="119"/>
      <c r="CV818" s="119"/>
      <c r="CW818" s="119"/>
      <c r="CX818" s="119"/>
      <c r="CY818" s="119"/>
      <c r="CZ818" s="119"/>
      <c r="DA818" s="119"/>
      <c r="DB818" s="119"/>
      <c r="DC818" s="119"/>
      <c r="DD818" s="119"/>
      <c r="DE818" s="119"/>
      <c r="DF818" s="119"/>
      <c r="DG818" s="119"/>
      <c r="DH818" s="119"/>
      <c r="DI818" s="119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119"/>
      <c r="DU818" s="119"/>
      <c r="DV818" s="119"/>
      <c r="DW818" s="119"/>
      <c r="DX818" s="119"/>
      <c r="DY818" s="119"/>
      <c r="DZ818" s="119"/>
      <c r="EA818" s="119"/>
      <c r="EB818" s="119"/>
      <c r="EC818" s="119"/>
      <c r="ED818" s="119"/>
      <c r="EE818" s="119"/>
    </row>
    <row r="819" ht="15.75" customHeight="1">
      <c r="A819" s="135"/>
      <c r="B819" s="135"/>
      <c r="C819" s="135"/>
      <c r="D819" s="135"/>
      <c r="E819" s="135"/>
      <c r="F819" s="135"/>
      <c r="G819" s="135"/>
      <c r="H819" s="135"/>
      <c r="I819" s="1"/>
      <c r="J819" s="1"/>
      <c r="K819" s="1"/>
      <c r="L819" s="1"/>
      <c r="M819" s="1"/>
      <c r="N819" s="1"/>
      <c r="O819" s="1"/>
      <c r="P819" s="1"/>
      <c r="Q819" s="1"/>
      <c r="R819" s="124"/>
      <c r="S819" s="1"/>
      <c r="T819" s="1"/>
      <c r="U819" s="1"/>
      <c r="V819" s="125"/>
      <c r="W819" s="126"/>
      <c r="X819" s="126"/>
      <c r="Y819" s="126"/>
      <c r="Z819" s="126"/>
      <c r="AA819" s="126"/>
      <c r="AB819" s="126"/>
      <c r="AC819" s="126"/>
      <c r="AD819" s="126"/>
      <c r="AE819" s="126"/>
      <c r="AF819" s="126"/>
      <c r="AG819" s="126"/>
      <c r="AH819" s="126"/>
      <c r="AI819" s="126"/>
      <c r="AJ819" s="126"/>
      <c r="AK819" s="126"/>
      <c r="AL819" s="126"/>
      <c r="AM819" s="126"/>
      <c r="AN819" s="126"/>
      <c r="AO819" s="126"/>
      <c r="AP819" s="126"/>
      <c r="AQ819" s="126"/>
      <c r="AR819" s="126"/>
      <c r="AS819" s="126"/>
      <c r="AT819" s="126"/>
      <c r="AU819" s="126"/>
      <c r="AV819" s="126"/>
      <c r="AW819" s="126"/>
      <c r="AX819" s="126"/>
      <c r="AY819" s="126"/>
      <c r="AZ819" s="126"/>
      <c r="BA819" s="126"/>
      <c r="BB819" s="126"/>
      <c r="BC819" s="126"/>
      <c r="BD819" s="126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127"/>
      <c r="BQ819" s="127"/>
      <c r="BR819" s="127"/>
      <c r="BS819" s="127"/>
      <c r="BT819" s="127"/>
      <c r="BU819" s="127"/>
      <c r="BV819" s="127"/>
      <c r="BW819" s="119"/>
      <c r="BX819" s="119"/>
      <c r="BY819" s="119"/>
      <c r="BZ819" s="119"/>
      <c r="CA819" s="119"/>
      <c r="CB819" s="119"/>
      <c r="CC819" s="119"/>
      <c r="CD819" s="119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19"/>
      <c r="CQ819" s="119"/>
      <c r="CR819" s="119"/>
      <c r="CS819" s="119"/>
      <c r="CT819" s="119"/>
      <c r="CU819" s="119"/>
      <c r="CV819" s="119"/>
      <c r="CW819" s="119"/>
      <c r="CX819" s="119"/>
      <c r="CY819" s="119"/>
      <c r="CZ819" s="119"/>
      <c r="DA819" s="119"/>
      <c r="DB819" s="119"/>
      <c r="DC819" s="119"/>
      <c r="DD819" s="119"/>
      <c r="DE819" s="119"/>
      <c r="DF819" s="119"/>
      <c r="DG819" s="119"/>
      <c r="DH819" s="119"/>
      <c r="DI819" s="119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119"/>
      <c r="DU819" s="119"/>
      <c r="DV819" s="119"/>
      <c r="DW819" s="119"/>
      <c r="DX819" s="119"/>
      <c r="DY819" s="119"/>
      <c r="DZ819" s="119"/>
      <c r="EA819" s="119"/>
      <c r="EB819" s="119"/>
      <c r="EC819" s="119"/>
      <c r="ED819" s="119"/>
      <c r="EE819" s="119"/>
    </row>
    <row r="820" ht="15.75" customHeight="1">
      <c r="A820" s="135"/>
      <c r="B820" s="135"/>
      <c r="C820" s="135"/>
      <c r="D820" s="135"/>
      <c r="E820" s="135"/>
      <c r="F820" s="135"/>
      <c r="G820" s="135"/>
      <c r="H820" s="135"/>
      <c r="I820" s="1"/>
      <c r="J820" s="1"/>
      <c r="K820" s="1"/>
      <c r="L820" s="1"/>
      <c r="M820" s="1"/>
      <c r="N820" s="1"/>
      <c r="O820" s="1"/>
      <c r="P820" s="1"/>
      <c r="Q820" s="1"/>
      <c r="R820" s="124"/>
      <c r="S820" s="1"/>
      <c r="T820" s="1"/>
      <c r="U820" s="1"/>
      <c r="V820" s="125"/>
      <c r="W820" s="126"/>
      <c r="X820" s="126"/>
      <c r="Y820" s="126"/>
      <c r="Z820" s="126"/>
      <c r="AA820" s="126"/>
      <c r="AB820" s="126"/>
      <c r="AC820" s="126"/>
      <c r="AD820" s="126"/>
      <c r="AE820" s="126"/>
      <c r="AF820" s="126"/>
      <c r="AG820" s="126"/>
      <c r="AH820" s="126"/>
      <c r="AI820" s="126"/>
      <c r="AJ820" s="126"/>
      <c r="AK820" s="126"/>
      <c r="AL820" s="126"/>
      <c r="AM820" s="126"/>
      <c r="AN820" s="126"/>
      <c r="AO820" s="126"/>
      <c r="AP820" s="126"/>
      <c r="AQ820" s="126"/>
      <c r="AR820" s="126"/>
      <c r="AS820" s="126"/>
      <c r="AT820" s="126"/>
      <c r="AU820" s="126"/>
      <c r="AV820" s="126"/>
      <c r="AW820" s="126"/>
      <c r="AX820" s="126"/>
      <c r="AY820" s="126"/>
      <c r="AZ820" s="126"/>
      <c r="BA820" s="126"/>
      <c r="BB820" s="126"/>
      <c r="BC820" s="126"/>
      <c r="BD820" s="126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127"/>
      <c r="BQ820" s="127"/>
      <c r="BR820" s="127"/>
      <c r="BS820" s="127"/>
      <c r="BT820" s="127"/>
      <c r="BU820" s="127"/>
      <c r="BV820" s="127"/>
      <c r="BW820" s="119"/>
      <c r="BX820" s="119"/>
      <c r="BY820" s="119"/>
      <c r="BZ820" s="119"/>
      <c r="CA820" s="119"/>
      <c r="CB820" s="119"/>
      <c r="CC820" s="119"/>
      <c r="CD820" s="119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19"/>
      <c r="CQ820" s="119"/>
      <c r="CR820" s="119"/>
      <c r="CS820" s="119"/>
      <c r="CT820" s="119"/>
      <c r="CU820" s="119"/>
      <c r="CV820" s="119"/>
      <c r="CW820" s="119"/>
      <c r="CX820" s="119"/>
      <c r="CY820" s="119"/>
      <c r="CZ820" s="119"/>
      <c r="DA820" s="119"/>
      <c r="DB820" s="119"/>
      <c r="DC820" s="119"/>
      <c r="DD820" s="119"/>
      <c r="DE820" s="119"/>
      <c r="DF820" s="119"/>
      <c r="DG820" s="119"/>
      <c r="DH820" s="119"/>
      <c r="DI820" s="119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119"/>
      <c r="DU820" s="119"/>
      <c r="DV820" s="119"/>
      <c r="DW820" s="119"/>
      <c r="DX820" s="119"/>
      <c r="DY820" s="119"/>
      <c r="DZ820" s="119"/>
      <c r="EA820" s="119"/>
      <c r="EB820" s="119"/>
      <c r="EC820" s="119"/>
      <c r="ED820" s="119"/>
      <c r="EE820" s="119"/>
    </row>
    <row r="821" ht="15.75" customHeight="1">
      <c r="A821" s="135"/>
      <c r="B821" s="135"/>
      <c r="C821" s="135"/>
      <c r="D821" s="135"/>
      <c r="E821" s="135"/>
      <c r="F821" s="135"/>
      <c r="G821" s="135"/>
      <c r="H821" s="135"/>
      <c r="I821" s="1"/>
      <c r="J821" s="1"/>
      <c r="K821" s="1"/>
      <c r="L821" s="1"/>
      <c r="M821" s="1"/>
      <c r="N821" s="1"/>
      <c r="O821" s="1"/>
      <c r="P821" s="1"/>
      <c r="Q821" s="1"/>
      <c r="R821" s="124"/>
      <c r="S821" s="1"/>
      <c r="T821" s="1"/>
      <c r="U821" s="1"/>
      <c r="V821" s="125"/>
      <c r="W821" s="126"/>
      <c r="X821" s="126"/>
      <c r="Y821" s="126"/>
      <c r="Z821" s="126"/>
      <c r="AA821" s="126"/>
      <c r="AB821" s="126"/>
      <c r="AC821" s="126"/>
      <c r="AD821" s="126"/>
      <c r="AE821" s="126"/>
      <c r="AF821" s="126"/>
      <c r="AG821" s="126"/>
      <c r="AH821" s="126"/>
      <c r="AI821" s="126"/>
      <c r="AJ821" s="126"/>
      <c r="AK821" s="126"/>
      <c r="AL821" s="126"/>
      <c r="AM821" s="126"/>
      <c r="AN821" s="126"/>
      <c r="AO821" s="126"/>
      <c r="AP821" s="126"/>
      <c r="AQ821" s="126"/>
      <c r="AR821" s="126"/>
      <c r="AS821" s="126"/>
      <c r="AT821" s="126"/>
      <c r="AU821" s="126"/>
      <c r="AV821" s="126"/>
      <c r="AW821" s="126"/>
      <c r="AX821" s="126"/>
      <c r="AY821" s="126"/>
      <c r="AZ821" s="126"/>
      <c r="BA821" s="126"/>
      <c r="BB821" s="126"/>
      <c r="BC821" s="126"/>
      <c r="BD821" s="126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127"/>
      <c r="BQ821" s="127"/>
      <c r="BR821" s="127"/>
      <c r="BS821" s="127"/>
      <c r="BT821" s="127"/>
      <c r="BU821" s="127"/>
      <c r="BV821" s="127"/>
      <c r="BW821" s="119"/>
      <c r="BX821" s="119"/>
      <c r="BY821" s="119"/>
      <c r="BZ821" s="119"/>
      <c r="CA821" s="119"/>
      <c r="CB821" s="119"/>
      <c r="CC821" s="119"/>
      <c r="CD821" s="119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19"/>
      <c r="CQ821" s="119"/>
      <c r="CR821" s="119"/>
      <c r="CS821" s="119"/>
      <c r="CT821" s="119"/>
      <c r="CU821" s="119"/>
      <c r="CV821" s="119"/>
      <c r="CW821" s="119"/>
      <c r="CX821" s="119"/>
      <c r="CY821" s="119"/>
      <c r="CZ821" s="119"/>
      <c r="DA821" s="119"/>
      <c r="DB821" s="119"/>
      <c r="DC821" s="119"/>
      <c r="DD821" s="119"/>
      <c r="DE821" s="119"/>
      <c r="DF821" s="119"/>
      <c r="DG821" s="119"/>
      <c r="DH821" s="119"/>
      <c r="DI821" s="119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119"/>
      <c r="DU821" s="119"/>
      <c r="DV821" s="119"/>
      <c r="DW821" s="119"/>
      <c r="DX821" s="119"/>
      <c r="DY821" s="119"/>
      <c r="DZ821" s="119"/>
      <c r="EA821" s="119"/>
      <c r="EB821" s="119"/>
      <c r="EC821" s="119"/>
      <c r="ED821" s="119"/>
      <c r="EE821" s="119"/>
    </row>
    <row r="822" ht="15.75" customHeight="1">
      <c r="A822" s="135"/>
      <c r="B822" s="135"/>
      <c r="C822" s="135"/>
      <c r="D822" s="135"/>
      <c r="E822" s="135"/>
      <c r="F822" s="135"/>
      <c r="G822" s="135"/>
      <c r="H822" s="135"/>
      <c r="I822" s="1"/>
      <c r="J822" s="1"/>
      <c r="K822" s="1"/>
      <c r="L822" s="1"/>
      <c r="M822" s="1"/>
      <c r="N822" s="1"/>
      <c r="O822" s="1"/>
      <c r="P822" s="1"/>
      <c r="Q822" s="1"/>
      <c r="R822" s="124"/>
      <c r="S822" s="1"/>
      <c r="T822" s="1"/>
      <c r="U822" s="1"/>
      <c r="V822" s="125"/>
      <c r="W822" s="126"/>
      <c r="X822" s="126"/>
      <c r="Y822" s="126"/>
      <c r="Z822" s="126"/>
      <c r="AA822" s="126"/>
      <c r="AB822" s="126"/>
      <c r="AC822" s="126"/>
      <c r="AD822" s="126"/>
      <c r="AE822" s="126"/>
      <c r="AF822" s="126"/>
      <c r="AG822" s="126"/>
      <c r="AH822" s="126"/>
      <c r="AI822" s="126"/>
      <c r="AJ822" s="126"/>
      <c r="AK822" s="126"/>
      <c r="AL822" s="126"/>
      <c r="AM822" s="126"/>
      <c r="AN822" s="126"/>
      <c r="AO822" s="126"/>
      <c r="AP822" s="126"/>
      <c r="AQ822" s="126"/>
      <c r="AR822" s="126"/>
      <c r="AS822" s="126"/>
      <c r="AT822" s="126"/>
      <c r="AU822" s="126"/>
      <c r="AV822" s="126"/>
      <c r="AW822" s="126"/>
      <c r="AX822" s="126"/>
      <c r="AY822" s="126"/>
      <c r="AZ822" s="126"/>
      <c r="BA822" s="126"/>
      <c r="BB822" s="126"/>
      <c r="BC822" s="126"/>
      <c r="BD822" s="126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127"/>
      <c r="BQ822" s="127"/>
      <c r="BR822" s="127"/>
      <c r="BS822" s="127"/>
      <c r="BT822" s="127"/>
      <c r="BU822" s="127"/>
      <c r="BV822" s="127"/>
      <c r="BW822" s="119"/>
      <c r="BX822" s="119"/>
      <c r="BY822" s="119"/>
      <c r="BZ822" s="119"/>
      <c r="CA822" s="119"/>
      <c r="CB822" s="119"/>
      <c r="CC822" s="119"/>
      <c r="CD822" s="119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19"/>
      <c r="CQ822" s="119"/>
      <c r="CR822" s="119"/>
      <c r="CS822" s="119"/>
      <c r="CT822" s="119"/>
      <c r="CU822" s="119"/>
      <c r="CV822" s="119"/>
      <c r="CW822" s="119"/>
      <c r="CX822" s="119"/>
      <c r="CY822" s="119"/>
      <c r="CZ822" s="119"/>
      <c r="DA822" s="119"/>
      <c r="DB822" s="119"/>
      <c r="DC822" s="119"/>
      <c r="DD822" s="119"/>
      <c r="DE822" s="119"/>
      <c r="DF822" s="119"/>
      <c r="DG822" s="119"/>
      <c r="DH822" s="119"/>
      <c r="DI822" s="119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119"/>
      <c r="DU822" s="119"/>
      <c r="DV822" s="119"/>
      <c r="DW822" s="119"/>
      <c r="DX822" s="119"/>
      <c r="DY822" s="119"/>
      <c r="DZ822" s="119"/>
      <c r="EA822" s="119"/>
      <c r="EB822" s="119"/>
      <c r="EC822" s="119"/>
      <c r="ED822" s="119"/>
      <c r="EE822" s="119"/>
    </row>
    <row r="823" ht="15.75" customHeight="1">
      <c r="A823" s="135"/>
      <c r="B823" s="135"/>
      <c r="C823" s="135"/>
      <c r="D823" s="135"/>
      <c r="E823" s="135"/>
      <c r="F823" s="135"/>
      <c r="G823" s="135"/>
      <c r="H823" s="135"/>
      <c r="I823" s="1"/>
      <c r="J823" s="1"/>
      <c r="K823" s="1"/>
      <c r="L823" s="1"/>
      <c r="M823" s="1"/>
      <c r="N823" s="1"/>
      <c r="O823" s="1"/>
      <c r="P823" s="1"/>
      <c r="Q823" s="1"/>
      <c r="R823" s="124"/>
      <c r="S823" s="1"/>
      <c r="T823" s="1"/>
      <c r="U823" s="1"/>
      <c r="V823" s="125"/>
      <c r="W823" s="126"/>
      <c r="X823" s="126"/>
      <c r="Y823" s="126"/>
      <c r="Z823" s="126"/>
      <c r="AA823" s="126"/>
      <c r="AB823" s="126"/>
      <c r="AC823" s="126"/>
      <c r="AD823" s="126"/>
      <c r="AE823" s="126"/>
      <c r="AF823" s="126"/>
      <c r="AG823" s="126"/>
      <c r="AH823" s="126"/>
      <c r="AI823" s="126"/>
      <c r="AJ823" s="126"/>
      <c r="AK823" s="126"/>
      <c r="AL823" s="126"/>
      <c r="AM823" s="126"/>
      <c r="AN823" s="126"/>
      <c r="AO823" s="126"/>
      <c r="AP823" s="126"/>
      <c r="AQ823" s="126"/>
      <c r="AR823" s="126"/>
      <c r="AS823" s="126"/>
      <c r="AT823" s="126"/>
      <c r="AU823" s="126"/>
      <c r="AV823" s="126"/>
      <c r="AW823" s="126"/>
      <c r="AX823" s="126"/>
      <c r="AY823" s="126"/>
      <c r="AZ823" s="126"/>
      <c r="BA823" s="126"/>
      <c r="BB823" s="126"/>
      <c r="BC823" s="126"/>
      <c r="BD823" s="126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127"/>
      <c r="BQ823" s="127"/>
      <c r="BR823" s="127"/>
      <c r="BS823" s="127"/>
      <c r="BT823" s="127"/>
      <c r="BU823" s="127"/>
      <c r="BV823" s="127"/>
      <c r="BW823" s="119"/>
      <c r="BX823" s="119"/>
      <c r="BY823" s="119"/>
      <c r="BZ823" s="119"/>
      <c r="CA823" s="119"/>
      <c r="CB823" s="119"/>
      <c r="CC823" s="119"/>
      <c r="CD823" s="119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19"/>
      <c r="CQ823" s="119"/>
      <c r="CR823" s="119"/>
      <c r="CS823" s="119"/>
      <c r="CT823" s="119"/>
      <c r="CU823" s="119"/>
      <c r="CV823" s="119"/>
      <c r="CW823" s="119"/>
      <c r="CX823" s="119"/>
      <c r="CY823" s="119"/>
      <c r="CZ823" s="119"/>
      <c r="DA823" s="119"/>
      <c r="DB823" s="119"/>
      <c r="DC823" s="119"/>
      <c r="DD823" s="119"/>
      <c r="DE823" s="119"/>
      <c r="DF823" s="119"/>
      <c r="DG823" s="119"/>
      <c r="DH823" s="119"/>
      <c r="DI823" s="119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119"/>
      <c r="DU823" s="119"/>
      <c r="DV823" s="119"/>
      <c r="DW823" s="119"/>
      <c r="DX823" s="119"/>
      <c r="DY823" s="119"/>
      <c r="DZ823" s="119"/>
      <c r="EA823" s="119"/>
      <c r="EB823" s="119"/>
      <c r="EC823" s="119"/>
      <c r="ED823" s="119"/>
      <c r="EE823" s="119"/>
    </row>
    <row r="824" ht="15.75" customHeight="1">
      <c r="A824" s="135"/>
      <c r="B824" s="135"/>
      <c r="C824" s="135"/>
      <c r="D824" s="135"/>
      <c r="E824" s="135"/>
      <c r="F824" s="135"/>
      <c r="G824" s="135"/>
      <c r="H824" s="135"/>
      <c r="I824" s="1"/>
      <c r="J824" s="1"/>
      <c r="K824" s="1"/>
      <c r="L824" s="1"/>
      <c r="M824" s="1"/>
      <c r="N824" s="1"/>
      <c r="O824" s="1"/>
      <c r="P824" s="1"/>
      <c r="Q824" s="1"/>
      <c r="R824" s="124"/>
      <c r="S824" s="1"/>
      <c r="T824" s="1"/>
      <c r="U824" s="1"/>
      <c r="V824" s="125"/>
      <c r="W824" s="126"/>
      <c r="X824" s="126"/>
      <c r="Y824" s="126"/>
      <c r="Z824" s="126"/>
      <c r="AA824" s="126"/>
      <c r="AB824" s="126"/>
      <c r="AC824" s="126"/>
      <c r="AD824" s="126"/>
      <c r="AE824" s="126"/>
      <c r="AF824" s="126"/>
      <c r="AG824" s="126"/>
      <c r="AH824" s="126"/>
      <c r="AI824" s="126"/>
      <c r="AJ824" s="126"/>
      <c r="AK824" s="126"/>
      <c r="AL824" s="126"/>
      <c r="AM824" s="126"/>
      <c r="AN824" s="126"/>
      <c r="AO824" s="126"/>
      <c r="AP824" s="126"/>
      <c r="AQ824" s="126"/>
      <c r="AR824" s="126"/>
      <c r="AS824" s="126"/>
      <c r="AT824" s="126"/>
      <c r="AU824" s="126"/>
      <c r="AV824" s="126"/>
      <c r="AW824" s="126"/>
      <c r="AX824" s="126"/>
      <c r="AY824" s="126"/>
      <c r="AZ824" s="126"/>
      <c r="BA824" s="126"/>
      <c r="BB824" s="126"/>
      <c r="BC824" s="126"/>
      <c r="BD824" s="126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127"/>
      <c r="BQ824" s="127"/>
      <c r="BR824" s="127"/>
      <c r="BS824" s="127"/>
      <c r="BT824" s="127"/>
      <c r="BU824" s="127"/>
      <c r="BV824" s="127"/>
      <c r="BW824" s="119"/>
      <c r="BX824" s="119"/>
      <c r="BY824" s="119"/>
      <c r="BZ824" s="119"/>
      <c r="CA824" s="119"/>
      <c r="CB824" s="119"/>
      <c r="CC824" s="119"/>
      <c r="CD824" s="119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19"/>
      <c r="CQ824" s="119"/>
      <c r="CR824" s="119"/>
      <c r="CS824" s="119"/>
      <c r="CT824" s="119"/>
      <c r="CU824" s="119"/>
      <c r="CV824" s="119"/>
      <c r="CW824" s="119"/>
      <c r="CX824" s="119"/>
      <c r="CY824" s="119"/>
      <c r="CZ824" s="119"/>
      <c r="DA824" s="119"/>
      <c r="DB824" s="119"/>
      <c r="DC824" s="119"/>
      <c r="DD824" s="119"/>
      <c r="DE824" s="119"/>
      <c r="DF824" s="119"/>
      <c r="DG824" s="119"/>
      <c r="DH824" s="119"/>
      <c r="DI824" s="119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119"/>
      <c r="DU824" s="119"/>
      <c r="DV824" s="119"/>
      <c r="DW824" s="119"/>
      <c r="DX824" s="119"/>
      <c r="DY824" s="119"/>
      <c r="DZ824" s="119"/>
      <c r="EA824" s="119"/>
      <c r="EB824" s="119"/>
      <c r="EC824" s="119"/>
      <c r="ED824" s="119"/>
      <c r="EE824" s="119"/>
    </row>
    <row r="825" ht="15.75" customHeight="1">
      <c r="A825" s="135"/>
      <c r="B825" s="135"/>
      <c r="C825" s="135"/>
      <c r="D825" s="135"/>
      <c r="E825" s="135"/>
      <c r="F825" s="135"/>
      <c r="G825" s="135"/>
      <c r="H825" s="135"/>
      <c r="I825" s="1"/>
      <c r="J825" s="1"/>
      <c r="K825" s="1"/>
      <c r="L825" s="1"/>
      <c r="M825" s="1"/>
      <c r="N825" s="1"/>
      <c r="O825" s="1"/>
      <c r="P825" s="1"/>
      <c r="Q825" s="1"/>
      <c r="R825" s="124"/>
      <c r="S825" s="1"/>
      <c r="T825" s="1"/>
      <c r="U825" s="1"/>
      <c r="V825" s="125"/>
      <c r="W825" s="126"/>
      <c r="X825" s="126"/>
      <c r="Y825" s="126"/>
      <c r="Z825" s="126"/>
      <c r="AA825" s="126"/>
      <c r="AB825" s="126"/>
      <c r="AC825" s="126"/>
      <c r="AD825" s="126"/>
      <c r="AE825" s="126"/>
      <c r="AF825" s="126"/>
      <c r="AG825" s="126"/>
      <c r="AH825" s="126"/>
      <c r="AI825" s="126"/>
      <c r="AJ825" s="126"/>
      <c r="AK825" s="126"/>
      <c r="AL825" s="126"/>
      <c r="AM825" s="126"/>
      <c r="AN825" s="126"/>
      <c r="AO825" s="126"/>
      <c r="AP825" s="126"/>
      <c r="AQ825" s="126"/>
      <c r="AR825" s="126"/>
      <c r="AS825" s="126"/>
      <c r="AT825" s="126"/>
      <c r="AU825" s="126"/>
      <c r="AV825" s="126"/>
      <c r="AW825" s="126"/>
      <c r="AX825" s="126"/>
      <c r="AY825" s="126"/>
      <c r="AZ825" s="126"/>
      <c r="BA825" s="126"/>
      <c r="BB825" s="126"/>
      <c r="BC825" s="126"/>
      <c r="BD825" s="126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127"/>
      <c r="BQ825" s="127"/>
      <c r="BR825" s="127"/>
      <c r="BS825" s="127"/>
      <c r="BT825" s="127"/>
      <c r="BU825" s="127"/>
      <c r="BV825" s="127"/>
      <c r="BW825" s="119"/>
      <c r="BX825" s="119"/>
      <c r="BY825" s="119"/>
      <c r="BZ825" s="119"/>
      <c r="CA825" s="119"/>
      <c r="CB825" s="119"/>
      <c r="CC825" s="119"/>
      <c r="CD825" s="119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19"/>
      <c r="CQ825" s="119"/>
      <c r="CR825" s="119"/>
      <c r="CS825" s="119"/>
      <c r="CT825" s="119"/>
      <c r="CU825" s="119"/>
      <c r="CV825" s="119"/>
      <c r="CW825" s="119"/>
      <c r="CX825" s="119"/>
      <c r="CY825" s="119"/>
      <c r="CZ825" s="119"/>
      <c r="DA825" s="119"/>
      <c r="DB825" s="119"/>
      <c r="DC825" s="119"/>
      <c r="DD825" s="119"/>
      <c r="DE825" s="119"/>
      <c r="DF825" s="119"/>
      <c r="DG825" s="119"/>
      <c r="DH825" s="119"/>
      <c r="DI825" s="119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119"/>
      <c r="DU825" s="119"/>
      <c r="DV825" s="119"/>
      <c r="DW825" s="119"/>
      <c r="DX825" s="119"/>
      <c r="DY825" s="119"/>
      <c r="DZ825" s="119"/>
      <c r="EA825" s="119"/>
      <c r="EB825" s="119"/>
      <c r="EC825" s="119"/>
      <c r="ED825" s="119"/>
      <c r="EE825" s="119"/>
    </row>
    <row r="826" ht="15.75" customHeight="1">
      <c r="A826" s="135"/>
      <c r="B826" s="135"/>
      <c r="C826" s="135"/>
      <c r="D826" s="135"/>
      <c r="E826" s="135"/>
      <c r="F826" s="135"/>
      <c r="G826" s="135"/>
      <c r="H826" s="135"/>
      <c r="I826" s="1"/>
      <c r="J826" s="1"/>
      <c r="K826" s="1"/>
      <c r="L826" s="1"/>
      <c r="M826" s="1"/>
      <c r="N826" s="1"/>
      <c r="O826" s="1"/>
      <c r="P826" s="1"/>
      <c r="Q826" s="1"/>
      <c r="R826" s="124"/>
      <c r="S826" s="1"/>
      <c r="T826" s="1"/>
      <c r="U826" s="1"/>
      <c r="V826" s="125"/>
      <c r="W826" s="126"/>
      <c r="X826" s="126"/>
      <c r="Y826" s="126"/>
      <c r="Z826" s="126"/>
      <c r="AA826" s="126"/>
      <c r="AB826" s="126"/>
      <c r="AC826" s="126"/>
      <c r="AD826" s="126"/>
      <c r="AE826" s="126"/>
      <c r="AF826" s="126"/>
      <c r="AG826" s="126"/>
      <c r="AH826" s="126"/>
      <c r="AI826" s="126"/>
      <c r="AJ826" s="126"/>
      <c r="AK826" s="126"/>
      <c r="AL826" s="126"/>
      <c r="AM826" s="126"/>
      <c r="AN826" s="126"/>
      <c r="AO826" s="126"/>
      <c r="AP826" s="126"/>
      <c r="AQ826" s="126"/>
      <c r="AR826" s="126"/>
      <c r="AS826" s="126"/>
      <c r="AT826" s="126"/>
      <c r="AU826" s="126"/>
      <c r="AV826" s="126"/>
      <c r="AW826" s="126"/>
      <c r="AX826" s="126"/>
      <c r="AY826" s="126"/>
      <c r="AZ826" s="126"/>
      <c r="BA826" s="126"/>
      <c r="BB826" s="126"/>
      <c r="BC826" s="126"/>
      <c r="BD826" s="126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127"/>
      <c r="BQ826" s="127"/>
      <c r="BR826" s="127"/>
      <c r="BS826" s="127"/>
      <c r="BT826" s="127"/>
      <c r="BU826" s="127"/>
      <c r="BV826" s="127"/>
      <c r="BW826" s="119"/>
      <c r="BX826" s="119"/>
      <c r="BY826" s="119"/>
      <c r="BZ826" s="119"/>
      <c r="CA826" s="119"/>
      <c r="CB826" s="119"/>
      <c r="CC826" s="119"/>
      <c r="CD826" s="119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19"/>
      <c r="CQ826" s="119"/>
      <c r="CR826" s="119"/>
      <c r="CS826" s="119"/>
      <c r="CT826" s="119"/>
      <c r="CU826" s="119"/>
      <c r="CV826" s="119"/>
      <c r="CW826" s="119"/>
      <c r="CX826" s="119"/>
      <c r="CY826" s="119"/>
      <c r="CZ826" s="119"/>
      <c r="DA826" s="119"/>
      <c r="DB826" s="119"/>
      <c r="DC826" s="119"/>
      <c r="DD826" s="119"/>
      <c r="DE826" s="119"/>
      <c r="DF826" s="119"/>
      <c r="DG826" s="119"/>
      <c r="DH826" s="119"/>
      <c r="DI826" s="119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119"/>
      <c r="DU826" s="119"/>
      <c r="DV826" s="119"/>
      <c r="DW826" s="119"/>
      <c r="DX826" s="119"/>
      <c r="DY826" s="119"/>
      <c r="DZ826" s="119"/>
      <c r="EA826" s="119"/>
      <c r="EB826" s="119"/>
      <c r="EC826" s="119"/>
      <c r="ED826" s="119"/>
      <c r="EE826" s="119"/>
    </row>
    <row r="827" ht="15.75" customHeight="1">
      <c r="A827" s="135"/>
      <c r="B827" s="135"/>
      <c r="C827" s="135"/>
      <c r="D827" s="135"/>
      <c r="E827" s="135"/>
      <c r="F827" s="135"/>
      <c r="G827" s="135"/>
      <c r="H827" s="135"/>
      <c r="I827" s="1"/>
      <c r="J827" s="1"/>
      <c r="K827" s="1"/>
      <c r="L827" s="1"/>
      <c r="M827" s="1"/>
      <c r="N827" s="1"/>
      <c r="O827" s="1"/>
      <c r="P827" s="1"/>
      <c r="Q827" s="1"/>
      <c r="R827" s="124"/>
      <c r="S827" s="1"/>
      <c r="T827" s="1"/>
      <c r="U827" s="1"/>
      <c r="V827" s="125"/>
      <c r="W827" s="126"/>
      <c r="X827" s="126"/>
      <c r="Y827" s="126"/>
      <c r="Z827" s="126"/>
      <c r="AA827" s="126"/>
      <c r="AB827" s="126"/>
      <c r="AC827" s="126"/>
      <c r="AD827" s="126"/>
      <c r="AE827" s="126"/>
      <c r="AF827" s="126"/>
      <c r="AG827" s="126"/>
      <c r="AH827" s="126"/>
      <c r="AI827" s="126"/>
      <c r="AJ827" s="126"/>
      <c r="AK827" s="126"/>
      <c r="AL827" s="126"/>
      <c r="AM827" s="126"/>
      <c r="AN827" s="126"/>
      <c r="AO827" s="126"/>
      <c r="AP827" s="126"/>
      <c r="AQ827" s="126"/>
      <c r="AR827" s="126"/>
      <c r="AS827" s="126"/>
      <c r="AT827" s="126"/>
      <c r="AU827" s="126"/>
      <c r="AV827" s="126"/>
      <c r="AW827" s="126"/>
      <c r="AX827" s="126"/>
      <c r="AY827" s="126"/>
      <c r="AZ827" s="126"/>
      <c r="BA827" s="126"/>
      <c r="BB827" s="126"/>
      <c r="BC827" s="126"/>
      <c r="BD827" s="126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127"/>
      <c r="BQ827" s="127"/>
      <c r="BR827" s="127"/>
      <c r="BS827" s="127"/>
      <c r="BT827" s="127"/>
      <c r="BU827" s="127"/>
      <c r="BV827" s="127"/>
      <c r="BW827" s="119"/>
      <c r="BX827" s="119"/>
      <c r="BY827" s="119"/>
      <c r="BZ827" s="119"/>
      <c r="CA827" s="119"/>
      <c r="CB827" s="119"/>
      <c r="CC827" s="119"/>
      <c r="CD827" s="119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19"/>
      <c r="CQ827" s="119"/>
      <c r="CR827" s="119"/>
      <c r="CS827" s="119"/>
      <c r="CT827" s="119"/>
      <c r="CU827" s="119"/>
      <c r="CV827" s="119"/>
      <c r="CW827" s="119"/>
      <c r="CX827" s="119"/>
      <c r="CY827" s="119"/>
      <c r="CZ827" s="119"/>
      <c r="DA827" s="119"/>
      <c r="DB827" s="119"/>
      <c r="DC827" s="119"/>
      <c r="DD827" s="119"/>
      <c r="DE827" s="119"/>
      <c r="DF827" s="119"/>
      <c r="DG827" s="119"/>
      <c r="DH827" s="119"/>
      <c r="DI827" s="119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119"/>
      <c r="DU827" s="119"/>
      <c r="DV827" s="119"/>
      <c r="DW827" s="119"/>
      <c r="DX827" s="119"/>
      <c r="DY827" s="119"/>
      <c r="DZ827" s="119"/>
      <c r="EA827" s="119"/>
      <c r="EB827" s="119"/>
      <c r="EC827" s="119"/>
      <c r="ED827" s="119"/>
      <c r="EE827" s="119"/>
    </row>
    <row r="828" ht="15.75" customHeight="1">
      <c r="A828" s="135"/>
      <c r="B828" s="135"/>
      <c r="C828" s="135"/>
      <c r="D828" s="135"/>
      <c r="E828" s="135"/>
      <c r="F828" s="135"/>
      <c r="G828" s="135"/>
      <c r="H828" s="135"/>
      <c r="I828" s="1"/>
      <c r="J828" s="1"/>
      <c r="K828" s="1"/>
      <c r="L828" s="1"/>
      <c r="M828" s="1"/>
      <c r="N828" s="1"/>
      <c r="O828" s="1"/>
      <c r="P828" s="1"/>
      <c r="Q828" s="1"/>
      <c r="R828" s="124"/>
      <c r="S828" s="1"/>
      <c r="T828" s="1"/>
      <c r="U828" s="1"/>
      <c r="V828" s="125"/>
      <c r="W828" s="126"/>
      <c r="X828" s="126"/>
      <c r="Y828" s="126"/>
      <c r="Z828" s="126"/>
      <c r="AA828" s="126"/>
      <c r="AB828" s="126"/>
      <c r="AC828" s="126"/>
      <c r="AD828" s="126"/>
      <c r="AE828" s="126"/>
      <c r="AF828" s="126"/>
      <c r="AG828" s="126"/>
      <c r="AH828" s="126"/>
      <c r="AI828" s="126"/>
      <c r="AJ828" s="126"/>
      <c r="AK828" s="126"/>
      <c r="AL828" s="126"/>
      <c r="AM828" s="126"/>
      <c r="AN828" s="126"/>
      <c r="AO828" s="126"/>
      <c r="AP828" s="126"/>
      <c r="AQ828" s="126"/>
      <c r="AR828" s="126"/>
      <c r="AS828" s="126"/>
      <c r="AT828" s="126"/>
      <c r="AU828" s="126"/>
      <c r="AV828" s="126"/>
      <c r="AW828" s="126"/>
      <c r="AX828" s="126"/>
      <c r="AY828" s="126"/>
      <c r="AZ828" s="126"/>
      <c r="BA828" s="126"/>
      <c r="BB828" s="126"/>
      <c r="BC828" s="126"/>
      <c r="BD828" s="126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127"/>
      <c r="BQ828" s="127"/>
      <c r="BR828" s="127"/>
      <c r="BS828" s="127"/>
      <c r="BT828" s="127"/>
      <c r="BU828" s="127"/>
      <c r="BV828" s="127"/>
      <c r="BW828" s="119"/>
      <c r="BX828" s="119"/>
      <c r="BY828" s="119"/>
      <c r="BZ828" s="119"/>
      <c r="CA828" s="119"/>
      <c r="CB828" s="119"/>
      <c r="CC828" s="119"/>
      <c r="CD828" s="119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19"/>
      <c r="CQ828" s="119"/>
      <c r="CR828" s="119"/>
      <c r="CS828" s="119"/>
      <c r="CT828" s="119"/>
      <c r="CU828" s="119"/>
      <c r="CV828" s="119"/>
      <c r="CW828" s="119"/>
      <c r="CX828" s="119"/>
      <c r="CY828" s="119"/>
      <c r="CZ828" s="119"/>
      <c r="DA828" s="119"/>
      <c r="DB828" s="119"/>
      <c r="DC828" s="119"/>
      <c r="DD828" s="119"/>
      <c r="DE828" s="119"/>
      <c r="DF828" s="119"/>
      <c r="DG828" s="119"/>
      <c r="DH828" s="119"/>
      <c r="DI828" s="119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119"/>
      <c r="DU828" s="119"/>
      <c r="DV828" s="119"/>
      <c r="DW828" s="119"/>
      <c r="DX828" s="119"/>
      <c r="DY828" s="119"/>
      <c r="DZ828" s="119"/>
      <c r="EA828" s="119"/>
      <c r="EB828" s="119"/>
      <c r="EC828" s="119"/>
      <c r="ED828" s="119"/>
      <c r="EE828" s="119"/>
    </row>
    <row r="829" ht="15.75" customHeight="1">
      <c r="A829" s="135"/>
      <c r="B829" s="135"/>
      <c r="C829" s="135"/>
      <c r="D829" s="135"/>
      <c r="E829" s="135"/>
      <c r="F829" s="135"/>
      <c r="G829" s="135"/>
      <c r="H829" s="135"/>
      <c r="I829" s="1"/>
      <c r="J829" s="1"/>
      <c r="K829" s="1"/>
      <c r="L829" s="1"/>
      <c r="M829" s="1"/>
      <c r="N829" s="1"/>
      <c r="O829" s="1"/>
      <c r="P829" s="1"/>
      <c r="Q829" s="1"/>
      <c r="R829" s="124"/>
      <c r="S829" s="1"/>
      <c r="T829" s="1"/>
      <c r="U829" s="1"/>
      <c r="V829" s="125"/>
      <c r="W829" s="126"/>
      <c r="X829" s="126"/>
      <c r="Y829" s="126"/>
      <c r="Z829" s="126"/>
      <c r="AA829" s="126"/>
      <c r="AB829" s="126"/>
      <c r="AC829" s="126"/>
      <c r="AD829" s="126"/>
      <c r="AE829" s="126"/>
      <c r="AF829" s="126"/>
      <c r="AG829" s="126"/>
      <c r="AH829" s="126"/>
      <c r="AI829" s="126"/>
      <c r="AJ829" s="126"/>
      <c r="AK829" s="126"/>
      <c r="AL829" s="126"/>
      <c r="AM829" s="126"/>
      <c r="AN829" s="126"/>
      <c r="AO829" s="126"/>
      <c r="AP829" s="126"/>
      <c r="AQ829" s="126"/>
      <c r="AR829" s="126"/>
      <c r="AS829" s="126"/>
      <c r="AT829" s="126"/>
      <c r="AU829" s="126"/>
      <c r="AV829" s="126"/>
      <c r="AW829" s="126"/>
      <c r="AX829" s="126"/>
      <c r="AY829" s="126"/>
      <c r="AZ829" s="126"/>
      <c r="BA829" s="126"/>
      <c r="BB829" s="126"/>
      <c r="BC829" s="126"/>
      <c r="BD829" s="126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127"/>
      <c r="BQ829" s="127"/>
      <c r="BR829" s="127"/>
      <c r="BS829" s="127"/>
      <c r="BT829" s="127"/>
      <c r="BU829" s="127"/>
      <c r="BV829" s="127"/>
      <c r="BW829" s="119"/>
      <c r="BX829" s="119"/>
      <c r="BY829" s="119"/>
      <c r="BZ829" s="119"/>
      <c r="CA829" s="119"/>
      <c r="CB829" s="119"/>
      <c r="CC829" s="119"/>
      <c r="CD829" s="119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19"/>
      <c r="CQ829" s="119"/>
      <c r="CR829" s="119"/>
      <c r="CS829" s="119"/>
      <c r="CT829" s="119"/>
      <c r="CU829" s="119"/>
      <c r="CV829" s="119"/>
      <c r="CW829" s="119"/>
      <c r="CX829" s="119"/>
      <c r="CY829" s="119"/>
      <c r="CZ829" s="119"/>
      <c r="DA829" s="119"/>
      <c r="DB829" s="119"/>
      <c r="DC829" s="119"/>
      <c r="DD829" s="119"/>
      <c r="DE829" s="119"/>
      <c r="DF829" s="119"/>
      <c r="DG829" s="119"/>
      <c r="DH829" s="119"/>
      <c r="DI829" s="119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119"/>
      <c r="DU829" s="119"/>
      <c r="DV829" s="119"/>
      <c r="DW829" s="119"/>
      <c r="DX829" s="119"/>
      <c r="DY829" s="119"/>
      <c r="DZ829" s="119"/>
      <c r="EA829" s="119"/>
      <c r="EB829" s="119"/>
      <c r="EC829" s="119"/>
      <c r="ED829" s="119"/>
      <c r="EE829" s="119"/>
    </row>
    <row r="830" ht="15.75" customHeight="1">
      <c r="A830" s="135"/>
      <c r="B830" s="135"/>
      <c r="C830" s="135"/>
      <c r="D830" s="135"/>
      <c r="E830" s="135"/>
      <c r="F830" s="135"/>
      <c r="G830" s="135"/>
      <c r="H830" s="135"/>
      <c r="I830" s="1"/>
      <c r="J830" s="1"/>
      <c r="K830" s="1"/>
      <c r="L830" s="1"/>
      <c r="M830" s="1"/>
      <c r="N830" s="1"/>
      <c r="O830" s="1"/>
      <c r="P830" s="1"/>
      <c r="Q830" s="1"/>
      <c r="R830" s="124"/>
      <c r="S830" s="1"/>
      <c r="T830" s="1"/>
      <c r="U830" s="1"/>
      <c r="V830" s="125"/>
      <c r="W830" s="126"/>
      <c r="X830" s="126"/>
      <c r="Y830" s="126"/>
      <c r="Z830" s="126"/>
      <c r="AA830" s="126"/>
      <c r="AB830" s="126"/>
      <c r="AC830" s="126"/>
      <c r="AD830" s="126"/>
      <c r="AE830" s="126"/>
      <c r="AF830" s="126"/>
      <c r="AG830" s="126"/>
      <c r="AH830" s="126"/>
      <c r="AI830" s="126"/>
      <c r="AJ830" s="126"/>
      <c r="AK830" s="126"/>
      <c r="AL830" s="126"/>
      <c r="AM830" s="126"/>
      <c r="AN830" s="126"/>
      <c r="AO830" s="126"/>
      <c r="AP830" s="126"/>
      <c r="AQ830" s="126"/>
      <c r="AR830" s="126"/>
      <c r="AS830" s="126"/>
      <c r="AT830" s="126"/>
      <c r="AU830" s="126"/>
      <c r="AV830" s="126"/>
      <c r="AW830" s="126"/>
      <c r="AX830" s="126"/>
      <c r="AY830" s="126"/>
      <c r="AZ830" s="126"/>
      <c r="BA830" s="126"/>
      <c r="BB830" s="126"/>
      <c r="BC830" s="126"/>
      <c r="BD830" s="126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127"/>
      <c r="BQ830" s="127"/>
      <c r="BR830" s="127"/>
      <c r="BS830" s="127"/>
      <c r="BT830" s="127"/>
      <c r="BU830" s="127"/>
      <c r="BV830" s="127"/>
      <c r="BW830" s="119"/>
      <c r="BX830" s="119"/>
      <c r="BY830" s="119"/>
      <c r="BZ830" s="119"/>
      <c r="CA830" s="119"/>
      <c r="CB830" s="119"/>
      <c r="CC830" s="119"/>
      <c r="CD830" s="119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19"/>
      <c r="CQ830" s="119"/>
      <c r="CR830" s="119"/>
      <c r="CS830" s="119"/>
      <c r="CT830" s="119"/>
      <c r="CU830" s="119"/>
      <c r="CV830" s="119"/>
      <c r="CW830" s="119"/>
      <c r="CX830" s="119"/>
      <c r="CY830" s="119"/>
      <c r="CZ830" s="119"/>
      <c r="DA830" s="119"/>
      <c r="DB830" s="119"/>
      <c r="DC830" s="119"/>
      <c r="DD830" s="119"/>
      <c r="DE830" s="119"/>
      <c r="DF830" s="119"/>
      <c r="DG830" s="119"/>
      <c r="DH830" s="119"/>
      <c r="DI830" s="119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119"/>
      <c r="DU830" s="119"/>
      <c r="DV830" s="119"/>
      <c r="DW830" s="119"/>
      <c r="DX830" s="119"/>
      <c r="DY830" s="119"/>
      <c r="DZ830" s="119"/>
      <c r="EA830" s="119"/>
      <c r="EB830" s="119"/>
      <c r="EC830" s="119"/>
      <c r="ED830" s="119"/>
      <c r="EE830" s="119"/>
    </row>
    <row r="831" ht="15.75" customHeight="1">
      <c r="A831" s="135"/>
      <c r="B831" s="135"/>
      <c r="C831" s="135"/>
      <c r="D831" s="135"/>
      <c r="E831" s="135"/>
      <c r="F831" s="135"/>
      <c r="G831" s="135"/>
      <c r="H831" s="135"/>
      <c r="I831" s="1"/>
      <c r="J831" s="1"/>
      <c r="K831" s="1"/>
      <c r="L831" s="1"/>
      <c r="M831" s="1"/>
      <c r="N831" s="1"/>
      <c r="O831" s="1"/>
      <c r="P831" s="1"/>
      <c r="Q831" s="1"/>
      <c r="R831" s="124"/>
      <c r="S831" s="1"/>
      <c r="T831" s="1"/>
      <c r="U831" s="1"/>
      <c r="V831" s="125"/>
      <c r="W831" s="126"/>
      <c r="X831" s="126"/>
      <c r="Y831" s="126"/>
      <c r="Z831" s="126"/>
      <c r="AA831" s="126"/>
      <c r="AB831" s="126"/>
      <c r="AC831" s="126"/>
      <c r="AD831" s="126"/>
      <c r="AE831" s="126"/>
      <c r="AF831" s="126"/>
      <c r="AG831" s="126"/>
      <c r="AH831" s="126"/>
      <c r="AI831" s="126"/>
      <c r="AJ831" s="126"/>
      <c r="AK831" s="126"/>
      <c r="AL831" s="126"/>
      <c r="AM831" s="126"/>
      <c r="AN831" s="126"/>
      <c r="AO831" s="126"/>
      <c r="AP831" s="126"/>
      <c r="AQ831" s="126"/>
      <c r="AR831" s="126"/>
      <c r="AS831" s="126"/>
      <c r="AT831" s="126"/>
      <c r="AU831" s="126"/>
      <c r="AV831" s="126"/>
      <c r="AW831" s="126"/>
      <c r="AX831" s="126"/>
      <c r="AY831" s="126"/>
      <c r="AZ831" s="126"/>
      <c r="BA831" s="126"/>
      <c r="BB831" s="126"/>
      <c r="BC831" s="126"/>
      <c r="BD831" s="126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127"/>
      <c r="BQ831" s="127"/>
      <c r="BR831" s="127"/>
      <c r="BS831" s="127"/>
      <c r="BT831" s="127"/>
      <c r="BU831" s="127"/>
      <c r="BV831" s="127"/>
      <c r="BW831" s="119"/>
      <c r="BX831" s="119"/>
      <c r="BY831" s="119"/>
      <c r="BZ831" s="119"/>
      <c r="CA831" s="119"/>
      <c r="CB831" s="119"/>
      <c r="CC831" s="119"/>
      <c r="CD831" s="119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19"/>
      <c r="CQ831" s="119"/>
      <c r="CR831" s="119"/>
      <c r="CS831" s="119"/>
      <c r="CT831" s="119"/>
      <c r="CU831" s="119"/>
      <c r="CV831" s="119"/>
      <c r="CW831" s="119"/>
      <c r="CX831" s="119"/>
      <c r="CY831" s="119"/>
      <c r="CZ831" s="119"/>
      <c r="DA831" s="119"/>
      <c r="DB831" s="119"/>
      <c r="DC831" s="119"/>
      <c r="DD831" s="119"/>
      <c r="DE831" s="119"/>
      <c r="DF831" s="119"/>
      <c r="DG831" s="119"/>
      <c r="DH831" s="119"/>
      <c r="DI831" s="119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119"/>
      <c r="DU831" s="119"/>
      <c r="DV831" s="119"/>
      <c r="DW831" s="119"/>
      <c r="DX831" s="119"/>
      <c r="DY831" s="119"/>
      <c r="DZ831" s="119"/>
      <c r="EA831" s="119"/>
      <c r="EB831" s="119"/>
      <c r="EC831" s="119"/>
      <c r="ED831" s="119"/>
      <c r="EE831" s="119"/>
    </row>
    <row r="832" ht="15.75" customHeight="1">
      <c r="A832" s="135"/>
      <c r="B832" s="135"/>
      <c r="C832" s="135"/>
      <c r="D832" s="135"/>
      <c r="E832" s="135"/>
      <c r="F832" s="135"/>
      <c r="G832" s="135"/>
      <c r="H832" s="135"/>
      <c r="I832" s="1"/>
      <c r="J832" s="1"/>
      <c r="K832" s="1"/>
      <c r="L832" s="1"/>
      <c r="M832" s="1"/>
      <c r="N832" s="1"/>
      <c r="O832" s="1"/>
      <c r="P832" s="1"/>
      <c r="Q832" s="1"/>
      <c r="R832" s="124"/>
      <c r="S832" s="1"/>
      <c r="T832" s="1"/>
      <c r="U832" s="1"/>
      <c r="V832" s="125"/>
      <c r="W832" s="126"/>
      <c r="X832" s="126"/>
      <c r="Y832" s="126"/>
      <c r="Z832" s="126"/>
      <c r="AA832" s="126"/>
      <c r="AB832" s="126"/>
      <c r="AC832" s="126"/>
      <c r="AD832" s="126"/>
      <c r="AE832" s="126"/>
      <c r="AF832" s="126"/>
      <c r="AG832" s="126"/>
      <c r="AH832" s="126"/>
      <c r="AI832" s="126"/>
      <c r="AJ832" s="126"/>
      <c r="AK832" s="126"/>
      <c r="AL832" s="126"/>
      <c r="AM832" s="126"/>
      <c r="AN832" s="126"/>
      <c r="AO832" s="126"/>
      <c r="AP832" s="126"/>
      <c r="AQ832" s="126"/>
      <c r="AR832" s="126"/>
      <c r="AS832" s="126"/>
      <c r="AT832" s="126"/>
      <c r="AU832" s="126"/>
      <c r="AV832" s="126"/>
      <c r="AW832" s="126"/>
      <c r="AX832" s="126"/>
      <c r="AY832" s="126"/>
      <c r="AZ832" s="126"/>
      <c r="BA832" s="126"/>
      <c r="BB832" s="126"/>
      <c r="BC832" s="126"/>
      <c r="BD832" s="126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127"/>
      <c r="BQ832" s="127"/>
      <c r="BR832" s="127"/>
      <c r="BS832" s="127"/>
      <c r="BT832" s="127"/>
      <c r="BU832" s="127"/>
      <c r="BV832" s="127"/>
      <c r="BW832" s="119"/>
      <c r="BX832" s="119"/>
      <c r="BY832" s="119"/>
      <c r="BZ832" s="119"/>
      <c r="CA832" s="119"/>
      <c r="CB832" s="119"/>
      <c r="CC832" s="119"/>
      <c r="CD832" s="119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19"/>
      <c r="CQ832" s="119"/>
      <c r="CR832" s="119"/>
      <c r="CS832" s="119"/>
      <c r="CT832" s="119"/>
      <c r="CU832" s="119"/>
      <c r="CV832" s="119"/>
      <c r="CW832" s="119"/>
      <c r="CX832" s="119"/>
      <c r="CY832" s="119"/>
      <c r="CZ832" s="119"/>
      <c r="DA832" s="119"/>
      <c r="DB832" s="119"/>
      <c r="DC832" s="119"/>
      <c r="DD832" s="119"/>
      <c r="DE832" s="119"/>
      <c r="DF832" s="119"/>
      <c r="DG832" s="119"/>
      <c r="DH832" s="119"/>
      <c r="DI832" s="119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119"/>
      <c r="DU832" s="119"/>
      <c r="DV832" s="119"/>
      <c r="DW832" s="119"/>
      <c r="DX832" s="119"/>
      <c r="DY832" s="119"/>
      <c r="DZ832" s="119"/>
      <c r="EA832" s="119"/>
      <c r="EB832" s="119"/>
      <c r="EC832" s="119"/>
      <c r="ED832" s="119"/>
      <c r="EE832" s="119"/>
    </row>
    <row r="833" ht="15.75" customHeight="1">
      <c r="A833" s="135"/>
      <c r="B833" s="135"/>
      <c r="C833" s="135"/>
      <c r="D833" s="135"/>
      <c r="E833" s="135"/>
      <c r="F833" s="135"/>
      <c r="G833" s="135"/>
      <c r="H833" s="135"/>
      <c r="I833" s="1"/>
      <c r="J833" s="1"/>
      <c r="K833" s="1"/>
      <c r="L833" s="1"/>
      <c r="M833" s="1"/>
      <c r="N833" s="1"/>
      <c r="O833" s="1"/>
      <c r="P833" s="1"/>
      <c r="Q833" s="1"/>
      <c r="R833" s="124"/>
      <c r="S833" s="1"/>
      <c r="T833" s="1"/>
      <c r="U833" s="1"/>
      <c r="V833" s="125"/>
      <c r="W833" s="126"/>
      <c r="X833" s="126"/>
      <c r="Y833" s="126"/>
      <c r="Z833" s="126"/>
      <c r="AA833" s="126"/>
      <c r="AB833" s="126"/>
      <c r="AC833" s="126"/>
      <c r="AD833" s="126"/>
      <c r="AE833" s="126"/>
      <c r="AF833" s="126"/>
      <c r="AG833" s="126"/>
      <c r="AH833" s="126"/>
      <c r="AI833" s="126"/>
      <c r="AJ833" s="126"/>
      <c r="AK833" s="126"/>
      <c r="AL833" s="126"/>
      <c r="AM833" s="126"/>
      <c r="AN833" s="126"/>
      <c r="AO833" s="126"/>
      <c r="AP833" s="126"/>
      <c r="AQ833" s="126"/>
      <c r="AR833" s="126"/>
      <c r="AS833" s="126"/>
      <c r="AT833" s="126"/>
      <c r="AU833" s="126"/>
      <c r="AV833" s="126"/>
      <c r="AW833" s="126"/>
      <c r="AX833" s="126"/>
      <c r="AY833" s="126"/>
      <c r="AZ833" s="126"/>
      <c r="BA833" s="126"/>
      <c r="BB833" s="126"/>
      <c r="BC833" s="126"/>
      <c r="BD833" s="126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127"/>
      <c r="BQ833" s="127"/>
      <c r="BR833" s="127"/>
      <c r="BS833" s="127"/>
      <c r="BT833" s="127"/>
      <c r="BU833" s="127"/>
      <c r="BV833" s="127"/>
      <c r="BW833" s="119"/>
      <c r="BX833" s="119"/>
      <c r="BY833" s="119"/>
      <c r="BZ833" s="119"/>
      <c r="CA833" s="119"/>
      <c r="CB833" s="119"/>
      <c r="CC833" s="119"/>
      <c r="CD833" s="119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19"/>
      <c r="CQ833" s="119"/>
      <c r="CR833" s="119"/>
      <c r="CS833" s="119"/>
      <c r="CT833" s="119"/>
      <c r="CU833" s="119"/>
      <c r="CV833" s="119"/>
      <c r="CW833" s="119"/>
      <c r="CX833" s="119"/>
      <c r="CY833" s="119"/>
      <c r="CZ833" s="119"/>
      <c r="DA833" s="119"/>
      <c r="DB833" s="119"/>
      <c r="DC833" s="119"/>
      <c r="DD833" s="119"/>
      <c r="DE833" s="119"/>
      <c r="DF833" s="119"/>
      <c r="DG833" s="119"/>
      <c r="DH833" s="119"/>
      <c r="DI833" s="119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119"/>
      <c r="DU833" s="119"/>
      <c r="DV833" s="119"/>
      <c r="DW833" s="119"/>
      <c r="DX833" s="119"/>
      <c r="DY833" s="119"/>
      <c r="DZ833" s="119"/>
      <c r="EA833" s="119"/>
      <c r="EB833" s="119"/>
      <c r="EC833" s="119"/>
      <c r="ED833" s="119"/>
      <c r="EE833" s="119"/>
    </row>
    <row r="834" ht="15.75" customHeight="1">
      <c r="A834" s="135"/>
      <c r="B834" s="135"/>
      <c r="C834" s="135"/>
      <c r="D834" s="135"/>
      <c r="E834" s="135"/>
      <c r="F834" s="135"/>
      <c r="G834" s="135"/>
      <c r="H834" s="135"/>
      <c r="I834" s="1"/>
      <c r="J834" s="1"/>
      <c r="K834" s="1"/>
      <c r="L834" s="1"/>
      <c r="M834" s="1"/>
      <c r="N834" s="1"/>
      <c r="O834" s="1"/>
      <c r="P834" s="1"/>
      <c r="Q834" s="1"/>
      <c r="R834" s="124"/>
      <c r="S834" s="1"/>
      <c r="T834" s="1"/>
      <c r="U834" s="1"/>
      <c r="V834" s="125"/>
      <c r="W834" s="126"/>
      <c r="X834" s="126"/>
      <c r="Y834" s="126"/>
      <c r="Z834" s="126"/>
      <c r="AA834" s="126"/>
      <c r="AB834" s="126"/>
      <c r="AC834" s="126"/>
      <c r="AD834" s="126"/>
      <c r="AE834" s="126"/>
      <c r="AF834" s="126"/>
      <c r="AG834" s="126"/>
      <c r="AH834" s="126"/>
      <c r="AI834" s="126"/>
      <c r="AJ834" s="126"/>
      <c r="AK834" s="126"/>
      <c r="AL834" s="126"/>
      <c r="AM834" s="126"/>
      <c r="AN834" s="126"/>
      <c r="AO834" s="126"/>
      <c r="AP834" s="126"/>
      <c r="AQ834" s="126"/>
      <c r="AR834" s="126"/>
      <c r="AS834" s="126"/>
      <c r="AT834" s="126"/>
      <c r="AU834" s="126"/>
      <c r="AV834" s="126"/>
      <c r="AW834" s="126"/>
      <c r="AX834" s="126"/>
      <c r="AY834" s="126"/>
      <c r="AZ834" s="126"/>
      <c r="BA834" s="126"/>
      <c r="BB834" s="126"/>
      <c r="BC834" s="126"/>
      <c r="BD834" s="126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127"/>
      <c r="BQ834" s="127"/>
      <c r="BR834" s="127"/>
      <c r="BS834" s="127"/>
      <c r="BT834" s="127"/>
      <c r="BU834" s="127"/>
      <c r="BV834" s="127"/>
      <c r="BW834" s="119"/>
      <c r="BX834" s="119"/>
      <c r="BY834" s="119"/>
      <c r="BZ834" s="119"/>
      <c r="CA834" s="119"/>
      <c r="CB834" s="119"/>
      <c r="CC834" s="119"/>
      <c r="CD834" s="119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19"/>
      <c r="CQ834" s="119"/>
      <c r="CR834" s="119"/>
      <c r="CS834" s="119"/>
      <c r="CT834" s="119"/>
      <c r="CU834" s="119"/>
      <c r="CV834" s="119"/>
      <c r="CW834" s="119"/>
      <c r="CX834" s="119"/>
      <c r="CY834" s="119"/>
      <c r="CZ834" s="119"/>
      <c r="DA834" s="119"/>
      <c r="DB834" s="119"/>
      <c r="DC834" s="119"/>
      <c r="DD834" s="119"/>
      <c r="DE834" s="119"/>
      <c r="DF834" s="119"/>
      <c r="DG834" s="119"/>
      <c r="DH834" s="119"/>
      <c r="DI834" s="119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119"/>
      <c r="DU834" s="119"/>
      <c r="DV834" s="119"/>
      <c r="DW834" s="119"/>
      <c r="DX834" s="119"/>
      <c r="DY834" s="119"/>
      <c r="DZ834" s="119"/>
      <c r="EA834" s="119"/>
      <c r="EB834" s="119"/>
      <c r="EC834" s="119"/>
      <c r="ED834" s="119"/>
      <c r="EE834" s="119"/>
    </row>
    <row r="835" ht="15.75" customHeight="1">
      <c r="A835" s="135"/>
      <c r="B835" s="135"/>
      <c r="C835" s="135"/>
      <c r="D835" s="135"/>
      <c r="E835" s="135"/>
      <c r="F835" s="135"/>
      <c r="G835" s="135"/>
      <c r="H835" s="135"/>
      <c r="I835" s="1"/>
      <c r="J835" s="1"/>
      <c r="K835" s="1"/>
      <c r="L835" s="1"/>
      <c r="M835" s="1"/>
      <c r="N835" s="1"/>
      <c r="O835" s="1"/>
      <c r="P835" s="1"/>
      <c r="Q835" s="1"/>
      <c r="R835" s="124"/>
      <c r="S835" s="1"/>
      <c r="T835" s="1"/>
      <c r="U835" s="1"/>
      <c r="V835" s="125"/>
      <c r="W835" s="126"/>
      <c r="X835" s="126"/>
      <c r="Y835" s="126"/>
      <c r="Z835" s="126"/>
      <c r="AA835" s="126"/>
      <c r="AB835" s="126"/>
      <c r="AC835" s="126"/>
      <c r="AD835" s="126"/>
      <c r="AE835" s="126"/>
      <c r="AF835" s="126"/>
      <c r="AG835" s="126"/>
      <c r="AH835" s="126"/>
      <c r="AI835" s="126"/>
      <c r="AJ835" s="126"/>
      <c r="AK835" s="126"/>
      <c r="AL835" s="126"/>
      <c r="AM835" s="126"/>
      <c r="AN835" s="126"/>
      <c r="AO835" s="126"/>
      <c r="AP835" s="126"/>
      <c r="AQ835" s="126"/>
      <c r="AR835" s="126"/>
      <c r="AS835" s="126"/>
      <c r="AT835" s="126"/>
      <c r="AU835" s="126"/>
      <c r="AV835" s="126"/>
      <c r="AW835" s="126"/>
      <c r="AX835" s="126"/>
      <c r="AY835" s="126"/>
      <c r="AZ835" s="126"/>
      <c r="BA835" s="126"/>
      <c r="BB835" s="126"/>
      <c r="BC835" s="126"/>
      <c r="BD835" s="126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127"/>
      <c r="BQ835" s="127"/>
      <c r="BR835" s="127"/>
      <c r="BS835" s="127"/>
      <c r="BT835" s="127"/>
      <c r="BU835" s="127"/>
      <c r="BV835" s="127"/>
      <c r="BW835" s="119"/>
      <c r="BX835" s="119"/>
      <c r="BY835" s="119"/>
      <c r="BZ835" s="119"/>
      <c r="CA835" s="119"/>
      <c r="CB835" s="119"/>
      <c r="CC835" s="119"/>
      <c r="CD835" s="119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19"/>
      <c r="CQ835" s="119"/>
      <c r="CR835" s="119"/>
      <c r="CS835" s="119"/>
      <c r="CT835" s="119"/>
      <c r="CU835" s="119"/>
      <c r="CV835" s="119"/>
      <c r="CW835" s="119"/>
      <c r="CX835" s="119"/>
      <c r="CY835" s="119"/>
      <c r="CZ835" s="119"/>
      <c r="DA835" s="119"/>
      <c r="DB835" s="119"/>
      <c r="DC835" s="119"/>
      <c r="DD835" s="119"/>
      <c r="DE835" s="119"/>
      <c r="DF835" s="119"/>
      <c r="DG835" s="119"/>
      <c r="DH835" s="119"/>
      <c r="DI835" s="119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119"/>
      <c r="DU835" s="119"/>
      <c r="DV835" s="119"/>
      <c r="DW835" s="119"/>
      <c r="DX835" s="119"/>
      <c r="DY835" s="119"/>
      <c r="DZ835" s="119"/>
      <c r="EA835" s="119"/>
      <c r="EB835" s="119"/>
      <c r="EC835" s="119"/>
      <c r="ED835" s="119"/>
      <c r="EE835" s="119"/>
    </row>
    <row r="836" ht="15.75" customHeight="1">
      <c r="A836" s="135"/>
      <c r="B836" s="135"/>
      <c r="C836" s="135"/>
      <c r="D836" s="135"/>
      <c r="E836" s="135"/>
      <c r="F836" s="135"/>
      <c r="G836" s="135"/>
      <c r="H836" s="135"/>
      <c r="I836" s="1"/>
      <c r="J836" s="1"/>
      <c r="K836" s="1"/>
      <c r="L836" s="1"/>
      <c r="M836" s="1"/>
      <c r="N836" s="1"/>
      <c r="O836" s="1"/>
      <c r="P836" s="1"/>
      <c r="Q836" s="1"/>
      <c r="R836" s="124"/>
      <c r="S836" s="1"/>
      <c r="T836" s="1"/>
      <c r="U836" s="1"/>
      <c r="V836" s="125"/>
      <c r="W836" s="126"/>
      <c r="X836" s="126"/>
      <c r="Y836" s="126"/>
      <c r="Z836" s="126"/>
      <c r="AA836" s="126"/>
      <c r="AB836" s="126"/>
      <c r="AC836" s="126"/>
      <c r="AD836" s="126"/>
      <c r="AE836" s="126"/>
      <c r="AF836" s="126"/>
      <c r="AG836" s="126"/>
      <c r="AH836" s="126"/>
      <c r="AI836" s="126"/>
      <c r="AJ836" s="126"/>
      <c r="AK836" s="126"/>
      <c r="AL836" s="126"/>
      <c r="AM836" s="126"/>
      <c r="AN836" s="126"/>
      <c r="AO836" s="126"/>
      <c r="AP836" s="126"/>
      <c r="AQ836" s="126"/>
      <c r="AR836" s="126"/>
      <c r="AS836" s="126"/>
      <c r="AT836" s="126"/>
      <c r="AU836" s="126"/>
      <c r="AV836" s="126"/>
      <c r="AW836" s="126"/>
      <c r="AX836" s="126"/>
      <c r="AY836" s="126"/>
      <c r="AZ836" s="126"/>
      <c r="BA836" s="126"/>
      <c r="BB836" s="126"/>
      <c r="BC836" s="126"/>
      <c r="BD836" s="126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127"/>
      <c r="BQ836" s="127"/>
      <c r="BR836" s="127"/>
      <c r="BS836" s="127"/>
      <c r="BT836" s="127"/>
      <c r="BU836" s="127"/>
      <c r="BV836" s="127"/>
      <c r="BW836" s="119"/>
      <c r="BX836" s="119"/>
      <c r="BY836" s="119"/>
      <c r="BZ836" s="119"/>
      <c r="CA836" s="119"/>
      <c r="CB836" s="119"/>
      <c r="CC836" s="119"/>
      <c r="CD836" s="119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19"/>
      <c r="CQ836" s="119"/>
      <c r="CR836" s="119"/>
      <c r="CS836" s="119"/>
      <c r="CT836" s="119"/>
      <c r="CU836" s="119"/>
      <c r="CV836" s="119"/>
      <c r="CW836" s="119"/>
      <c r="CX836" s="119"/>
      <c r="CY836" s="119"/>
      <c r="CZ836" s="119"/>
      <c r="DA836" s="119"/>
      <c r="DB836" s="119"/>
      <c r="DC836" s="119"/>
      <c r="DD836" s="119"/>
      <c r="DE836" s="119"/>
      <c r="DF836" s="119"/>
      <c r="DG836" s="119"/>
      <c r="DH836" s="119"/>
      <c r="DI836" s="119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119"/>
      <c r="DU836" s="119"/>
      <c r="DV836" s="119"/>
      <c r="DW836" s="119"/>
      <c r="DX836" s="119"/>
      <c r="DY836" s="119"/>
      <c r="DZ836" s="119"/>
      <c r="EA836" s="119"/>
      <c r="EB836" s="119"/>
      <c r="EC836" s="119"/>
      <c r="ED836" s="119"/>
      <c r="EE836" s="119"/>
    </row>
    <row r="837" ht="15.75" customHeight="1">
      <c r="A837" s="135"/>
      <c r="B837" s="135"/>
      <c r="C837" s="135"/>
      <c r="D837" s="135"/>
      <c r="E837" s="135"/>
      <c r="F837" s="135"/>
      <c r="G837" s="135"/>
      <c r="H837" s="135"/>
      <c r="I837" s="1"/>
      <c r="J837" s="1"/>
      <c r="K837" s="1"/>
      <c r="L837" s="1"/>
      <c r="M837" s="1"/>
      <c r="N837" s="1"/>
      <c r="O837" s="1"/>
      <c r="P837" s="1"/>
      <c r="Q837" s="1"/>
      <c r="R837" s="124"/>
      <c r="S837" s="1"/>
      <c r="T837" s="1"/>
      <c r="U837" s="1"/>
      <c r="V837" s="125"/>
      <c r="W837" s="126"/>
      <c r="X837" s="126"/>
      <c r="Y837" s="126"/>
      <c r="Z837" s="126"/>
      <c r="AA837" s="126"/>
      <c r="AB837" s="126"/>
      <c r="AC837" s="126"/>
      <c r="AD837" s="126"/>
      <c r="AE837" s="126"/>
      <c r="AF837" s="126"/>
      <c r="AG837" s="126"/>
      <c r="AH837" s="126"/>
      <c r="AI837" s="126"/>
      <c r="AJ837" s="126"/>
      <c r="AK837" s="126"/>
      <c r="AL837" s="126"/>
      <c r="AM837" s="126"/>
      <c r="AN837" s="126"/>
      <c r="AO837" s="126"/>
      <c r="AP837" s="126"/>
      <c r="AQ837" s="126"/>
      <c r="AR837" s="126"/>
      <c r="AS837" s="126"/>
      <c r="AT837" s="126"/>
      <c r="AU837" s="126"/>
      <c r="AV837" s="126"/>
      <c r="AW837" s="126"/>
      <c r="AX837" s="126"/>
      <c r="AY837" s="126"/>
      <c r="AZ837" s="126"/>
      <c r="BA837" s="126"/>
      <c r="BB837" s="126"/>
      <c r="BC837" s="126"/>
      <c r="BD837" s="126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127"/>
      <c r="BQ837" s="127"/>
      <c r="BR837" s="127"/>
      <c r="BS837" s="127"/>
      <c r="BT837" s="127"/>
      <c r="BU837" s="127"/>
      <c r="BV837" s="127"/>
      <c r="BW837" s="119"/>
      <c r="BX837" s="119"/>
      <c r="BY837" s="119"/>
      <c r="BZ837" s="119"/>
      <c r="CA837" s="119"/>
      <c r="CB837" s="119"/>
      <c r="CC837" s="119"/>
      <c r="CD837" s="119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19"/>
      <c r="CQ837" s="119"/>
      <c r="CR837" s="119"/>
      <c r="CS837" s="119"/>
      <c r="CT837" s="119"/>
      <c r="CU837" s="119"/>
      <c r="CV837" s="119"/>
      <c r="CW837" s="119"/>
      <c r="CX837" s="119"/>
      <c r="CY837" s="119"/>
      <c r="CZ837" s="119"/>
      <c r="DA837" s="119"/>
      <c r="DB837" s="119"/>
      <c r="DC837" s="119"/>
      <c r="DD837" s="119"/>
      <c r="DE837" s="119"/>
      <c r="DF837" s="119"/>
      <c r="DG837" s="119"/>
      <c r="DH837" s="119"/>
      <c r="DI837" s="119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119"/>
      <c r="DU837" s="119"/>
      <c r="DV837" s="119"/>
      <c r="DW837" s="119"/>
      <c r="DX837" s="119"/>
      <c r="DY837" s="119"/>
      <c r="DZ837" s="119"/>
      <c r="EA837" s="119"/>
      <c r="EB837" s="119"/>
      <c r="EC837" s="119"/>
      <c r="ED837" s="119"/>
      <c r="EE837" s="119"/>
    </row>
    <row r="838" ht="15.75" customHeight="1">
      <c r="A838" s="135"/>
      <c r="B838" s="135"/>
      <c r="C838" s="135"/>
      <c r="D838" s="135"/>
      <c r="E838" s="135"/>
      <c r="F838" s="135"/>
      <c r="G838" s="135"/>
      <c r="H838" s="135"/>
      <c r="I838" s="1"/>
      <c r="J838" s="1"/>
      <c r="K838" s="1"/>
      <c r="L838" s="1"/>
      <c r="M838" s="1"/>
      <c r="N838" s="1"/>
      <c r="O838" s="1"/>
      <c r="P838" s="1"/>
      <c r="Q838" s="1"/>
      <c r="R838" s="124"/>
      <c r="S838" s="1"/>
      <c r="T838" s="1"/>
      <c r="U838" s="1"/>
      <c r="V838" s="125"/>
      <c r="W838" s="126"/>
      <c r="X838" s="126"/>
      <c r="Y838" s="126"/>
      <c r="Z838" s="126"/>
      <c r="AA838" s="126"/>
      <c r="AB838" s="126"/>
      <c r="AC838" s="126"/>
      <c r="AD838" s="126"/>
      <c r="AE838" s="126"/>
      <c r="AF838" s="126"/>
      <c r="AG838" s="126"/>
      <c r="AH838" s="126"/>
      <c r="AI838" s="126"/>
      <c r="AJ838" s="126"/>
      <c r="AK838" s="126"/>
      <c r="AL838" s="126"/>
      <c r="AM838" s="126"/>
      <c r="AN838" s="126"/>
      <c r="AO838" s="126"/>
      <c r="AP838" s="126"/>
      <c r="AQ838" s="126"/>
      <c r="AR838" s="126"/>
      <c r="AS838" s="126"/>
      <c r="AT838" s="126"/>
      <c r="AU838" s="126"/>
      <c r="AV838" s="126"/>
      <c r="AW838" s="126"/>
      <c r="AX838" s="126"/>
      <c r="AY838" s="126"/>
      <c r="AZ838" s="126"/>
      <c r="BA838" s="126"/>
      <c r="BB838" s="126"/>
      <c r="BC838" s="126"/>
      <c r="BD838" s="126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127"/>
      <c r="BQ838" s="127"/>
      <c r="BR838" s="127"/>
      <c r="BS838" s="127"/>
      <c r="BT838" s="127"/>
      <c r="BU838" s="127"/>
      <c r="BV838" s="127"/>
      <c r="BW838" s="119"/>
      <c r="BX838" s="119"/>
      <c r="BY838" s="119"/>
      <c r="BZ838" s="119"/>
      <c r="CA838" s="119"/>
      <c r="CB838" s="119"/>
      <c r="CC838" s="119"/>
      <c r="CD838" s="119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19"/>
      <c r="CQ838" s="119"/>
      <c r="CR838" s="119"/>
      <c r="CS838" s="119"/>
      <c r="CT838" s="119"/>
      <c r="CU838" s="119"/>
      <c r="CV838" s="119"/>
      <c r="CW838" s="119"/>
      <c r="CX838" s="119"/>
      <c r="CY838" s="119"/>
      <c r="CZ838" s="119"/>
      <c r="DA838" s="119"/>
      <c r="DB838" s="119"/>
      <c r="DC838" s="119"/>
      <c r="DD838" s="119"/>
      <c r="DE838" s="119"/>
      <c r="DF838" s="119"/>
      <c r="DG838" s="119"/>
      <c r="DH838" s="119"/>
      <c r="DI838" s="119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119"/>
      <c r="DU838" s="119"/>
      <c r="DV838" s="119"/>
      <c r="DW838" s="119"/>
      <c r="DX838" s="119"/>
      <c r="DY838" s="119"/>
      <c r="DZ838" s="119"/>
      <c r="EA838" s="119"/>
      <c r="EB838" s="119"/>
      <c r="EC838" s="119"/>
      <c r="ED838" s="119"/>
      <c r="EE838" s="119"/>
    </row>
    <row r="839" ht="15.75" customHeight="1">
      <c r="A839" s="135"/>
      <c r="B839" s="135"/>
      <c r="C839" s="135"/>
      <c r="D839" s="135"/>
      <c r="E839" s="135"/>
      <c r="F839" s="135"/>
      <c r="G839" s="135"/>
      <c r="H839" s="135"/>
      <c r="I839" s="1"/>
      <c r="J839" s="1"/>
      <c r="K839" s="1"/>
      <c r="L839" s="1"/>
      <c r="M839" s="1"/>
      <c r="N839" s="1"/>
      <c r="O839" s="1"/>
      <c r="P839" s="1"/>
      <c r="Q839" s="1"/>
      <c r="R839" s="124"/>
      <c r="S839" s="1"/>
      <c r="T839" s="1"/>
      <c r="U839" s="1"/>
      <c r="V839" s="125"/>
      <c r="W839" s="126"/>
      <c r="X839" s="126"/>
      <c r="Y839" s="126"/>
      <c r="Z839" s="126"/>
      <c r="AA839" s="126"/>
      <c r="AB839" s="126"/>
      <c r="AC839" s="126"/>
      <c r="AD839" s="126"/>
      <c r="AE839" s="126"/>
      <c r="AF839" s="126"/>
      <c r="AG839" s="126"/>
      <c r="AH839" s="126"/>
      <c r="AI839" s="126"/>
      <c r="AJ839" s="126"/>
      <c r="AK839" s="126"/>
      <c r="AL839" s="126"/>
      <c r="AM839" s="126"/>
      <c r="AN839" s="126"/>
      <c r="AO839" s="126"/>
      <c r="AP839" s="126"/>
      <c r="AQ839" s="126"/>
      <c r="AR839" s="126"/>
      <c r="AS839" s="126"/>
      <c r="AT839" s="126"/>
      <c r="AU839" s="126"/>
      <c r="AV839" s="126"/>
      <c r="AW839" s="126"/>
      <c r="AX839" s="126"/>
      <c r="AY839" s="126"/>
      <c r="AZ839" s="126"/>
      <c r="BA839" s="126"/>
      <c r="BB839" s="126"/>
      <c r="BC839" s="126"/>
      <c r="BD839" s="126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127"/>
      <c r="BQ839" s="127"/>
      <c r="BR839" s="127"/>
      <c r="BS839" s="127"/>
      <c r="BT839" s="127"/>
      <c r="BU839" s="127"/>
      <c r="BV839" s="127"/>
      <c r="BW839" s="119"/>
      <c r="BX839" s="119"/>
      <c r="BY839" s="119"/>
      <c r="BZ839" s="119"/>
      <c r="CA839" s="119"/>
      <c r="CB839" s="119"/>
      <c r="CC839" s="119"/>
      <c r="CD839" s="119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19"/>
      <c r="CQ839" s="119"/>
      <c r="CR839" s="119"/>
      <c r="CS839" s="119"/>
      <c r="CT839" s="119"/>
      <c r="CU839" s="119"/>
      <c r="CV839" s="119"/>
      <c r="CW839" s="119"/>
      <c r="CX839" s="119"/>
      <c r="CY839" s="119"/>
      <c r="CZ839" s="119"/>
      <c r="DA839" s="119"/>
      <c r="DB839" s="119"/>
      <c r="DC839" s="119"/>
      <c r="DD839" s="119"/>
      <c r="DE839" s="119"/>
      <c r="DF839" s="119"/>
      <c r="DG839" s="119"/>
      <c r="DH839" s="119"/>
      <c r="DI839" s="119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119"/>
      <c r="DU839" s="119"/>
      <c r="DV839" s="119"/>
      <c r="DW839" s="119"/>
      <c r="DX839" s="119"/>
      <c r="DY839" s="119"/>
      <c r="DZ839" s="119"/>
      <c r="EA839" s="119"/>
      <c r="EB839" s="119"/>
      <c r="EC839" s="119"/>
      <c r="ED839" s="119"/>
      <c r="EE839" s="119"/>
    </row>
    <row r="840" ht="15.75" customHeight="1">
      <c r="A840" s="135"/>
      <c r="B840" s="135"/>
      <c r="C840" s="135"/>
      <c r="D840" s="135"/>
      <c r="E840" s="135"/>
      <c r="F840" s="135"/>
      <c r="G840" s="135"/>
      <c r="H840" s="135"/>
      <c r="I840" s="1"/>
      <c r="J840" s="1"/>
      <c r="K840" s="1"/>
      <c r="L840" s="1"/>
      <c r="M840" s="1"/>
      <c r="N840" s="1"/>
      <c r="O840" s="1"/>
      <c r="P840" s="1"/>
      <c r="Q840" s="1"/>
      <c r="R840" s="124"/>
      <c r="S840" s="1"/>
      <c r="T840" s="1"/>
      <c r="U840" s="1"/>
      <c r="V840" s="125"/>
      <c r="W840" s="126"/>
      <c r="X840" s="126"/>
      <c r="Y840" s="126"/>
      <c r="Z840" s="126"/>
      <c r="AA840" s="126"/>
      <c r="AB840" s="126"/>
      <c r="AC840" s="126"/>
      <c r="AD840" s="126"/>
      <c r="AE840" s="126"/>
      <c r="AF840" s="126"/>
      <c r="AG840" s="126"/>
      <c r="AH840" s="126"/>
      <c r="AI840" s="126"/>
      <c r="AJ840" s="126"/>
      <c r="AK840" s="126"/>
      <c r="AL840" s="126"/>
      <c r="AM840" s="126"/>
      <c r="AN840" s="126"/>
      <c r="AO840" s="126"/>
      <c r="AP840" s="126"/>
      <c r="AQ840" s="126"/>
      <c r="AR840" s="126"/>
      <c r="AS840" s="126"/>
      <c r="AT840" s="126"/>
      <c r="AU840" s="126"/>
      <c r="AV840" s="126"/>
      <c r="AW840" s="126"/>
      <c r="AX840" s="126"/>
      <c r="AY840" s="126"/>
      <c r="AZ840" s="126"/>
      <c r="BA840" s="126"/>
      <c r="BB840" s="126"/>
      <c r="BC840" s="126"/>
      <c r="BD840" s="126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127"/>
      <c r="BQ840" s="127"/>
      <c r="BR840" s="127"/>
      <c r="BS840" s="127"/>
      <c r="BT840" s="127"/>
      <c r="BU840" s="127"/>
      <c r="BV840" s="127"/>
      <c r="BW840" s="119"/>
      <c r="BX840" s="119"/>
      <c r="BY840" s="119"/>
      <c r="BZ840" s="119"/>
      <c r="CA840" s="119"/>
      <c r="CB840" s="119"/>
      <c r="CC840" s="119"/>
      <c r="CD840" s="119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19"/>
      <c r="CQ840" s="119"/>
      <c r="CR840" s="119"/>
      <c r="CS840" s="119"/>
      <c r="CT840" s="119"/>
      <c r="CU840" s="119"/>
      <c r="CV840" s="119"/>
      <c r="CW840" s="119"/>
      <c r="CX840" s="119"/>
      <c r="CY840" s="119"/>
      <c r="CZ840" s="119"/>
      <c r="DA840" s="119"/>
      <c r="DB840" s="119"/>
      <c r="DC840" s="119"/>
      <c r="DD840" s="119"/>
      <c r="DE840" s="119"/>
      <c r="DF840" s="119"/>
      <c r="DG840" s="119"/>
      <c r="DH840" s="119"/>
      <c r="DI840" s="119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119"/>
      <c r="DU840" s="119"/>
      <c r="DV840" s="119"/>
      <c r="DW840" s="119"/>
      <c r="DX840" s="119"/>
      <c r="DY840" s="119"/>
      <c r="DZ840" s="119"/>
      <c r="EA840" s="119"/>
      <c r="EB840" s="119"/>
      <c r="EC840" s="119"/>
      <c r="ED840" s="119"/>
      <c r="EE840" s="119"/>
    </row>
    <row r="841" ht="15.75" customHeight="1">
      <c r="A841" s="135"/>
      <c r="B841" s="135"/>
      <c r="C841" s="135"/>
      <c r="D841" s="135"/>
      <c r="E841" s="135"/>
      <c r="F841" s="135"/>
      <c r="G841" s="135"/>
      <c r="H841" s="135"/>
      <c r="I841" s="1"/>
      <c r="J841" s="1"/>
      <c r="K841" s="1"/>
      <c r="L841" s="1"/>
      <c r="M841" s="1"/>
      <c r="N841" s="1"/>
      <c r="O841" s="1"/>
      <c r="P841" s="1"/>
      <c r="Q841" s="1"/>
      <c r="R841" s="124"/>
      <c r="S841" s="1"/>
      <c r="T841" s="1"/>
      <c r="U841" s="1"/>
      <c r="V841" s="125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126"/>
      <c r="AG841" s="126"/>
      <c r="AH841" s="126"/>
      <c r="AI841" s="126"/>
      <c r="AJ841" s="126"/>
      <c r="AK841" s="126"/>
      <c r="AL841" s="126"/>
      <c r="AM841" s="126"/>
      <c r="AN841" s="126"/>
      <c r="AO841" s="126"/>
      <c r="AP841" s="126"/>
      <c r="AQ841" s="126"/>
      <c r="AR841" s="126"/>
      <c r="AS841" s="126"/>
      <c r="AT841" s="126"/>
      <c r="AU841" s="126"/>
      <c r="AV841" s="126"/>
      <c r="AW841" s="126"/>
      <c r="AX841" s="126"/>
      <c r="AY841" s="126"/>
      <c r="AZ841" s="126"/>
      <c r="BA841" s="126"/>
      <c r="BB841" s="126"/>
      <c r="BC841" s="126"/>
      <c r="BD841" s="126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127"/>
      <c r="BQ841" s="127"/>
      <c r="BR841" s="127"/>
      <c r="BS841" s="127"/>
      <c r="BT841" s="127"/>
      <c r="BU841" s="127"/>
      <c r="BV841" s="127"/>
      <c r="BW841" s="119"/>
      <c r="BX841" s="119"/>
      <c r="BY841" s="119"/>
      <c r="BZ841" s="119"/>
      <c r="CA841" s="119"/>
      <c r="CB841" s="119"/>
      <c r="CC841" s="119"/>
      <c r="CD841" s="119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19"/>
      <c r="CQ841" s="119"/>
      <c r="CR841" s="119"/>
      <c r="CS841" s="119"/>
      <c r="CT841" s="119"/>
      <c r="CU841" s="119"/>
      <c r="CV841" s="119"/>
      <c r="CW841" s="119"/>
      <c r="CX841" s="119"/>
      <c r="CY841" s="119"/>
      <c r="CZ841" s="119"/>
      <c r="DA841" s="119"/>
      <c r="DB841" s="119"/>
      <c r="DC841" s="119"/>
      <c r="DD841" s="119"/>
      <c r="DE841" s="119"/>
      <c r="DF841" s="119"/>
      <c r="DG841" s="119"/>
      <c r="DH841" s="119"/>
      <c r="DI841" s="119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119"/>
      <c r="DU841" s="119"/>
      <c r="DV841" s="119"/>
      <c r="DW841" s="119"/>
      <c r="DX841" s="119"/>
      <c r="DY841" s="119"/>
      <c r="DZ841" s="119"/>
      <c r="EA841" s="119"/>
      <c r="EB841" s="119"/>
      <c r="EC841" s="119"/>
      <c r="ED841" s="119"/>
      <c r="EE841" s="119"/>
    </row>
    <row r="842" ht="15.75" customHeight="1">
      <c r="A842" s="135"/>
      <c r="B842" s="135"/>
      <c r="C842" s="135"/>
      <c r="D842" s="135"/>
      <c r="E842" s="135"/>
      <c r="F842" s="135"/>
      <c r="G842" s="135"/>
      <c r="H842" s="135"/>
      <c r="I842" s="1"/>
      <c r="J842" s="1"/>
      <c r="K842" s="1"/>
      <c r="L842" s="1"/>
      <c r="M842" s="1"/>
      <c r="N842" s="1"/>
      <c r="O842" s="1"/>
      <c r="P842" s="1"/>
      <c r="Q842" s="1"/>
      <c r="R842" s="124"/>
      <c r="S842" s="1"/>
      <c r="T842" s="1"/>
      <c r="U842" s="1"/>
      <c r="V842" s="125"/>
      <c r="W842" s="126"/>
      <c r="X842" s="126"/>
      <c r="Y842" s="126"/>
      <c r="Z842" s="126"/>
      <c r="AA842" s="126"/>
      <c r="AB842" s="126"/>
      <c r="AC842" s="126"/>
      <c r="AD842" s="126"/>
      <c r="AE842" s="126"/>
      <c r="AF842" s="126"/>
      <c r="AG842" s="126"/>
      <c r="AH842" s="126"/>
      <c r="AI842" s="126"/>
      <c r="AJ842" s="126"/>
      <c r="AK842" s="126"/>
      <c r="AL842" s="126"/>
      <c r="AM842" s="126"/>
      <c r="AN842" s="126"/>
      <c r="AO842" s="126"/>
      <c r="AP842" s="126"/>
      <c r="AQ842" s="126"/>
      <c r="AR842" s="126"/>
      <c r="AS842" s="126"/>
      <c r="AT842" s="126"/>
      <c r="AU842" s="126"/>
      <c r="AV842" s="126"/>
      <c r="AW842" s="126"/>
      <c r="AX842" s="126"/>
      <c r="AY842" s="126"/>
      <c r="AZ842" s="126"/>
      <c r="BA842" s="126"/>
      <c r="BB842" s="126"/>
      <c r="BC842" s="126"/>
      <c r="BD842" s="126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127"/>
      <c r="BQ842" s="127"/>
      <c r="BR842" s="127"/>
      <c r="BS842" s="127"/>
      <c r="BT842" s="127"/>
      <c r="BU842" s="127"/>
      <c r="BV842" s="127"/>
      <c r="BW842" s="119"/>
      <c r="BX842" s="119"/>
      <c r="BY842" s="119"/>
      <c r="BZ842" s="119"/>
      <c r="CA842" s="119"/>
      <c r="CB842" s="119"/>
      <c r="CC842" s="119"/>
      <c r="CD842" s="119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19"/>
      <c r="CQ842" s="119"/>
      <c r="CR842" s="119"/>
      <c r="CS842" s="119"/>
      <c r="CT842" s="119"/>
      <c r="CU842" s="119"/>
      <c r="CV842" s="119"/>
      <c r="CW842" s="119"/>
      <c r="CX842" s="119"/>
      <c r="CY842" s="119"/>
      <c r="CZ842" s="119"/>
      <c r="DA842" s="119"/>
      <c r="DB842" s="119"/>
      <c r="DC842" s="119"/>
      <c r="DD842" s="119"/>
      <c r="DE842" s="119"/>
      <c r="DF842" s="119"/>
      <c r="DG842" s="119"/>
      <c r="DH842" s="119"/>
      <c r="DI842" s="119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119"/>
      <c r="DU842" s="119"/>
      <c r="DV842" s="119"/>
      <c r="DW842" s="119"/>
      <c r="DX842" s="119"/>
      <c r="DY842" s="119"/>
      <c r="DZ842" s="119"/>
      <c r="EA842" s="119"/>
      <c r="EB842" s="119"/>
      <c r="EC842" s="119"/>
      <c r="ED842" s="119"/>
      <c r="EE842" s="119"/>
    </row>
    <row r="843" ht="15.75" customHeight="1">
      <c r="A843" s="135"/>
      <c r="B843" s="135"/>
      <c r="C843" s="135"/>
      <c r="D843" s="135"/>
      <c r="E843" s="135"/>
      <c r="F843" s="135"/>
      <c r="G843" s="135"/>
      <c r="H843" s="135"/>
      <c r="I843" s="1"/>
      <c r="J843" s="1"/>
      <c r="K843" s="1"/>
      <c r="L843" s="1"/>
      <c r="M843" s="1"/>
      <c r="N843" s="1"/>
      <c r="O843" s="1"/>
      <c r="P843" s="1"/>
      <c r="Q843" s="1"/>
      <c r="R843" s="124"/>
      <c r="S843" s="1"/>
      <c r="T843" s="1"/>
      <c r="U843" s="1"/>
      <c r="V843" s="125"/>
      <c r="W843" s="126"/>
      <c r="X843" s="126"/>
      <c r="Y843" s="126"/>
      <c r="Z843" s="126"/>
      <c r="AA843" s="126"/>
      <c r="AB843" s="126"/>
      <c r="AC843" s="126"/>
      <c r="AD843" s="126"/>
      <c r="AE843" s="126"/>
      <c r="AF843" s="126"/>
      <c r="AG843" s="126"/>
      <c r="AH843" s="126"/>
      <c r="AI843" s="126"/>
      <c r="AJ843" s="126"/>
      <c r="AK843" s="126"/>
      <c r="AL843" s="126"/>
      <c r="AM843" s="126"/>
      <c r="AN843" s="126"/>
      <c r="AO843" s="126"/>
      <c r="AP843" s="126"/>
      <c r="AQ843" s="126"/>
      <c r="AR843" s="126"/>
      <c r="AS843" s="126"/>
      <c r="AT843" s="126"/>
      <c r="AU843" s="126"/>
      <c r="AV843" s="126"/>
      <c r="AW843" s="126"/>
      <c r="AX843" s="126"/>
      <c r="AY843" s="126"/>
      <c r="AZ843" s="126"/>
      <c r="BA843" s="126"/>
      <c r="BB843" s="126"/>
      <c r="BC843" s="126"/>
      <c r="BD843" s="126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127"/>
      <c r="BQ843" s="127"/>
      <c r="BR843" s="127"/>
      <c r="BS843" s="127"/>
      <c r="BT843" s="127"/>
      <c r="BU843" s="127"/>
      <c r="BV843" s="127"/>
      <c r="BW843" s="119"/>
      <c r="BX843" s="119"/>
      <c r="BY843" s="119"/>
      <c r="BZ843" s="119"/>
      <c r="CA843" s="119"/>
      <c r="CB843" s="119"/>
      <c r="CC843" s="119"/>
      <c r="CD843" s="119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19"/>
      <c r="CQ843" s="119"/>
      <c r="CR843" s="119"/>
      <c r="CS843" s="119"/>
      <c r="CT843" s="119"/>
      <c r="CU843" s="119"/>
      <c r="CV843" s="119"/>
      <c r="CW843" s="119"/>
      <c r="CX843" s="119"/>
      <c r="CY843" s="119"/>
      <c r="CZ843" s="119"/>
      <c r="DA843" s="119"/>
      <c r="DB843" s="119"/>
      <c r="DC843" s="119"/>
      <c r="DD843" s="119"/>
      <c r="DE843" s="119"/>
      <c r="DF843" s="119"/>
      <c r="DG843" s="119"/>
      <c r="DH843" s="119"/>
      <c r="DI843" s="119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119"/>
      <c r="DU843" s="119"/>
      <c r="DV843" s="119"/>
      <c r="DW843" s="119"/>
      <c r="DX843" s="119"/>
      <c r="DY843" s="119"/>
      <c r="DZ843" s="119"/>
      <c r="EA843" s="119"/>
      <c r="EB843" s="119"/>
      <c r="EC843" s="119"/>
      <c r="ED843" s="119"/>
      <c r="EE843" s="119"/>
    </row>
    <row r="844" ht="15.75" customHeight="1">
      <c r="A844" s="135"/>
      <c r="B844" s="135"/>
      <c r="C844" s="135"/>
      <c r="D844" s="135"/>
      <c r="E844" s="135"/>
      <c r="F844" s="135"/>
      <c r="G844" s="135"/>
      <c r="H844" s="135"/>
      <c r="I844" s="1"/>
      <c r="J844" s="1"/>
      <c r="K844" s="1"/>
      <c r="L844" s="1"/>
      <c r="M844" s="1"/>
      <c r="N844" s="1"/>
      <c r="O844" s="1"/>
      <c r="P844" s="1"/>
      <c r="Q844" s="1"/>
      <c r="R844" s="124"/>
      <c r="S844" s="1"/>
      <c r="T844" s="1"/>
      <c r="U844" s="1"/>
      <c r="V844" s="125"/>
      <c r="W844" s="126"/>
      <c r="X844" s="126"/>
      <c r="Y844" s="126"/>
      <c r="Z844" s="126"/>
      <c r="AA844" s="126"/>
      <c r="AB844" s="126"/>
      <c r="AC844" s="126"/>
      <c r="AD844" s="126"/>
      <c r="AE844" s="126"/>
      <c r="AF844" s="126"/>
      <c r="AG844" s="126"/>
      <c r="AH844" s="126"/>
      <c r="AI844" s="126"/>
      <c r="AJ844" s="126"/>
      <c r="AK844" s="126"/>
      <c r="AL844" s="126"/>
      <c r="AM844" s="126"/>
      <c r="AN844" s="126"/>
      <c r="AO844" s="126"/>
      <c r="AP844" s="126"/>
      <c r="AQ844" s="126"/>
      <c r="AR844" s="126"/>
      <c r="AS844" s="126"/>
      <c r="AT844" s="126"/>
      <c r="AU844" s="126"/>
      <c r="AV844" s="126"/>
      <c r="AW844" s="126"/>
      <c r="AX844" s="126"/>
      <c r="AY844" s="126"/>
      <c r="AZ844" s="126"/>
      <c r="BA844" s="126"/>
      <c r="BB844" s="126"/>
      <c r="BC844" s="126"/>
      <c r="BD844" s="126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127"/>
      <c r="BQ844" s="127"/>
      <c r="BR844" s="127"/>
      <c r="BS844" s="127"/>
      <c r="BT844" s="127"/>
      <c r="BU844" s="127"/>
      <c r="BV844" s="127"/>
      <c r="BW844" s="119"/>
      <c r="BX844" s="119"/>
      <c r="BY844" s="119"/>
      <c r="BZ844" s="119"/>
      <c r="CA844" s="119"/>
      <c r="CB844" s="119"/>
      <c r="CC844" s="119"/>
      <c r="CD844" s="119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19"/>
      <c r="CQ844" s="119"/>
      <c r="CR844" s="119"/>
      <c r="CS844" s="119"/>
      <c r="CT844" s="119"/>
      <c r="CU844" s="119"/>
      <c r="CV844" s="119"/>
      <c r="CW844" s="119"/>
      <c r="CX844" s="119"/>
      <c r="CY844" s="119"/>
      <c r="CZ844" s="119"/>
      <c r="DA844" s="119"/>
      <c r="DB844" s="119"/>
      <c r="DC844" s="119"/>
      <c r="DD844" s="119"/>
      <c r="DE844" s="119"/>
      <c r="DF844" s="119"/>
      <c r="DG844" s="119"/>
      <c r="DH844" s="119"/>
      <c r="DI844" s="119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119"/>
      <c r="DU844" s="119"/>
      <c r="DV844" s="119"/>
      <c r="DW844" s="119"/>
      <c r="DX844" s="119"/>
      <c r="DY844" s="119"/>
      <c r="DZ844" s="119"/>
      <c r="EA844" s="119"/>
      <c r="EB844" s="119"/>
      <c r="EC844" s="119"/>
      <c r="ED844" s="119"/>
      <c r="EE844" s="119"/>
    </row>
    <row r="845" ht="15.75" customHeight="1">
      <c r="A845" s="135"/>
      <c r="B845" s="135"/>
      <c r="C845" s="135"/>
      <c r="D845" s="135"/>
      <c r="E845" s="135"/>
      <c r="F845" s="135"/>
      <c r="G845" s="135"/>
      <c r="H845" s="135"/>
      <c r="I845" s="1"/>
      <c r="J845" s="1"/>
      <c r="K845" s="1"/>
      <c r="L845" s="1"/>
      <c r="M845" s="1"/>
      <c r="N845" s="1"/>
      <c r="O845" s="1"/>
      <c r="P845" s="1"/>
      <c r="Q845" s="1"/>
      <c r="R845" s="124"/>
      <c r="S845" s="1"/>
      <c r="T845" s="1"/>
      <c r="U845" s="1"/>
      <c r="V845" s="125"/>
      <c r="W845" s="126"/>
      <c r="X845" s="126"/>
      <c r="Y845" s="126"/>
      <c r="Z845" s="126"/>
      <c r="AA845" s="126"/>
      <c r="AB845" s="126"/>
      <c r="AC845" s="126"/>
      <c r="AD845" s="126"/>
      <c r="AE845" s="126"/>
      <c r="AF845" s="126"/>
      <c r="AG845" s="126"/>
      <c r="AH845" s="126"/>
      <c r="AI845" s="126"/>
      <c r="AJ845" s="126"/>
      <c r="AK845" s="126"/>
      <c r="AL845" s="126"/>
      <c r="AM845" s="126"/>
      <c r="AN845" s="126"/>
      <c r="AO845" s="126"/>
      <c r="AP845" s="126"/>
      <c r="AQ845" s="126"/>
      <c r="AR845" s="126"/>
      <c r="AS845" s="126"/>
      <c r="AT845" s="126"/>
      <c r="AU845" s="126"/>
      <c r="AV845" s="126"/>
      <c r="AW845" s="126"/>
      <c r="AX845" s="126"/>
      <c r="AY845" s="126"/>
      <c r="AZ845" s="126"/>
      <c r="BA845" s="126"/>
      <c r="BB845" s="126"/>
      <c r="BC845" s="126"/>
      <c r="BD845" s="126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127"/>
      <c r="BQ845" s="127"/>
      <c r="BR845" s="127"/>
      <c r="BS845" s="127"/>
      <c r="BT845" s="127"/>
      <c r="BU845" s="127"/>
      <c r="BV845" s="127"/>
      <c r="BW845" s="119"/>
      <c r="BX845" s="119"/>
      <c r="BY845" s="119"/>
      <c r="BZ845" s="119"/>
      <c r="CA845" s="119"/>
      <c r="CB845" s="119"/>
      <c r="CC845" s="119"/>
      <c r="CD845" s="119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19"/>
      <c r="CQ845" s="119"/>
      <c r="CR845" s="119"/>
      <c r="CS845" s="119"/>
      <c r="CT845" s="119"/>
      <c r="CU845" s="119"/>
      <c r="CV845" s="119"/>
      <c r="CW845" s="119"/>
      <c r="CX845" s="119"/>
      <c r="CY845" s="119"/>
      <c r="CZ845" s="119"/>
      <c r="DA845" s="119"/>
      <c r="DB845" s="119"/>
      <c r="DC845" s="119"/>
      <c r="DD845" s="119"/>
      <c r="DE845" s="119"/>
      <c r="DF845" s="119"/>
      <c r="DG845" s="119"/>
      <c r="DH845" s="119"/>
      <c r="DI845" s="119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119"/>
      <c r="DU845" s="119"/>
      <c r="DV845" s="119"/>
      <c r="DW845" s="119"/>
      <c r="DX845" s="119"/>
      <c r="DY845" s="119"/>
      <c r="DZ845" s="119"/>
      <c r="EA845" s="119"/>
      <c r="EB845" s="119"/>
      <c r="EC845" s="119"/>
      <c r="ED845" s="119"/>
      <c r="EE845" s="119"/>
    </row>
    <row r="846" ht="15.75" customHeight="1">
      <c r="A846" s="135"/>
      <c r="B846" s="135"/>
      <c r="C846" s="135"/>
      <c r="D846" s="135"/>
      <c r="E846" s="135"/>
      <c r="F846" s="135"/>
      <c r="G846" s="135"/>
      <c r="H846" s="135"/>
      <c r="I846" s="1"/>
      <c r="J846" s="1"/>
      <c r="K846" s="1"/>
      <c r="L846" s="1"/>
      <c r="M846" s="1"/>
      <c r="N846" s="1"/>
      <c r="O846" s="1"/>
      <c r="P846" s="1"/>
      <c r="Q846" s="1"/>
      <c r="R846" s="124"/>
      <c r="S846" s="1"/>
      <c r="T846" s="1"/>
      <c r="U846" s="1"/>
      <c r="V846" s="125"/>
      <c r="W846" s="126"/>
      <c r="X846" s="126"/>
      <c r="Y846" s="126"/>
      <c r="Z846" s="126"/>
      <c r="AA846" s="126"/>
      <c r="AB846" s="126"/>
      <c r="AC846" s="126"/>
      <c r="AD846" s="126"/>
      <c r="AE846" s="126"/>
      <c r="AF846" s="126"/>
      <c r="AG846" s="126"/>
      <c r="AH846" s="126"/>
      <c r="AI846" s="126"/>
      <c r="AJ846" s="126"/>
      <c r="AK846" s="126"/>
      <c r="AL846" s="126"/>
      <c r="AM846" s="126"/>
      <c r="AN846" s="126"/>
      <c r="AO846" s="126"/>
      <c r="AP846" s="126"/>
      <c r="AQ846" s="126"/>
      <c r="AR846" s="126"/>
      <c r="AS846" s="126"/>
      <c r="AT846" s="126"/>
      <c r="AU846" s="126"/>
      <c r="AV846" s="126"/>
      <c r="AW846" s="126"/>
      <c r="AX846" s="126"/>
      <c r="AY846" s="126"/>
      <c r="AZ846" s="126"/>
      <c r="BA846" s="126"/>
      <c r="BB846" s="126"/>
      <c r="BC846" s="126"/>
      <c r="BD846" s="126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127"/>
      <c r="BQ846" s="127"/>
      <c r="BR846" s="127"/>
      <c r="BS846" s="127"/>
      <c r="BT846" s="127"/>
      <c r="BU846" s="127"/>
      <c r="BV846" s="127"/>
      <c r="BW846" s="119"/>
      <c r="BX846" s="119"/>
      <c r="BY846" s="119"/>
      <c r="BZ846" s="119"/>
      <c r="CA846" s="119"/>
      <c r="CB846" s="119"/>
      <c r="CC846" s="119"/>
      <c r="CD846" s="119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19"/>
      <c r="CQ846" s="119"/>
      <c r="CR846" s="119"/>
      <c r="CS846" s="119"/>
      <c r="CT846" s="119"/>
      <c r="CU846" s="119"/>
      <c r="CV846" s="119"/>
      <c r="CW846" s="119"/>
      <c r="CX846" s="119"/>
      <c r="CY846" s="119"/>
      <c r="CZ846" s="119"/>
      <c r="DA846" s="119"/>
      <c r="DB846" s="119"/>
      <c r="DC846" s="119"/>
      <c r="DD846" s="119"/>
      <c r="DE846" s="119"/>
      <c r="DF846" s="119"/>
      <c r="DG846" s="119"/>
      <c r="DH846" s="119"/>
      <c r="DI846" s="119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119"/>
      <c r="DU846" s="119"/>
      <c r="DV846" s="119"/>
      <c r="DW846" s="119"/>
      <c r="DX846" s="119"/>
      <c r="DY846" s="119"/>
      <c r="DZ846" s="119"/>
      <c r="EA846" s="119"/>
      <c r="EB846" s="119"/>
      <c r="EC846" s="119"/>
      <c r="ED846" s="119"/>
      <c r="EE846" s="119"/>
    </row>
    <row r="847" ht="15.75" customHeight="1">
      <c r="A847" s="135"/>
      <c r="B847" s="135"/>
      <c r="C847" s="135"/>
      <c r="D847" s="135"/>
      <c r="E847" s="135"/>
      <c r="F847" s="135"/>
      <c r="G847" s="135"/>
      <c r="H847" s="135"/>
      <c r="I847" s="1"/>
      <c r="J847" s="1"/>
      <c r="K847" s="1"/>
      <c r="L847" s="1"/>
      <c r="M847" s="1"/>
      <c r="N847" s="1"/>
      <c r="O847" s="1"/>
      <c r="P847" s="1"/>
      <c r="Q847" s="1"/>
      <c r="R847" s="124"/>
      <c r="S847" s="1"/>
      <c r="T847" s="1"/>
      <c r="U847" s="1"/>
      <c r="V847" s="125"/>
      <c r="W847" s="126"/>
      <c r="X847" s="126"/>
      <c r="Y847" s="126"/>
      <c r="Z847" s="126"/>
      <c r="AA847" s="126"/>
      <c r="AB847" s="126"/>
      <c r="AC847" s="126"/>
      <c r="AD847" s="126"/>
      <c r="AE847" s="126"/>
      <c r="AF847" s="126"/>
      <c r="AG847" s="126"/>
      <c r="AH847" s="126"/>
      <c r="AI847" s="126"/>
      <c r="AJ847" s="126"/>
      <c r="AK847" s="126"/>
      <c r="AL847" s="126"/>
      <c r="AM847" s="126"/>
      <c r="AN847" s="126"/>
      <c r="AO847" s="126"/>
      <c r="AP847" s="126"/>
      <c r="AQ847" s="126"/>
      <c r="AR847" s="126"/>
      <c r="AS847" s="126"/>
      <c r="AT847" s="126"/>
      <c r="AU847" s="126"/>
      <c r="AV847" s="126"/>
      <c r="AW847" s="126"/>
      <c r="AX847" s="126"/>
      <c r="AY847" s="126"/>
      <c r="AZ847" s="126"/>
      <c r="BA847" s="126"/>
      <c r="BB847" s="126"/>
      <c r="BC847" s="126"/>
      <c r="BD847" s="126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127"/>
      <c r="BQ847" s="127"/>
      <c r="BR847" s="127"/>
      <c r="BS847" s="127"/>
      <c r="BT847" s="127"/>
      <c r="BU847" s="127"/>
      <c r="BV847" s="127"/>
      <c r="BW847" s="119"/>
      <c r="BX847" s="119"/>
      <c r="BY847" s="119"/>
      <c r="BZ847" s="119"/>
      <c r="CA847" s="119"/>
      <c r="CB847" s="119"/>
      <c r="CC847" s="119"/>
      <c r="CD847" s="119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19"/>
      <c r="CQ847" s="119"/>
      <c r="CR847" s="119"/>
      <c r="CS847" s="119"/>
      <c r="CT847" s="119"/>
      <c r="CU847" s="119"/>
      <c r="CV847" s="119"/>
      <c r="CW847" s="119"/>
      <c r="CX847" s="119"/>
      <c r="CY847" s="119"/>
      <c r="CZ847" s="119"/>
      <c r="DA847" s="119"/>
      <c r="DB847" s="119"/>
      <c r="DC847" s="119"/>
      <c r="DD847" s="119"/>
      <c r="DE847" s="119"/>
      <c r="DF847" s="119"/>
      <c r="DG847" s="119"/>
      <c r="DH847" s="119"/>
      <c r="DI847" s="119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119"/>
      <c r="DU847" s="119"/>
      <c r="DV847" s="119"/>
      <c r="DW847" s="119"/>
      <c r="DX847" s="119"/>
      <c r="DY847" s="119"/>
      <c r="DZ847" s="119"/>
      <c r="EA847" s="119"/>
      <c r="EB847" s="119"/>
      <c r="EC847" s="119"/>
      <c r="ED847" s="119"/>
      <c r="EE847" s="119"/>
    </row>
    <row r="848" ht="15.75" customHeight="1">
      <c r="A848" s="135"/>
      <c r="B848" s="135"/>
      <c r="C848" s="135"/>
      <c r="D848" s="135"/>
      <c r="E848" s="135"/>
      <c r="F848" s="135"/>
      <c r="G848" s="135"/>
      <c r="H848" s="135"/>
      <c r="I848" s="1"/>
      <c r="J848" s="1"/>
      <c r="K848" s="1"/>
      <c r="L848" s="1"/>
      <c r="M848" s="1"/>
      <c r="N848" s="1"/>
      <c r="O848" s="1"/>
      <c r="P848" s="1"/>
      <c r="Q848" s="1"/>
      <c r="R848" s="124"/>
      <c r="S848" s="1"/>
      <c r="T848" s="1"/>
      <c r="U848" s="1"/>
      <c r="V848" s="125"/>
      <c r="W848" s="126"/>
      <c r="X848" s="126"/>
      <c r="Y848" s="126"/>
      <c r="Z848" s="126"/>
      <c r="AA848" s="126"/>
      <c r="AB848" s="126"/>
      <c r="AC848" s="126"/>
      <c r="AD848" s="126"/>
      <c r="AE848" s="126"/>
      <c r="AF848" s="126"/>
      <c r="AG848" s="126"/>
      <c r="AH848" s="126"/>
      <c r="AI848" s="126"/>
      <c r="AJ848" s="126"/>
      <c r="AK848" s="126"/>
      <c r="AL848" s="126"/>
      <c r="AM848" s="126"/>
      <c r="AN848" s="126"/>
      <c r="AO848" s="126"/>
      <c r="AP848" s="126"/>
      <c r="AQ848" s="126"/>
      <c r="AR848" s="126"/>
      <c r="AS848" s="126"/>
      <c r="AT848" s="126"/>
      <c r="AU848" s="126"/>
      <c r="AV848" s="126"/>
      <c r="AW848" s="126"/>
      <c r="AX848" s="126"/>
      <c r="AY848" s="126"/>
      <c r="AZ848" s="126"/>
      <c r="BA848" s="126"/>
      <c r="BB848" s="126"/>
      <c r="BC848" s="126"/>
      <c r="BD848" s="126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127"/>
      <c r="BQ848" s="127"/>
      <c r="BR848" s="127"/>
      <c r="BS848" s="127"/>
      <c r="BT848" s="127"/>
      <c r="BU848" s="127"/>
      <c r="BV848" s="127"/>
      <c r="BW848" s="119"/>
      <c r="BX848" s="119"/>
      <c r="BY848" s="119"/>
      <c r="BZ848" s="119"/>
      <c r="CA848" s="119"/>
      <c r="CB848" s="119"/>
      <c r="CC848" s="119"/>
      <c r="CD848" s="119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19"/>
      <c r="CQ848" s="119"/>
      <c r="CR848" s="119"/>
      <c r="CS848" s="119"/>
      <c r="CT848" s="119"/>
      <c r="CU848" s="119"/>
      <c r="CV848" s="119"/>
      <c r="CW848" s="119"/>
      <c r="CX848" s="119"/>
      <c r="CY848" s="119"/>
      <c r="CZ848" s="119"/>
      <c r="DA848" s="119"/>
      <c r="DB848" s="119"/>
      <c r="DC848" s="119"/>
      <c r="DD848" s="119"/>
      <c r="DE848" s="119"/>
      <c r="DF848" s="119"/>
      <c r="DG848" s="119"/>
      <c r="DH848" s="119"/>
      <c r="DI848" s="119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119"/>
      <c r="DU848" s="119"/>
      <c r="DV848" s="119"/>
      <c r="DW848" s="119"/>
      <c r="DX848" s="119"/>
      <c r="DY848" s="119"/>
      <c r="DZ848" s="119"/>
      <c r="EA848" s="119"/>
      <c r="EB848" s="119"/>
      <c r="EC848" s="119"/>
      <c r="ED848" s="119"/>
      <c r="EE848" s="119"/>
    </row>
    <row r="849" ht="15.75" customHeight="1">
      <c r="A849" s="135"/>
      <c r="B849" s="135"/>
      <c r="C849" s="135"/>
      <c r="D849" s="135"/>
      <c r="E849" s="135"/>
      <c r="F849" s="135"/>
      <c r="G849" s="135"/>
      <c r="H849" s="135"/>
      <c r="I849" s="1"/>
      <c r="J849" s="1"/>
      <c r="K849" s="1"/>
      <c r="L849" s="1"/>
      <c r="M849" s="1"/>
      <c r="N849" s="1"/>
      <c r="O849" s="1"/>
      <c r="P849" s="1"/>
      <c r="Q849" s="1"/>
      <c r="R849" s="124"/>
      <c r="S849" s="1"/>
      <c r="T849" s="1"/>
      <c r="U849" s="1"/>
      <c r="V849" s="125"/>
      <c r="W849" s="126"/>
      <c r="X849" s="126"/>
      <c r="Y849" s="126"/>
      <c r="Z849" s="126"/>
      <c r="AA849" s="126"/>
      <c r="AB849" s="126"/>
      <c r="AC849" s="126"/>
      <c r="AD849" s="126"/>
      <c r="AE849" s="126"/>
      <c r="AF849" s="126"/>
      <c r="AG849" s="126"/>
      <c r="AH849" s="126"/>
      <c r="AI849" s="126"/>
      <c r="AJ849" s="126"/>
      <c r="AK849" s="126"/>
      <c r="AL849" s="126"/>
      <c r="AM849" s="126"/>
      <c r="AN849" s="126"/>
      <c r="AO849" s="126"/>
      <c r="AP849" s="126"/>
      <c r="AQ849" s="126"/>
      <c r="AR849" s="126"/>
      <c r="AS849" s="126"/>
      <c r="AT849" s="126"/>
      <c r="AU849" s="126"/>
      <c r="AV849" s="126"/>
      <c r="AW849" s="126"/>
      <c r="AX849" s="126"/>
      <c r="AY849" s="126"/>
      <c r="AZ849" s="126"/>
      <c r="BA849" s="126"/>
      <c r="BB849" s="126"/>
      <c r="BC849" s="126"/>
      <c r="BD849" s="126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127"/>
      <c r="BQ849" s="127"/>
      <c r="BR849" s="127"/>
      <c r="BS849" s="127"/>
      <c r="BT849" s="127"/>
      <c r="BU849" s="127"/>
      <c r="BV849" s="127"/>
      <c r="BW849" s="119"/>
      <c r="BX849" s="119"/>
      <c r="BY849" s="119"/>
      <c r="BZ849" s="119"/>
      <c r="CA849" s="119"/>
      <c r="CB849" s="119"/>
      <c r="CC849" s="119"/>
      <c r="CD849" s="119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19"/>
      <c r="CQ849" s="119"/>
      <c r="CR849" s="119"/>
      <c r="CS849" s="119"/>
      <c r="CT849" s="119"/>
      <c r="CU849" s="119"/>
      <c r="CV849" s="119"/>
      <c r="CW849" s="119"/>
      <c r="CX849" s="119"/>
      <c r="CY849" s="119"/>
      <c r="CZ849" s="119"/>
      <c r="DA849" s="119"/>
      <c r="DB849" s="119"/>
      <c r="DC849" s="119"/>
      <c r="DD849" s="119"/>
      <c r="DE849" s="119"/>
      <c r="DF849" s="119"/>
      <c r="DG849" s="119"/>
      <c r="DH849" s="119"/>
      <c r="DI849" s="119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119"/>
      <c r="DU849" s="119"/>
      <c r="DV849" s="119"/>
      <c r="DW849" s="119"/>
      <c r="DX849" s="119"/>
      <c r="DY849" s="119"/>
      <c r="DZ849" s="119"/>
      <c r="EA849" s="119"/>
      <c r="EB849" s="119"/>
      <c r="EC849" s="119"/>
      <c r="ED849" s="119"/>
      <c r="EE849" s="119"/>
    </row>
    <row r="850" ht="15.75" customHeight="1">
      <c r="A850" s="135"/>
      <c r="B850" s="135"/>
      <c r="C850" s="135"/>
      <c r="D850" s="135"/>
      <c r="E850" s="135"/>
      <c r="F850" s="135"/>
      <c r="G850" s="135"/>
      <c r="H850" s="135"/>
      <c r="I850" s="1"/>
      <c r="J850" s="1"/>
      <c r="K850" s="1"/>
      <c r="L850" s="1"/>
      <c r="M850" s="1"/>
      <c r="N850" s="1"/>
      <c r="O850" s="1"/>
      <c r="P850" s="1"/>
      <c r="Q850" s="1"/>
      <c r="R850" s="124"/>
      <c r="S850" s="1"/>
      <c r="T850" s="1"/>
      <c r="U850" s="1"/>
      <c r="V850" s="125"/>
      <c r="W850" s="126"/>
      <c r="X850" s="126"/>
      <c r="Y850" s="126"/>
      <c r="Z850" s="126"/>
      <c r="AA850" s="126"/>
      <c r="AB850" s="126"/>
      <c r="AC850" s="126"/>
      <c r="AD850" s="126"/>
      <c r="AE850" s="126"/>
      <c r="AF850" s="126"/>
      <c r="AG850" s="126"/>
      <c r="AH850" s="126"/>
      <c r="AI850" s="126"/>
      <c r="AJ850" s="126"/>
      <c r="AK850" s="126"/>
      <c r="AL850" s="126"/>
      <c r="AM850" s="126"/>
      <c r="AN850" s="126"/>
      <c r="AO850" s="126"/>
      <c r="AP850" s="126"/>
      <c r="AQ850" s="126"/>
      <c r="AR850" s="126"/>
      <c r="AS850" s="126"/>
      <c r="AT850" s="126"/>
      <c r="AU850" s="126"/>
      <c r="AV850" s="126"/>
      <c r="AW850" s="126"/>
      <c r="AX850" s="126"/>
      <c r="AY850" s="126"/>
      <c r="AZ850" s="126"/>
      <c r="BA850" s="126"/>
      <c r="BB850" s="126"/>
      <c r="BC850" s="126"/>
      <c r="BD850" s="126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127"/>
      <c r="BQ850" s="127"/>
      <c r="BR850" s="127"/>
      <c r="BS850" s="127"/>
      <c r="BT850" s="127"/>
      <c r="BU850" s="127"/>
      <c r="BV850" s="127"/>
      <c r="BW850" s="119"/>
      <c r="BX850" s="119"/>
      <c r="BY850" s="119"/>
      <c r="BZ850" s="119"/>
      <c r="CA850" s="119"/>
      <c r="CB850" s="119"/>
      <c r="CC850" s="119"/>
      <c r="CD850" s="119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19"/>
      <c r="CQ850" s="119"/>
      <c r="CR850" s="119"/>
      <c r="CS850" s="119"/>
      <c r="CT850" s="119"/>
      <c r="CU850" s="119"/>
      <c r="CV850" s="119"/>
      <c r="CW850" s="119"/>
      <c r="CX850" s="119"/>
      <c r="CY850" s="119"/>
      <c r="CZ850" s="119"/>
      <c r="DA850" s="119"/>
      <c r="DB850" s="119"/>
      <c r="DC850" s="119"/>
      <c r="DD850" s="119"/>
      <c r="DE850" s="119"/>
      <c r="DF850" s="119"/>
      <c r="DG850" s="119"/>
      <c r="DH850" s="119"/>
      <c r="DI850" s="119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119"/>
      <c r="DU850" s="119"/>
      <c r="DV850" s="119"/>
      <c r="DW850" s="119"/>
      <c r="DX850" s="119"/>
      <c r="DY850" s="119"/>
      <c r="DZ850" s="119"/>
      <c r="EA850" s="119"/>
      <c r="EB850" s="119"/>
      <c r="EC850" s="119"/>
      <c r="ED850" s="119"/>
      <c r="EE850" s="119"/>
    </row>
    <row r="851" ht="15.75" customHeight="1">
      <c r="A851" s="135"/>
      <c r="B851" s="135"/>
      <c r="C851" s="135"/>
      <c r="D851" s="135"/>
      <c r="E851" s="135"/>
      <c r="F851" s="135"/>
      <c r="G851" s="135"/>
      <c r="H851" s="135"/>
      <c r="I851" s="1"/>
      <c r="J851" s="1"/>
      <c r="K851" s="1"/>
      <c r="L851" s="1"/>
      <c r="M851" s="1"/>
      <c r="N851" s="1"/>
      <c r="O851" s="1"/>
      <c r="P851" s="1"/>
      <c r="Q851" s="1"/>
      <c r="R851" s="124"/>
      <c r="S851" s="1"/>
      <c r="T851" s="1"/>
      <c r="U851" s="1"/>
      <c r="V851" s="125"/>
      <c r="W851" s="126"/>
      <c r="X851" s="126"/>
      <c r="Y851" s="126"/>
      <c r="Z851" s="126"/>
      <c r="AA851" s="126"/>
      <c r="AB851" s="126"/>
      <c r="AC851" s="126"/>
      <c r="AD851" s="126"/>
      <c r="AE851" s="126"/>
      <c r="AF851" s="126"/>
      <c r="AG851" s="126"/>
      <c r="AH851" s="126"/>
      <c r="AI851" s="126"/>
      <c r="AJ851" s="126"/>
      <c r="AK851" s="126"/>
      <c r="AL851" s="126"/>
      <c r="AM851" s="126"/>
      <c r="AN851" s="126"/>
      <c r="AO851" s="126"/>
      <c r="AP851" s="126"/>
      <c r="AQ851" s="126"/>
      <c r="AR851" s="126"/>
      <c r="AS851" s="126"/>
      <c r="AT851" s="126"/>
      <c r="AU851" s="126"/>
      <c r="AV851" s="126"/>
      <c r="AW851" s="126"/>
      <c r="AX851" s="126"/>
      <c r="AY851" s="126"/>
      <c r="AZ851" s="126"/>
      <c r="BA851" s="126"/>
      <c r="BB851" s="126"/>
      <c r="BC851" s="126"/>
      <c r="BD851" s="126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127"/>
      <c r="BQ851" s="127"/>
      <c r="BR851" s="127"/>
      <c r="BS851" s="127"/>
      <c r="BT851" s="127"/>
      <c r="BU851" s="127"/>
      <c r="BV851" s="127"/>
      <c r="BW851" s="119"/>
      <c r="BX851" s="119"/>
      <c r="BY851" s="119"/>
      <c r="BZ851" s="119"/>
      <c r="CA851" s="119"/>
      <c r="CB851" s="119"/>
      <c r="CC851" s="119"/>
      <c r="CD851" s="119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19"/>
      <c r="CQ851" s="119"/>
      <c r="CR851" s="119"/>
      <c r="CS851" s="119"/>
      <c r="CT851" s="119"/>
      <c r="CU851" s="119"/>
      <c r="CV851" s="119"/>
      <c r="CW851" s="119"/>
      <c r="CX851" s="119"/>
      <c r="CY851" s="119"/>
      <c r="CZ851" s="119"/>
      <c r="DA851" s="119"/>
      <c r="DB851" s="119"/>
      <c r="DC851" s="119"/>
      <c r="DD851" s="119"/>
      <c r="DE851" s="119"/>
      <c r="DF851" s="119"/>
      <c r="DG851" s="119"/>
      <c r="DH851" s="119"/>
      <c r="DI851" s="119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119"/>
      <c r="DU851" s="119"/>
      <c r="DV851" s="119"/>
      <c r="DW851" s="119"/>
      <c r="DX851" s="119"/>
      <c r="DY851" s="119"/>
      <c r="DZ851" s="119"/>
      <c r="EA851" s="119"/>
      <c r="EB851" s="119"/>
      <c r="EC851" s="119"/>
      <c r="ED851" s="119"/>
      <c r="EE851" s="119"/>
    </row>
    <row r="852" ht="15.75" customHeight="1">
      <c r="A852" s="135"/>
      <c r="B852" s="135"/>
      <c r="C852" s="135"/>
      <c r="D852" s="135"/>
      <c r="E852" s="135"/>
      <c r="F852" s="135"/>
      <c r="G852" s="135"/>
      <c r="H852" s="135"/>
      <c r="I852" s="1"/>
      <c r="J852" s="1"/>
      <c r="K852" s="1"/>
      <c r="L852" s="1"/>
      <c r="M852" s="1"/>
      <c r="N852" s="1"/>
      <c r="O852" s="1"/>
      <c r="P852" s="1"/>
      <c r="Q852" s="1"/>
      <c r="R852" s="124"/>
      <c r="S852" s="1"/>
      <c r="T852" s="1"/>
      <c r="U852" s="1"/>
      <c r="V852" s="125"/>
      <c r="W852" s="126"/>
      <c r="X852" s="126"/>
      <c r="Y852" s="126"/>
      <c r="Z852" s="126"/>
      <c r="AA852" s="126"/>
      <c r="AB852" s="126"/>
      <c r="AC852" s="126"/>
      <c r="AD852" s="126"/>
      <c r="AE852" s="126"/>
      <c r="AF852" s="126"/>
      <c r="AG852" s="126"/>
      <c r="AH852" s="126"/>
      <c r="AI852" s="126"/>
      <c r="AJ852" s="126"/>
      <c r="AK852" s="126"/>
      <c r="AL852" s="126"/>
      <c r="AM852" s="126"/>
      <c r="AN852" s="126"/>
      <c r="AO852" s="126"/>
      <c r="AP852" s="126"/>
      <c r="AQ852" s="126"/>
      <c r="AR852" s="126"/>
      <c r="AS852" s="126"/>
      <c r="AT852" s="126"/>
      <c r="AU852" s="126"/>
      <c r="AV852" s="126"/>
      <c r="AW852" s="126"/>
      <c r="AX852" s="126"/>
      <c r="AY852" s="126"/>
      <c r="AZ852" s="126"/>
      <c r="BA852" s="126"/>
      <c r="BB852" s="126"/>
      <c r="BC852" s="126"/>
      <c r="BD852" s="126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127"/>
      <c r="BQ852" s="127"/>
      <c r="BR852" s="127"/>
      <c r="BS852" s="127"/>
      <c r="BT852" s="127"/>
      <c r="BU852" s="127"/>
      <c r="BV852" s="127"/>
      <c r="BW852" s="119"/>
      <c r="BX852" s="119"/>
      <c r="BY852" s="119"/>
      <c r="BZ852" s="119"/>
      <c r="CA852" s="119"/>
      <c r="CB852" s="119"/>
      <c r="CC852" s="119"/>
      <c r="CD852" s="119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19"/>
      <c r="CQ852" s="119"/>
      <c r="CR852" s="119"/>
      <c r="CS852" s="119"/>
      <c r="CT852" s="119"/>
      <c r="CU852" s="119"/>
      <c r="CV852" s="119"/>
      <c r="CW852" s="119"/>
      <c r="CX852" s="119"/>
      <c r="CY852" s="119"/>
      <c r="CZ852" s="119"/>
      <c r="DA852" s="119"/>
      <c r="DB852" s="119"/>
      <c r="DC852" s="119"/>
      <c r="DD852" s="119"/>
      <c r="DE852" s="119"/>
      <c r="DF852" s="119"/>
      <c r="DG852" s="119"/>
      <c r="DH852" s="119"/>
      <c r="DI852" s="119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119"/>
      <c r="DU852" s="119"/>
      <c r="DV852" s="119"/>
      <c r="DW852" s="119"/>
      <c r="DX852" s="119"/>
      <c r="DY852" s="119"/>
      <c r="DZ852" s="119"/>
      <c r="EA852" s="119"/>
      <c r="EB852" s="119"/>
      <c r="EC852" s="119"/>
      <c r="ED852" s="119"/>
      <c r="EE852" s="119"/>
    </row>
    <row r="853" ht="15.75" customHeight="1">
      <c r="A853" s="135"/>
      <c r="B853" s="135"/>
      <c r="C853" s="135"/>
      <c r="D853" s="135"/>
      <c r="E853" s="135"/>
      <c r="F853" s="135"/>
      <c r="G853" s="135"/>
      <c r="H853" s="135"/>
      <c r="I853" s="1"/>
      <c r="J853" s="1"/>
      <c r="K853" s="1"/>
      <c r="L853" s="1"/>
      <c r="M853" s="1"/>
      <c r="N853" s="1"/>
      <c r="O853" s="1"/>
      <c r="P853" s="1"/>
      <c r="Q853" s="1"/>
      <c r="R853" s="124"/>
      <c r="S853" s="1"/>
      <c r="T853" s="1"/>
      <c r="U853" s="1"/>
      <c r="V853" s="125"/>
      <c r="W853" s="126"/>
      <c r="X853" s="126"/>
      <c r="Y853" s="126"/>
      <c r="Z853" s="126"/>
      <c r="AA853" s="126"/>
      <c r="AB853" s="126"/>
      <c r="AC853" s="126"/>
      <c r="AD853" s="126"/>
      <c r="AE853" s="126"/>
      <c r="AF853" s="126"/>
      <c r="AG853" s="126"/>
      <c r="AH853" s="126"/>
      <c r="AI853" s="126"/>
      <c r="AJ853" s="126"/>
      <c r="AK853" s="126"/>
      <c r="AL853" s="126"/>
      <c r="AM853" s="126"/>
      <c r="AN853" s="126"/>
      <c r="AO853" s="126"/>
      <c r="AP853" s="126"/>
      <c r="AQ853" s="126"/>
      <c r="AR853" s="126"/>
      <c r="AS853" s="126"/>
      <c r="AT853" s="126"/>
      <c r="AU853" s="126"/>
      <c r="AV853" s="126"/>
      <c r="AW853" s="126"/>
      <c r="AX853" s="126"/>
      <c r="AY853" s="126"/>
      <c r="AZ853" s="126"/>
      <c r="BA853" s="126"/>
      <c r="BB853" s="126"/>
      <c r="BC853" s="126"/>
      <c r="BD853" s="126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127"/>
      <c r="BQ853" s="127"/>
      <c r="BR853" s="127"/>
      <c r="BS853" s="127"/>
      <c r="BT853" s="127"/>
      <c r="BU853" s="127"/>
      <c r="BV853" s="127"/>
      <c r="BW853" s="119"/>
      <c r="BX853" s="119"/>
      <c r="BY853" s="119"/>
      <c r="BZ853" s="119"/>
      <c r="CA853" s="119"/>
      <c r="CB853" s="119"/>
      <c r="CC853" s="119"/>
      <c r="CD853" s="119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19"/>
      <c r="CQ853" s="119"/>
      <c r="CR853" s="119"/>
      <c r="CS853" s="119"/>
      <c r="CT853" s="119"/>
      <c r="CU853" s="119"/>
      <c r="CV853" s="119"/>
      <c r="CW853" s="119"/>
      <c r="CX853" s="119"/>
      <c r="CY853" s="119"/>
      <c r="CZ853" s="119"/>
      <c r="DA853" s="119"/>
      <c r="DB853" s="119"/>
      <c r="DC853" s="119"/>
      <c r="DD853" s="119"/>
      <c r="DE853" s="119"/>
      <c r="DF853" s="119"/>
      <c r="DG853" s="119"/>
      <c r="DH853" s="119"/>
      <c r="DI853" s="119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119"/>
      <c r="DU853" s="119"/>
      <c r="DV853" s="119"/>
      <c r="DW853" s="119"/>
      <c r="DX853" s="119"/>
      <c r="DY853" s="119"/>
      <c r="DZ853" s="119"/>
      <c r="EA853" s="119"/>
      <c r="EB853" s="119"/>
      <c r="EC853" s="119"/>
      <c r="ED853" s="119"/>
      <c r="EE853" s="119"/>
    </row>
    <row r="854" ht="15.75" customHeight="1">
      <c r="A854" s="135"/>
      <c r="B854" s="135"/>
      <c r="C854" s="135"/>
      <c r="D854" s="135"/>
      <c r="E854" s="135"/>
      <c r="F854" s="135"/>
      <c r="G854" s="135"/>
      <c r="H854" s="135"/>
      <c r="I854" s="1"/>
      <c r="J854" s="1"/>
      <c r="K854" s="1"/>
      <c r="L854" s="1"/>
      <c r="M854" s="1"/>
      <c r="N854" s="1"/>
      <c r="O854" s="1"/>
      <c r="P854" s="1"/>
      <c r="Q854" s="1"/>
      <c r="R854" s="124"/>
      <c r="S854" s="1"/>
      <c r="T854" s="1"/>
      <c r="U854" s="1"/>
      <c r="V854" s="125"/>
      <c r="W854" s="126"/>
      <c r="X854" s="126"/>
      <c r="Y854" s="126"/>
      <c r="Z854" s="126"/>
      <c r="AA854" s="126"/>
      <c r="AB854" s="126"/>
      <c r="AC854" s="126"/>
      <c r="AD854" s="126"/>
      <c r="AE854" s="126"/>
      <c r="AF854" s="126"/>
      <c r="AG854" s="126"/>
      <c r="AH854" s="126"/>
      <c r="AI854" s="126"/>
      <c r="AJ854" s="126"/>
      <c r="AK854" s="126"/>
      <c r="AL854" s="126"/>
      <c r="AM854" s="126"/>
      <c r="AN854" s="126"/>
      <c r="AO854" s="126"/>
      <c r="AP854" s="126"/>
      <c r="AQ854" s="126"/>
      <c r="AR854" s="126"/>
      <c r="AS854" s="126"/>
      <c r="AT854" s="126"/>
      <c r="AU854" s="126"/>
      <c r="AV854" s="126"/>
      <c r="AW854" s="126"/>
      <c r="AX854" s="126"/>
      <c r="AY854" s="126"/>
      <c r="AZ854" s="126"/>
      <c r="BA854" s="126"/>
      <c r="BB854" s="126"/>
      <c r="BC854" s="126"/>
      <c r="BD854" s="126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127"/>
      <c r="BQ854" s="127"/>
      <c r="BR854" s="127"/>
      <c r="BS854" s="127"/>
      <c r="BT854" s="127"/>
      <c r="BU854" s="127"/>
      <c r="BV854" s="127"/>
      <c r="BW854" s="119"/>
      <c r="BX854" s="119"/>
      <c r="BY854" s="119"/>
      <c r="BZ854" s="119"/>
      <c r="CA854" s="119"/>
      <c r="CB854" s="119"/>
      <c r="CC854" s="119"/>
      <c r="CD854" s="119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19"/>
      <c r="CQ854" s="119"/>
      <c r="CR854" s="119"/>
      <c r="CS854" s="119"/>
      <c r="CT854" s="119"/>
      <c r="CU854" s="119"/>
      <c r="CV854" s="119"/>
      <c r="CW854" s="119"/>
      <c r="CX854" s="119"/>
      <c r="CY854" s="119"/>
      <c r="CZ854" s="119"/>
      <c r="DA854" s="119"/>
      <c r="DB854" s="119"/>
      <c r="DC854" s="119"/>
      <c r="DD854" s="119"/>
      <c r="DE854" s="119"/>
      <c r="DF854" s="119"/>
      <c r="DG854" s="119"/>
      <c r="DH854" s="119"/>
      <c r="DI854" s="119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119"/>
      <c r="DU854" s="119"/>
      <c r="DV854" s="119"/>
      <c r="DW854" s="119"/>
      <c r="DX854" s="119"/>
      <c r="DY854" s="119"/>
      <c r="DZ854" s="119"/>
      <c r="EA854" s="119"/>
      <c r="EB854" s="119"/>
      <c r="EC854" s="119"/>
      <c r="ED854" s="119"/>
      <c r="EE854" s="119"/>
    </row>
    <row r="855" ht="15.75" customHeight="1">
      <c r="A855" s="135"/>
      <c r="B855" s="135"/>
      <c r="C855" s="135"/>
      <c r="D855" s="135"/>
      <c r="E855" s="135"/>
      <c r="F855" s="135"/>
      <c r="G855" s="135"/>
      <c r="H855" s="135"/>
      <c r="I855" s="1"/>
      <c r="J855" s="1"/>
      <c r="K855" s="1"/>
      <c r="L855" s="1"/>
      <c r="M855" s="1"/>
      <c r="N855" s="1"/>
      <c r="O855" s="1"/>
      <c r="P855" s="1"/>
      <c r="Q855" s="1"/>
      <c r="R855" s="124"/>
      <c r="S855" s="1"/>
      <c r="T855" s="1"/>
      <c r="U855" s="1"/>
      <c r="V855" s="125"/>
      <c r="W855" s="126"/>
      <c r="X855" s="126"/>
      <c r="Y855" s="126"/>
      <c r="Z855" s="126"/>
      <c r="AA855" s="126"/>
      <c r="AB855" s="126"/>
      <c r="AC855" s="126"/>
      <c r="AD855" s="126"/>
      <c r="AE855" s="126"/>
      <c r="AF855" s="126"/>
      <c r="AG855" s="126"/>
      <c r="AH855" s="126"/>
      <c r="AI855" s="126"/>
      <c r="AJ855" s="126"/>
      <c r="AK855" s="126"/>
      <c r="AL855" s="126"/>
      <c r="AM855" s="126"/>
      <c r="AN855" s="126"/>
      <c r="AO855" s="126"/>
      <c r="AP855" s="126"/>
      <c r="AQ855" s="126"/>
      <c r="AR855" s="126"/>
      <c r="AS855" s="126"/>
      <c r="AT855" s="126"/>
      <c r="AU855" s="126"/>
      <c r="AV855" s="126"/>
      <c r="AW855" s="126"/>
      <c r="AX855" s="126"/>
      <c r="AY855" s="126"/>
      <c r="AZ855" s="126"/>
      <c r="BA855" s="126"/>
      <c r="BB855" s="126"/>
      <c r="BC855" s="126"/>
      <c r="BD855" s="126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127"/>
      <c r="BQ855" s="127"/>
      <c r="BR855" s="127"/>
      <c r="BS855" s="127"/>
      <c r="BT855" s="127"/>
      <c r="BU855" s="127"/>
      <c r="BV855" s="127"/>
      <c r="BW855" s="119"/>
      <c r="BX855" s="119"/>
      <c r="BY855" s="119"/>
      <c r="BZ855" s="119"/>
      <c r="CA855" s="119"/>
      <c r="CB855" s="119"/>
      <c r="CC855" s="119"/>
      <c r="CD855" s="119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19"/>
      <c r="CQ855" s="119"/>
      <c r="CR855" s="119"/>
      <c r="CS855" s="119"/>
      <c r="CT855" s="119"/>
      <c r="CU855" s="119"/>
      <c r="CV855" s="119"/>
      <c r="CW855" s="119"/>
      <c r="CX855" s="119"/>
      <c r="CY855" s="119"/>
      <c r="CZ855" s="119"/>
      <c r="DA855" s="119"/>
      <c r="DB855" s="119"/>
      <c r="DC855" s="119"/>
      <c r="DD855" s="119"/>
      <c r="DE855" s="119"/>
      <c r="DF855" s="119"/>
      <c r="DG855" s="119"/>
      <c r="DH855" s="119"/>
      <c r="DI855" s="119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119"/>
      <c r="DU855" s="119"/>
      <c r="DV855" s="119"/>
      <c r="DW855" s="119"/>
      <c r="DX855" s="119"/>
      <c r="DY855" s="119"/>
      <c r="DZ855" s="119"/>
      <c r="EA855" s="119"/>
      <c r="EB855" s="119"/>
      <c r="EC855" s="119"/>
      <c r="ED855" s="119"/>
      <c r="EE855" s="119"/>
    </row>
    <row r="856" ht="15.75" customHeight="1">
      <c r="A856" s="135"/>
      <c r="B856" s="135"/>
      <c r="C856" s="135"/>
      <c r="D856" s="135"/>
      <c r="E856" s="135"/>
      <c r="F856" s="135"/>
      <c r="G856" s="135"/>
      <c r="H856" s="135"/>
      <c r="I856" s="1"/>
      <c r="J856" s="1"/>
      <c r="K856" s="1"/>
      <c r="L856" s="1"/>
      <c r="M856" s="1"/>
      <c r="N856" s="1"/>
      <c r="O856" s="1"/>
      <c r="P856" s="1"/>
      <c r="Q856" s="1"/>
      <c r="R856" s="124"/>
      <c r="S856" s="1"/>
      <c r="T856" s="1"/>
      <c r="U856" s="1"/>
      <c r="V856" s="125"/>
      <c r="W856" s="126"/>
      <c r="X856" s="126"/>
      <c r="Y856" s="126"/>
      <c r="Z856" s="126"/>
      <c r="AA856" s="126"/>
      <c r="AB856" s="126"/>
      <c r="AC856" s="126"/>
      <c r="AD856" s="126"/>
      <c r="AE856" s="126"/>
      <c r="AF856" s="126"/>
      <c r="AG856" s="126"/>
      <c r="AH856" s="126"/>
      <c r="AI856" s="126"/>
      <c r="AJ856" s="126"/>
      <c r="AK856" s="126"/>
      <c r="AL856" s="126"/>
      <c r="AM856" s="126"/>
      <c r="AN856" s="126"/>
      <c r="AO856" s="126"/>
      <c r="AP856" s="126"/>
      <c r="AQ856" s="126"/>
      <c r="AR856" s="126"/>
      <c r="AS856" s="126"/>
      <c r="AT856" s="126"/>
      <c r="AU856" s="126"/>
      <c r="AV856" s="126"/>
      <c r="AW856" s="126"/>
      <c r="AX856" s="126"/>
      <c r="AY856" s="126"/>
      <c r="AZ856" s="126"/>
      <c r="BA856" s="126"/>
      <c r="BB856" s="126"/>
      <c r="BC856" s="126"/>
      <c r="BD856" s="126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127"/>
      <c r="BQ856" s="127"/>
      <c r="BR856" s="127"/>
      <c r="BS856" s="127"/>
      <c r="BT856" s="127"/>
      <c r="BU856" s="127"/>
      <c r="BV856" s="127"/>
      <c r="BW856" s="119"/>
      <c r="BX856" s="119"/>
      <c r="BY856" s="119"/>
      <c r="BZ856" s="119"/>
      <c r="CA856" s="119"/>
      <c r="CB856" s="119"/>
      <c r="CC856" s="119"/>
      <c r="CD856" s="119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19"/>
      <c r="CQ856" s="119"/>
      <c r="CR856" s="119"/>
      <c r="CS856" s="119"/>
      <c r="CT856" s="119"/>
      <c r="CU856" s="119"/>
      <c r="CV856" s="119"/>
      <c r="CW856" s="119"/>
      <c r="CX856" s="119"/>
      <c r="CY856" s="119"/>
      <c r="CZ856" s="119"/>
      <c r="DA856" s="119"/>
      <c r="DB856" s="119"/>
      <c r="DC856" s="119"/>
      <c r="DD856" s="119"/>
      <c r="DE856" s="119"/>
      <c r="DF856" s="119"/>
      <c r="DG856" s="119"/>
      <c r="DH856" s="119"/>
      <c r="DI856" s="119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119"/>
      <c r="DU856" s="119"/>
      <c r="DV856" s="119"/>
      <c r="DW856" s="119"/>
      <c r="DX856" s="119"/>
      <c r="DY856" s="119"/>
      <c r="DZ856" s="119"/>
      <c r="EA856" s="119"/>
      <c r="EB856" s="119"/>
      <c r="EC856" s="119"/>
      <c r="ED856" s="119"/>
      <c r="EE856" s="119"/>
    </row>
    <row r="857" ht="15.75" customHeight="1">
      <c r="A857" s="135"/>
      <c r="B857" s="135"/>
      <c r="C857" s="135"/>
      <c r="D857" s="135"/>
      <c r="E857" s="135"/>
      <c r="F857" s="135"/>
      <c r="G857" s="135"/>
      <c r="H857" s="135"/>
      <c r="I857" s="1"/>
      <c r="J857" s="1"/>
      <c r="K857" s="1"/>
      <c r="L857" s="1"/>
      <c r="M857" s="1"/>
      <c r="N857" s="1"/>
      <c r="O857" s="1"/>
      <c r="P857" s="1"/>
      <c r="Q857" s="1"/>
      <c r="R857" s="124"/>
      <c r="S857" s="1"/>
      <c r="T857" s="1"/>
      <c r="U857" s="1"/>
      <c r="V857" s="125"/>
      <c r="W857" s="126"/>
      <c r="X857" s="126"/>
      <c r="Y857" s="126"/>
      <c r="Z857" s="126"/>
      <c r="AA857" s="126"/>
      <c r="AB857" s="126"/>
      <c r="AC857" s="126"/>
      <c r="AD857" s="126"/>
      <c r="AE857" s="126"/>
      <c r="AF857" s="126"/>
      <c r="AG857" s="126"/>
      <c r="AH857" s="126"/>
      <c r="AI857" s="126"/>
      <c r="AJ857" s="126"/>
      <c r="AK857" s="126"/>
      <c r="AL857" s="126"/>
      <c r="AM857" s="126"/>
      <c r="AN857" s="126"/>
      <c r="AO857" s="126"/>
      <c r="AP857" s="126"/>
      <c r="AQ857" s="126"/>
      <c r="AR857" s="126"/>
      <c r="AS857" s="126"/>
      <c r="AT857" s="126"/>
      <c r="AU857" s="126"/>
      <c r="AV857" s="126"/>
      <c r="AW857" s="126"/>
      <c r="AX857" s="126"/>
      <c r="AY857" s="126"/>
      <c r="AZ857" s="126"/>
      <c r="BA857" s="126"/>
      <c r="BB857" s="126"/>
      <c r="BC857" s="126"/>
      <c r="BD857" s="126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127"/>
      <c r="BQ857" s="127"/>
      <c r="BR857" s="127"/>
      <c r="BS857" s="127"/>
      <c r="BT857" s="127"/>
      <c r="BU857" s="127"/>
      <c r="BV857" s="127"/>
      <c r="BW857" s="119"/>
      <c r="BX857" s="119"/>
      <c r="BY857" s="119"/>
      <c r="BZ857" s="119"/>
      <c r="CA857" s="119"/>
      <c r="CB857" s="119"/>
      <c r="CC857" s="119"/>
      <c r="CD857" s="119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19"/>
      <c r="CQ857" s="119"/>
      <c r="CR857" s="119"/>
      <c r="CS857" s="119"/>
      <c r="CT857" s="119"/>
      <c r="CU857" s="119"/>
      <c r="CV857" s="119"/>
      <c r="CW857" s="119"/>
      <c r="CX857" s="119"/>
      <c r="CY857" s="119"/>
      <c r="CZ857" s="119"/>
      <c r="DA857" s="119"/>
      <c r="DB857" s="119"/>
      <c r="DC857" s="119"/>
      <c r="DD857" s="119"/>
      <c r="DE857" s="119"/>
      <c r="DF857" s="119"/>
      <c r="DG857" s="119"/>
      <c r="DH857" s="119"/>
      <c r="DI857" s="119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119"/>
      <c r="DU857" s="119"/>
      <c r="DV857" s="119"/>
      <c r="DW857" s="119"/>
      <c r="DX857" s="119"/>
      <c r="DY857" s="119"/>
      <c r="DZ857" s="119"/>
      <c r="EA857" s="119"/>
      <c r="EB857" s="119"/>
      <c r="EC857" s="119"/>
      <c r="ED857" s="119"/>
      <c r="EE857" s="119"/>
    </row>
    <row r="858" ht="15.75" customHeight="1">
      <c r="A858" s="135"/>
      <c r="B858" s="135"/>
      <c r="C858" s="135"/>
      <c r="D858" s="135"/>
      <c r="E858" s="135"/>
      <c r="F858" s="135"/>
      <c r="G858" s="135"/>
      <c r="H858" s="135"/>
      <c r="I858" s="1"/>
      <c r="J858" s="1"/>
      <c r="K858" s="1"/>
      <c r="L858" s="1"/>
      <c r="M858" s="1"/>
      <c r="N858" s="1"/>
      <c r="O858" s="1"/>
      <c r="P858" s="1"/>
      <c r="Q858" s="1"/>
      <c r="R858" s="124"/>
      <c r="S858" s="1"/>
      <c r="T858" s="1"/>
      <c r="U858" s="1"/>
      <c r="V858" s="125"/>
      <c r="W858" s="126"/>
      <c r="X858" s="126"/>
      <c r="Y858" s="126"/>
      <c r="Z858" s="126"/>
      <c r="AA858" s="126"/>
      <c r="AB858" s="126"/>
      <c r="AC858" s="126"/>
      <c r="AD858" s="126"/>
      <c r="AE858" s="126"/>
      <c r="AF858" s="126"/>
      <c r="AG858" s="126"/>
      <c r="AH858" s="126"/>
      <c r="AI858" s="126"/>
      <c r="AJ858" s="126"/>
      <c r="AK858" s="126"/>
      <c r="AL858" s="126"/>
      <c r="AM858" s="126"/>
      <c r="AN858" s="126"/>
      <c r="AO858" s="126"/>
      <c r="AP858" s="126"/>
      <c r="AQ858" s="126"/>
      <c r="AR858" s="126"/>
      <c r="AS858" s="126"/>
      <c r="AT858" s="126"/>
      <c r="AU858" s="126"/>
      <c r="AV858" s="126"/>
      <c r="AW858" s="126"/>
      <c r="AX858" s="126"/>
      <c r="AY858" s="126"/>
      <c r="AZ858" s="126"/>
      <c r="BA858" s="126"/>
      <c r="BB858" s="126"/>
      <c r="BC858" s="126"/>
      <c r="BD858" s="126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127"/>
      <c r="BQ858" s="127"/>
      <c r="BR858" s="127"/>
      <c r="BS858" s="127"/>
      <c r="BT858" s="127"/>
      <c r="BU858" s="127"/>
      <c r="BV858" s="127"/>
      <c r="BW858" s="119"/>
      <c r="BX858" s="119"/>
      <c r="BY858" s="119"/>
      <c r="BZ858" s="119"/>
      <c r="CA858" s="119"/>
      <c r="CB858" s="119"/>
      <c r="CC858" s="119"/>
      <c r="CD858" s="119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19"/>
      <c r="CQ858" s="119"/>
      <c r="CR858" s="119"/>
      <c r="CS858" s="119"/>
      <c r="CT858" s="119"/>
      <c r="CU858" s="119"/>
      <c r="CV858" s="119"/>
      <c r="CW858" s="119"/>
      <c r="CX858" s="119"/>
      <c r="CY858" s="119"/>
      <c r="CZ858" s="119"/>
      <c r="DA858" s="119"/>
      <c r="DB858" s="119"/>
      <c r="DC858" s="119"/>
      <c r="DD858" s="119"/>
      <c r="DE858" s="119"/>
      <c r="DF858" s="119"/>
      <c r="DG858" s="119"/>
      <c r="DH858" s="119"/>
      <c r="DI858" s="119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119"/>
      <c r="DU858" s="119"/>
      <c r="DV858" s="119"/>
      <c r="DW858" s="119"/>
      <c r="DX858" s="119"/>
      <c r="DY858" s="119"/>
      <c r="DZ858" s="119"/>
      <c r="EA858" s="119"/>
      <c r="EB858" s="119"/>
      <c r="EC858" s="119"/>
      <c r="ED858" s="119"/>
      <c r="EE858" s="119"/>
    </row>
    <row r="859" ht="15.75" customHeight="1">
      <c r="A859" s="135"/>
      <c r="B859" s="135"/>
      <c r="C859" s="135"/>
      <c r="D859" s="135"/>
      <c r="E859" s="135"/>
      <c r="F859" s="135"/>
      <c r="G859" s="135"/>
      <c r="H859" s="135"/>
      <c r="I859" s="1"/>
      <c r="J859" s="1"/>
      <c r="K859" s="1"/>
      <c r="L859" s="1"/>
      <c r="M859" s="1"/>
      <c r="N859" s="1"/>
      <c r="O859" s="1"/>
      <c r="P859" s="1"/>
      <c r="Q859" s="1"/>
      <c r="R859" s="124"/>
      <c r="S859" s="1"/>
      <c r="T859" s="1"/>
      <c r="U859" s="1"/>
      <c r="V859" s="125"/>
      <c r="W859" s="126"/>
      <c r="X859" s="126"/>
      <c r="Y859" s="126"/>
      <c r="Z859" s="126"/>
      <c r="AA859" s="126"/>
      <c r="AB859" s="126"/>
      <c r="AC859" s="126"/>
      <c r="AD859" s="126"/>
      <c r="AE859" s="126"/>
      <c r="AF859" s="126"/>
      <c r="AG859" s="126"/>
      <c r="AH859" s="126"/>
      <c r="AI859" s="126"/>
      <c r="AJ859" s="126"/>
      <c r="AK859" s="126"/>
      <c r="AL859" s="126"/>
      <c r="AM859" s="126"/>
      <c r="AN859" s="126"/>
      <c r="AO859" s="126"/>
      <c r="AP859" s="126"/>
      <c r="AQ859" s="126"/>
      <c r="AR859" s="126"/>
      <c r="AS859" s="126"/>
      <c r="AT859" s="126"/>
      <c r="AU859" s="126"/>
      <c r="AV859" s="126"/>
      <c r="AW859" s="126"/>
      <c r="AX859" s="126"/>
      <c r="AY859" s="126"/>
      <c r="AZ859" s="126"/>
      <c r="BA859" s="126"/>
      <c r="BB859" s="126"/>
      <c r="BC859" s="126"/>
      <c r="BD859" s="126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127"/>
      <c r="BQ859" s="127"/>
      <c r="BR859" s="127"/>
      <c r="BS859" s="127"/>
      <c r="BT859" s="127"/>
      <c r="BU859" s="127"/>
      <c r="BV859" s="127"/>
      <c r="BW859" s="119"/>
      <c r="BX859" s="119"/>
      <c r="BY859" s="119"/>
      <c r="BZ859" s="119"/>
      <c r="CA859" s="119"/>
      <c r="CB859" s="119"/>
      <c r="CC859" s="119"/>
      <c r="CD859" s="119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19"/>
      <c r="CQ859" s="119"/>
      <c r="CR859" s="119"/>
      <c r="CS859" s="119"/>
      <c r="CT859" s="119"/>
      <c r="CU859" s="119"/>
      <c r="CV859" s="119"/>
      <c r="CW859" s="119"/>
      <c r="CX859" s="119"/>
      <c r="CY859" s="119"/>
      <c r="CZ859" s="119"/>
      <c r="DA859" s="119"/>
      <c r="DB859" s="119"/>
      <c r="DC859" s="119"/>
      <c r="DD859" s="119"/>
      <c r="DE859" s="119"/>
      <c r="DF859" s="119"/>
      <c r="DG859" s="119"/>
      <c r="DH859" s="119"/>
      <c r="DI859" s="119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119"/>
      <c r="DU859" s="119"/>
      <c r="DV859" s="119"/>
      <c r="DW859" s="119"/>
      <c r="DX859" s="119"/>
      <c r="DY859" s="119"/>
      <c r="DZ859" s="119"/>
      <c r="EA859" s="119"/>
      <c r="EB859" s="119"/>
      <c r="EC859" s="119"/>
      <c r="ED859" s="119"/>
      <c r="EE859" s="119"/>
    </row>
    <row r="860" ht="15.75" customHeight="1">
      <c r="A860" s="135"/>
      <c r="B860" s="135"/>
      <c r="C860" s="135"/>
      <c r="D860" s="135"/>
      <c r="E860" s="135"/>
      <c r="F860" s="135"/>
      <c r="G860" s="135"/>
      <c r="H860" s="135"/>
      <c r="I860" s="1"/>
      <c r="J860" s="1"/>
      <c r="K860" s="1"/>
      <c r="L860" s="1"/>
      <c r="M860" s="1"/>
      <c r="N860" s="1"/>
      <c r="O860" s="1"/>
      <c r="P860" s="1"/>
      <c r="Q860" s="1"/>
      <c r="R860" s="124"/>
      <c r="S860" s="1"/>
      <c r="T860" s="1"/>
      <c r="U860" s="1"/>
      <c r="V860" s="125"/>
      <c r="W860" s="126"/>
      <c r="X860" s="126"/>
      <c r="Y860" s="126"/>
      <c r="Z860" s="126"/>
      <c r="AA860" s="126"/>
      <c r="AB860" s="126"/>
      <c r="AC860" s="126"/>
      <c r="AD860" s="126"/>
      <c r="AE860" s="126"/>
      <c r="AF860" s="126"/>
      <c r="AG860" s="126"/>
      <c r="AH860" s="126"/>
      <c r="AI860" s="126"/>
      <c r="AJ860" s="126"/>
      <c r="AK860" s="126"/>
      <c r="AL860" s="126"/>
      <c r="AM860" s="126"/>
      <c r="AN860" s="126"/>
      <c r="AO860" s="126"/>
      <c r="AP860" s="126"/>
      <c r="AQ860" s="126"/>
      <c r="AR860" s="126"/>
      <c r="AS860" s="126"/>
      <c r="AT860" s="126"/>
      <c r="AU860" s="126"/>
      <c r="AV860" s="126"/>
      <c r="AW860" s="126"/>
      <c r="AX860" s="126"/>
      <c r="AY860" s="126"/>
      <c r="AZ860" s="126"/>
      <c r="BA860" s="126"/>
      <c r="BB860" s="126"/>
      <c r="BC860" s="126"/>
      <c r="BD860" s="126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127"/>
      <c r="BQ860" s="127"/>
      <c r="BR860" s="127"/>
      <c r="BS860" s="127"/>
      <c r="BT860" s="127"/>
      <c r="BU860" s="127"/>
      <c r="BV860" s="127"/>
      <c r="BW860" s="119"/>
      <c r="BX860" s="119"/>
      <c r="BY860" s="119"/>
      <c r="BZ860" s="119"/>
      <c r="CA860" s="119"/>
      <c r="CB860" s="119"/>
      <c r="CC860" s="119"/>
      <c r="CD860" s="119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19"/>
      <c r="CQ860" s="119"/>
      <c r="CR860" s="119"/>
      <c r="CS860" s="119"/>
      <c r="CT860" s="119"/>
      <c r="CU860" s="119"/>
      <c r="CV860" s="119"/>
      <c r="CW860" s="119"/>
      <c r="CX860" s="119"/>
      <c r="CY860" s="119"/>
      <c r="CZ860" s="119"/>
      <c r="DA860" s="119"/>
      <c r="DB860" s="119"/>
      <c r="DC860" s="119"/>
      <c r="DD860" s="119"/>
      <c r="DE860" s="119"/>
      <c r="DF860" s="119"/>
      <c r="DG860" s="119"/>
      <c r="DH860" s="119"/>
      <c r="DI860" s="119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119"/>
      <c r="DU860" s="119"/>
      <c r="DV860" s="119"/>
      <c r="DW860" s="119"/>
      <c r="DX860" s="119"/>
      <c r="DY860" s="119"/>
      <c r="DZ860" s="119"/>
      <c r="EA860" s="119"/>
      <c r="EB860" s="119"/>
      <c r="EC860" s="119"/>
      <c r="ED860" s="119"/>
      <c r="EE860" s="119"/>
    </row>
    <row r="861" ht="15.75" customHeight="1">
      <c r="A861" s="123"/>
      <c r="B861" s="123"/>
      <c r="C861" s="123"/>
      <c r="D861" s="123"/>
      <c r="E861" s="123"/>
      <c r="F861" s="123"/>
      <c r="G861" s="123"/>
      <c r="H861" s="123"/>
      <c r="I861" s="1"/>
      <c r="J861" s="1"/>
      <c r="K861" s="1"/>
      <c r="L861" s="1"/>
      <c r="M861" s="1"/>
      <c r="N861" s="1"/>
      <c r="O861" s="1"/>
      <c r="P861" s="1"/>
      <c r="Q861" s="1"/>
      <c r="R861" s="124"/>
      <c r="S861" s="1"/>
      <c r="T861" s="1"/>
      <c r="U861" s="1"/>
      <c r="V861" s="125"/>
      <c r="W861" s="126"/>
      <c r="X861" s="126"/>
      <c r="Y861" s="126"/>
      <c r="Z861" s="126"/>
      <c r="AA861" s="126"/>
      <c r="AB861" s="126"/>
      <c r="AC861" s="126"/>
      <c r="AD861" s="126"/>
      <c r="AE861" s="126"/>
      <c r="AF861" s="126"/>
      <c r="AG861" s="126"/>
      <c r="AH861" s="126"/>
      <c r="AI861" s="126"/>
      <c r="AJ861" s="126"/>
      <c r="AK861" s="126"/>
      <c r="AL861" s="126"/>
      <c r="AM861" s="126"/>
      <c r="AN861" s="126"/>
      <c r="AO861" s="126"/>
      <c r="AP861" s="126"/>
      <c r="AQ861" s="126"/>
      <c r="AR861" s="126"/>
      <c r="AS861" s="126"/>
      <c r="AT861" s="126"/>
      <c r="AU861" s="126"/>
      <c r="AV861" s="126"/>
      <c r="AW861" s="126"/>
      <c r="AX861" s="126"/>
      <c r="AY861" s="126"/>
      <c r="AZ861" s="126"/>
      <c r="BA861" s="126"/>
      <c r="BB861" s="126"/>
      <c r="BC861" s="126"/>
      <c r="BD861" s="126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127"/>
      <c r="BQ861" s="127"/>
      <c r="BR861" s="127"/>
      <c r="BS861" s="127"/>
      <c r="BT861" s="127"/>
      <c r="BU861" s="127"/>
      <c r="BV861" s="127"/>
      <c r="BW861" s="119"/>
      <c r="BX861" s="119"/>
      <c r="BY861" s="119"/>
      <c r="BZ861" s="119"/>
      <c r="CA861" s="119"/>
      <c r="CB861" s="119"/>
      <c r="CC861" s="119"/>
      <c r="CD861" s="119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19"/>
      <c r="CQ861" s="119"/>
      <c r="CR861" s="119"/>
      <c r="CS861" s="119"/>
      <c r="CT861" s="119"/>
      <c r="CU861" s="119"/>
      <c r="CV861" s="119"/>
      <c r="CW861" s="119"/>
      <c r="CX861" s="119"/>
      <c r="CY861" s="119"/>
      <c r="CZ861" s="119"/>
      <c r="DA861" s="119"/>
      <c r="DB861" s="119"/>
      <c r="DC861" s="119"/>
      <c r="DD861" s="119"/>
      <c r="DE861" s="119"/>
      <c r="DF861" s="119"/>
      <c r="DG861" s="119"/>
      <c r="DH861" s="119"/>
      <c r="DI861" s="119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119"/>
      <c r="DU861" s="119"/>
      <c r="DV861" s="119"/>
      <c r="DW861" s="119"/>
      <c r="DX861" s="119"/>
      <c r="DY861" s="119"/>
      <c r="DZ861" s="119"/>
      <c r="EA861" s="119"/>
      <c r="EB861" s="119"/>
      <c r="EC861" s="119"/>
      <c r="ED861" s="119"/>
      <c r="EE861" s="119"/>
    </row>
    <row r="862" ht="15.75" customHeight="1">
      <c r="A862" s="123"/>
      <c r="B862" s="123"/>
      <c r="C862" s="123"/>
      <c r="D862" s="123"/>
      <c r="E862" s="123"/>
      <c r="F862" s="123"/>
      <c r="G862" s="123"/>
      <c r="H862" s="123"/>
      <c r="I862" s="1"/>
      <c r="J862" s="1"/>
      <c r="K862" s="1"/>
      <c r="L862" s="1"/>
      <c r="M862" s="1"/>
      <c r="N862" s="1"/>
      <c r="O862" s="1"/>
      <c r="P862" s="1"/>
      <c r="Q862" s="1"/>
      <c r="R862" s="124"/>
      <c r="S862" s="1"/>
      <c r="T862" s="1"/>
      <c r="U862" s="1"/>
      <c r="V862" s="125"/>
      <c r="W862" s="126"/>
      <c r="X862" s="126"/>
      <c r="Y862" s="126"/>
      <c r="Z862" s="126"/>
      <c r="AA862" s="126"/>
      <c r="AB862" s="126"/>
      <c r="AC862" s="126"/>
      <c r="AD862" s="126"/>
      <c r="AE862" s="126"/>
      <c r="AF862" s="126"/>
      <c r="AG862" s="126"/>
      <c r="AH862" s="126"/>
      <c r="AI862" s="126"/>
      <c r="AJ862" s="126"/>
      <c r="AK862" s="126"/>
      <c r="AL862" s="126"/>
      <c r="AM862" s="126"/>
      <c r="AN862" s="126"/>
      <c r="AO862" s="126"/>
      <c r="AP862" s="126"/>
      <c r="AQ862" s="126"/>
      <c r="AR862" s="126"/>
      <c r="AS862" s="126"/>
      <c r="AT862" s="126"/>
      <c r="AU862" s="126"/>
      <c r="AV862" s="126"/>
      <c r="AW862" s="126"/>
      <c r="AX862" s="126"/>
      <c r="AY862" s="126"/>
      <c r="AZ862" s="126"/>
      <c r="BA862" s="126"/>
      <c r="BB862" s="126"/>
      <c r="BC862" s="126"/>
      <c r="BD862" s="126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127"/>
      <c r="BQ862" s="127"/>
      <c r="BR862" s="127"/>
      <c r="BS862" s="127"/>
      <c r="BT862" s="127"/>
      <c r="BU862" s="127"/>
      <c r="BV862" s="127"/>
      <c r="BW862" s="119"/>
      <c r="BX862" s="119"/>
      <c r="BY862" s="119"/>
      <c r="BZ862" s="119"/>
      <c r="CA862" s="119"/>
      <c r="CB862" s="119"/>
      <c r="CC862" s="119"/>
      <c r="CD862" s="119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19"/>
      <c r="CQ862" s="119"/>
      <c r="CR862" s="119"/>
      <c r="CS862" s="119"/>
      <c r="CT862" s="119"/>
      <c r="CU862" s="119"/>
      <c r="CV862" s="119"/>
      <c r="CW862" s="119"/>
      <c r="CX862" s="119"/>
      <c r="CY862" s="119"/>
      <c r="CZ862" s="119"/>
      <c r="DA862" s="119"/>
      <c r="DB862" s="119"/>
      <c r="DC862" s="119"/>
      <c r="DD862" s="119"/>
      <c r="DE862" s="119"/>
      <c r="DF862" s="119"/>
      <c r="DG862" s="119"/>
      <c r="DH862" s="119"/>
      <c r="DI862" s="119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119"/>
      <c r="DU862" s="119"/>
      <c r="DV862" s="119"/>
      <c r="DW862" s="119"/>
      <c r="DX862" s="119"/>
      <c r="DY862" s="119"/>
      <c r="DZ862" s="119"/>
      <c r="EA862" s="119"/>
      <c r="EB862" s="119"/>
      <c r="EC862" s="119"/>
      <c r="ED862" s="119"/>
      <c r="EE862" s="119"/>
    </row>
    <row r="863" ht="15.75" customHeight="1">
      <c r="A863" s="123"/>
      <c r="B863" s="123"/>
      <c r="C863" s="123"/>
      <c r="D863" s="123"/>
      <c r="E863" s="123"/>
      <c r="F863" s="123"/>
      <c r="G863" s="123"/>
      <c r="H863" s="123"/>
      <c r="I863" s="1"/>
      <c r="J863" s="1"/>
      <c r="K863" s="1"/>
      <c r="L863" s="1"/>
      <c r="M863" s="1"/>
      <c r="N863" s="1"/>
      <c r="O863" s="1"/>
      <c r="P863" s="1"/>
      <c r="Q863" s="1"/>
      <c r="R863" s="124"/>
      <c r="S863" s="1"/>
      <c r="T863" s="1"/>
      <c r="U863" s="1"/>
      <c r="V863" s="125"/>
      <c r="W863" s="126"/>
      <c r="X863" s="126"/>
      <c r="Y863" s="126"/>
      <c r="Z863" s="126"/>
      <c r="AA863" s="126"/>
      <c r="AB863" s="126"/>
      <c r="AC863" s="126"/>
      <c r="AD863" s="126"/>
      <c r="AE863" s="126"/>
      <c r="AF863" s="126"/>
      <c r="AG863" s="126"/>
      <c r="AH863" s="126"/>
      <c r="AI863" s="126"/>
      <c r="AJ863" s="126"/>
      <c r="AK863" s="126"/>
      <c r="AL863" s="126"/>
      <c r="AM863" s="126"/>
      <c r="AN863" s="126"/>
      <c r="AO863" s="126"/>
      <c r="AP863" s="126"/>
      <c r="AQ863" s="126"/>
      <c r="AR863" s="126"/>
      <c r="AS863" s="126"/>
      <c r="AT863" s="126"/>
      <c r="AU863" s="126"/>
      <c r="AV863" s="126"/>
      <c r="AW863" s="126"/>
      <c r="AX863" s="126"/>
      <c r="AY863" s="126"/>
      <c r="AZ863" s="126"/>
      <c r="BA863" s="126"/>
      <c r="BB863" s="126"/>
      <c r="BC863" s="126"/>
      <c r="BD863" s="126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127"/>
      <c r="BQ863" s="127"/>
      <c r="BR863" s="127"/>
      <c r="BS863" s="127"/>
      <c r="BT863" s="127"/>
      <c r="BU863" s="127"/>
      <c r="BV863" s="127"/>
      <c r="BW863" s="119"/>
      <c r="BX863" s="119"/>
      <c r="BY863" s="119"/>
      <c r="BZ863" s="119"/>
      <c r="CA863" s="119"/>
      <c r="CB863" s="119"/>
      <c r="CC863" s="119"/>
      <c r="CD863" s="119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19"/>
      <c r="CQ863" s="119"/>
      <c r="CR863" s="119"/>
      <c r="CS863" s="119"/>
      <c r="CT863" s="119"/>
      <c r="CU863" s="119"/>
      <c r="CV863" s="119"/>
      <c r="CW863" s="119"/>
      <c r="CX863" s="119"/>
      <c r="CY863" s="119"/>
      <c r="CZ863" s="119"/>
      <c r="DA863" s="119"/>
      <c r="DB863" s="119"/>
      <c r="DC863" s="119"/>
      <c r="DD863" s="119"/>
      <c r="DE863" s="119"/>
      <c r="DF863" s="119"/>
      <c r="DG863" s="119"/>
      <c r="DH863" s="119"/>
      <c r="DI863" s="119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119"/>
      <c r="DU863" s="119"/>
      <c r="DV863" s="119"/>
      <c r="DW863" s="119"/>
      <c r="DX863" s="119"/>
      <c r="DY863" s="119"/>
      <c r="DZ863" s="119"/>
      <c r="EA863" s="119"/>
      <c r="EB863" s="119"/>
      <c r="EC863" s="119"/>
      <c r="ED863" s="119"/>
      <c r="EE863" s="119"/>
    </row>
    <row r="864" ht="15.75" customHeight="1">
      <c r="A864" s="123"/>
      <c r="B864" s="123"/>
      <c r="C864" s="123"/>
      <c r="D864" s="123"/>
      <c r="E864" s="123"/>
      <c r="F864" s="123"/>
      <c r="G864" s="123"/>
      <c r="H864" s="123"/>
      <c r="I864" s="1"/>
      <c r="J864" s="1"/>
      <c r="K864" s="1"/>
      <c r="L864" s="1"/>
      <c r="M864" s="1"/>
      <c r="N864" s="1"/>
      <c r="O864" s="1"/>
      <c r="P864" s="1"/>
      <c r="Q864" s="1"/>
      <c r="R864" s="124"/>
      <c r="S864" s="1"/>
      <c r="T864" s="1"/>
      <c r="U864" s="1"/>
      <c r="V864" s="125"/>
      <c r="W864" s="126"/>
      <c r="X864" s="126"/>
      <c r="Y864" s="126"/>
      <c r="Z864" s="126"/>
      <c r="AA864" s="126"/>
      <c r="AB864" s="126"/>
      <c r="AC864" s="126"/>
      <c r="AD864" s="126"/>
      <c r="AE864" s="126"/>
      <c r="AF864" s="126"/>
      <c r="AG864" s="126"/>
      <c r="AH864" s="126"/>
      <c r="AI864" s="126"/>
      <c r="AJ864" s="126"/>
      <c r="AK864" s="126"/>
      <c r="AL864" s="126"/>
      <c r="AM864" s="126"/>
      <c r="AN864" s="126"/>
      <c r="AO864" s="126"/>
      <c r="AP864" s="126"/>
      <c r="AQ864" s="126"/>
      <c r="AR864" s="126"/>
      <c r="AS864" s="126"/>
      <c r="AT864" s="126"/>
      <c r="AU864" s="126"/>
      <c r="AV864" s="126"/>
      <c r="AW864" s="126"/>
      <c r="AX864" s="126"/>
      <c r="AY864" s="126"/>
      <c r="AZ864" s="126"/>
      <c r="BA864" s="126"/>
      <c r="BB864" s="126"/>
      <c r="BC864" s="126"/>
      <c r="BD864" s="126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127"/>
      <c r="BQ864" s="127"/>
      <c r="BR864" s="127"/>
      <c r="BS864" s="127"/>
      <c r="BT864" s="127"/>
      <c r="BU864" s="127"/>
      <c r="BV864" s="127"/>
      <c r="BW864" s="119"/>
      <c r="BX864" s="119"/>
      <c r="BY864" s="119"/>
      <c r="BZ864" s="119"/>
      <c r="CA864" s="119"/>
      <c r="CB864" s="119"/>
      <c r="CC864" s="119"/>
      <c r="CD864" s="119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19"/>
      <c r="CQ864" s="119"/>
      <c r="CR864" s="119"/>
      <c r="CS864" s="119"/>
      <c r="CT864" s="119"/>
      <c r="CU864" s="119"/>
      <c r="CV864" s="119"/>
      <c r="CW864" s="119"/>
      <c r="CX864" s="119"/>
      <c r="CY864" s="119"/>
      <c r="CZ864" s="119"/>
      <c r="DA864" s="119"/>
      <c r="DB864" s="119"/>
      <c r="DC864" s="119"/>
      <c r="DD864" s="119"/>
      <c r="DE864" s="119"/>
      <c r="DF864" s="119"/>
      <c r="DG864" s="119"/>
      <c r="DH864" s="119"/>
      <c r="DI864" s="119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119"/>
      <c r="DU864" s="119"/>
      <c r="DV864" s="119"/>
      <c r="DW864" s="119"/>
      <c r="DX864" s="119"/>
      <c r="DY864" s="119"/>
      <c r="DZ864" s="119"/>
      <c r="EA864" s="119"/>
      <c r="EB864" s="119"/>
      <c r="EC864" s="119"/>
      <c r="ED864" s="119"/>
      <c r="EE864" s="119"/>
    </row>
    <row r="865" ht="15.75" customHeight="1">
      <c r="A865" s="123"/>
      <c r="B865" s="123"/>
      <c r="C865" s="123"/>
      <c r="D865" s="123"/>
      <c r="E865" s="123"/>
      <c r="F865" s="123"/>
      <c r="G865" s="123"/>
      <c r="H865" s="123"/>
      <c r="I865" s="1"/>
      <c r="J865" s="1"/>
      <c r="K865" s="1"/>
      <c r="L865" s="1"/>
      <c r="M865" s="1"/>
      <c r="N865" s="1"/>
      <c r="O865" s="1"/>
      <c r="P865" s="1"/>
      <c r="Q865" s="1"/>
      <c r="R865" s="124"/>
      <c r="S865" s="1"/>
      <c r="T865" s="1"/>
      <c r="U865" s="1"/>
      <c r="V865" s="125"/>
      <c r="W865" s="126"/>
      <c r="X865" s="126"/>
      <c r="Y865" s="126"/>
      <c r="Z865" s="126"/>
      <c r="AA865" s="126"/>
      <c r="AB865" s="126"/>
      <c r="AC865" s="126"/>
      <c r="AD865" s="126"/>
      <c r="AE865" s="126"/>
      <c r="AF865" s="126"/>
      <c r="AG865" s="126"/>
      <c r="AH865" s="126"/>
      <c r="AI865" s="126"/>
      <c r="AJ865" s="126"/>
      <c r="AK865" s="126"/>
      <c r="AL865" s="126"/>
      <c r="AM865" s="126"/>
      <c r="AN865" s="126"/>
      <c r="AO865" s="126"/>
      <c r="AP865" s="126"/>
      <c r="AQ865" s="126"/>
      <c r="AR865" s="126"/>
      <c r="AS865" s="126"/>
      <c r="AT865" s="126"/>
      <c r="AU865" s="126"/>
      <c r="AV865" s="126"/>
      <c r="AW865" s="126"/>
      <c r="AX865" s="126"/>
      <c r="AY865" s="126"/>
      <c r="AZ865" s="126"/>
      <c r="BA865" s="126"/>
      <c r="BB865" s="126"/>
      <c r="BC865" s="126"/>
      <c r="BD865" s="126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127"/>
      <c r="BQ865" s="127"/>
      <c r="BR865" s="127"/>
      <c r="BS865" s="127"/>
      <c r="BT865" s="127"/>
      <c r="BU865" s="127"/>
      <c r="BV865" s="127"/>
      <c r="BW865" s="119"/>
      <c r="BX865" s="119"/>
      <c r="BY865" s="119"/>
      <c r="BZ865" s="119"/>
      <c r="CA865" s="119"/>
      <c r="CB865" s="119"/>
      <c r="CC865" s="119"/>
      <c r="CD865" s="119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19"/>
      <c r="CQ865" s="119"/>
      <c r="CR865" s="119"/>
      <c r="CS865" s="119"/>
      <c r="CT865" s="119"/>
      <c r="CU865" s="119"/>
      <c r="CV865" s="119"/>
      <c r="CW865" s="119"/>
      <c r="CX865" s="119"/>
      <c r="CY865" s="119"/>
      <c r="CZ865" s="119"/>
      <c r="DA865" s="119"/>
      <c r="DB865" s="119"/>
      <c r="DC865" s="119"/>
      <c r="DD865" s="119"/>
      <c r="DE865" s="119"/>
      <c r="DF865" s="119"/>
      <c r="DG865" s="119"/>
      <c r="DH865" s="119"/>
      <c r="DI865" s="119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119"/>
      <c r="DU865" s="119"/>
      <c r="DV865" s="119"/>
      <c r="DW865" s="119"/>
      <c r="DX865" s="119"/>
      <c r="DY865" s="119"/>
      <c r="DZ865" s="119"/>
      <c r="EA865" s="119"/>
      <c r="EB865" s="119"/>
      <c r="EC865" s="119"/>
      <c r="ED865" s="119"/>
      <c r="EE865" s="119"/>
    </row>
    <row r="866" ht="15.75" customHeight="1">
      <c r="A866" s="123"/>
      <c r="B866" s="123"/>
      <c r="C866" s="123"/>
      <c r="D866" s="123"/>
      <c r="E866" s="123"/>
      <c r="F866" s="123"/>
      <c r="G866" s="123"/>
      <c r="H866" s="123"/>
      <c r="I866" s="1"/>
      <c r="J866" s="1"/>
      <c r="K866" s="1"/>
      <c r="L866" s="1"/>
      <c r="M866" s="1"/>
      <c r="N866" s="1"/>
      <c r="O866" s="1"/>
      <c r="P866" s="1"/>
      <c r="Q866" s="1"/>
      <c r="R866" s="124"/>
      <c r="S866" s="1"/>
      <c r="T866" s="1"/>
      <c r="U866" s="1"/>
      <c r="V866" s="125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126"/>
      <c r="AH866" s="126"/>
      <c r="AI866" s="126"/>
      <c r="AJ866" s="126"/>
      <c r="AK866" s="126"/>
      <c r="AL866" s="126"/>
      <c r="AM866" s="126"/>
      <c r="AN866" s="126"/>
      <c r="AO866" s="126"/>
      <c r="AP866" s="126"/>
      <c r="AQ866" s="126"/>
      <c r="AR866" s="126"/>
      <c r="AS866" s="126"/>
      <c r="AT866" s="126"/>
      <c r="AU866" s="126"/>
      <c r="AV866" s="126"/>
      <c r="AW866" s="126"/>
      <c r="AX866" s="126"/>
      <c r="AY866" s="126"/>
      <c r="AZ866" s="126"/>
      <c r="BA866" s="126"/>
      <c r="BB866" s="126"/>
      <c r="BC866" s="126"/>
      <c r="BD866" s="126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127"/>
      <c r="BQ866" s="127"/>
      <c r="BR866" s="127"/>
      <c r="BS866" s="127"/>
      <c r="BT866" s="127"/>
      <c r="BU866" s="127"/>
      <c r="BV866" s="127"/>
      <c r="BW866" s="119"/>
      <c r="BX866" s="119"/>
      <c r="BY866" s="119"/>
      <c r="BZ866" s="119"/>
      <c r="CA866" s="119"/>
      <c r="CB866" s="119"/>
      <c r="CC866" s="119"/>
      <c r="CD866" s="119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19"/>
      <c r="CQ866" s="119"/>
      <c r="CR866" s="119"/>
      <c r="CS866" s="119"/>
      <c r="CT866" s="119"/>
      <c r="CU866" s="119"/>
      <c r="CV866" s="119"/>
      <c r="CW866" s="119"/>
      <c r="CX866" s="119"/>
      <c r="CY866" s="119"/>
      <c r="CZ866" s="119"/>
      <c r="DA866" s="119"/>
      <c r="DB866" s="119"/>
      <c r="DC866" s="119"/>
      <c r="DD866" s="119"/>
      <c r="DE866" s="119"/>
      <c r="DF866" s="119"/>
      <c r="DG866" s="119"/>
      <c r="DH866" s="119"/>
      <c r="DI866" s="119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119"/>
      <c r="DU866" s="119"/>
      <c r="DV866" s="119"/>
      <c r="DW866" s="119"/>
      <c r="DX866" s="119"/>
      <c r="DY866" s="119"/>
      <c r="DZ866" s="119"/>
      <c r="EA866" s="119"/>
      <c r="EB866" s="119"/>
      <c r="EC866" s="119"/>
      <c r="ED866" s="119"/>
      <c r="EE866" s="119"/>
    </row>
    <row r="867" ht="15.75" customHeight="1">
      <c r="A867" s="123"/>
      <c r="B867" s="123"/>
      <c r="C867" s="123"/>
      <c r="D867" s="123"/>
      <c r="E867" s="123"/>
      <c r="F867" s="123"/>
      <c r="G867" s="123"/>
      <c r="H867" s="123"/>
      <c r="I867" s="1"/>
      <c r="J867" s="1"/>
      <c r="K867" s="1"/>
      <c r="L867" s="1"/>
      <c r="M867" s="1"/>
      <c r="N867" s="1"/>
      <c r="O867" s="1"/>
      <c r="P867" s="1"/>
      <c r="Q867" s="1"/>
      <c r="R867" s="124"/>
      <c r="S867" s="1"/>
      <c r="T867" s="1"/>
      <c r="U867" s="1"/>
      <c r="V867" s="125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  <c r="AG867" s="126"/>
      <c r="AH867" s="126"/>
      <c r="AI867" s="126"/>
      <c r="AJ867" s="126"/>
      <c r="AK867" s="126"/>
      <c r="AL867" s="126"/>
      <c r="AM867" s="126"/>
      <c r="AN867" s="126"/>
      <c r="AO867" s="126"/>
      <c r="AP867" s="126"/>
      <c r="AQ867" s="126"/>
      <c r="AR867" s="126"/>
      <c r="AS867" s="126"/>
      <c r="AT867" s="126"/>
      <c r="AU867" s="126"/>
      <c r="AV867" s="126"/>
      <c r="AW867" s="126"/>
      <c r="AX867" s="126"/>
      <c r="AY867" s="126"/>
      <c r="AZ867" s="126"/>
      <c r="BA867" s="126"/>
      <c r="BB867" s="126"/>
      <c r="BC867" s="126"/>
      <c r="BD867" s="126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127"/>
      <c r="BQ867" s="127"/>
      <c r="BR867" s="127"/>
      <c r="BS867" s="127"/>
      <c r="BT867" s="127"/>
      <c r="BU867" s="127"/>
      <c r="BV867" s="127"/>
      <c r="BW867" s="119"/>
      <c r="BX867" s="119"/>
      <c r="BY867" s="119"/>
      <c r="BZ867" s="119"/>
      <c r="CA867" s="119"/>
      <c r="CB867" s="119"/>
      <c r="CC867" s="119"/>
      <c r="CD867" s="119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19"/>
      <c r="CQ867" s="119"/>
      <c r="CR867" s="119"/>
      <c r="CS867" s="119"/>
      <c r="CT867" s="119"/>
      <c r="CU867" s="119"/>
      <c r="CV867" s="119"/>
      <c r="CW867" s="119"/>
      <c r="CX867" s="119"/>
      <c r="CY867" s="119"/>
      <c r="CZ867" s="119"/>
      <c r="DA867" s="119"/>
      <c r="DB867" s="119"/>
      <c r="DC867" s="119"/>
      <c r="DD867" s="119"/>
      <c r="DE867" s="119"/>
      <c r="DF867" s="119"/>
      <c r="DG867" s="119"/>
      <c r="DH867" s="119"/>
      <c r="DI867" s="119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119"/>
      <c r="DU867" s="119"/>
      <c r="DV867" s="119"/>
      <c r="DW867" s="119"/>
      <c r="DX867" s="119"/>
      <c r="DY867" s="119"/>
      <c r="DZ867" s="119"/>
      <c r="EA867" s="119"/>
      <c r="EB867" s="119"/>
      <c r="EC867" s="119"/>
      <c r="ED867" s="119"/>
      <c r="EE867" s="119"/>
    </row>
    <row r="868" ht="15.75" customHeight="1">
      <c r="A868" s="123"/>
      <c r="B868" s="123"/>
      <c r="C868" s="123"/>
      <c r="D868" s="123"/>
      <c r="E868" s="123"/>
      <c r="F868" s="123"/>
      <c r="G868" s="123"/>
      <c r="H868" s="123"/>
      <c r="I868" s="1"/>
      <c r="J868" s="1"/>
      <c r="K868" s="1"/>
      <c r="L868" s="1"/>
      <c r="M868" s="1"/>
      <c r="N868" s="1"/>
      <c r="O868" s="1"/>
      <c r="P868" s="1"/>
      <c r="Q868" s="1"/>
      <c r="R868" s="124"/>
      <c r="S868" s="1"/>
      <c r="T868" s="1"/>
      <c r="U868" s="1"/>
      <c r="V868" s="125"/>
      <c r="W868" s="126"/>
      <c r="X868" s="126"/>
      <c r="Y868" s="126"/>
      <c r="Z868" s="126"/>
      <c r="AA868" s="126"/>
      <c r="AB868" s="126"/>
      <c r="AC868" s="126"/>
      <c r="AD868" s="126"/>
      <c r="AE868" s="126"/>
      <c r="AF868" s="126"/>
      <c r="AG868" s="126"/>
      <c r="AH868" s="126"/>
      <c r="AI868" s="126"/>
      <c r="AJ868" s="126"/>
      <c r="AK868" s="126"/>
      <c r="AL868" s="126"/>
      <c r="AM868" s="126"/>
      <c r="AN868" s="126"/>
      <c r="AO868" s="126"/>
      <c r="AP868" s="126"/>
      <c r="AQ868" s="126"/>
      <c r="AR868" s="126"/>
      <c r="AS868" s="126"/>
      <c r="AT868" s="126"/>
      <c r="AU868" s="126"/>
      <c r="AV868" s="126"/>
      <c r="AW868" s="126"/>
      <c r="AX868" s="126"/>
      <c r="AY868" s="126"/>
      <c r="AZ868" s="126"/>
      <c r="BA868" s="126"/>
      <c r="BB868" s="126"/>
      <c r="BC868" s="126"/>
      <c r="BD868" s="126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127"/>
      <c r="BQ868" s="127"/>
      <c r="BR868" s="127"/>
      <c r="BS868" s="127"/>
      <c r="BT868" s="127"/>
      <c r="BU868" s="127"/>
      <c r="BV868" s="127"/>
      <c r="BW868" s="119"/>
      <c r="BX868" s="119"/>
      <c r="BY868" s="119"/>
      <c r="BZ868" s="119"/>
      <c r="CA868" s="119"/>
      <c r="CB868" s="119"/>
      <c r="CC868" s="119"/>
      <c r="CD868" s="119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19"/>
      <c r="CQ868" s="119"/>
      <c r="CR868" s="119"/>
      <c r="CS868" s="119"/>
      <c r="CT868" s="119"/>
      <c r="CU868" s="119"/>
      <c r="CV868" s="119"/>
      <c r="CW868" s="119"/>
      <c r="CX868" s="119"/>
      <c r="CY868" s="119"/>
      <c r="CZ868" s="119"/>
      <c r="DA868" s="119"/>
      <c r="DB868" s="119"/>
      <c r="DC868" s="119"/>
      <c r="DD868" s="119"/>
      <c r="DE868" s="119"/>
      <c r="DF868" s="119"/>
      <c r="DG868" s="119"/>
      <c r="DH868" s="119"/>
      <c r="DI868" s="119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119"/>
      <c r="DU868" s="119"/>
      <c r="DV868" s="119"/>
      <c r="DW868" s="119"/>
      <c r="DX868" s="119"/>
      <c r="DY868" s="119"/>
      <c r="DZ868" s="119"/>
      <c r="EA868" s="119"/>
      <c r="EB868" s="119"/>
      <c r="EC868" s="119"/>
      <c r="ED868" s="119"/>
      <c r="EE868" s="119"/>
    </row>
    <row r="869" ht="15.75" customHeight="1">
      <c r="A869" s="123"/>
      <c r="B869" s="123"/>
      <c r="C869" s="123"/>
      <c r="D869" s="123"/>
      <c r="E869" s="123"/>
      <c r="F869" s="123"/>
      <c r="G869" s="123"/>
      <c r="H869" s="123"/>
      <c r="I869" s="1"/>
      <c r="J869" s="1"/>
      <c r="K869" s="1"/>
      <c r="L869" s="1"/>
      <c r="M869" s="1"/>
      <c r="N869" s="1"/>
      <c r="O869" s="1"/>
      <c r="P869" s="1"/>
      <c r="Q869" s="1"/>
      <c r="R869" s="124"/>
      <c r="S869" s="1"/>
      <c r="T869" s="1"/>
      <c r="U869" s="1"/>
      <c r="V869" s="125"/>
      <c r="W869" s="126"/>
      <c r="X869" s="126"/>
      <c r="Y869" s="126"/>
      <c r="Z869" s="126"/>
      <c r="AA869" s="126"/>
      <c r="AB869" s="126"/>
      <c r="AC869" s="126"/>
      <c r="AD869" s="126"/>
      <c r="AE869" s="126"/>
      <c r="AF869" s="126"/>
      <c r="AG869" s="126"/>
      <c r="AH869" s="126"/>
      <c r="AI869" s="126"/>
      <c r="AJ869" s="126"/>
      <c r="AK869" s="126"/>
      <c r="AL869" s="126"/>
      <c r="AM869" s="126"/>
      <c r="AN869" s="126"/>
      <c r="AO869" s="126"/>
      <c r="AP869" s="126"/>
      <c r="AQ869" s="126"/>
      <c r="AR869" s="126"/>
      <c r="AS869" s="126"/>
      <c r="AT869" s="126"/>
      <c r="AU869" s="126"/>
      <c r="AV869" s="126"/>
      <c r="AW869" s="126"/>
      <c r="AX869" s="126"/>
      <c r="AY869" s="126"/>
      <c r="AZ869" s="126"/>
      <c r="BA869" s="126"/>
      <c r="BB869" s="126"/>
      <c r="BC869" s="126"/>
      <c r="BD869" s="126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127"/>
      <c r="BQ869" s="127"/>
      <c r="BR869" s="127"/>
      <c r="BS869" s="127"/>
      <c r="BT869" s="127"/>
      <c r="BU869" s="127"/>
      <c r="BV869" s="127"/>
      <c r="BW869" s="119"/>
      <c r="BX869" s="119"/>
      <c r="BY869" s="119"/>
      <c r="BZ869" s="119"/>
      <c r="CA869" s="119"/>
      <c r="CB869" s="119"/>
      <c r="CC869" s="119"/>
      <c r="CD869" s="119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19"/>
      <c r="CQ869" s="119"/>
      <c r="CR869" s="119"/>
      <c r="CS869" s="119"/>
      <c r="CT869" s="119"/>
      <c r="CU869" s="119"/>
      <c r="CV869" s="119"/>
      <c r="CW869" s="119"/>
      <c r="CX869" s="119"/>
      <c r="CY869" s="119"/>
      <c r="CZ869" s="119"/>
      <c r="DA869" s="119"/>
      <c r="DB869" s="119"/>
      <c r="DC869" s="119"/>
      <c r="DD869" s="119"/>
      <c r="DE869" s="119"/>
      <c r="DF869" s="119"/>
      <c r="DG869" s="119"/>
      <c r="DH869" s="119"/>
      <c r="DI869" s="119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119"/>
      <c r="DU869" s="119"/>
      <c r="DV869" s="119"/>
      <c r="DW869" s="119"/>
      <c r="DX869" s="119"/>
      <c r="DY869" s="119"/>
      <c r="DZ869" s="119"/>
      <c r="EA869" s="119"/>
      <c r="EB869" s="119"/>
      <c r="EC869" s="119"/>
      <c r="ED869" s="119"/>
      <c r="EE869" s="119"/>
    </row>
    <row r="870" ht="15.75" customHeight="1">
      <c r="A870" s="123"/>
      <c r="B870" s="123"/>
      <c r="C870" s="123"/>
      <c r="D870" s="123"/>
      <c r="E870" s="123"/>
      <c r="F870" s="123"/>
      <c r="G870" s="123"/>
      <c r="H870" s="123"/>
      <c r="I870" s="1"/>
      <c r="J870" s="1"/>
      <c r="K870" s="1"/>
      <c r="L870" s="1"/>
      <c r="M870" s="1"/>
      <c r="N870" s="1"/>
      <c r="O870" s="1"/>
      <c r="P870" s="1"/>
      <c r="Q870" s="1"/>
      <c r="R870" s="124"/>
      <c r="S870" s="1"/>
      <c r="T870" s="1"/>
      <c r="U870" s="1"/>
      <c r="V870" s="125"/>
      <c r="W870" s="126"/>
      <c r="X870" s="126"/>
      <c r="Y870" s="126"/>
      <c r="Z870" s="126"/>
      <c r="AA870" s="126"/>
      <c r="AB870" s="126"/>
      <c r="AC870" s="126"/>
      <c r="AD870" s="126"/>
      <c r="AE870" s="126"/>
      <c r="AF870" s="126"/>
      <c r="AG870" s="126"/>
      <c r="AH870" s="126"/>
      <c r="AI870" s="126"/>
      <c r="AJ870" s="126"/>
      <c r="AK870" s="126"/>
      <c r="AL870" s="126"/>
      <c r="AM870" s="126"/>
      <c r="AN870" s="126"/>
      <c r="AO870" s="126"/>
      <c r="AP870" s="126"/>
      <c r="AQ870" s="126"/>
      <c r="AR870" s="126"/>
      <c r="AS870" s="126"/>
      <c r="AT870" s="126"/>
      <c r="AU870" s="126"/>
      <c r="AV870" s="126"/>
      <c r="AW870" s="126"/>
      <c r="AX870" s="126"/>
      <c r="AY870" s="126"/>
      <c r="AZ870" s="126"/>
      <c r="BA870" s="126"/>
      <c r="BB870" s="126"/>
      <c r="BC870" s="126"/>
      <c r="BD870" s="126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127"/>
      <c r="BQ870" s="127"/>
      <c r="BR870" s="127"/>
      <c r="BS870" s="127"/>
      <c r="BT870" s="127"/>
      <c r="BU870" s="127"/>
      <c r="BV870" s="127"/>
      <c r="BW870" s="119"/>
      <c r="BX870" s="119"/>
      <c r="BY870" s="119"/>
      <c r="BZ870" s="119"/>
      <c r="CA870" s="119"/>
      <c r="CB870" s="119"/>
      <c r="CC870" s="119"/>
      <c r="CD870" s="119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19"/>
      <c r="CQ870" s="119"/>
      <c r="CR870" s="119"/>
      <c r="CS870" s="119"/>
      <c r="CT870" s="119"/>
      <c r="CU870" s="119"/>
      <c r="CV870" s="119"/>
      <c r="CW870" s="119"/>
      <c r="CX870" s="119"/>
      <c r="CY870" s="119"/>
      <c r="CZ870" s="119"/>
      <c r="DA870" s="119"/>
      <c r="DB870" s="119"/>
      <c r="DC870" s="119"/>
      <c r="DD870" s="119"/>
      <c r="DE870" s="119"/>
      <c r="DF870" s="119"/>
      <c r="DG870" s="119"/>
      <c r="DH870" s="119"/>
      <c r="DI870" s="119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119"/>
      <c r="DU870" s="119"/>
      <c r="DV870" s="119"/>
      <c r="DW870" s="119"/>
      <c r="DX870" s="119"/>
      <c r="DY870" s="119"/>
      <c r="DZ870" s="119"/>
      <c r="EA870" s="119"/>
      <c r="EB870" s="119"/>
      <c r="EC870" s="119"/>
      <c r="ED870" s="119"/>
      <c r="EE870" s="119"/>
    </row>
    <row r="871" ht="15.75" customHeight="1">
      <c r="A871" s="123"/>
      <c r="B871" s="123"/>
      <c r="C871" s="123"/>
      <c r="D871" s="123"/>
      <c r="E871" s="123"/>
      <c r="F871" s="123"/>
      <c r="G871" s="123"/>
      <c r="H871" s="123"/>
      <c r="I871" s="1"/>
      <c r="J871" s="1"/>
      <c r="K871" s="1"/>
      <c r="L871" s="1"/>
      <c r="M871" s="1"/>
      <c r="N871" s="1"/>
      <c r="O871" s="1"/>
      <c r="P871" s="1"/>
      <c r="Q871" s="1"/>
      <c r="R871" s="124"/>
      <c r="S871" s="1"/>
      <c r="T871" s="1"/>
      <c r="U871" s="1"/>
      <c r="V871" s="125"/>
      <c r="W871" s="126"/>
      <c r="X871" s="126"/>
      <c r="Y871" s="126"/>
      <c r="Z871" s="126"/>
      <c r="AA871" s="126"/>
      <c r="AB871" s="126"/>
      <c r="AC871" s="126"/>
      <c r="AD871" s="126"/>
      <c r="AE871" s="126"/>
      <c r="AF871" s="126"/>
      <c r="AG871" s="126"/>
      <c r="AH871" s="126"/>
      <c r="AI871" s="126"/>
      <c r="AJ871" s="126"/>
      <c r="AK871" s="126"/>
      <c r="AL871" s="126"/>
      <c r="AM871" s="126"/>
      <c r="AN871" s="126"/>
      <c r="AO871" s="126"/>
      <c r="AP871" s="126"/>
      <c r="AQ871" s="126"/>
      <c r="AR871" s="126"/>
      <c r="AS871" s="126"/>
      <c r="AT871" s="126"/>
      <c r="AU871" s="126"/>
      <c r="AV871" s="126"/>
      <c r="AW871" s="126"/>
      <c r="AX871" s="126"/>
      <c r="AY871" s="126"/>
      <c r="AZ871" s="126"/>
      <c r="BA871" s="126"/>
      <c r="BB871" s="126"/>
      <c r="BC871" s="126"/>
      <c r="BD871" s="126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127"/>
      <c r="BQ871" s="127"/>
      <c r="BR871" s="127"/>
      <c r="BS871" s="127"/>
      <c r="BT871" s="127"/>
      <c r="BU871" s="127"/>
      <c r="BV871" s="127"/>
      <c r="BW871" s="119"/>
      <c r="BX871" s="119"/>
      <c r="BY871" s="119"/>
      <c r="BZ871" s="119"/>
      <c r="CA871" s="119"/>
      <c r="CB871" s="119"/>
      <c r="CC871" s="119"/>
      <c r="CD871" s="119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19"/>
      <c r="CQ871" s="119"/>
      <c r="CR871" s="119"/>
      <c r="CS871" s="119"/>
      <c r="CT871" s="119"/>
      <c r="CU871" s="119"/>
      <c r="CV871" s="119"/>
      <c r="CW871" s="119"/>
      <c r="CX871" s="119"/>
      <c r="CY871" s="119"/>
      <c r="CZ871" s="119"/>
      <c r="DA871" s="119"/>
      <c r="DB871" s="119"/>
      <c r="DC871" s="119"/>
      <c r="DD871" s="119"/>
      <c r="DE871" s="119"/>
      <c r="DF871" s="119"/>
      <c r="DG871" s="119"/>
      <c r="DH871" s="119"/>
      <c r="DI871" s="119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119"/>
      <c r="DU871" s="119"/>
      <c r="DV871" s="119"/>
      <c r="DW871" s="119"/>
      <c r="DX871" s="119"/>
      <c r="DY871" s="119"/>
      <c r="DZ871" s="119"/>
      <c r="EA871" s="119"/>
      <c r="EB871" s="119"/>
      <c r="EC871" s="119"/>
      <c r="ED871" s="119"/>
      <c r="EE871" s="119"/>
    </row>
    <row r="872" ht="15.75" customHeight="1">
      <c r="A872" s="123"/>
      <c r="B872" s="123"/>
      <c r="C872" s="123"/>
      <c r="D872" s="123"/>
      <c r="E872" s="123"/>
      <c r="F872" s="123"/>
      <c r="G872" s="123"/>
      <c r="H872" s="123"/>
      <c r="I872" s="1"/>
      <c r="J872" s="1"/>
      <c r="K872" s="1"/>
      <c r="L872" s="1"/>
      <c r="M872" s="1"/>
      <c r="N872" s="1"/>
      <c r="O872" s="1"/>
      <c r="P872" s="1"/>
      <c r="Q872" s="1"/>
      <c r="R872" s="124"/>
      <c r="S872" s="1"/>
      <c r="T872" s="1"/>
      <c r="U872" s="1"/>
      <c r="V872" s="125"/>
      <c r="W872" s="126"/>
      <c r="X872" s="126"/>
      <c r="Y872" s="126"/>
      <c r="Z872" s="126"/>
      <c r="AA872" s="126"/>
      <c r="AB872" s="126"/>
      <c r="AC872" s="126"/>
      <c r="AD872" s="126"/>
      <c r="AE872" s="126"/>
      <c r="AF872" s="126"/>
      <c r="AG872" s="126"/>
      <c r="AH872" s="126"/>
      <c r="AI872" s="126"/>
      <c r="AJ872" s="126"/>
      <c r="AK872" s="126"/>
      <c r="AL872" s="126"/>
      <c r="AM872" s="126"/>
      <c r="AN872" s="126"/>
      <c r="AO872" s="126"/>
      <c r="AP872" s="126"/>
      <c r="AQ872" s="126"/>
      <c r="AR872" s="126"/>
      <c r="AS872" s="126"/>
      <c r="AT872" s="126"/>
      <c r="AU872" s="126"/>
      <c r="AV872" s="126"/>
      <c r="AW872" s="126"/>
      <c r="AX872" s="126"/>
      <c r="AY872" s="126"/>
      <c r="AZ872" s="126"/>
      <c r="BA872" s="126"/>
      <c r="BB872" s="126"/>
      <c r="BC872" s="126"/>
      <c r="BD872" s="126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127"/>
      <c r="BQ872" s="127"/>
      <c r="BR872" s="127"/>
      <c r="BS872" s="127"/>
      <c r="BT872" s="127"/>
      <c r="BU872" s="127"/>
      <c r="BV872" s="127"/>
      <c r="BW872" s="119"/>
      <c r="BX872" s="119"/>
      <c r="BY872" s="119"/>
      <c r="BZ872" s="119"/>
      <c r="CA872" s="119"/>
      <c r="CB872" s="119"/>
      <c r="CC872" s="119"/>
      <c r="CD872" s="119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19"/>
      <c r="CQ872" s="119"/>
      <c r="CR872" s="119"/>
      <c r="CS872" s="119"/>
      <c r="CT872" s="119"/>
      <c r="CU872" s="119"/>
      <c r="CV872" s="119"/>
      <c r="CW872" s="119"/>
      <c r="CX872" s="119"/>
      <c r="CY872" s="119"/>
      <c r="CZ872" s="119"/>
      <c r="DA872" s="119"/>
      <c r="DB872" s="119"/>
      <c r="DC872" s="119"/>
      <c r="DD872" s="119"/>
      <c r="DE872" s="119"/>
      <c r="DF872" s="119"/>
      <c r="DG872" s="119"/>
      <c r="DH872" s="119"/>
      <c r="DI872" s="119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119"/>
      <c r="DU872" s="119"/>
      <c r="DV872" s="119"/>
      <c r="DW872" s="119"/>
      <c r="DX872" s="119"/>
      <c r="DY872" s="119"/>
      <c r="DZ872" s="119"/>
      <c r="EA872" s="119"/>
      <c r="EB872" s="119"/>
      <c r="EC872" s="119"/>
      <c r="ED872" s="119"/>
      <c r="EE872" s="119"/>
    </row>
    <row r="873" ht="15.75" customHeight="1">
      <c r="A873" s="123"/>
      <c r="B873" s="123"/>
      <c r="C873" s="123"/>
      <c r="D873" s="123"/>
      <c r="E873" s="123"/>
      <c r="F873" s="123"/>
      <c r="G873" s="123"/>
      <c r="H873" s="123"/>
      <c r="I873" s="1"/>
      <c r="J873" s="1"/>
      <c r="K873" s="1"/>
      <c r="L873" s="1"/>
      <c r="M873" s="1"/>
      <c r="N873" s="1"/>
      <c r="O873" s="1"/>
      <c r="P873" s="1"/>
      <c r="Q873" s="1"/>
      <c r="R873" s="124"/>
      <c r="S873" s="1"/>
      <c r="T873" s="1"/>
      <c r="U873" s="1"/>
      <c r="V873" s="125"/>
      <c r="W873" s="126"/>
      <c r="X873" s="126"/>
      <c r="Y873" s="126"/>
      <c r="Z873" s="126"/>
      <c r="AA873" s="126"/>
      <c r="AB873" s="126"/>
      <c r="AC873" s="126"/>
      <c r="AD873" s="126"/>
      <c r="AE873" s="126"/>
      <c r="AF873" s="126"/>
      <c r="AG873" s="126"/>
      <c r="AH873" s="126"/>
      <c r="AI873" s="126"/>
      <c r="AJ873" s="126"/>
      <c r="AK873" s="126"/>
      <c r="AL873" s="126"/>
      <c r="AM873" s="126"/>
      <c r="AN873" s="126"/>
      <c r="AO873" s="126"/>
      <c r="AP873" s="126"/>
      <c r="AQ873" s="126"/>
      <c r="AR873" s="126"/>
      <c r="AS873" s="126"/>
      <c r="AT873" s="126"/>
      <c r="AU873" s="126"/>
      <c r="AV873" s="126"/>
      <c r="AW873" s="126"/>
      <c r="AX873" s="126"/>
      <c r="AY873" s="126"/>
      <c r="AZ873" s="126"/>
      <c r="BA873" s="126"/>
      <c r="BB873" s="126"/>
      <c r="BC873" s="126"/>
      <c r="BD873" s="126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127"/>
      <c r="BQ873" s="127"/>
      <c r="BR873" s="127"/>
      <c r="BS873" s="127"/>
      <c r="BT873" s="127"/>
      <c r="BU873" s="127"/>
      <c r="BV873" s="127"/>
      <c r="BW873" s="119"/>
      <c r="BX873" s="119"/>
      <c r="BY873" s="119"/>
      <c r="BZ873" s="119"/>
      <c r="CA873" s="119"/>
      <c r="CB873" s="119"/>
      <c r="CC873" s="119"/>
      <c r="CD873" s="119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19"/>
      <c r="CQ873" s="119"/>
      <c r="CR873" s="119"/>
      <c r="CS873" s="119"/>
      <c r="CT873" s="119"/>
      <c r="CU873" s="119"/>
      <c r="CV873" s="119"/>
      <c r="CW873" s="119"/>
      <c r="CX873" s="119"/>
      <c r="CY873" s="119"/>
      <c r="CZ873" s="119"/>
      <c r="DA873" s="119"/>
      <c r="DB873" s="119"/>
      <c r="DC873" s="119"/>
      <c r="DD873" s="119"/>
      <c r="DE873" s="119"/>
      <c r="DF873" s="119"/>
      <c r="DG873" s="119"/>
      <c r="DH873" s="119"/>
      <c r="DI873" s="119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119"/>
      <c r="DU873" s="119"/>
      <c r="DV873" s="119"/>
      <c r="DW873" s="119"/>
      <c r="DX873" s="119"/>
      <c r="DY873" s="119"/>
      <c r="DZ873" s="119"/>
      <c r="EA873" s="119"/>
      <c r="EB873" s="119"/>
      <c r="EC873" s="119"/>
      <c r="ED873" s="119"/>
      <c r="EE873" s="119"/>
    </row>
    <row r="874" ht="15.75" customHeight="1">
      <c r="A874" s="123"/>
      <c r="B874" s="123"/>
      <c r="C874" s="123"/>
      <c r="D874" s="123"/>
      <c r="E874" s="123"/>
      <c r="F874" s="123"/>
      <c r="G874" s="123"/>
      <c r="H874" s="123"/>
      <c r="I874" s="1"/>
      <c r="J874" s="1"/>
      <c r="K874" s="1"/>
      <c r="L874" s="1"/>
      <c r="M874" s="1"/>
      <c r="N874" s="1"/>
      <c r="O874" s="1"/>
      <c r="P874" s="1"/>
      <c r="Q874" s="1"/>
      <c r="R874" s="124"/>
      <c r="S874" s="1"/>
      <c r="T874" s="1"/>
      <c r="U874" s="1"/>
      <c r="V874" s="125"/>
      <c r="W874" s="126"/>
      <c r="X874" s="126"/>
      <c r="Y874" s="126"/>
      <c r="Z874" s="126"/>
      <c r="AA874" s="126"/>
      <c r="AB874" s="126"/>
      <c r="AC874" s="126"/>
      <c r="AD874" s="126"/>
      <c r="AE874" s="126"/>
      <c r="AF874" s="126"/>
      <c r="AG874" s="126"/>
      <c r="AH874" s="126"/>
      <c r="AI874" s="126"/>
      <c r="AJ874" s="126"/>
      <c r="AK874" s="126"/>
      <c r="AL874" s="126"/>
      <c r="AM874" s="126"/>
      <c r="AN874" s="126"/>
      <c r="AO874" s="126"/>
      <c r="AP874" s="126"/>
      <c r="AQ874" s="126"/>
      <c r="AR874" s="126"/>
      <c r="AS874" s="126"/>
      <c r="AT874" s="126"/>
      <c r="AU874" s="126"/>
      <c r="AV874" s="126"/>
      <c r="AW874" s="126"/>
      <c r="AX874" s="126"/>
      <c r="AY874" s="126"/>
      <c r="AZ874" s="126"/>
      <c r="BA874" s="126"/>
      <c r="BB874" s="126"/>
      <c r="BC874" s="126"/>
      <c r="BD874" s="126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127"/>
      <c r="BQ874" s="127"/>
      <c r="BR874" s="127"/>
      <c r="BS874" s="127"/>
      <c r="BT874" s="127"/>
      <c r="BU874" s="127"/>
      <c r="BV874" s="127"/>
      <c r="BW874" s="119"/>
      <c r="BX874" s="119"/>
      <c r="BY874" s="119"/>
      <c r="BZ874" s="119"/>
      <c r="CA874" s="119"/>
      <c r="CB874" s="119"/>
      <c r="CC874" s="119"/>
      <c r="CD874" s="119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19"/>
      <c r="CQ874" s="119"/>
      <c r="CR874" s="119"/>
      <c r="CS874" s="119"/>
      <c r="CT874" s="119"/>
      <c r="CU874" s="119"/>
      <c r="CV874" s="119"/>
      <c r="CW874" s="119"/>
      <c r="CX874" s="119"/>
      <c r="CY874" s="119"/>
      <c r="CZ874" s="119"/>
      <c r="DA874" s="119"/>
      <c r="DB874" s="119"/>
      <c r="DC874" s="119"/>
      <c r="DD874" s="119"/>
      <c r="DE874" s="119"/>
      <c r="DF874" s="119"/>
      <c r="DG874" s="119"/>
      <c r="DH874" s="119"/>
      <c r="DI874" s="119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119"/>
      <c r="DU874" s="119"/>
      <c r="DV874" s="119"/>
      <c r="DW874" s="119"/>
      <c r="DX874" s="119"/>
      <c r="DY874" s="119"/>
      <c r="DZ874" s="119"/>
      <c r="EA874" s="119"/>
      <c r="EB874" s="119"/>
      <c r="EC874" s="119"/>
      <c r="ED874" s="119"/>
      <c r="EE874" s="119"/>
    </row>
    <row r="875" ht="15.75" customHeight="1">
      <c r="A875" s="123"/>
      <c r="B875" s="123"/>
      <c r="C875" s="123"/>
      <c r="D875" s="123"/>
      <c r="E875" s="123"/>
      <c r="F875" s="123"/>
      <c r="G875" s="123"/>
      <c r="H875" s="123"/>
      <c r="I875" s="1"/>
      <c r="J875" s="1"/>
      <c r="K875" s="1"/>
      <c r="L875" s="1"/>
      <c r="M875" s="1"/>
      <c r="N875" s="1"/>
      <c r="O875" s="1"/>
      <c r="P875" s="1"/>
      <c r="Q875" s="1"/>
      <c r="R875" s="124"/>
      <c r="S875" s="1"/>
      <c r="T875" s="1"/>
      <c r="U875" s="1"/>
      <c r="V875" s="125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126"/>
      <c r="AG875" s="126"/>
      <c r="AH875" s="126"/>
      <c r="AI875" s="126"/>
      <c r="AJ875" s="126"/>
      <c r="AK875" s="126"/>
      <c r="AL875" s="126"/>
      <c r="AM875" s="126"/>
      <c r="AN875" s="126"/>
      <c r="AO875" s="126"/>
      <c r="AP875" s="126"/>
      <c r="AQ875" s="126"/>
      <c r="AR875" s="126"/>
      <c r="AS875" s="126"/>
      <c r="AT875" s="126"/>
      <c r="AU875" s="126"/>
      <c r="AV875" s="126"/>
      <c r="AW875" s="126"/>
      <c r="AX875" s="126"/>
      <c r="AY875" s="126"/>
      <c r="AZ875" s="126"/>
      <c r="BA875" s="126"/>
      <c r="BB875" s="126"/>
      <c r="BC875" s="126"/>
      <c r="BD875" s="126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127"/>
      <c r="BQ875" s="127"/>
      <c r="BR875" s="127"/>
      <c r="BS875" s="127"/>
      <c r="BT875" s="127"/>
      <c r="BU875" s="127"/>
      <c r="BV875" s="127"/>
      <c r="BW875" s="119"/>
      <c r="BX875" s="119"/>
      <c r="BY875" s="119"/>
      <c r="BZ875" s="119"/>
      <c r="CA875" s="119"/>
      <c r="CB875" s="119"/>
      <c r="CC875" s="119"/>
      <c r="CD875" s="119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19"/>
      <c r="CQ875" s="119"/>
      <c r="CR875" s="119"/>
      <c r="CS875" s="119"/>
      <c r="CT875" s="119"/>
      <c r="CU875" s="119"/>
      <c r="CV875" s="119"/>
      <c r="CW875" s="119"/>
      <c r="CX875" s="119"/>
      <c r="CY875" s="119"/>
      <c r="CZ875" s="119"/>
      <c r="DA875" s="119"/>
      <c r="DB875" s="119"/>
      <c r="DC875" s="119"/>
      <c r="DD875" s="119"/>
      <c r="DE875" s="119"/>
      <c r="DF875" s="119"/>
      <c r="DG875" s="119"/>
      <c r="DH875" s="119"/>
      <c r="DI875" s="119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119"/>
      <c r="DU875" s="119"/>
      <c r="DV875" s="119"/>
      <c r="DW875" s="119"/>
      <c r="DX875" s="119"/>
      <c r="DY875" s="119"/>
      <c r="DZ875" s="119"/>
      <c r="EA875" s="119"/>
      <c r="EB875" s="119"/>
      <c r="EC875" s="119"/>
      <c r="ED875" s="119"/>
      <c r="EE875" s="119"/>
    </row>
    <row r="876" ht="15.75" customHeight="1">
      <c r="A876" s="123"/>
      <c r="B876" s="123"/>
      <c r="C876" s="123"/>
      <c r="D876" s="123"/>
      <c r="E876" s="123"/>
      <c r="F876" s="123"/>
      <c r="G876" s="123"/>
      <c r="H876" s="123"/>
      <c r="I876" s="1"/>
      <c r="J876" s="1"/>
      <c r="K876" s="1"/>
      <c r="L876" s="1"/>
      <c r="M876" s="1"/>
      <c r="N876" s="1"/>
      <c r="O876" s="1"/>
      <c r="P876" s="1"/>
      <c r="Q876" s="1"/>
      <c r="R876" s="124"/>
      <c r="S876" s="1"/>
      <c r="T876" s="1"/>
      <c r="U876" s="1"/>
      <c r="V876" s="125"/>
      <c r="W876" s="126"/>
      <c r="X876" s="126"/>
      <c r="Y876" s="126"/>
      <c r="Z876" s="126"/>
      <c r="AA876" s="126"/>
      <c r="AB876" s="126"/>
      <c r="AC876" s="126"/>
      <c r="AD876" s="126"/>
      <c r="AE876" s="126"/>
      <c r="AF876" s="126"/>
      <c r="AG876" s="126"/>
      <c r="AH876" s="126"/>
      <c r="AI876" s="126"/>
      <c r="AJ876" s="126"/>
      <c r="AK876" s="126"/>
      <c r="AL876" s="126"/>
      <c r="AM876" s="126"/>
      <c r="AN876" s="126"/>
      <c r="AO876" s="126"/>
      <c r="AP876" s="126"/>
      <c r="AQ876" s="126"/>
      <c r="AR876" s="126"/>
      <c r="AS876" s="126"/>
      <c r="AT876" s="126"/>
      <c r="AU876" s="126"/>
      <c r="AV876" s="126"/>
      <c r="AW876" s="126"/>
      <c r="AX876" s="126"/>
      <c r="AY876" s="126"/>
      <c r="AZ876" s="126"/>
      <c r="BA876" s="126"/>
      <c r="BB876" s="126"/>
      <c r="BC876" s="126"/>
      <c r="BD876" s="126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127"/>
      <c r="BQ876" s="127"/>
      <c r="BR876" s="127"/>
      <c r="BS876" s="127"/>
      <c r="BT876" s="127"/>
      <c r="BU876" s="127"/>
      <c r="BV876" s="127"/>
      <c r="BW876" s="119"/>
      <c r="BX876" s="119"/>
      <c r="BY876" s="119"/>
      <c r="BZ876" s="119"/>
      <c r="CA876" s="119"/>
      <c r="CB876" s="119"/>
      <c r="CC876" s="119"/>
      <c r="CD876" s="119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19"/>
      <c r="CQ876" s="119"/>
      <c r="CR876" s="119"/>
      <c r="CS876" s="119"/>
      <c r="CT876" s="119"/>
      <c r="CU876" s="119"/>
      <c r="CV876" s="119"/>
      <c r="CW876" s="119"/>
      <c r="CX876" s="119"/>
      <c r="CY876" s="119"/>
      <c r="CZ876" s="119"/>
      <c r="DA876" s="119"/>
      <c r="DB876" s="119"/>
      <c r="DC876" s="119"/>
      <c r="DD876" s="119"/>
      <c r="DE876" s="119"/>
      <c r="DF876" s="119"/>
      <c r="DG876" s="119"/>
      <c r="DH876" s="119"/>
      <c r="DI876" s="119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119"/>
      <c r="DU876" s="119"/>
      <c r="DV876" s="119"/>
      <c r="DW876" s="119"/>
      <c r="DX876" s="119"/>
      <c r="DY876" s="119"/>
      <c r="DZ876" s="119"/>
      <c r="EA876" s="119"/>
      <c r="EB876" s="119"/>
      <c r="EC876" s="119"/>
      <c r="ED876" s="119"/>
      <c r="EE876" s="119"/>
    </row>
    <row r="877" ht="15.75" customHeight="1">
      <c r="A877" s="123"/>
      <c r="B877" s="123"/>
      <c r="C877" s="123"/>
      <c r="D877" s="123"/>
      <c r="E877" s="123"/>
      <c r="F877" s="123"/>
      <c r="G877" s="123"/>
      <c r="H877" s="123"/>
      <c r="I877" s="1"/>
      <c r="J877" s="1"/>
      <c r="K877" s="1"/>
      <c r="L877" s="1"/>
      <c r="M877" s="1"/>
      <c r="N877" s="1"/>
      <c r="O877" s="1"/>
      <c r="P877" s="1"/>
      <c r="Q877" s="1"/>
      <c r="R877" s="124"/>
      <c r="S877" s="1"/>
      <c r="T877" s="1"/>
      <c r="U877" s="1"/>
      <c r="V877" s="125"/>
      <c r="W877" s="126"/>
      <c r="X877" s="126"/>
      <c r="Y877" s="126"/>
      <c r="Z877" s="126"/>
      <c r="AA877" s="126"/>
      <c r="AB877" s="126"/>
      <c r="AC877" s="126"/>
      <c r="AD877" s="126"/>
      <c r="AE877" s="126"/>
      <c r="AF877" s="126"/>
      <c r="AG877" s="126"/>
      <c r="AH877" s="126"/>
      <c r="AI877" s="126"/>
      <c r="AJ877" s="126"/>
      <c r="AK877" s="126"/>
      <c r="AL877" s="126"/>
      <c r="AM877" s="126"/>
      <c r="AN877" s="126"/>
      <c r="AO877" s="126"/>
      <c r="AP877" s="126"/>
      <c r="AQ877" s="126"/>
      <c r="AR877" s="126"/>
      <c r="AS877" s="126"/>
      <c r="AT877" s="126"/>
      <c r="AU877" s="126"/>
      <c r="AV877" s="126"/>
      <c r="AW877" s="126"/>
      <c r="AX877" s="126"/>
      <c r="AY877" s="126"/>
      <c r="AZ877" s="126"/>
      <c r="BA877" s="126"/>
      <c r="BB877" s="126"/>
      <c r="BC877" s="126"/>
      <c r="BD877" s="126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127"/>
      <c r="BQ877" s="127"/>
      <c r="BR877" s="127"/>
      <c r="BS877" s="127"/>
      <c r="BT877" s="127"/>
      <c r="BU877" s="127"/>
      <c r="BV877" s="127"/>
      <c r="BW877" s="119"/>
      <c r="BX877" s="119"/>
      <c r="BY877" s="119"/>
      <c r="BZ877" s="119"/>
      <c r="CA877" s="119"/>
      <c r="CB877" s="119"/>
      <c r="CC877" s="119"/>
      <c r="CD877" s="119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19"/>
      <c r="CQ877" s="119"/>
      <c r="CR877" s="119"/>
      <c r="CS877" s="119"/>
      <c r="CT877" s="119"/>
      <c r="CU877" s="119"/>
      <c r="CV877" s="119"/>
      <c r="CW877" s="119"/>
      <c r="CX877" s="119"/>
      <c r="CY877" s="119"/>
      <c r="CZ877" s="119"/>
      <c r="DA877" s="119"/>
      <c r="DB877" s="119"/>
      <c r="DC877" s="119"/>
      <c r="DD877" s="119"/>
      <c r="DE877" s="119"/>
      <c r="DF877" s="119"/>
      <c r="DG877" s="119"/>
      <c r="DH877" s="119"/>
      <c r="DI877" s="119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119"/>
      <c r="DU877" s="119"/>
      <c r="DV877" s="119"/>
      <c r="DW877" s="119"/>
      <c r="DX877" s="119"/>
      <c r="DY877" s="119"/>
      <c r="DZ877" s="119"/>
      <c r="EA877" s="119"/>
      <c r="EB877" s="119"/>
      <c r="EC877" s="119"/>
      <c r="ED877" s="119"/>
      <c r="EE877" s="119"/>
    </row>
    <row r="878" ht="15.75" customHeight="1">
      <c r="A878" s="123"/>
      <c r="B878" s="123"/>
      <c r="C878" s="123"/>
      <c r="D878" s="123"/>
      <c r="E878" s="123"/>
      <c r="F878" s="123"/>
      <c r="G878" s="123"/>
      <c r="H878" s="123"/>
      <c r="I878" s="1"/>
      <c r="J878" s="1"/>
      <c r="K878" s="1"/>
      <c r="L878" s="1"/>
      <c r="M878" s="1"/>
      <c r="N878" s="1"/>
      <c r="O878" s="1"/>
      <c r="P878" s="1"/>
      <c r="Q878" s="1"/>
      <c r="R878" s="124"/>
      <c r="S878" s="1"/>
      <c r="T878" s="1"/>
      <c r="U878" s="1"/>
      <c r="V878" s="125"/>
      <c r="W878" s="126"/>
      <c r="X878" s="126"/>
      <c r="Y878" s="126"/>
      <c r="Z878" s="126"/>
      <c r="AA878" s="126"/>
      <c r="AB878" s="126"/>
      <c r="AC878" s="126"/>
      <c r="AD878" s="126"/>
      <c r="AE878" s="126"/>
      <c r="AF878" s="126"/>
      <c r="AG878" s="126"/>
      <c r="AH878" s="126"/>
      <c r="AI878" s="126"/>
      <c r="AJ878" s="126"/>
      <c r="AK878" s="126"/>
      <c r="AL878" s="126"/>
      <c r="AM878" s="126"/>
      <c r="AN878" s="126"/>
      <c r="AO878" s="126"/>
      <c r="AP878" s="126"/>
      <c r="AQ878" s="126"/>
      <c r="AR878" s="126"/>
      <c r="AS878" s="126"/>
      <c r="AT878" s="126"/>
      <c r="AU878" s="126"/>
      <c r="AV878" s="126"/>
      <c r="AW878" s="126"/>
      <c r="AX878" s="126"/>
      <c r="AY878" s="126"/>
      <c r="AZ878" s="126"/>
      <c r="BA878" s="126"/>
      <c r="BB878" s="126"/>
      <c r="BC878" s="126"/>
      <c r="BD878" s="126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127"/>
      <c r="BQ878" s="127"/>
      <c r="BR878" s="127"/>
      <c r="BS878" s="127"/>
      <c r="BT878" s="127"/>
      <c r="BU878" s="127"/>
      <c r="BV878" s="127"/>
      <c r="BW878" s="119"/>
      <c r="BX878" s="119"/>
      <c r="BY878" s="119"/>
      <c r="BZ878" s="119"/>
      <c r="CA878" s="119"/>
      <c r="CB878" s="119"/>
      <c r="CC878" s="119"/>
      <c r="CD878" s="119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19"/>
      <c r="CQ878" s="119"/>
      <c r="CR878" s="119"/>
      <c r="CS878" s="119"/>
      <c r="CT878" s="119"/>
      <c r="CU878" s="119"/>
      <c r="CV878" s="119"/>
      <c r="CW878" s="119"/>
      <c r="CX878" s="119"/>
      <c r="CY878" s="119"/>
      <c r="CZ878" s="119"/>
      <c r="DA878" s="119"/>
      <c r="DB878" s="119"/>
      <c r="DC878" s="119"/>
      <c r="DD878" s="119"/>
      <c r="DE878" s="119"/>
      <c r="DF878" s="119"/>
      <c r="DG878" s="119"/>
      <c r="DH878" s="119"/>
      <c r="DI878" s="119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119"/>
      <c r="DU878" s="119"/>
      <c r="DV878" s="119"/>
      <c r="DW878" s="119"/>
      <c r="DX878" s="119"/>
      <c r="DY878" s="119"/>
      <c r="DZ878" s="119"/>
      <c r="EA878" s="119"/>
      <c r="EB878" s="119"/>
      <c r="EC878" s="119"/>
      <c r="ED878" s="119"/>
      <c r="EE878" s="119"/>
    </row>
    <row r="879" ht="15.75" customHeight="1">
      <c r="A879" s="123"/>
      <c r="B879" s="123"/>
      <c r="C879" s="123"/>
      <c r="D879" s="123"/>
      <c r="E879" s="123"/>
      <c r="F879" s="123"/>
      <c r="G879" s="123"/>
      <c r="H879" s="123"/>
      <c r="I879" s="1"/>
      <c r="J879" s="1"/>
      <c r="K879" s="1"/>
      <c r="L879" s="1"/>
      <c r="M879" s="1"/>
      <c r="N879" s="1"/>
      <c r="O879" s="1"/>
      <c r="P879" s="1"/>
      <c r="Q879" s="1"/>
      <c r="R879" s="124"/>
      <c r="S879" s="1"/>
      <c r="T879" s="1"/>
      <c r="U879" s="1"/>
      <c r="V879" s="125"/>
      <c r="W879" s="126"/>
      <c r="X879" s="126"/>
      <c r="Y879" s="126"/>
      <c r="Z879" s="126"/>
      <c r="AA879" s="126"/>
      <c r="AB879" s="126"/>
      <c r="AC879" s="126"/>
      <c r="AD879" s="126"/>
      <c r="AE879" s="126"/>
      <c r="AF879" s="126"/>
      <c r="AG879" s="126"/>
      <c r="AH879" s="126"/>
      <c r="AI879" s="126"/>
      <c r="AJ879" s="126"/>
      <c r="AK879" s="126"/>
      <c r="AL879" s="126"/>
      <c r="AM879" s="126"/>
      <c r="AN879" s="126"/>
      <c r="AO879" s="126"/>
      <c r="AP879" s="126"/>
      <c r="AQ879" s="126"/>
      <c r="AR879" s="126"/>
      <c r="AS879" s="126"/>
      <c r="AT879" s="126"/>
      <c r="AU879" s="126"/>
      <c r="AV879" s="126"/>
      <c r="AW879" s="126"/>
      <c r="AX879" s="126"/>
      <c r="AY879" s="126"/>
      <c r="AZ879" s="126"/>
      <c r="BA879" s="126"/>
      <c r="BB879" s="126"/>
      <c r="BC879" s="126"/>
      <c r="BD879" s="126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127"/>
      <c r="BQ879" s="127"/>
      <c r="BR879" s="127"/>
      <c r="BS879" s="127"/>
      <c r="BT879" s="127"/>
      <c r="BU879" s="127"/>
      <c r="BV879" s="127"/>
      <c r="BW879" s="119"/>
      <c r="BX879" s="119"/>
      <c r="BY879" s="119"/>
      <c r="BZ879" s="119"/>
      <c r="CA879" s="119"/>
      <c r="CB879" s="119"/>
      <c r="CC879" s="119"/>
      <c r="CD879" s="119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19"/>
      <c r="CQ879" s="119"/>
      <c r="CR879" s="119"/>
      <c r="CS879" s="119"/>
      <c r="CT879" s="119"/>
      <c r="CU879" s="119"/>
      <c r="CV879" s="119"/>
      <c r="CW879" s="119"/>
      <c r="CX879" s="119"/>
      <c r="CY879" s="119"/>
      <c r="CZ879" s="119"/>
      <c r="DA879" s="119"/>
      <c r="DB879" s="119"/>
      <c r="DC879" s="119"/>
      <c r="DD879" s="119"/>
      <c r="DE879" s="119"/>
      <c r="DF879" s="119"/>
      <c r="DG879" s="119"/>
      <c r="DH879" s="119"/>
      <c r="DI879" s="119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119"/>
      <c r="DU879" s="119"/>
      <c r="DV879" s="119"/>
      <c r="DW879" s="119"/>
      <c r="DX879" s="119"/>
      <c r="DY879" s="119"/>
      <c r="DZ879" s="119"/>
      <c r="EA879" s="119"/>
      <c r="EB879" s="119"/>
      <c r="EC879" s="119"/>
      <c r="ED879" s="119"/>
      <c r="EE879" s="119"/>
    </row>
    <row r="880" ht="15.75" customHeight="1">
      <c r="A880" s="123"/>
      <c r="B880" s="123"/>
      <c r="C880" s="123"/>
      <c r="D880" s="123"/>
      <c r="E880" s="123"/>
      <c r="F880" s="123"/>
      <c r="G880" s="123"/>
      <c r="H880" s="123"/>
      <c r="I880" s="1"/>
      <c r="J880" s="1"/>
      <c r="K880" s="1"/>
      <c r="L880" s="1"/>
      <c r="M880" s="1"/>
      <c r="N880" s="1"/>
      <c r="O880" s="1"/>
      <c r="P880" s="1"/>
      <c r="Q880" s="1"/>
      <c r="R880" s="124"/>
      <c r="S880" s="1"/>
      <c r="T880" s="1"/>
      <c r="U880" s="1"/>
      <c r="V880" s="125"/>
      <c r="W880" s="126"/>
      <c r="X880" s="126"/>
      <c r="Y880" s="126"/>
      <c r="Z880" s="126"/>
      <c r="AA880" s="126"/>
      <c r="AB880" s="126"/>
      <c r="AC880" s="126"/>
      <c r="AD880" s="126"/>
      <c r="AE880" s="126"/>
      <c r="AF880" s="126"/>
      <c r="AG880" s="126"/>
      <c r="AH880" s="126"/>
      <c r="AI880" s="126"/>
      <c r="AJ880" s="126"/>
      <c r="AK880" s="126"/>
      <c r="AL880" s="126"/>
      <c r="AM880" s="126"/>
      <c r="AN880" s="126"/>
      <c r="AO880" s="126"/>
      <c r="AP880" s="126"/>
      <c r="AQ880" s="126"/>
      <c r="AR880" s="126"/>
      <c r="AS880" s="126"/>
      <c r="AT880" s="126"/>
      <c r="AU880" s="126"/>
      <c r="AV880" s="126"/>
      <c r="AW880" s="126"/>
      <c r="AX880" s="126"/>
      <c r="AY880" s="126"/>
      <c r="AZ880" s="126"/>
      <c r="BA880" s="126"/>
      <c r="BB880" s="126"/>
      <c r="BC880" s="126"/>
      <c r="BD880" s="126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127"/>
      <c r="BQ880" s="127"/>
      <c r="BR880" s="127"/>
      <c r="BS880" s="127"/>
      <c r="BT880" s="127"/>
      <c r="BU880" s="127"/>
      <c r="BV880" s="127"/>
      <c r="BW880" s="119"/>
      <c r="BX880" s="119"/>
      <c r="BY880" s="119"/>
      <c r="BZ880" s="119"/>
      <c r="CA880" s="119"/>
      <c r="CB880" s="119"/>
      <c r="CC880" s="119"/>
      <c r="CD880" s="119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19"/>
      <c r="CQ880" s="119"/>
      <c r="CR880" s="119"/>
      <c r="CS880" s="119"/>
      <c r="CT880" s="119"/>
      <c r="CU880" s="119"/>
      <c r="CV880" s="119"/>
      <c r="CW880" s="119"/>
      <c r="CX880" s="119"/>
      <c r="CY880" s="119"/>
      <c r="CZ880" s="119"/>
      <c r="DA880" s="119"/>
      <c r="DB880" s="119"/>
      <c r="DC880" s="119"/>
      <c r="DD880" s="119"/>
      <c r="DE880" s="119"/>
      <c r="DF880" s="119"/>
      <c r="DG880" s="119"/>
      <c r="DH880" s="119"/>
      <c r="DI880" s="119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119"/>
      <c r="DU880" s="119"/>
      <c r="DV880" s="119"/>
      <c r="DW880" s="119"/>
      <c r="DX880" s="119"/>
      <c r="DY880" s="119"/>
      <c r="DZ880" s="119"/>
      <c r="EA880" s="119"/>
      <c r="EB880" s="119"/>
      <c r="EC880" s="119"/>
      <c r="ED880" s="119"/>
      <c r="EE880" s="119"/>
    </row>
    <row r="881" ht="15.75" customHeight="1">
      <c r="A881" s="123"/>
      <c r="B881" s="123"/>
      <c r="C881" s="123"/>
      <c r="D881" s="123"/>
      <c r="E881" s="123"/>
      <c r="F881" s="123"/>
      <c r="G881" s="123"/>
      <c r="H881" s="123"/>
      <c r="I881" s="1"/>
      <c r="J881" s="1"/>
      <c r="K881" s="1"/>
      <c r="L881" s="1"/>
      <c r="M881" s="1"/>
      <c r="N881" s="1"/>
      <c r="O881" s="1"/>
      <c r="P881" s="1"/>
      <c r="Q881" s="1"/>
      <c r="R881" s="124"/>
      <c r="S881" s="1"/>
      <c r="T881" s="1"/>
      <c r="U881" s="1"/>
      <c r="V881" s="125"/>
      <c r="W881" s="126"/>
      <c r="X881" s="126"/>
      <c r="Y881" s="126"/>
      <c r="Z881" s="126"/>
      <c r="AA881" s="126"/>
      <c r="AB881" s="126"/>
      <c r="AC881" s="126"/>
      <c r="AD881" s="126"/>
      <c r="AE881" s="126"/>
      <c r="AF881" s="126"/>
      <c r="AG881" s="126"/>
      <c r="AH881" s="126"/>
      <c r="AI881" s="126"/>
      <c r="AJ881" s="126"/>
      <c r="AK881" s="126"/>
      <c r="AL881" s="126"/>
      <c r="AM881" s="126"/>
      <c r="AN881" s="126"/>
      <c r="AO881" s="126"/>
      <c r="AP881" s="126"/>
      <c r="AQ881" s="126"/>
      <c r="AR881" s="126"/>
      <c r="AS881" s="126"/>
      <c r="AT881" s="126"/>
      <c r="AU881" s="126"/>
      <c r="AV881" s="126"/>
      <c r="AW881" s="126"/>
      <c r="AX881" s="126"/>
      <c r="AY881" s="126"/>
      <c r="AZ881" s="126"/>
      <c r="BA881" s="126"/>
      <c r="BB881" s="126"/>
      <c r="BC881" s="126"/>
      <c r="BD881" s="126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127"/>
      <c r="BQ881" s="127"/>
      <c r="BR881" s="127"/>
      <c r="BS881" s="127"/>
      <c r="BT881" s="127"/>
      <c r="BU881" s="127"/>
      <c r="BV881" s="127"/>
      <c r="BW881" s="119"/>
      <c r="BX881" s="119"/>
      <c r="BY881" s="119"/>
      <c r="BZ881" s="119"/>
      <c r="CA881" s="119"/>
      <c r="CB881" s="119"/>
      <c r="CC881" s="119"/>
      <c r="CD881" s="119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19"/>
      <c r="CQ881" s="119"/>
      <c r="CR881" s="119"/>
      <c r="CS881" s="119"/>
      <c r="CT881" s="119"/>
      <c r="CU881" s="119"/>
      <c r="CV881" s="119"/>
      <c r="CW881" s="119"/>
      <c r="CX881" s="119"/>
      <c r="CY881" s="119"/>
      <c r="CZ881" s="119"/>
      <c r="DA881" s="119"/>
      <c r="DB881" s="119"/>
      <c r="DC881" s="119"/>
      <c r="DD881" s="119"/>
      <c r="DE881" s="119"/>
      <c r="DF881" s="119"/>
      <c r="DG881" s="119"/>
      <c r="DH881" s="119"/>
      <c r="DI881" s="119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119"/>
      <c r="DU881" s="119"/>
      <c r="DV881" s="119"/>
      <c r="DW881" s="119"/>
      <c r="DX881" s="119"/>
      <c r="DY881" s="119"/>
      <c r="DZ881" s="119"/>
      <c r="EA881" s="119"/>
      <c r="EB881" s="119"/>
      <c r="EC881" s="119"/>
      <c r="ED881" s="119"/>
      <c r="EE881" s="119"/>
    </row>
    <row r="882" ht="15.75" customHeight="1">
      <c r="A882" s="123"/>
      <c r="B882" s="123"/>
      <c r="C882" s="123"/>
      <c r="D882" s="123"/>
      <c r="E882" s="123"/>
      <c r="F882" s="123"/>
      <c r="G882" s="123"/>
      <c r="H882" s="123"/>
      <c r="I882" s="1"/>
      <c r="J882" s="1"/>
      <c r="K882" s="1"/>
      <c r="L882" s="1"/>
      <c r="M882" s="1"/>
      <c r="N882" s="1"/>
      <c r="O882" s="1"/>
      <c r="P882" s="1"/>
      <c r="Q882" s="1"/>
      <c r="R882" s="124"/>
      <c r="S882" s="1"/>
      <c r="T882" s="1"/>
      <c r="U882" s="1"/>
      <c r="V882" s="125"/>
      <c r="W882" s="126"/>
      <c r="X882" s="126"/>
      <c r="Y882" s="126"/>
      <c r="Z882" s="126"/>
      <c r="AA882" s="126"/>
      <c r="AB882" s="126"/>
      <c r="AC882" s="126"/>
      <c r="AD882" s="126"/>
      <c r="AE882" s="126"/>
      <c r="AF882" s="126"/>
      <c r="AG882" s="126"/>
      <c r="AH882" s="126"/>
      <c r="AI882" s="126"/>
      <c r="AJ882" s="126"/>
      <c r="AK882" s="126"/>
      <c r="AL882" s="126"/>
      <c r="AM882" s="126"/>
      <c r="AN882" s="126"/>
      <c r="AO882" s="126"/>
      <c r="AP882" s="126"/>
      <c r="AQ882" s="126"/>
      <c r="AR882" s="126"/>
      <c r="AS882" s="126"/>
      <c r="AT882" s="126"/>
      <c r="AU882" s="126"/>
      <c r="AV882" s="126"/>
      <c r="AW882" s="126"/>
      <c r="AX882" s="126"/>
      <c r="AY882" s="126"/>
      <c r="AZ882" s="126"/>
      <c r="BA882" s="126"/>
      <c r="BB882" s="126"/>
      <c r="BC882" s="126"/>
      <c r="BD882" s="126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127"/>
      <c r="BQ882" s="127"/>
      <c r="BR882" s="127"/>
      <c r="BS882" s="127"/>
      <c r="BT882" s="127"/>
      <c r="BU882" s="127"/>
      <c r="BV882" s="127"/>
      <c r="BW882" s="119"/>
      <c r="BX882" s="119"/>
      <c r="BY882" s="119"/>
      <c r="BZ882" s="119"/>
      <c r="CA882" s="119"/>
      <c r="CB882" s="119"/>
      <c r="CC882" s="119"/>
      <c r="CD882" s="119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19"/>
      <c r="CQ882" s="119"/>
      <c r="CR882" s="119"/>
      <c r="CS882" s="119"/>
      <c r="CT882" s="119"/>
      <c r="CU882" s="119"/>
      <c r="CV882" s="119"/>
      <c r="CW882" s="119"/>
      <c r="CX882" s="119"/>
      <c r="CY882" s="119"/>
      <c r="CZ882" s="119"/>
      <c r="DA882" s="119"/>
      <c r="DB882" s="119"/>
      <c r="DC882" s="119"/>
      <c r="DD882" s="119"/>
      <c r="DE882" s="119"/>
      <c r="DF882" s="119"/>
      <c r="DG882" s="119"/>
      <c r="DH882" s="119"/>
      <c r="DI882" s="119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119"/>
      <c r="DU882" s="119"/>
      <c r="DV882" s="119"/>
      <c r="DW882" s="119"/>
      <c r="DX882" s="119"/>
      <c r="DY882" s="119"/>
      <c r="DZ882" s="119"/>
      <c r="EA882" s="119"/>
      <c r="EB882" s="119"/>
      <c r="EC882" s="119"/>
      <c r="ED882" s="119"/>
      <c r="EE882" s="119"/>
    </row>
  </sheetData>
  <mergeCells count="31">
    <mergeCell ref="BE2:CC2"/>
    <mergeCell ref="CE2:CH2"/>
    <mergeCell ref="CE3:CI3"/>
    <mergeCell ref="CK3:CO3"/>
    <mergeCell ref="AU3:AV3"/>
    <mergeCell ref="AW3:AX3"/>
    <mergeCell ref="BP3:BT3"/>
    <mergeCell ref="CP2:CV2"/>
    <mergeCell ref="CW2:DB3"/>
    <mergeCell ref="DC2:DH3"/>
    <mergeCell ref="DI2:DK3"/>
    <mergeCell ref="CP3:CV3"/>
    <mergeCell ref="W3:Y3"/>
    <mergeCell ref="Z3:AB3"/>
    <mergeCell ref="AC3:AE3"/>
    <mergeCell ref="AF3:AH3"/>
    <mergeCell ref="AS3:AT3"/>
    <mergeCell ref="AY3:AZ3"/>
    <mergeCell ref="AL3:AN3"/>
    <mergeCell ref="A2:H3"/>
    <mergeCell ref="I2:S3"/>
    <mergeCell ref="V2:AN2"/>
    <mergeCell ref="AS2:BB2"/>
    <mergeCell ref="AO3:AQ3"/>
    <mergeCell ref="AI3:AK3"/>
    <mergeCell ref="BA3:BB3"/>
    <mergeCell ref="BC3:BD3"/>
    <mergeCell ref="BF3:BJ3"/>
    <mergeCell ref="BK3:BO3"/>
    <mergeCell ref="BU3:BY3"/>
    <mergeCell ref="BZ3:CD3"/>
  </mergeCells>
  <conditionalFormatting sqref="I5:Q677">
    <cfRule type="cellIs" dxfId="0" priority="1" operator="equal">
      <formula>1</formula>
    </cfRule>
  </conditionalFormatting>
  <conditionalFormatting sqref="BJ5:BJ677">
    <cfRule type="cellIs" dxfId="1" priority="2" operator="lessThan">
      <formula>0</formula>
    </cfRule>
  </conditionalFormatting>
  <conditionalFormatting sqref="BO5:BO677">
    <cfRule type="cellIs" dxfId="1" priority="3" operator="lessThan">
      <formula>0</formula>
    </cfRule>
  </conditionalFormatting>
  <conditionalFormatting sqref="BT5:BT677">
    <cfRule type="cellIs" dxfId="1" priority="4" operator="lessThan">
      <formula>0</formula>
    </cfRule>
  </conditionalFormatting>
  <conditionalFormatting sqref="BY5:BY677">
    <cfRule type="cellIs" dxfId="1" priority="5" operator="lessThan">
      <formula>0</formula>
    </cfRule>
  </conditionalFormatting>
  <conditionalFormatting sqref="CC5">
    <cfRule type="cellIs" dxfId="1" priority="6" operator="lessThan">
      <formula>0</formula>
    </cfRule>
  </conditionalFormatting>
  <conditionalFormatting sqref="CD5:CD677">
    <cfRule type="cellIs" dxfId="1" priority="7" operator="lessThan">
      <formula>0</formula>
    </cfRule>
  </conditionalFormatting>
  <conditionalFormatting sqref="CH5">
    <cfRule type="cellIs" dxfId="1" priority="8" operator="lessThan">
      <formula>0</formula>
    </cfRule>
  </conditionalFormatting>
  <conditionalFormatting sqref="CI5:CI677">
    <cfRule type="cellIs" dxfId="1" priority="9" operator="lessThan">
      <formula>0</formula>
    </cfRule>
  </conditionalFormatting>
  <conditionalFormatting sqref="CO5:CO677">
    <cfRule type="cellIs" dxfId="1" priority="10" operator="lessThan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2026-07-04T01:50:31Z</dcterms:created>
  <dc:creator>Vilsic Bocangel Bejar</dc:creator>
  <cp:lastModifiedBy>Cesar Berrospi Ramon</cp:lastModifiedBy>
  <dcterms:modified xsi:type="dcterms:W3CDTF">2026-07-06T20:42:51Z</dcterms:modified>
</cp:coreProperties>
</file>